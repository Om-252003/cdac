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dac\13 Data Visualization and Reporting\1 Excel\Day 3\assignment\"/>
    </mc:Choice>
  </mc:AlternateContent>
  <xr:revisionPtr revIDLastSave="0" documentId="13_ncr:1_{576B7E3C-AB96-4488-8C01-797DD26B95D4}" xr6:coauthVersionLast="47" xr6:coauthVersionMax="47" xr10:uidLastSave="{00000000-0000-0000-0000-000000000000}"/>
  <bookViews>
    <workbookView xWindow="-108" yWindow="-108" windowWidth="23256" windowHeight="13176" tabRatio="856" firstSheet="1" activeTab="6" xr2:uid="{B4DA8130-7350-4EA8-87C2-461039477637}"/>
  </bookViews>
  <sheets>
    <sheet name="Sheet1" sheetId="1" r:id="rId1"/>
    <sheet name="Student Profile" sheetId="2" r:id="rId2"/>
    <sheet name="Academic Background Analysis" sheetId="5" r:id="rId3"/>
    <sheet name="Ccat and Entrance " sheetId="7" r:id="rId4"/>
    <sheet name="CDAC Performance" sheetId="8" r:id="rId5"/>
    <sheet name="Placement Analysis" sheetId="9" r:id="rId6"/>
    <sheet name="Dashboard" sheetId="3" r:id="rId7"/>
  </sheets>
  <definedNames>
    <definedName name="_xlcn.WorksheetConnection_Book1.xlsxCdacdata1" hidden="1">Cdacdata[]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dacdata" name="Cdacdata" connection="WorksheetConnection_Book1.xlsx!Cdacdata"/>
        </x15:modelTables>
      </x15:dataModel>
    </ext>
  </extLst>
</workbook>
</file>

<file path=xl/calcChain.xml><?xml version="1.0" encoding="utf-8"?>
<calcChain xmlns="http://schemas.openxmlformats.org/spreadsheetml/2006/main"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08E34E-A765-40F6-B76F-CDF5E596964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3BD2066-CA0C-441B-BFD7-637B8F84DB6E}" name="WorksheetConnection_Book1.xlsx!Cdacdata" type="102" refreshedVersion="8" minRefreshableVersion="5">
    <extLst>
      <ext xmlns:x15="http://schemas.microsoft.com/office/spreadsheetml/2010/11/main" uri="{DE250136-89BD-433C-8126-D09CA5730AF9}">
        <x15:connection id="Cdacdata" autoDelete="1">
          <x15:rangePr sourceName="_xlcn.WorksheetConnection_Book1.xlsxCdacdata1"/>
        </x15:connection>
      </ext>
    </extLst>
  </connection>
</connections>
</file>

<file path=xl/sharedStrings.xml><?xml version="1.0" encoding="utf-8"?>
<sst xmlns="http://schemas.openxmlformats.org/spreadsheetml/2006/main" count="21818" uniqueCount="1299">
  <si>
    <t>prn</t>
  </si>
  <si>
    <t>formno</t>
  </si>
  <si>
    <t>timestamp</t>
  </si>
  <si>
    <t>ccat_rank</t>
  </si>
  <si>
    <t>dob</t>
  </si>
  <si>
    <t>pg_cert</t>
  </si>
  <si>
    <t>done_precat</t>
  </si>
  <si>
    <t>grad_grade</t>
  </si>
  <si>
    <t>branch</t>
  </si>
  <si>
    <t>grad_degree</t>
  </si>
  <si>
    <t>total800</t>
  </si>
  <si>
    <t>cdac_percentage</t>
  </si>
  <si>
    <t>grade</t>
  </si>
  <si>
    <t>result</t>
  </si>
  <si>
    <t>apti_ec_grade</t>
  </si>
  <si>
    <t>project_grade</t>
  </si>
  <si>
    <t>course</t>
  </si>
  <si>
    <t>cdac_percentagecat</t>
  </si>
  <si>
    <t>placed_by</t>
  </si>
  <si>
    <t>placement_status</t>
  </si>
  <si>
    <t>batch</t>
  </si>
  <si>
    <t>ccat_cat</t>
  </si>
  <si>
    <t>age_cat</t>
  </si>
  <si>
    <t>Year</t>
  </si>
  <si>
    <t>Month</t>
  </si>
  <si>
    <t>2.30945E+11</t>
  </si>
  <si>
    <t>Other</t>
  </si>
  <si>
    <t>No</t>
  </si>
  <si>
    <t>60-75</t>
  </si>
  <si>
    <t>IT</t>
  </si>
  <si>
    <t>BE</t>
  </si>
  <si>
    <t>C</t>
  </si>
  <si>
    <t>Pass</t>
  </si>
  <si>
    <t>B</t>
  </si>
  <si>
    <t>DAC</t>
  </si>
  <si>
    <t>50-60</t>
  </si>
  <si>
    <t>Unplaced</t>
  </si>
  <si>
    <t>2023_Sept</t>
  </si>
  <si>
    <t>2k-3k</t>
  </si>
  <si>
    <t>23-25</t>
  </si>
  <si>
    <t>Sept</t>
  </si>
  <si>
    <t>Yes</t>
  </si>
  <si>
    <t>Electrical</t>
  </si>
  <si>
    <t>BTech</t>
  </si>
  <si>
    <t>By VITA</t>
  </si>
  <si>
    <t>CDAC CHENOtherI</t>
  </si>
  <si>
    <t>Placed</t>
  </si>
  <si>
    <t>1k-2k</t>
  </si>
  <si>
    <t>100-75</t>
  </si>
  <si>
    <t>A</t>
  </si>
  <si>
    <t>60-70</t>
  </si>
  <si>
    <t>TREADBIOtherRY</t>
  </si>
  <si>
    <t>Civil</t>
  </si>
  <si>
    <t>Self Placed</t>
  </si>
  <si>
    <t>OTHERS</t>
  </si>
  <si>
    <t>26-28</t>
  </si>
  <si>
    <t>Computer</t>
  </si>
  <si>
    <t>20-22</t>
  </si>
  <si>
    <t>70-85</t>
  </si>
  <si>
    <t>CONTRACTPODAI</t>
  </si>
  <si>
    <t>Mechanical</t>
  </si>
  <si>
    <t>DIGIVRIDDHI TECH</t>
  </si>
  <si>
    <t>0-35</t>
  </si>
  <si>
    <t>Unknown</t>
  </si>
  <si>
    <t>Fail</t>
  </si>
  <si>
    <t>Electronics</t>
  </si>
  <si>
    <t>DASSAULT SYSTEMS</t>
  </si>
  <si>
    <t>BSc</t>
  </si>
  <si>
    <t>Absent</t>
  </si>
  <si>
    <t>29+</t>
  </si>
  <si>
    <t>WAULITE</t>
  </si>
  <si>
    <t>Others</t>
  </si>
  <si>
    <t>45-60</t>
  </si>
  <si>
    <t>3I INFOTECH</t>
  </si>
  <si>
    <t>KFINTECH</t>
  </si>
  <si>
    <t>1-1k</t>
  </si>
  <si>
    <t>UNITY SMALL FIOtherNCE BANK</t>
  </si>
  <si>
    <t>MKCL</t>
  </si>
  <si>
    <t>CDAC MUMBAI</t>
  </si>
  <si>
    <t>CARE AOtherLYTICS AND ADVISORY</t>
  </si>
  <si>
    <t>40-50</t>
  </si>
  <si>
    <t>AVENUE ECOMMERCE</t>
  </si>
  <si>
    <t>THOMAS COOK</t>
  </si>
  <si>
    <t>IDBI</t>
  </si>
  <si>
    <t>FINEZZA</t>
  </si>
  <si>
    <t>DEPRONTO INFOTECH</t>
  </si>
  <si>
    <t>MINDGATE</t>
  </si>
  <si>
    <t>BTS</t>
  </si>
  <si>
    <t>BILLDESK</t>
  </si>
  <si>
    <t>HOUSE OF CODE</t>
  </si>
  <si>
    <t>MUGENESYS</t>
  </si>
  <si>
    <t>CRISIL</t>
  </si>
  <si>
    <t>TATA ADVANCED SYSTEMS</t>
  </si>
  <si>
    <t>MORNINGSTAR</t>
  </si>
  <si>
    <t>85-100</t>
  </si>
  <si>
    <t>ADFORM</t>
  </si>
  <si>
    <t>DBDA</t>
  </si>
  <si>
    <t>RBHU</t>
  </si>
  <si>
    <t>3k-4k</t>
  </si>
  <si>
    <t>LOYALTY REWARDZ</t>
  </si>
  <si>
    <t>RBL</t>
  </si>
  <si>
    <t>COLLINSON</t>
  </si>
  <si>
    <t>SMARTAVYA AOtherLYTICA</t>
  </si>
  <si>
    <t>D</t>
  </si>
  <si>
    <t>INFINITE COMPUTER SOLTIONS</t>
  </si>
  <si>
    <t>BLUEMETEOR</t>
  </si>
  <si>
    <t>SANVER INDIA</t>
  </si>
  <si>
    <t>CDAC KOLKATA</t>
  </si>
  <si>
    <t>INFARSIGHT</t>
  </si>
  <si>
    <t>2.20345E+11</t>
  </si>
  <si>
    <t>2022_March</t>
  </si>
  <si>
    <t>March</t>
  </si>
  <si>
    <t>SAPIENS</t>
  </si>
  <si>
    <t>EBIX</t>
  </si>
  <si>
    <t>A.K. CAPITAL</t>
  </si>
  <si>
    <t>NEOSOFT</t>
  </si>
  <si>
    <t>INFOBELLS</t>
  </si>
  <si>
    <t>NSE</t>
  </si>
  <si>
    <t>BAKER HUGHES</t>
  </si>
  <si>
    <t>LAMIOtherR</t>
  </si>
  <si>
    <t>HITACHI PAYMENTS</t>
  </si>
  <si>
    <t>IKS HEALTH</t>
  </si>
  <si>
    <t>MOTILAL OSWAL</t>
  </si>
  <si>
    <t>ARAGEN LIFE SCIENCES</t>
  </si>
  <si>
    <t>ADENZA</t>
  </si>
  <si>
    <t>XPO</t>
  </si>
  <si>
    <t>ALTRES</t>
  </si>
  <si>
    <t>TATA AIG</t>
  </si>
  <si>
    <t>HSBC</t>
  </si>
  <si>
    <t>FINFLUX</t>
  </si>
  <si>
    <t>TRUCOVER</t>
  </si>
  <si>
    <t>TIAA</t>
  </si>
  <si>
    <t>63 MOONS</t>
  </si>
  <si>
    <t>SECTECH</t>
  </si>
  <si>
    <t>DI</t>
  </si>
  <si>
    <t>BNP PARIBAS</t>
  </si>
  <si>
    <t>YUGENSYS</t>
  </si>
  <si>
    <t>AUTOMATAPI</t>
  </si>
  <si>
    <t>TRAVELEX</t>
  </si>
  <si>
    <t>DR. REDDY'S</t>
  </si>
  <si>
    <t>NOMURA</t>
  </si>
  <si>
    <t>LEARNINGMATE</t>
  </si>
  <si>
    <t>CDAC ACTS</t>
  </si>
  <si>
    <t>COUPA</t>
  </si>
  <si>
    <t>CIRRIUS TECHNOLOGIES</t>
  </si>
  <si>
    <t>SQUARE YARDS</t>
  </si>
  <si>
    <t>TECH MAHINDRA</t>
  </si>
  <si>
    <t>GEP</t>
  </si>
  <si>
    <t>PROTOTECH</t>
  </si>
  <si>
    <t>SOLVERMINDS</t>
  </si>
  <si>
    <t>NIC BANGALORE</t>
  </si>
  <si>
    <t>PIVOTROOTS</t>
  </si>
  <si>
    <t>GODIGITAL</t>
  </si>
  <si>
    <t>DELTA</t>
  </si>
  <si>
    <t>CREDIT SUISSE</t>
  </si>
  <si>
    <t>TATA STRIVE</t>
  </si>
  <si>
    <t>MOTIFWORKS</t>
  </si>
  <si>
    <t>STATUSNEO</t>
  </si>
  <si>
    <t>2.10545E+11</t>
  </si>
  <si>
    <t>CDAC PUNE</t>
  </si>
  <si>
    <t>2021_March</t>
  </si>
  <si>
    <t>LG SOFT INDIA</t>
  </si>
  <si>
    <t>JIBE</t>
  </si>
  <si>
    <t>AMDOCS</t>
  </si>
  <si>
    <t>ITIVITI</t>
  </si>
  <si>
    <t>BANK OF AMERICA</t>
  </si>
  <si>
    <t>ACTIVE.AI</t>
  </si>
  <si>
    <t>PDG SOFTWARE</t>
  </si>
  <si>
    <t>CYBAGE</t>
  </si>
  <si>
    <t>JUNGLEE GAMES</t>
  </si>
  <si>
    <t>INFIBEAM AVENUES LTD.</t>
  </si>
  <si>
    <t>SMARTSTREAM</t>
  </si>
  <si>
    <t>AVENTIOR</t>
  </si>
  <si>
    <t>BORN COMMERCE</t>
  </si>
  <si>
    <t>AVATI</t>
  </si>
  <si>
    <t>NEIRON</t>
  </si>
  <si>
    <t>RELIANCE JIO</t>
  </si>
  <si>
    <t>MOBILEUM</t>
  </si>
  <si>
    <t>INFOSYS</t>
  </si>
  <si>
    <t>HERALD LOGIC</t>
  </si>
  <si>
    <t>PELICAN</t>
  </si>
  <si>
    <t>RANDSTAD RISESMART</t>
  </si>
  <si>
    <t>MSCI</t>
  </si>
  <si>
    <t>CELEBAL TECHNOLOGIES</t>
  </si>
  <si>
    <t>Gt than 4k</t>
  </si>
  <si>
    <t>GREENPOINT GLOBAL</t>
  </si>
  <si>
    <t>CRIMSON</t>
  </si>
  <si>
    <t>DROOther PAY</t>
  </si>
  <si>
    <t>AOtherNDRATHI WEALTH</t>
  </si>
  <si>
    <t>LUMIQ</t>
  </si>
  <si>
    <t>AQM TECHNOLOGIES</t>
  </si>
  <si>
    <t>ECLERX</t>
  </si>
  <si>
    <t>2.30345E+11</t>
  </si>
  <si>
    <t>2023_March</t>
  </si>
  <si>
    <t>STEALTHGROUP</t>
  </si>
  <si>
    <t>BAJAJ</t>
  </si>
  <si>
    <t>EEMPHASYS</t>
  </si>
  <si>
    <t>AMAZATIC SOLUTIONS</t>
  </si>
  <si>
    <t>ALGOQUANT</t>
  </si>
  <si>
    <t>KNIGHT FINTECH</t>
  </si>
  <si>
    <t>BCA</t>
  </si>
  <si>
    <t>STEEPGRAPH</t>
  </si>
  <si>
    <t>DATAMATIC</t>
  </si>
  <si>
    <t>BRISTLECONE</t>
  </si>
  <si>
    <t>ODEX</t>
  </si>
  <si>
    <t>LEARNING MATE</t>
  </si>
  <si>
    <t>YASH TECHNOLOGIES</t>
  </si>
  <si>
    <t>API HOLDING</t>
  </si>
  <si>
    <t>USF BANK</t>
  </si>
  <si>
    <t>BAJAJ FINSERV</t>
  </si>
  <si>
    <t>AXIS MY INDIA</t>
  </si>
  <si>
    <t>LIVING THINGS</t>
  </si>
  <si>
    <t>2.20945E+11</t>
  </si>
  <si>
    <t>2022_Sept</t>
  </si>
  <si>
    <t>GOLDEN SOURCE</t>
  </si>
  <si>
    <t>WINWAYS</t>
  </si>
  <si>
    <t>SPARK LABS</t>
  </si>
  <si>
    <t>PEOCIT SOFTWARE</t>
  </si>
  <si>
    <t>XYBION</t>
  </si>
  <si>
    <t>MINDSTACK</t>
  </si>
  <si>
    <t>PEOCIT</t>
  </si>
  <si>
    <t>INFOBELL</t>
  </si>
  <si>
    <t>BLUE RIDGE</t>
  </si>
  <si>
    <t>XENONSTACK</t>
  </si>
  <si>
    <t>XTREME MEDIA</t>
  </si>
  <si>
    <t>KIYA.AI</t>
  </si>
  <si>
    <t>PUBLICIS SAPIENT</t>
  </si>
  <si>
    <t>HIREHUNCH</t>
  </si>
  <si>
    <t>MINDSTIX</t>
  </si>
  <si>
    <t>BITROOT.ORG</t>
  </si>
  <si>
    <t>EXCELLEX</t>
  </si>
  <si>
    <t>MICROWORLD</t>
  </si>
  <si>
    <t>AXIS BANK</t>
  </si>
  <si>
    <t>THYROCARE</t>
  </si>
  <si>
    <t>ANKERCLOUD</t>
  </si>
  <si>
    <t>35-45</t>
  </si>
  <si>
    <t>DEUTSCHE BANK</t>
  </si>
  <si>
    <t>K FINTECH</t>
  </si>
  <si>
    <t>SPARK LALBS</t>
  </si>
  <si>
    <t>APPLIED CLOUD COMPUTING</t>
  </si>
  <si>
    <t>MPOKKET</t>
  </si>
  <si>
    <t>TEAMNEST</t>
  </si>
  <si>
    <t>2.11E+11</t>
  </si>
  <si>
    <t>CAIZIN</t>
  </si>
  <si>
    <t>2021_Sept</t>
  </si>
  <si>
    <t>6/20/1997</t>
  </si>
  <si>
    <t>3/15/1995</t>
  </si>
  <si>
    <t>CUMULUS SYSTEMS</t>
  </si>
  <si>
    <t>1/16/1998</t>
  </si>
  <si>
    <t>MORNING STAR</t>
  </si>
  <si>
    <t>10/28/1994</t>
  </si>
  <si>
    <t>MILLENIAL HEALTH TECH</t>
  </si>
  <si>
    <t>6/26/1998</t>
  </si>
  <si>
    <t>NPCI</t>
  </si>
  <si>
    <t>10/31/1998</t>
  </si>
  <si>
    <t>CCTECH</t>
  </si>
  <si>
    <t>7/23/1995</t>
  </si>
  <si>
    <t>CONNECTWISE</t>
  </si>
  <si>
    <t>5/23/2000</t>
  </si>
  <si>
    <t>8/14/1996</t>
  </si>
  <si>
    <t>BP WEALTH</t>
  </si>
  <si>
    <t>9/15/1998</t>
  </si>
  <si>
    <t>6/19/1995</t>
  </si>
  <si>
    <t>9/29/1997</t>
  </si>
  <si>
    <t>8/23/1995</t>
  </si>
  <si>
    <t>1/26/1998</t>
  </si>
  <si>
    <t>11/28/1995</t>
  </si>
  <si>
    <t>1/14/1998</t>
  </si>
  <si>
    <t>LOGINEXT</t>
  </si>
  <si>
    <t>9/26/1996</t>
  </si>
  <si>
    <t>1/30/1995</t>
  </si>
  <si>
    <t>8/19/1996</t>
  </si>
  <si>
    <t>9/22/1996</t>
  </si>
  <si>
    <t>5/19/1997</t>
  </si>
  <si>
    <t>6/23/1995</t>
  </si>
  <si>
    <t>10/15/1997</t>
  </si>
  <si>
    <t>7/29/1994</t>
  </si>
  <si>
    <t>10/13/1997</t>
  </si>
  <si>
    <t>FUTURE GENERALI</t>
  </si>
  <si>
    <t>6/23/1999</t>
  </si>
  <si>
    <t>12/15/1998</t>
  </si>
  <si>
    <t>10/29/1996</t>
  </si>
  <si>
    <t>PANTHEON</t>
  </si>
  <si>
    <t>9/19/1996</t>
  </si>
  <si>
    <t>BDO</t>
  </si>
  <si>
    <t>2/14/2000</t>
  </si>
  <si>
    <t>11/29/1996</t>
  </si>
  <si>
    <t>6/25/1993</t>
  </si>
  <si>
    <t>2/22/1996</t>
  </si>
  <si>
    <t>TEXCLABS</t>
  </si>
  <si>
    <t>7/27/1999</t>
  </si>
  <si>
    <t>7/28/1991</t>
  </si>
  <si>
    <t>10/15/1998</t>
  </si>
  <si>
    <t>6/19/1996</t>
  </si>
  <si>
    <t>10/27/1996</t>
  </si>
  <si>
    <t>5/15/1997</t>
  </si>
  <si>
    <t>ETRM</t>
  </si>
  <si>
    <t>8/31/1999</t>
  </si>
  <si>
    <t>3/27/1996</t>
  </si>
  <si>
    <t>10/20/1996</t>
  </si>
  <si>
    <t>12/24/1997</t>
  </si>
  <si>
    <t>9/16/1997</t>
  </si>
  <si>
    <t>INTELLECT DESIGN</t>
  </si>
  <si>
    <t>6/17/1998</t>
  </si>
  <si>
    <t>7/22/1998</t>
  </si>
  <si>
    <t>11/25/1993</t>
  </si>
  <si>
    <t>6/30/1996</t>
  </si>
  <si>
    <t>12/13/1999</t>
  </si>
  <si>
    <t>7/20/1992</t>
  </si>
  <si>
    <t>KOTAK</t>
  </si>
  <si>
    <t>1/27/1996</t>
  </si>
  <si>
    <t>8/24/2000</t>
  </si>
  <si>
    <t>DIEBOLD</t>
  </si>
  <si>
    <t>3/23/1999</t>
  </si>
  <si>
    <t>NIYO SOLUTIONS</t>
  </si>
  <si>
    <t>8/20/1998</t>
  </si>
  <si>
    <t>5/26/1996</t>
  </si>
  <si>
    <t>LAMIOtherAR AVIATION</t>
  </si>
  <si>
    <t>12/30/1996</t>
  </si>
  <si>
    <t>7/17/1998</t>
  </si>
  <si>
    <t>4/15/1997</t>
  </si>
  <si>
    <t>1/28/1999</t>
  </si>
  <si>
    <t>MASTERCARD</t>
  </si>
  <si>
    <t>2/26/1993</t>
  </si>
  <si>
    <t>7/19/1997</t>
  </si>
  <si>
    <t>2/19/1998</t>
  </si>
  <si>
    <t>10/23/1997</t>
  </si>
  <si>
    <t>AEGON LIFE INSURANCE</t>
  </si>
  <si>
    <t>9/20/1997</t>
  </si>
  <si>
    <t>9/26/1998</t>
  </si>
  <si>
    <t>7/18/1997</t>
  </si>
  <si>
    <t>1/30/1994</t>
  </si>
  <si>
    <t>12/24/1984</t>
  </si>
  <si>
    <t>EZEST</t>
  </si>
  <si>
    <t>7/28/1997</t>
  </si>
  <si>
    <t>10/19/1995</t>
  </si>
  <si>
    <t>6/25/1999</t>
  </si>
  <si>
    <t>LUMIQ.AI</t>
  </si>
  <si>
    <t>6/29/1997</t>
  </si>
  <si>
    <t>9/14/1997</t>
  </si>
  <si>
    <t>2/13/1997</t>
  </si>
  <si>
    <t>7/17/1997</t>
  </si>
  <si>
    <t>8/14/1999</t>
  </si>
  <si>
    <t>2/27/1996</t>
  </si>
  <si>
    <t>3/29/1998</t>
  </si>
  <si>
    <t>DECIMAL POINT AOtherLYTICS</t>
  </si>
  <si>
    <t>5/16/1996</t>
  </si>
  <si>
    <t>AUTOMATEPI</t>
  </si>
  <si>
    <t>HERE MAPS</t>
  </si>
  <si>
    <t>10/28/1990</t>
  </si>
  <si>
    <t>5/24/1996</t>
  </si>
  <si>
    <t>ARKK SOLUTION</t>
  </si>
  <si>
    <t>9/18/1996</t>
  </si>
  <si>
    <t>SIEMENS</t>
  </si>
  <si>
    <t>5/20/1996</t>
  </si>
  <si>
    <t>11/17/1996</t>
  </si>
  <si>
    <t>TECXLABS</t>
  </si>
  <si>
    <t>7/13/1998</t>
  </si>
  <si>
    <t>11/22/1995</t>
  </si>
  <si>
    <t>1/25/1995</t>
  </si>
  <si>
    <t>7/27/1995</t>
  </si>
  <si>
    <t>3/23/1995</t>
  </si>
  <si>
    <t>10/26/1997</t>
  </si>
  <si>
    <t>3/22/1994</t>
  </si>
  <si>
    <t>9/30/1995</t>
  </si>
  <si>
    <t>THYSSENKRUPP</t>
  </si>
  <si>
    <t>9/18/2021</t>
  </si>
  <si>
    <t>10/19/1998</t>
  </si>
  <si>
    <t>tenth_percentage</t>
  </si>
  <si>
    <t>twelfth_percentage</t>
  </si>
  <si>
    <t>diploma_percentage</t>
  </si>
  <si>
    <t>graduation_percentage</t>
  </si>
  <si>
    <t>company_name</t>
  </si>
  <si>
    <t>Unkown</t>
  </si>
  <si>
    <t>NA</t>
  </si>
  <si>
    <t>20:43:16.671Z</t>
  </si>
  <si>
    <t>19:30:46.166Z</t>
  </si>
  <si>
    <t>10:21:12.246Z</t>
  </si>
  <si>
    <t>20:52:56.052Z</t>
  </si>
  <si>
    <t>18:24:34.803Z</t>
  </si>
  <si>
    <t>13:19:40.572Z</t>
  </si>
  <si>
    <t>20:17:12.964Z</t>
  </si>
  <si>
    <t>13:59:57.691Z</t>
  </si>
  <si>
    <t>11:34:15.310Z</t>
  </si>
  <si>
    <t>22:13:05.020Z</t>
  </si>
  <si>
    <t>08:57:36.196Z</t>
  </si>
  <si>
    <t>17:53:38.244Z</t>
  </si>
  <si>
    <t>19:42:54.754Z</t>
  </si>
  <si>
    <t>19:34:56.048Z</t>
  </si>
  <si>
    <t>11:20:13.683Z</t>
  </si>
  <si>
    <t>18:15:22.550Z</t>
  </si>
  <si>
    <t>21:21:53.045Z</t>
  </si>
  <si>
    <t>22:15:22.321Z</t>
  </si>
  <si>
    <t>19:28:44.432Z</t>
  </si>
  <si>
    <t>19:06:25.395Z</t>
  </si>
  <si>
    <t>01:43:08.588Z</t>
  </si>
  <si>
    <t>20:54:26.038Z</t>
  </si>
  <si>
    <t>19:55:43.375Z</t>
  </si>
  <si>
    <t>22:50:59.028Z</t>
  </si>
  <si>
    <t>14:10:06.394Z</t>
  </si>
  <si>
    <t>12:13:01.459Z</t>
  </si>
  <si>
    <t>18:54:24.034Z</t>
  </si>
  <si>
    <t>09:40:31.231Z</t>
  </si>
  <si>
    <t>20:55:16.579Z</t>
  </si>
  <si>
    <t>11:04:12.898Z</t>
  </si>
  <si>
    <t>17:11:25.238Z</t>
  </si>
  <si>
    <t>19:50:47.491Z</t>
  </si>
  <si>
    <t>12:36:11.996Z</t>
  </si>
  <si>
    <t>16:41:56.229Z</t>
  </si>
  <si>
    <t>00:50:48.915Z</t>
  </si>
  <si>
    <t>00:31:45.610Z</t>
  </si>
  <si>
    <t>17:33:40.450Z</t>
  </si>
  <si>
    <t>21:39:57.438Z</t>
  </si>
  <si>
    <t>18:24:39.736Z</t>
  </si>
  <si>
    <t>16:55:57.172Z</t>
  </si>
  <si>
    <t>23:27:02.829Z</t>
  </si>
  <si>
    <t>02:51:05.576Z</t>
  </si>
  <si>
    <t>18:46:56.981Z</t>
  </si>
  <si>
    <t>13:05:15.771Z</t>
  </si>
  <si>
    <t>21:59:46.677Z</t>
  </si>
  <si>
    <t>23:00:03.882Z</t>
  </si>
  <si>
    <t>10:10:00.887Z</t>
  </si>
  <si>
    <t>20:24:19.154Z</t>
  </si>
  <si>
    <t>16:29:41.186Z</t>
  </si>
  <si>
    <t>19:52:22.991Z</t>
  </si>
  <si>
    <t>19:24:19.565Z</t>
  </si>
  <si>
    <t>16:27:03.508Z</t>
  </si>
  <si>
    <t>23:07:51.645Z</t>
  </si>
  <si>
    <t>19:32:44.521Z</t>
  </si>
  <si>
    <t>19:05:03.755Z</t>
  </si>
  <si>
    <t>19:16:29.021Z</t>
  </si>
  <si>
    <t>22:51:43.357Z</t>
  </si>
  <si>
    <t>18:57:01.489Z</t>
  </si>
  <si>
    <t>14:48:40.436Z</t>
  </si>
  <si>
    <t>20:09:59.320Z</t>
  </si>
  <si>
    <t>20:09:16.266Z</t>
  </si>
  <si>
    <t>22:56:14.904Z</t>
  </si>
  <si>
    <t>17:30:58.571Z</t>
  </si>
  <si>
    <t>16:26:59.180Z</t>
  </si>
  <si>
    <t>19:09:33.258Z</t>
  </si>
  <si>
    <t>17:07:35.349Z</t>
  </si>
  <si>
    <t>20:48:30.852Z</t>
  </si>
  <si>
    <t>16:05:36.508Z</t>
  </si>
  <si>
    <t>12:45:05.377Z</t>
  </si>
  <si>
    <t>20:18:02.015Z</t>
  </si>
  <si>
    <t>19:56:06.667Z</t>
  </si>
  <si>
    <t>21:37:26.599Z</t>
  </si>
  <si>
    <t>21:57:43.001Z</t>
  </si>
  <si>
    <t>13:43:02.213Z</t>
  </si>
  <si>
    <t>19:46:17.870Z</t>
  </si>
  <si>
    <t>10:45:52.510Z</t>
  </si>
  <si>
    <t>18:18:39.936Z</t>
  </si>
  <si>
    <t>20:04:55.083Z</t>
  </si>
  <si>
    <t>20:51:42.705Z</t>
  </si>
  <si>
    <t>22:41:29.486Z</t>
  </si>
  <si>
    <t>18:30:05.030Z</t>
  </si>
  <si>
    <t>18:03:54.577Z</t>
  </si>
  <si>
    <t>00:31:18.531Z</t>
  </si>
  <si>
    <t>14:28:49.566Z</t>
  </si>
  <si>
    <t>11:51:04.983Z</t>
  </si>
  <si>
    <t>12:06:59.186Z</t>
  </si>
  <si>
    <t>14:32:44.349Z</t>
  </si>
  <si>
    <t>15:47:32.373Z</t>
  </si>
  <si>
    <t>19:07:41.495Z</t>
  </si>
  <si>
    <t>23:19:24.342Z</t>
  </si>
  <si>
    <t>13:13:26.337Z</t>
  </si>
  <si>
    <t>19:50:34.445Z</t>
  </si>
  <si>
    <t>08:02:38.934Z</t>
  </si>
  <si>
    <t>17:45:16.516Z</t>
  </si>
  <si>
    <t>20:15:03.826Z</t>
  </si>
  <si>
    <t>22:55:01.323Z</t>
  </si>
  <si>
    <t>17:34:54.385Z</t>
  </si>
  <si>
    <t>11:27:06.573Z</t>
  </si>
  <si>
    <t>16:17:28.922Z</t>
  </si>
  <si>
    <t>20:42:34.600Z</t>
  </si>
  <si>
    <t>18:40:15.015Z</t>
  </si>
  <si>
    <t>18:28:48.607Z</t>
  </si>
  <si>
    <t>13:34:23.177Z</t>
  </si>
  <si>
    <t>20:55:10.493Z</t>
  </si>
  <si>
    <t>00:00:03.566Z</t>
  </si>
  <si>
    <t>22:51:44.631Z</t>
  </si>
  <si>
    <t>20:35:10.714Z</t>
  </si>
  <si>
    <t>18:45:16.624Z</t>
  </si>
  <si>
    <t>16:09:23.958Z</t>
  </si>
  <si>
    <t>11:15:38.177Z</t>
  </si>
  <si>
    <t>13:22:22.264Z</t>
  </si>
  <si>
    <t>13:06:54.248Z</t>
  </si>
  <si>
    <t>14:36:45.488Z</t>
  </si>
  <si>
    <t>00:07:08.024Z</t>
  </si>
  <si>
    <t>20:51:39.211Z</t>
  </si>
  <si>
    <t>15:26:45.991Z</t>
  </si>
  <si>
    <t>20:47:20.644Z</t>
  </si>
  <si>
    <t>13:23:34.195Z</t>
  </si>
  <si>
    <t>21:20:01.020Z</t>
  </si>
  <si>
    <t>00:17:20.331Z</t>
  </si>
  <si>
    <t>14:48:47.108Z</t>
  </si>
  <si>
    <t>19:18:04.163Z</t>
  </si>
  <si>
    <t>14:03:15.972Z</t>
  </si>
  <si>
    <t>17:22:44.126Z</t>
  </si>
  <si>
    <t>12:05:54.645Z</t>
  </si>
  <si>
    <t>22:28:48.744Z</t>
  </si>
  <si>
    <t>11:25:56.558Z</t>
  </si>
  <si>
    <t>20:51:00.726Z</t>
  </si>
  <si>
    <t>21:28:59.163Z</t>
  </si>
  <si>
    <t>15:10:54.952Z</t>
  </si>
  <si>
    <t>20:40:39.408Z</t>
  </si>
  <si>
    <t>19:34:37.898Z</t>
  </si>
  <si>
    <t>17:30:47.390Z</t>
  </si>
  <si>
    <t>22:56:39.409Z</t>
  </si>
  <si>
    <t>16:09:05.142Z</t>
  </si>
  <si>
    <t>21:05:53.959Z</t>
  </si>
  <si>
    <t>22:44:24.794Z</t>
  </si>
  <si>
    <t>18:48:34.506Z</t>
  </si>
  <si>
    <t>17:41:48.420Z</t>
  </si>
  <si>
    <t>21:54:51.063Z</t>
  </si>
  <si>
    <t>12:48:35.262Z</t>
  </si>
  <si>
    <t>01:34:41.139Z</t>
  </si>
  <si>
    <t>22:16:20.704Z</t>
  </si>
  <si>
    <t>19:10:23.824Z</t>
  </si>
  <si>
    <t>22:56:04.677Z</t>
  </si>
  <si>
    <t>17:15:27.623Z</t>
  </si>
  <si>
    <t>11:40:02.237Z</t>
  </si>
  <si>
    <t>14:24:01.377Z</t>
  </si>
  <si>
    <t>16:04:15.204Z</t>
  </si>
  <si>
    <t>19:28:14.929Z</t>
  </si>
  <si>
    <t>21:39:29.436Z</t>
  </si>
  <si>
    <t>19:19:42.492Z</t>
  </si>
  <si>
    <t>13:36:18.959Z</t>
  </si>
  <si>
    <t>11:28:57.450Z</t>
  </si>
  <si>
    <t>21:14:30.377Z</t>
  </si>
  <si>
    <t>20:07:38.784Z</t>
  </si>
  <si>
    <t>22:06:39.929Z</t>
  </si>
  <si>
    <t>18:54:00.551Z</t>
  </si>
  <si>
    <t>21:27:53.633Z</t>
  </si>
  <si>
    <t>21:35:22.770Z</t>
  </si>
  <si>
    <t>22:51:49.326Z</t>
  </si>
  <si>
    <t>18:39:29.799Z</t>
  </si>
  <si>
    <t>20:00:57.867Z</t>
  </si>
  <si>
    <t>12:29:05.648Z</t>
  </si>
  <si>
    <t>22:51:44.894Z</t>
  </si>
  <si>
    <t>10:25:11.944Z</t>
  </si>
  <si>
    <t>10:05:43.201Z</t>
  </si>
  <si>
    <t>23:45:26.163Z</t>
  </si>
  <si>
    <t>22:24:01.828Z</t>
  </si>
  <si>
    <t>18:57:18.764Z</t>
  </si>
  <si>
    <t>10:39:20.306Z</t>
  </si>
  <si>
    <t>09:54:53.949Z</t>
  </si>
  <si>
    <t>19:40:05.915Z</t>
  </si>
  <si>
    <t>09:58:15.056Z</t>
  </si>
  <si>
    <t>06:01:18.813Z</t>
  </si>
  <si>
    <t>11:11:51.763Z</t>
  </si>
  <si>
    <t>22:09:21.162Z</t>
  </si>
  <si>
    <t>22:23:14.833Z</t>
  </si>
  <si>
    <t>12:17:49.622Z</t>
  </si>
  <si>
    <t>12:07:44.614Z</t>
  </si>
  <si>
    <t>20:35:15.870Z</t>
  </si>
  <si>
    <t>10:54:54.468Z</t>
  </si>
  <si>
    <t>00:17:25.962Z</t>
  </si>
  <si>
    <t>10:25:41.715Z</t>
  </si>
  <si>
    <t>12:02:51.417Z</t>
  </si>
  <si>
    <t>18:39:01.998Z</t>
  </si>
  <si>
    <t>21:36:57.169Z</t>
  </si>
  <si>
    <t>22:11:14.590Z</t>
  </si>
  <si>
    <t>19:21:41.375Z</t>
  </si>
  <si>
    <t>20:08:07.829Z</t>
  </si>
  <si>
    <t>21:27:55.749Z</t>
  </si>
  <si>
    <t>23:16:26.161Z</t>
  </si>
  <si>
    <t>11:10:36.549Z</t>
  </si>
  <si>
    <t>19:05:18.278Z</t>
  </si>
  <si>
    <t>08:22:36.470Z</t>
  </si>
  <si>
    <t>18:55:34.943Z</t>
  </si>
  <si>
    <t>12:10:38.744Z</t>
  </si>
  <si>
    <t>11:31:48.953Z</t>
  </si>
  <si>
    <t>11:44:55.845Z</t>
  </si>
  <si>
    <t>23:51:19.794Z</t>
  </si>
  <si>
    <t>20:07:26.696Z</t>
  </si>
  <si>
    <t>12:17:53.384Z</t>
  </si>
  <si>
    <t>22:16:10.311Z</t>
  </si>
  <si>
    <t>10:57:23.252Z</t>
  </si>
  <si>
    <t>22:34:55.714Z</t>
  </si>
  <si>
    <t>12:19:15.756Z</t>
  </si>
  <si>
    <t>19:19:39.051Z</t>
  </si>
  <si>
    <t>00:19:57.113Z</t>
  </si>
  <si>
    <t>12:14:21.892Z</t>
  </si>
  <si>
    <t>21:03:00.545Z</t>
  </si>
  <si>
    <t>11:48:21.291Z</t>
  </si>
  <si>
    <t>11:24:11.441Z</t>
  </si>
  <si>
    <t>11:12:32.055Z</t>
  </si>
  <si>
    <t>22:39:29.919Z</t>
  </si>
  <si>
    <t>20:18:39.550Z</t>
  </si>
  <si>
    <t>08:50:49.905Z</t>
  </si>
  <si>
    <t>20:34:28.998Z</t>
  </si>
  <si>
    <t>21:44:20.178Z</t>
  </si>
  <si>
    <t>08:28:22.953Z</t>
  </si>
  <si>
    <t>08:54:26.613Z</t>
  </si>
  <si>
    <t>22:05:17.581Z</t>
  </si>
  <si>
    <t>20:50:57.650Z</t>
  </si>
  <si>
    <t>21:22:20.330Z</t>
  </si>
  <si>
    <t>19:19:51.649Z</t>
  </si>
  <si>
    <t>12:23:13.130Z</t>
  </si>
  <si>
    <t>22:42:42.063Z</t>
  </si>
  <si>
    <t>01:48:01.422Z</t>
  </si>
  <si>
    <t>11:47:17.076Z</t>
  </si>
  <si>
    <t>23:01:18.446Z</t>
  </si>
  <si>
    <t>22:43:44.934Z</t>
  </si>
  <si>
    <t>16:09:07.782Z</t>
  </si>
  <si>
    <t>20:32:38.653Z</t>
  </si>
  <si>
    <t>22:55:03.236Z</t>
  </si>
  <si>
    <t>21:26:49.355Z</t>
  </si>
  <si>
    <t>23:24:38.457Z</t>
  </si>
  <si>
    <t>08:52:51.553Z</t>
  </si>
  <si>
    <t>17:50:49.327Z</t>
  </si>
  <si>
    <t>21:31:18.802Z</t>
  </si>
  <si>
    <t>17:54:45.199Z</t>
  </si>
  <si>
    <t>22:07:13.240Z</t>
  </si>
  <si>
    <t>23:13:16.680Z</t>
  </si>
  <si>
    <t>23:33:59.862Z</t>
  </si>
  <si>
    <t>08:19:25.099Z</t>
  </si>
  <si>
    <t>22:33:45.919Z</t>
  </si>
  <si>
    <t>20:37:06.507Z</t>
  </si>
  <si>
    <t>21:07:19.218Z</t>
  </si>
  <si>
    <t>21:25:13.697Z</t>
  </si>
  <si>
    <t>19:01:43.417Z</t>
  </si>
  <si>
    <t>23:12:07.382Z</t>
  </si>
  <si>
    <t>00:50:47.575Z</t>
  </si>
  <si>
    <t>22:42:10.409Z</t>
  </si>
  <si>
    <t>17:45:32.574Z</t>
  </si>
  <si>
    <t>02:47:34.502Z</t>
  </si>
  <si>
    <t>21:11:40.990Z</t>
  </si>
  <si>
    <t>23:25:21.093Z</t>
  </si>
  <si>
    <t>22:56:00.319Z</t>
  </si>
  <si>
    <t>22:00:51.016Z</t>
  </si>
  <si>
    <t>20:10:07.894Z</t>
  </si>
  <si>
    <t>05:23:03.180Z</t>
  </si>
  <si>
    <t>22:30:33.483Z</t>
  </si>
  <si>
    <t>22:31:09.918Z</t>
  </si>
  <si>
    <t>23:19:31.497Z</t>
  </si>
  <si>
    <t>20:40:34.283Z</t>
  </si>
  <si>
    <t>08:55:01.470Z</t>
  </si>
  <si>
    <t>19:34:08.462Z</t>
  </si>
  <si>
    <t>20:16:06.300Z</t>
  </si>
  <si>
    <t>23:02:50.791Z</t>
  </si>
  <si>
    <t>21:59:24.327Z</t>
  </si>
  <si>
    <t>12:15:28.741Z</t>
  </si>
  <si>
    <t>22:25:46.768Z</t>
  </si>
  <si>
    <t>19:58:34.432Z</t>
  </si>
  <si>
    <t>20:25:04.843Z</t>
  </si>
  <si>
    <t>20:03:59.752Z</t>
  </si>
  <si>
    <t>11:08:48.595Z</t>
  </si>
  <si>
    <t>20:40:52.528Z</t>
  </si>
  <si>
    <t>23:19:49.819Z</t>
  </si>
  <si>
    <t>20:02:03.580Z</t>
  </si>
  <si>
    <t>23:15:48.784Z</t>
  </si>
  <si>
    <t>22:08:33.446Z</t>
  </si>
  <si>
    <t>11:26:26.865Z</t>
  </si>
  <si>
    <t>21:12:12.738Z</t>
  </si>
  <si>
    <t>19:24:21.644Z</t>
  </si>
  <si>
    <t>22:50:17.862Z</t>
  </si>
  <si>
    <t>21:58:59.151Z</t>
  </si>
  <si>
    <t>20:16:19.105Z</t>
  </si>
  <si>
    <t>17:45:42.086Z</t>
  </si>
  <si>
    <t>20:31:40.795Z</t>
  </si>
  <si>
    <t>21:17:28.674Z</t>
  </si>
  <si>
    <t>20:33:04.758Z</t>
  </si>
  <si>
    <t>20:01:05.941Z</t>
  </si>
  <si>
    <t>21:41:43.325Z</t>
  </si>
  <si>
    <t>08:06:27.703Z</t>
  </si>
  <si>
    <t>20:36:08.428Z</t>
  </si>
  <si>
    <t>21:17:08.787Z</t>
  </si>
  <si>
    <t>23:07:15.904Z</t>
  </si>
  <si>
    <t>20:19:38.614Z</t>
  </si>
  <si>
    <t>20:05:37.697Z</t>
  </si>
  <si>
    <t>20:27:51.787Z</t>
  </si>
  <si>
    <t>23:45:28.774Z</t>
  </si>
  <si>
    <t>08:02:47.308Z</t>
  </si>
  <si>
    <t>09:30:07.597Z</t>
  </si>
  <si>
    <t>16:49:40.377Z</t>
  </si>
  <si>
    <t>22:21:32.432Z</t>
  </si>
  <si>
    <t>09:12:48.965Z</t>
  </si>
  <si>
    <t>21:38:30.841Z</t>
  </si>
  <si>
    <t>22:18:30.567Z</t>
  </si>
  <si>
    <t>20:00:59.060Z</t>
  </si>
  <si>
    <t>00:07:57.855Z</t>
  </si>
  <si>
    <t>19:53:49.331Z</t>
  </si>
  <si>
    <t>23:52:57.571Z</t>
  </si>
  <si>
    <t>00:00:11.330Z</t>
  </si>
  <si>
    <t>22:38:47.065Z</t>
  </si>
  <si>
    <t>20:11:32.788Z</t>
  </si>
  <si>
    <t>20:20:48.883Z</t>
  </si>
  <si>
    <t>12:54:21.316Z</t>
  </si>
  <si>
    <t>19:31:02.181Z</t>
  </si>
  <si>
    <t>16:49:09.766Z</t>
  </si>
  <si>
    <t>08:33:37.869Z</t>
  </si>
  <si>
    <t>22:19:06.947Z</t>
  </si>
  <si>
    <t>22:11:28.963Z</t>
  </si>
  <si>
    <t>23:16:21.281Z</t>
  </si>
  <si>
    <t>20:16:53.910Z</t>
  </si>
  <si>
    <t>21:21:04.022Z</t>
  </si>
  <si>
    <t>00:04:09.119Z</t>
  </si>
  <si>
    <t>10:45:25.096Z</t>
  </si>
  <si>
    <t>15:07:20.934Z</t>
  </si>
  <si>
    <t>22:38:54.473Z</t>
  </si>
  <si>
    <t>21:14:26.675Z</t>
  </si>
  <si>
    <t>22:57:15.721Z</t>
  </si>
  <si>
    <t>19:34:18.398Z</t>
  </si>
  <si>
    <t>22:33:07.979Z</t>
  </si>
  <si>
    <t>23:19:49.804Z</t>
  </si>
  <si>
    <t>14:26:33.705Z</t>
  </si>
  <si>
    <t>22:38:50.306Z</t>
  </si>
  <si>
    <t>17:35:42.507Z</t>
  </si>
  <si>
    <t>22:38:33.980Z</t>
  </si>
  <si>
    <t>20:59:59.422Z</t>
  </si>
  <si>
    <t>23:20:41.165Z</t>
  </si>
  <si>
    <t>22:08:04.973Z</t>
  </si>
  <si>
    <t>18:44:33.117Z</t>
  </si>
  <si>
    <t>07:28:26.865Z</t>
  </si>
  <si>
    <t>18:50:18.889Z</t>
  </si>
  <si>
    <t>19:23:21.519Z</t>
  </si>
  <si>
    <t>10:09:50.546Z</t>
  </si>
  <si>
    <t>15:01:55.510Z</t>
  </si>
  <si>
    <t>19:58:50.443Z</t>
  </si>
  <si>
    <t>07:51:55.698Z</t>
  </si>
  <si>
    <t>16:56:49.238Z</t>
  </si>
  <si>
    <t>14:15:14.166Z</t>
  </si>
  <si>
    <t>19:49:31.512Z</t>
  </si>
  <si>
    <t>08:27:50.182Z</t>
  </si>
  <si>
    <t>23:21:28.687Z</t>
  </si>
  <si>
    <t>22:39:29.874Z</t>
  </si>
  <si>
    <t>01:49:34.585Z</t>
  </si>
  <si>
    <t>01:41:09.504Z</t>
  </si>
  <si>
    <t>19:46:21.164Z</t>
  </si>
  <si>
    <t>09:19:23.148Z</t>
  </si>
  <si>
    <t>08:15:06.631Z</t>
  </si>
  <si>
    <t>20:26:10.837Z</t>
  </si>
  <si>
    <t>22:39:54.111Z</t>
  </si>
  <si>
    <t>13:22:52.099Z</t>
  </si>
  <si>
    <t>21:43:54.806Z</t>
  </si>
  <si>
    <t>16:08:43.366Z</t>
  </si>
  <si>
    <t>16:01:41.274Z</t>
  </si>
  <si>
    <t>18:28:28.133Z</t>
  </si>
  <si>
    <t>20:56:06.558Z</t>
  </si>
  <si>
    <t>23:09:10.571Z</t>
  </si>
  <si>
    <t>21:45:25.171Z</t>
  </si>
  <si>
    <t>03:20:02.831Z</t>
  </si>
  <si>
    <t>09:00:20.993Z</t>
  </si>
  <si>
    <t>09:24:05.593Z</t>
  </si>
  <si>
    <t>01:20:47.338Z</t>
  </si>
  <si>
    <t>21:31:23.978Z</t>
  </si>
  <si>
    <t>13:27:09.729Z</t>
  </si>
  <si>
    <t>20:26:20.954Z</t>
  </si>
  <si>
    <t>21:22:23.236Z</t>
  </si>
  <si>
    <t>08:45:05.273Z</t>
  </si>
  <si>
    <t>00:31:13.929Z</t>
  </si>
  <si>
    <t>21:37:49.276Z</t>
  </si>
  <si>
    <t>19:23:24.774Z</t>
  </si>
  <si>
    <t>12:04:07.838Z</t>
  </si>
  <si>
    <t>23:58:50.978Z</t>
  </si>
  <si>
    <t>14:46:50.278Z</t>
  </si>
  <si>
    <t>19:37:51.519Z</t>
  </si>
  <si>
    <t>15:20:57.175Z</t>
  </si>
  <si>
    <t>09:50:33.658Z</t>
  </si>
  <si>
    <t>22:56:12.295Z</t>
  </si>
  <si>
    <t>18:24:02.178Z</t>
  </si>
  <si>
    <t>16:10:18.918Z</t>
  </si>
  <si>
    <t>21:22:27.172Z</t>
  </si>
  <si>
    <t>11:42:36.903Z</t>
  </si>
  <si>
    <t>22:37:19.839Z</t>
  </si>
  <si>
    <t>15:33:12.533Z</t>
  </si>
  <si>
    <t>22:52:15.966Z</t>
  </si>
  <si>
    <t>19:25:59.029Z</t>
  </si>
  <si>
    <t>14:56:25.548Z</t>
  </si>
  <si>
    <t>14:52:20.422Z</t>
  </si>
  <si>
    <t>00:11:11.032Z</t>
  </si>
  <si>
    <t>12:29:37.487Z</t>
  </si>
  <si>
    <t>11:57:46.465Z</t>
  </si>
  <si>
    <t>14:55:36.524Z</t>
  </si>
  <si>
    <t>15:43:39.131Z</t>
  </si>
  <si>
    <t>11:28:05.191Z</t>
  </si>
  <si>
    <t>21:02:29.865Z</t>
  </si>
  <si>
    <t>15:21:16.778Z</t>
  </si>
  <si>
    <t>18:51:48.997Z</t>
  </si>
  <si>
    <t>21:21:56.343Z</t>
  </si>
  <si>
    <t>15:17:38.814Z</t>
  </si>
  <si>
    <t>16:02:12.025Z</t>
  </si>
  <si>
    <t>13:40:13.780Z</t>
  </si>
  <si>
    <t>15:16:13.459Z</t>
  </si>
  <si>
    <t>22:14:05.268Z</t>
  </si>
  <si>
    <t>23:10:41.450Z</t>
  </si>
  <si>
    <t>23:02:29.301Z</t>
  </si>
  <si>
    <t>22:23:48.449Z</t>
  </si>
  <si>
    <t>21:51:03.656Z</t>
  </si>
  <si>
    <t>20:46:26.720Z</t>
  </si>
  <si>
    <t>00:50:46.734Z</t>
  </si>
  <si>
    <t>12:57:51.300Z</t>
  </si>
  <si>
    <t>15:36:14.623Z</t>
  </si>
  <si>
    <t>15:42:08.592Z</t>
  </si>
  <si>
    <t>15:11:01.552Z</t>
  </si>
  <si>
    <t>23:21:33.952Z</t>
  </si>
  <si>
    <t>21:59:59.107Z</t>
  </si>
  <si>
    <t>15:17:06.585Z</t>
  </si>
  <si>
    <t>20:17:13.997Z</t>
  </si>
  <si>
    <t>20:44:57.178Z</t>
  </si>
  <si>
    <t>19:41:41.131Z</t>
  </si>
  <si>
    <t>19:54:51.184Z</t>
  </si>
  <si>
    <t>14:12:38.335Z</t>
  </si>
  <si>
    <t>20:01:53.074Z</t>
  </si>
  <si>
    <t>21:50:23.692Z</t>
  </si>
  <si>
    <t>23:36:33.184Z</t>
  </si>
  <si>
    <t>09:43:46.039Z</t>
  </si>
  <si>
    <t>17:52:08.197Z</t>
  </si>
  <si>
    <t>19:45:22.912Z</t>
  </si>
  <si>
    <t>14:59:36.705Z</t>
  </si>
  <si>
    <t>11:01:47.039Z</t>
  </si>
  <si>
    <t>12:16:23.314Z</t>
  </si>
  <si>
    <t>22:50:56.794Z</t>
  </si>
  <si>
    <t>05:35:21.359Z</t>
  </si>
  <si>
    <t>21:46:52.683Z</t>
  </si>
  <si>
    <t>12:47:21.342Z</t>
  </si>
  <si>
    <t>23:17:29.626Z</t>
  </si>
  <si>
    <t>13:28:58.341Z</t>
  </si>
  <si>
    <t>15:27:54.768Z</t>
  </si>
  <si>
    <t>10:23:03.520Z</t>
  </si>
  <si>
    <t>22:30:02.746Z</t>
  </si>
  <si>
    <t>19:50:56.667Z</t>
  </si>
  <si>
    <t>14:06:31.728Z</t>
  </si>
  <si>
    <t>23:03:30.465Z</t>
  </si>
  <si>
    <t>21:40:14.454Z</t>
  </si>
  <si>
    <t>14:29:50.074Z</t>
  </si>
  <si>
    <t>12:30:22.836Z</t>
  </si>
  <si>
    <t>23:00:28.110Z</t>
  </si>
  <si>
    <t>10:21:39.171Z</t>
  </si>
  <si>
    <t>19:53:31.836Z</t>
  </si>
  <si>
    <t>22:13:14.758Z</t>
  </si>
  <si>
    <t>08:41:25.407Z</t>
  </si>
  <si>
    <t>11:00:47.461Z</t>
  </si>
  <si>
    <t>23:35:50.366Z</t>
  </si>
  <si>
    <t>13:23:49.978Z</t>
  </si>
  <si>
    <t>17:11:47.852Z</t>
  </si>
  <si>
    <t>10:42:21.955Z</t>
  </si>
  <si>
    <t>20:16:33.179Z</t>
  </si>
  <si>
    <t>12:47:18.843Z</t>
  </si>
  <si>
    <t>10:51:22.367Z</t>
  </si>
  <si>
    <t>22:58:18.121Z</t>
  </si>
  <si>
    <t>00:14:26.289Z</t>
  </si>
  <si>
    <t>01:00:39.248Z</t>
  </si>
  <si>
    <t>20:51:13.328Z</t>
  </si>
  <si>
    <t>06:32:20.816Z</t>
  </si>
  <si>
    <t>12:48:40.172Z</t>
  </si>
  <si>
    <t>23:51:22.237Z</t>
  </si>
  <si>
    <t>22:29:28.683Z</t>
  </si>
  <si>
    <t>23:25:56.495Z</t>
  </si>
  <si>
    <t>15:54:46.424Z</t>
  </si>
  <si>
    <t>22:57:05.572Z</t>
  </si>
  <si>
    <t>13:31:38.608Z</t>
  </si>
  <si>
    <t>19:07:25.563Z</t>
  </si>
  <si>
    <t>13:41:24.720Z</t>
  </si>
  <si>
    <t>00:10:08.147Z</t>
  </si>
  <si>
    <t>17:46:55.508Z</t>
  </si>
  <si>
    <t>11:46:13.858Z</t>
  </si>
  <si>
    <t>00:08:56.222Z</t>
  </si>
  <si>
    <t>13:12:09.437Z</t>
  </si>
  <si>
    <t>00:37:22.935Z</t>
  </si>
  <si>
    <t>12:18:40.079Z</t>
  </si>
  <si>
    <t>23:00:50.965Z</t>
  </si>
  <si>
    <t>10:15:20.709Z</t>
  </si>
  <si>
    <t>13:37:21.235Z</t>
  </si>
  <si>
    <t>23:53:25.645Z</t>
  </si>
  <si>
    <t>21:55:51.913Z</t>
  </si>
  <si>
    <t>11:38:05.386Z</t>
  </si>
  <si>
    <t>22:21:26.499Z</t>
  </si>
  <si>
    <t>21:33:56.754Z</t>
  </si>
  <si>
    <t>22:42:40.101Z</t>
  </si>
  <si>
    <t>20:18:53.845Z</t>
  </si>
  <si>
    <t>00:21:48.682Z</t>
  </si>
  <si>
    <t>16:26:48.776Z</t>
  </si>
  <si>
    <t>15:19:44.891Z</t>
  </si>
  <si>
    <t>22:18:35.159Z</t>
  </si>
  <si>
    <t>00:10:08.515Z</t>
  </si>
  <si>
    <t>16:45:41.385Z</t>
  </si>
  <si>
    <t>10:13:05.940Z</t>
  </si>
  <si>
    <t>22:55:56.156Z</t>
  </si>
  <si>
    <t>00:08:45.737Z</t>
  </si>
  <si>
    <t>20:29:30.895Z</t>
  </si>
  <si>
    <t>20:00:52.272Z</t>
  </si>
  <si>
    <t>20:11:58.736Z</t>
  </si>
  <si>
    <t>10:58:34.658Z</t>
  </si>
  <si>
    <t>13:24:35.448Z</t>
  </si>
  <si>
    <t>20:01:13.593Z</t>
  </si>
  <si>
    <t>14:05:36.727Z</t>
  </si>
  <si>
    <t>18:48:25.503Z</t>
  </si>
  <si>
    <t>20:20:25.158Z</t>
  </si>
  <si>
    <t>10:27:33.262Z</t>
  </si>
  <si>
    <t>22:53:34.469Z</t>
  </si>
  <si>
    <t>10:44:18.520Z</t>
  </si>
  <si>
    <t>21:32:35.378Z</t>
  </si>
  <si>
    <t>19:39:11.835Z</t>
  </si>
  <si>
    <t>10:43:44.228Z</t>
  </si>
  <si>
    <t>14:07:26.595Z</t>
  </si>
  <si>
    <t>15:47:24.628Z</t>
  </si>
  <si>
    <t>23:54:00.391Z</t>
  </si>
  <si>
    <t>14:06:26.230Z</t>
  </si>
  <si>
    <t>22:01:15.566Z</t>
  </si>
  <si>
    <t>20:28:59.434Z</t>
  </si>
  <si>
    <t>14:38:20.424Z</t>
  </si>
  <si>
    <t>14:06:19.165Z</t>
  </si>
  <si>
    <t>21:53:07.996Z</t>
  </si>
  <si>
    <t>16:41:03.666Z</t>
  </si>
  <si>
    <t>23:02:57.457Z</t>
  </si>
  <si>
    <t>08:05:15.290Z</t>
  </si>
  <si>
    <t>21:53:17.217Z</t>
  </si>
  <si>
    <t>11:02:44.319Z</t>
  </si>
  <si>
    <t>13:42:43.121Z</t>
  </si>
  <si>
    <t>18:20:11.884Z</t>
  </si>
  <si>
    <t>18:10:17.086Z</t>
  </si>
  <si>
    <t>20:52:03.124Z</t>
  </si>
  <si>
    <t>21:46:09.043Z</t>
  </si>
  <si>
    <t>06:47:32.648Z</t>
  </si>
  <si>
    <t>11:03:28.583Z</t>
  </si>
  <si>
    <t>15:36:28.549Z</t>
  </si>
  <si>
    <t>10:33:11.387Z</t>
  </si>
  <si>
    <t>21:02:27.896Z</t>
  </si>
  <si>
    <t>08:21:10.263Z</t>
  </si>
  <si>
    <t>20:57:48.849Z</t>
  </si>
  <si>
    <t>11:17:28.796Z</t>
  </si>
  <si>
    <t>18:51:58.620Z</t>
  </si>
  <si>
    <t>18:24:01.014Z</t>
  </si>
  <si>
    <t>18:38:38.542Z</t>
  </si>
  <si>
    <t>21:22:46.047Z</t>
  </si>
  <si>
    <t>18:50:44.262Z</t>
  </si>
  <si>
    <t>23:34:18.703Z</t>
  </si>
  <si>
    <t>20:00:44.195Z</t>
  </si>
  <si>
    <t>23:14:33.122Z</t>
  </si>
  <si>
    <t>21:42:12.888Z</t>
  </si>
  <si>
    <t>16:58:21.283Z</t>
  </si>
  <si>
    <t>17:53:50.781Z</t>
  </si>
  <si>
    <t>15:07:32.976Z</t>
  </si>
  <si>
    <t>21:51:15.265Z</t>
  </si>
  <si>
    <t>18:00:47.163Z</t>
  </si>
  <si>
    <t>12:32:23.630Z</t>
  </si>
  <si>
    <t>17:52:41.693Z</t>
  </si>
  <si>
    <t>23:23:01.538Z</t>
  </si>
  <si>
    <t>19:30:13.837Z</t>
  </si>
  <si>
    <t>15:11:26.942Z</t>
  </si>
  <si>
    <t>11:34:30.087Z</t>
  </si>
  <si>
    <t>17:31:26.874Z</t>
  </si>
  <si>
    <t>19:30:35.878Z</t>
  </si>
  <si>
    <t>17:27:58.454Z</t>
  </si>
  <si>
    <t>00:19:04.080Z</t>
  </si>
  <si>
    <t>19:36:14.925Z</t>
  </si>
  <si>
    <t>22:51:44.796Z</t>
  </si>
  <si>
    <t>11:04:02.940Z</t>
  </si>
  <si>
    <t>12:20:44.488Z</t>
  </si>
  <si>
    <t>15:58:46.930Z</t>
  </si>
  <si>
    <t>07:03:40.005Z</t>
  </si>
  <si>
    <t>01:08:28.554Z</t>
  </si>
  <si>
    <t>22:56:06.260Z</t>
  </si>
  <si>
    <t>19:52:32.184Z</t>
  </si>
  <si>
    <t>23:47:33.556Z</t>
  </si>
  <si>
    <t>11:34:28.424Z</t>
  </si>
  <si>
    <t>12:21:25.473Z</t>
  </si>
  <si>
    <t>00:10:52.050Z</t>
  </si>
  <si>
    <t>15:39:25.114Z</t>
  </si>
  <si>
    <t>19:49:29.514Z</t>
  </si>
  <si>
    <t>10:57:47.631Z</t>
  </si>
  <si>
    <t>22:13:50.466Z</t>
  </si>
  <si>
    <t>21:41:54.339Z</t>
  </si>
  <si>
    <t>21:54:45.428Z</t>
  </si>
  <si>
    <t>08:04:52.297Z</t>
  </si>
  <si>
    <t>16:17:26.139Z</t>
  </si>
  <si>
    <t>00:27:55.086Z</t>
  </si>
  <si>
    <t>13:55:12.511Z</t>
  </si>
  <si>
    <t>18:18:00.174Z</t>
  </si>
  <si>
    <t>15:51:38.152Z</t>
  </si>
  <si>
    <t>18:41:49.071Z</t>
  </si>
  <si>
    <t>12:45:09.845Z</t>
  </si>
  <si>
    <t>13:06:50.796Z</t>
  </si>
  <si>
    <t>23:06:27.924Z</t>
  </si>
  <si>
    <t>18:34:00.484Z</t>
  </si>
  <si>
    <t>18:56:37.286Z</t>
  </si>
  <si>
    <t>19:43:59.087Z</t>
  </si>
  <si>
    <t>16:15:13.737Z</t>
  </si>
  <si>
    <t>20:30:43.576Z</t>
  </si>
  <si>
    <t>21:54:55.299Z</t>
  </si>
  <si>
    <t>11:07:15.901Z</t>
  </si>
  <si>
    <t>12:34:05.522Z</t>
  </si>
  <si>
    <t>10:32:42.370Z</t>
  </si>
  <si>
    <t>19:06:50.746Z</t>
  </si>
  <si>
    <t>19:44:02.704Z</t>
  </si>
  <si>
    <t>09:20:03.216Z</t>
  </si>
  <si>
    <t>15:33:07.718Z</t>
  </si>
  <si>
    <t>15:40:35.374Z</t>
  </si>
  <si>
    <t>13:01:55.362Z</t>
  </si>
  <si>
    <t>14:12:58.968Z</t>
  </si>
  <si>
    <t>10:03:37.816Z</t>
  </si>
  <si>
    <t>19:31:32.910Z</t>
  </si>
  <si>
    <t>19:00:34.790Z</t>
  </si>
  <si>
    <t>19:06:49.205Z</t>
  </si>
  <si>
    <t>12:13:27.569Z</t>
  </si>
  <si>
    <t>19:46:21.429Z</t>
  </si>
  <si>
    <t>08:01:40.229Z</t>
  </si>
  <si>
    <t>23:41:27.089Z</t>
  </si>
  <si>
    <t>15:01:19.005Z</t>
  </si>
  <si>
    <t>17:59:16.273Z</t>
  </si>
  <si>
    <t>20:58:27.449Z</t>
  </si>
  <si>
    <t>16:31:41.637Z</t>
  </si>
  <si>
    <t>16:11:55.501Z</t>
  </si>
  <si>
    <t>12:19:21.766Z</t>
  </si>
  <si>
    <t>12:14:58.303Z</t>
  </si>
  <si>
    <t>09:55:39.295Z</t>
  </si>
  <si>
    <t>17:13:07.930Z</t>
  </si>
  <si>
    <t>18:54:26.744Z</t>
  </si>
  <si>
    <t>23:11:27.965Z</t>
  </si>
  <si>
    <t>08:12:03.837Z</t>
  </si>
  <si>
    <t>20:29:03.823Z</t>
  </si>
  <si>
    <t>15:40:51.722Z</t>
  </si>
  <si>
    <t>02:04:38.923Z</t>
  </si>
  <si>
    <t>20:29:07.403Z</t>
  </si>
  <si>
    <t>17:33:19.253Z</t>
  </si>
  <si>
    <t>22:12:08.186Z</t>
  </si>
  <si>
    <t>23:23:06.450Z</t>
  </si>
  <si>
    <t>17:38:30.468Z</t>
  </si>
  <si>
    <t>22:49:09.142Z</t>
  </si>
  <si>
    <t>13:16:13.508Z</t>
  </si>
  <si>
    <t>12:38:48.608Z</t>
  </si>
  <si>
    <t>22:37:02.043Z</t>
  </si>
  <si>
    <t>12:30:41.801Z</t>
  </si>
  <si>
    <t>13:30:28.148Z</t>
  </si>
  <si>
    <t>20:29:54.243Z</t>
  </si>
  <si>
    <t>22:14:28.469Z</t>
  </si>
  <si>
    <t>23:41:04.080Z</t>
  </si>
  <si>
    <t>18:56:19.656Z</t>
  </si>
  <si>
    <t>15:04:51.658Z</t>
  </si>
  <si>
    <t>17:32:49.628Z</t>
  </si>
  <si>
    <t>10:16:54.678Z</t>
  </si>
  <si>
    <t>09:08:53.031Z</t>
  </si>
  <si>
    <t>22:46:41.672Z</t>
  </si>
  <si>
    <t>16:56:49.117Z</t>
  </si>
  <si>
    <t>16:46:50.080Z</t>
  </si>
  <si>
    <t>22:05:11.557Z</t>
  </si>
  <si>
    <t>19:30:16.499Z</t>
  </si>
  <si>
    <t>17:02:06.776Z</t>
  </si>
  <si>
    <t>22:55:39.195Z</t>
  </si>
  <si>
    <t>15:47:43.478Z</t>
  </si>
  <si>
    <t>13:24:21.569Z</t>
  </si>
  <si>
    <t>14:14:21.347Z</t>
  </si>
  <si>
    <t>16:56:34.035Z</t>
  </si>
  <si>
    <t>14:17:39.305Z</t>
  </si>
  <si>
    <t>10:57:20.106Z</t>
  </si>
  <si>
    <t>14:16:55.165Z</t>
  </si>
  <si>
    <t>18:20:24.678Z</t>
  </si>
  <si>
    <t>23:25:47.735Z</t>
  </si>
  <si>
    <t>21:51:29.979Z</t>
  </si>
  <si>
    <t>17:31:39.561Z</t>
  </si>
  <si>
    <t>19:00:36.781Z</t>
  </si>
  <si>
    <t>14:34:07.244Z</t>
  </si>
  <si>
    <t>23:53:30.822Z</t>
  </si>
  <si>
    <t>21:28:03.811Z</t>
  </si>
  <si>
    <t>18:35:19.857Z</t>
  </si>
  <si>
    <t>09:47:42.375Z</t>
  </si>
  <si>
    <t>18:14:25.161Z</t>
  </si>
  <si>
    <t>09:15:23.267Z</t>
  </si>
  <si>
    <t>23:26:23.201Z</t>
  </si>
  <si>
    <t>00:48:06.328Z</t>
  </si>
  <si>
    <t>19:46:39.803Z</t>
  </si>
  <si>
    <t>01:35:07.837Z</t>
  </si>
  <si>
    <t>13:42:00.729Z</t>
  </si>
  <si>
    <t>19:37:38.029Z</t>
  </si>
  <si>
    <t>16:19:28.765Z</t>
  </si>
  <si>
    <t>16:11:49.988Z</t>
  </si>
  <si>
    <t>19:35:42.321Z</t>
  </si>
  <si>
    <t>07:55:35.471Z</t>
  </si>
  <si>
    <t>18:39:36.877Z</t>
  </si>
  <si>
    <t>11:58:33.477Z</t>
  </si>
  <si>
    <t>19:06:58.965Z</t>
  </si>
  <si>
    <t>11:32:17.564Z</t>
  </si>
  <si>
    <t>11:37:09.178Z</t>
  </si>
  <si>
    <t>16:40:01.765Z</t>
  </si>
  <si>
    <t>20:16:44.007Z</t>
  </si>
  <si>
    <t>10:17:12.660Z</t>
  </si>
  <si>
    <t>16:33:23.378Z</t>
  </si>
  <si>
    <t>14:41:25.720Z</t>
  </si>
  <si>
    <t>16:57:41.605Z</t>
  </si>
  <si>
    <t>21:15:47.344Z</t>
  </si>
  <si>
    <t>23:56:00.784Z</t>
  </si>
  <si>
    <t>15:52:02.455Z</t>
  </si>
  <si>
    <t>09:54:25.669Z</t>
  </si>
  <si>
    <t>17:46:32.497Z</t>
  </si>
  <si>
    <t>19:11:43.863Z</t>
  </si>
  <si>
    <t>12:40:02.872Z</t>
  </si>
  <si>
    <t>14:03:53.565Z</t>
  </si>
  <si>
    <t>07:49:42.662Z</t>
  </si>
  <si>
    <t>19:36:13.235Z</t>
  </si>
  <si>
    <t>16:08:08.479Z</t>
  </si>
  <si>
    <t>07:38:44.661Z</t>
  </si>
  <si>
    <t>15:58:29.397Z</t>
  </si>
  <si>
    <t>16:18:52.817Z</t>
  </si>
  <si>
    <t>17:13:24.122Z</t>
  </si>
  <si>
    <t>17:15:42.851Z</t>
  </si>
  <si>
    <t>16:52:08.756Z</t>
  </si>
  <si>
    <t>15:58:21.503Z</t>
  </si>
  <si>
    <t>10:59:13.180Z</t>
  </si>
  <si>
    <t>16:21:48.584Z</t>
  </si>
  <si>
    <t>00:16:43.685Z</t>
  </si>
  <si>
    <t>17:04:21.147Z</t>
  </si>
  <si>
    <t>20:28:18.867Z</t>
  </si>
  <si>
    <t>17:42:20.200Z</t>
  </si>
  <si>
    <t>17:08:00.575Z</t>
  </si>
  <si>
    <t>23:02:57.156Z</t>
  </si>
  <si>
    <t>15:55:04.244Z</t>
  </si>
  <si>
    <t>21:25:29.149Z</t>
  </si>
  <si>
    <t>19:33:49.750Z</t>
  </si>
  <si>
    <t>00:40:42.904Z</t>
  </si>
  <si>
    <t>18:58:48.640Z</t>
  </si>
  <si>
    <t>20:32:40.251Z</t>
  </si>
  <si>
    <t>19:39:15.881Z</t>
  </si>
  <si>
    <t>20:54:04.586Z</t>
  </si>
  <si>
    <t>15:33:36.405Z</t>
  </si>
  <si>
    <t>15:25:00.320Z</t>
  </si>
  <si>
    <t>18:39:02.819Z</t>
  </si>
  <si>
    <t>18:16:47.722Z</t>
  </si>
  <si>
    <t>17:08:11.923Z</t>
  </si>
  <si>
    <t>00:33:53.786Z</t>
  </si>
  <si>
    <t>19:35:22.243Z</t>
  </si>
  <si>
    <t>23:55:21.680Z</t>
  </si>
  <si>
    <t>10:57:52.256Z</t>
  </si>
  <si>
    <t>11:00:11.572Z</t>
  </si>
  <si>
    <t>22:03:03.169Z</t>
  </si>
  <si>
    <t>16:04:49.985Z</t>
  </si>
  <si>
    <t>16:19:22.120Z</t>
  </si>
  <si>
    <t>22:08:36.869Z</t>
  </si>
  <si>
    <t>15:07:02.038Z</t>
  </si>
  <si>
    <t>19:02:53.644Z</t>
  </si>
  <si>
    <t>17:58:50.815Z</t>
  </si>
  <si>
    <t>16:04:33.976Z</t>
  </si>
  <si>
    <t>16:09:11.711Z</t>
  </si>
  <si>
    <t>17:26:11.527Z</t>
  </si>
  <si>
    <t>15:37:52.807Z</t>
  </si>
  <si>
    <t>13:53:21.368Z</t>
  </si>
  <si>
    <t>15:18:21.635Z</t>
  </si>
  <si>
    <t>22:57:55.015Z</t>
  </si>
  <si>
    <t>17:05:02.543Z</t>
  </si>
  <si>
    <t>19:04:02.824Z</t>
  </si>
  <si>
    <t>15:44:09.064Z</t>
  </si>
  <si>
    <t>14:56:59.934Z</t>
  </si>
  <si>
    <t>21:43:18.626Z</t>
  </si>
  <si>
    <t>18:19:16.341Z</t>
  </si>
  <si>
    <t>17:32:02.545Z</t>
  </si>
  <si>
    <t>19:00:05.659Z</t>
  </si>
  <si>
    <t>15:23:19.028Z</t>
  </si>
  <si>
    <t>18:13:02.417Z</t>
  </si>
  <si>
    <t>16:59:53.635Z</t>
  </si>
  <si>
    <t>15:14:49.078Z</t>
  </si>
  <si>
    <t>16:57:52.956Z</t>
  </si>
  <si>
    <t>17:25:18.903Z</t>
  </si>
  <si>
    <t>15:10:19.119Z</t>
  </si>
  <si>
    <t>17:59:24.304Z</t>
  </si>
  <si>
    <t>13:56:19.262Z</t>
  </si>
  <si>
    <t>18:18:17.888Z</t>
  </si>
  <si>
    <t>00:22:26.109Z</t>
  </si>
  <si>
    <t>13:49:09.220Z</t>
  </si>
  <si>
    <t>18:19:07.187Z</t>
  </si>
  <si>
    <t>14:54:50.407Z</t>
  </si>
  <si>
    <t>16:28:28.450Z</t>
  </si>
  <si>
    <t>19:03:27.461Z</t>
  </si>
  <si>
    <t>15:17:12.915Z</t>
  </si>
  <si>
    <t>15:29:11.346Z</t>
  </si>
  <si>
    <t>15:38:09.471Z</t>
  </si>
  <si>
    <t>16:17:50.563Z</t>
  </si>
  <si>
    <t>16:58:37.141Z</t>
  </si>
  <si>
    <t>17:45:31.035Z</t>
  </si>
  <si>
    <t>19:53:55.044Z</t>
  </si>
  <si>
    <t>16:41:15.661Z</t>
  </si>
  <si>
    <t>17:42:57.913Z</t>
  </si>
  <si>
    <t>15:18:36.281Z</t>
  </si>
  <si>
    <t>17:15:58.887Z</t>
  </si>
  <si>
    <t>17:13:50.753Z</t>
  </si>
  <si>
    <t>17:41:11.423Z</t>
  </si>
  <si>
    <t>20:25:40.440Z</t>
  </si>
  <si>
    <t>19:01:08.030Z</t>
  </si>
  <si>
    <t>14:49:43.271Z</t>
  </si>
  <si>
    <t>16:22:35.201Z</t>
  </si>
  <si>
    <t>15:39:26.758Z</t>
  </si>
  <si>
    <t>15:47:30.604Z</t>
  </si>
  <si>
    <t>16:34:12.199Z</t>
  </si>
  <si>
    <t>20:14:49.746Z</t>
  </si>
  <si>
    <t>15:43:36.989Z</t>
  </si>
  <si>
    <t>13:23:54.667Z</t>
  </si>
  <si>
    <t>23:22:27.920Z</t>
  </si>
  <si>
    <t>14:55:17.276Z</t>
  </si>
  <si>
    <t>15:14:34.425Z</t>
  </si>
  <si>
    <t>08:37:43.774Z</t>
  </si>
  <si>
    <t>20:26:01.120Z</t>
  </si>
  <si>
    <t>15:13:48.811Z</t>
  </si>
  <si>
    <t>15:13:54.327Z</t>
  </si>
  <si>
    <t>20:30:26.899Z</t>
  </si>
  <si>
    <t>16:45:21.922Z</t>
  </si>
  <si>
    <t>17:01:58.997Z</t>
  </si>
  <si>
    <t>18:38:51.620Z</t>
  </si>
  <si>
    <t>18:21:32.782Z</t>
  </si>
  <si>
    <t>21:25:03.313Z</t>
  </si>
  <si>
    <t>15:24:34.776Z</t>
  </si>
  <si>
    <t>10:03:05.799Z</t>
  </si>
  <si>
    <t>22:30:01.872Z</t>
  </si>
  <si>
    <t>19:17:42.505Z</t>
  </si>
  <si>
    <t>16:51:33.581Z</t>
  </si>
  <si>
    <t>15:47:39.522Z</t>
  </si>
  <si>
    <t>21:43:14.922Z</t>
  </si>
  <si>
    <t>18:42:50.498Z</t>
  </si>
  <si>
    <t>19:04:13.497Z</t>
  </si>
  <si>
    <t>14:54:27.462Z</t>
  </si>
  <si>
    <t>18:15:32.914Z</t>
  </si>
  <si>
    <t>15:31:58.965Z</t>
  </si>
  <si>
    <t>20:53:22.529Z</t>
  </si>
  <si>
    <t>16:39:52.410Z</t>
  </si>
  <si>
    <t>17:10:04.254Z</t>
  </si>
  <si>
    <t>17:31:40.576Z</t>
  </si>
  <si>
    <t>14:03:03.972Z</t>
  </si>
  <si>
    <t>15:26:04.535Z</t>
  </si>
  <si>
    <t>13:30:25.932Z</t>
  </si>
  <si>
    <t>16:15:21.741Z</t>
  </si>
  <si>
    <t>12:48:05.109Z</t>
  </si>
  <si>
    <t>15:31:07.338Z</t>
  </si>
  <si>
    <t>17:04:07.663Z</t>
  </si>
  <si>
    <t>18:32:00.123Z</t>
  </si>
  <si>
    <t>17:09:05.957Z</t>
  </si>
  <si>
    <t>14:36:38.796Z</t>
  </si>
  <si>
    <t>10:53:04.347Z</t>
  </si>
  <si>
    <t>16:30:20.710Z</t>
  </si>
  <si>
    <t>12:41:15.686Z</t>
  </si>
  <si>
    <t>16:32:15.309Z</t>
  </si>
  <si>
    <t>14:39:26.464Z</t>
  </si>
  <si>
    <t>11:12:38.515Z</t>
  </si>
  <si>
    <t>13:29:31.826Z</t>
  </si>
  <si>
    <t>11:34:03.611Z</t>
  </si>
  <si>
    <t>17:55:44.671Z</t>
  </si>
  <si>
    <t>23:26:37.155Z</t>
  </si>
  <si>
    <t>16:40:29.408Z</t>
  </si>
  <si>
    <t>16:06:40.439Z</t>
  </si>
  <si>
    <t>08:15:16.553Z</t>
  </si>
  <si>
    <t>16:58:08.963Z</t>
  </si>
  <si>
    <t>22:50:52.986Z</t>
  </si>
  <si>
    <t>11:21:40.562Z</t>
  </si>
  <si>
    <t>16:14:03.363Z</t>
  </si>
  <si>
    <t>15:37:28.587Z</t>
  </si>
  <si>
    <t>16:26:24.626Z</t>
  </si>
  <si>
    <t>17:32:05.824Z</t>
  </si>
  <si>
    <t>21:26:33.796Z</t>
  </si>
  <si>
    <t>19:22:07.119Z</t>
  </si>
  <si>
    <t>16:25:37.082Z</t>
  </si>
  <si>
    <t>14:26:41.191Z</t>
  </si>
  <si>
    <t>23:31:34.728Z</t>
  </si>
  <si>
    <t>22:07:51.756Z</t>
  </si>
  <si>
    <t>14:24:23.981Z</t>
  </si>
  <si>
    <t>13:35:12.118Z</t>
  </si>
  <si>
    <t>15:38:29.188Z</t>
  </si>
  <si>
    <t>16:26:51.669Z</t>
  </si>
  <si>
    <t>17:23:50.675Z</t>
  </si>
  <si>
    <t>16:24:38.581Z</t>
  </si>
  <si>
    <t>16:11:02.792Z</t>
  </si>
  <si>
    <t>22:55:16.047Z</t>
  </si>
  <si>
    <t>11:23:59.285Z</t>
  </si>
  <si>
    <t>11:06:11.247Z</t>
  </si>
  <si>
    <t>14:12:29.393Z</t>
  </si>
  <si>
    <t>14:31:59.563Z</t>
  </si>
  <si>
    <t>13:59:35.124Z</t>
  </si>
  <si>
    <t>10:38:58.273Z</t>
  </si>
  <si>
    <t>16:31:44.103Z</t>
  </si>
  <si>
    <t>Time</t>
  </si>
  <si>
    <t>unplaced</t>
  </si>
  <si>
    <t>placement_flag</t>
  </si>
  <si>
    <t>age2</t>
  </si>
  <si>
    <t>Average Percentage</t>
  </si>
  <si>
    <t>Row Labels</t>
  </si>
  <si>
    <t>Grand Total</t>
  </si>
  <si>
    <t>Count of prn</t>
  </si>
  <si>
    <t>Count of ccat_cat</t>
  </si>
  <si>
    <t>Average of cdac_percentage</t>
  </si>
  <si>
    <t>Average of placement_flag</t>
  </si>
  <si>
    <t>ccat_rank_bucket</t>
  </si>
  <si>
    <t>1000+</t>
  </si>
  <si>
    <t>101–500</t>
  </si>
  <si>
    <t>501–1000</t>
  </si>
  <si>
    <t>Top 100</t>
  </si>
  <si>
    <t>Average of ccat_rank</t>
  </si>
  <si>
    <t>Avg 10th %</t>
  </si>
  <si>
    <t>Avg 12th %</t>
  </si>
  <si>
    <t>Graduation %</t>
  </si>
  <si>
    <t>Graduation Course</t>
  </si>
  <si>
    <t>NO. of students</t>
  </si>
  <si>
    <t>Avg Cdac %</t>
  </si>
  <si>
    <t>Engg Degree</t>
  </si>
  <si>
    <t>Batch</t>
  </si>
  <si>
    <t>Age group</t>
  </si>
  <si>
    <t>No. of students</t>
  </si>
  <si>
    <t>Companies</t>
  </si>
  <si>
    <t>Project Grades</t>
  </si>
  <si>
    <t>Average result of SMVITA</t>
  </si>
  <si>
    <t>Ccat category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</si>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</sst>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1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9" fontId="0" fillId="0" borderId="0" xfId="0" applyNumberFormat="1"/>
    <xf numFmtId="0" fontId="0" fillId="0" borderId="0" xfId="0" applyAlignment="1">
      <alignment horizontal="left" indent="2"/>
    </xf>
    <xf numFmtId="0" fontId="0" fillId="2" borderId="0" xfId="0" applyFill="1"/>
    <xf numFmtId="15" fontId="0" fillId="2" borderId="0" xfId="0" applyNumberFormat="1" applyFill="1"/>
  </cellXfs>
  <cellStyles count="1">
    <cellStyle name="Normal" xfId="0" builtinId="0"/>
  </cellStyles>
  <dxfs count="2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0" formatCode="dd/mmm/yy"/>
    </dxf>
    <dxf>
      <numFmt numFmtId="20" formatCode="dd/mmm/yy"/>
    </dxf>
    <dxf>
      <numFmt numFmtId="20" formatCode="dd/mmm/yy"/>
    </dxf>
    <dxf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solved.xlsx]Student Profile!PivotTable3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'Student Profile'!$E$3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'Student Profile'!$D$4:$D$9</c:f>
              <c:strCache>
                <c:ptCount val="5"/>
                <c:pt idx="0">
                  <c:v>20-22</c:v>
                </c:pt>
                <c:pt idx="1">
                  <c:v>23-25</c:v>
                </c:pt>
                <c:pt idx="2">
                  <c:v>26-28</c:v>
                </c:pt>
                <c:pt idx="3">
                  <c:v>29+</c:v>
                </c:pt>
                <c:pt idx="4">
                  <c:v>Unknown</c:v>
                </c:pt>
              </c:strCache>
            </c:strRef>
          </c:cat>
          <c:val>
            <c:numRef>
              <c:f>'Student Profile'!$E$4:$E$9</c:f>
              <c:numCache>
                <c:formatCode>General</c:formatCode>
                <c:ptCount val="5"/>
                <c:pt idx="0">
                  <c:v>191</c:v>
                </c:pt>
                <c:pt idx="1">
                  <c:v>513</c:v>
                </c:pt>
                <c:pt idx="2">
                  <c:v>149</c:v>
                </c:pt>
                <c:pt idx="3">
                  <c:v>39</c:v>
                </c:pt>
                <c:pt idx="4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8-471D-B6A6-B09DC724B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2743775"/>
        <c:axId val="1392742335"/>
      </c:barChart>
      <c:catAx>
        <c:axId val="139274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742335"/>
        <c:crosses val="autoZero"/>
        <c:auto val="1"/>
        <c:lblAlgn val="ctr"/>
        <c:lblOffset val="100"/>
        <c:noMultiLvlLbl val="0"/>
      </c:catAx>
      <c:valAx>
        <c:axId val="139274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74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solved.xlsx]CDAC Performance!PivotTable20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IN"/>
              <a:t>CDAC % by Batch /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'CDAC Performance'!$H$3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'CDAC Performance'!$G$4:$G$13</c:f>
              <c:multiLvlStrCache>
                <c:ptCount val="6"/>
                <c:lvl>
                  <c:pt idx="0">
                    <c:v>2021_March</c:v>
                  </c:pt>
                  <c:pt idx="1">
                    <c:v>2021_Sept</c:v>
                  </c:pt>
                  <c:pt idx="2">
                    <c:v>2022_March</c:v>
                  </c:pt>
                  <c:pt idx="3">
                    <c:v>2022_Sept</c:v>
                  </c:pt>
                  <c:pt idx="4">
                    <c:v>2023_March</c:v>
                  </c:pt>
                  <c:pt idx="5">
                    <c:v>2023_Sept</c:v>
                  </c:pt>
                </c:lvl>
                <c:lvl>
                  <c:pt idx="0">
                    <c:v>2021</c:v>
                  </c:pt>
                  <c:pt idx="2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'CDAC Performance'!$H$4:$H$13</c:f>
              <c:numCache>
                <c:formatCode>0.00</c:formatCode>
                <c:ptCount val="6"/>
                <c:pt idx="0">
                  <c:v>65.082882882848651</c:v>
                </c:pt>
                <c:pt idx="1">
                  <c:v>71.573401162790702</c:v>
                </c:pt>
                <c:pt idx="2">
                  <c:v>65.443247126436788</c:v>
                </c:pt>
                <c:pt idx="3">
                  <c:v>66.176264044943821</c:v>
                </c:pt>
                <c:pt idx="4">
                  <c:v>62.799698795180724</c:v>
                </c:pt>
                <c:pt idx="5">
                  <c:v>62.081451612903223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5-4717-8345-57B07CA367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60066687"/>
        <c:axId val="1560067167"/>
      </c:areaChart>
      <c:catAx>
        <c:axId val="156006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067167"/>
        <c:crosses val="autoZero"/>
        <c:auto val="1"/>
        <c:lblAlgn val="ctr"/>
        <c:lblOffset val="100"/>
        <c:noMultiLvlLbl val="0"/>
      </c:catAx>
      <c:valAx>
        <c:axId val="156006716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60066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solved.xlsx]Placement Analysis!PivotTable2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placement details</a:t>
            </a:r>
          </a:p>
        </c:rich>
      </c:tx>
      <c:layout>
        <c:manualLayout>
          <c:xMode val="edge"/>
          <c:yMode val="edge"/>
          <c:x val="0.31068044619422575"/>
          <c:y val="7.24181257798770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'Placement Analysis'!$T$3:$T$4</c:f>
              <c:strCache>
                <c:ptCount val="1"/>
                <c:pt idx="0">
                  <c:v>By VITA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'Placement Analysis'!$S$5:$S$11</c:f>
              <c:strCache>
                <c:ptCount val="6"/>
                <c:pt idx="0">
                  <c:v>2021_March</c:v>
                </c:pt>
                <c:pt idx="1">
                  <c:v>2021_Sept</c:v>
                </c:pt>
                <c:pt idx="2">
                  <c:v>2022_March</c:v>
                </c:pt>
                <c:pt idx="3">
                  <c:v>2022_Sept</c:v>
                </c:pt>
                <c:pt idx="4">
                  <c:v>2023_March</c:v>
                </c:pt>
                <c:pt idx="5">
                  <c:v>2023_Sept</c:v>
                </c:pt>
              </c:strCache>
            </c:strRef>
          </c:cat>
          <c:val>
            <c:numRef>
              <c:f>'Placement Analysis'!$T$5:$T$11</c:f>
              <c:numCache>
                <c:formatCode>0.00</c:formatCode>
                <c:ptCount val="6"/>
                <c:pt idx="0">
                  <c:v>168</c:v>
                </c:pt>
                <c:pt idx="1">
                  <c:v>163</c:v>
                </c:pt>
                <c:pt idx="2">
                  <c:v>132</c:v>
                </c:pt>
                <c:pt idx="3">
                  <c:v>83</c:v>
                </c:pt>
                <c:pt idx="4">
                  <c:v>94</c:v>
                </c:pt>
                <c:pt idx="5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2-4B76-8D59-3E21104FE923}"/>
            </c:ext>
          </c:extLst>
        </c:ser>
        <c:ser>
          <c:idx val="1"/>
          <c:order val="1"/>
          <c:tx>
            <c:strRef>
              <c:f>'Placement Analysis'!$U$3:$U$4</c:f>
              <c:strCache>
                <c:ptCount val="1"/>
                <c:pt idx="0">
                  <c:v>Self Placed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'Placement Analysis'!$S$5:$S$11</c:f>
              <c:strCache>
                <c:ptCount val="6"/>
                <c:pt idx="0">
                  <c:v>2021_March</c:v>
                </c:pt>
                <c:pt idx="1">
                  <c:v>2021_Sept</c:v>
                </c:pt>
                <c:pt idx="2">
                  <c:v>2022_March</c:v>
                </c:pt>
                <c:pt idx="3">
                  <c:v>2022_Sept</c:v>
                </c:pt>
                <c:pt idx="4">
                  <c:v>2023_March</c:v>
                </c:pt>
                <c:pt idx="5">
                  <c:v>2023_Sept</c:v>
                </c:pt>
              </c:strCache>
            </c:strRef>
          </c:cat>
          <c:val>
            <c:numRef>
              <c:f>'Placement Analysis'!$U$5:$U$11</c:f>
              <c:numCache>
                <c:formatCode>0.00</c:formatCode>
                <c:ptCount val="6"/>
                <c:pt idx="1">
                  <c:v>2</c:v>
                </c:pt>
                <c:pt idx="2">
                  <c:v>10</c:v>
                </c:pt>
                <c:pt idx="3">
                  <c:v>34</c:v>
                </c:pt>
                <c:pt idx="4">
                  <c:v>9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2-4B76-8D59-3E21104FE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94256"/>
        <c:axId val="34101456"/>
      </c:barChart>
      <c:lineChart>
        <c:grouping val="standard"/>
        <c:varyColors val="0"/>
        <c:ser>
          <c:idx val="2"/>
          <c:order val="2"/>
          <c:tx>
            <c:strRef>
              <c:f>'Placement Analysis'!$V$3:$V$4</c:f>
              <c:strCache>
                <c:ptCount val="1"/>
                <c:pt idx="0">
                  <c:v>Unplaced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'Placement Analysis'!$S$5:$S$11</c:f>
              <c:strCache>
                <c:ptCount val="6"/>
                <c:pt idx="0">
                  <c:v>2021_March</c:v>
                </c:pt>
                <c:pt idx="1">
                  <c:v>2021_Sept</c:v>
                </c:pt>
                <c:pt idx="2">
                  <c:v>2022_March</c:v>
                </c:pt>
                <c:pt idx="3">
                  <c:v>2022_Sept</c:v>
                </c:pt>
                <c:pt idx="4">
                  <c:v>2023_March</c:v>
                </c:pt>
                <c:pt idx="5">
                  <c:v>2023_Sept</c:v>
                </c:pt>
              </c:strCache>
            </c:strRef>
          </c:cat>
          <c:val>
            <c:numRef>
              <c:f>'Placement Analysis'!$V$5:$V$11</c:f>
              <c:numCache>
                <c:formatCode>0.00</c:formatCode>
                <c:ptCount val="6"/>
                <c:pt idx="0">
                  <c:v>17</c:v>
                </c:pt>
                <c:pt idx="1">
                  <c:v>7</c:v>
                </c:pt>
                <c:pt idx="2">
                  <c:v>32</c:v>
                </c:pt>
                <c:pt idx="3">
                  <c:v>61</c:v>
                </c:pt>
                <c:pt idx="4">
                  <c:v>63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B2-4B76-8D59-3E21104FE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94256"/>
        <c:axId val="34101456"/>
      </c:lineChart>
      <c:catAx>
        <c:axId val="3409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1456"/>
        <c:crosses val="autoZero"/>
        <c:auto val="1"/>
        <c:lblAlgn val="ctr"/>
        <c:lblOffset val="100"/>
        <c:noMultiLvlLbl val="0"/>
      </c:catAx>
      <c:valAx>
        <c:axId val="3410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9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solved.xlsx]Placement Analysis!PivotTable24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Placed vs Unplaced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'Placement Analysis'!$D$3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'Placement Analysis'!$C$4:$C$13</c:f>
              <c:multiLvlStrCache>
                <c:ptCount val="6"/>
                <c:lvl>
                  <c:pt idx="0">
                    <c:v>Placed</c:v>
                  </c:pt>
                  <c:pt idx="1">
                    <c:v>Unplaced</c:v>
                  </c:pt>
                  <c:pt idx="2">
                    <c:v>Placed</c:v>
                  </c:pt>
                  <c:pt idx="3">
                    <c:v>Unplaced</c:v>
                  </c:pt>
                  <c:pt idx="4">
                    <c:v>Placed</c:v>
                  </c:pt>
                  <c:pt idx="5">
                    <c:v>Unplaced</c:v>
                  </c:pt>
                </c:lvl>
                <c:lvl>
                  <c:pt idx="0">
                    <c:v>2021</c:v>
                  </c:pt>
                  <c:pt idx="2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'Placement Analysis'!$D$4:$D$13</c:f>
              <c:numCache>
                <c:formatCode>0.00</c:formatCode>
                <c:ptCount val="6"/>
                <c:pt idx="0">
                  <c:v>333</c:v>
                </c:pt>
                <c:pt idx="1">
                  <c:v>24</c:v>
                </c:pt>
                <c:pt idx="2">
                  <c:v>259</c:v>
                </c:pt>
                <c:pt idx="3">
                  <c:v>93</c:v>
                </c:pt>
                <c:pt idx="4">
                  <c:v>202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3-4AFE-A59A-4037FB9918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60088287"/>
        <c:axId val="1560075327"/>
      </c:barChart>
      <c:catAx>
        <c:axId val="156008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075327"/>
        <c:crosses val="autoZero"/>
        <c:auto val="1"/>
        <c:lblAlgn val="ctr"/>
        <c:lblOffset val="100"/>
        <c:noMultiLvlLbl val="0"/>
      </c:catAx>
      <c:valAx>
        <c:axId val="156007532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6008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[assignment solved.xlsx]Placement Analysis!PivotTable28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'Placement Analysis'!$AA$4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'Placement Analysis'!$Z$5:$Z$13</c:f>
              <c:strCache>
                <c:ptCount val="8"/>
                <c:pt idx="0">
                  <c:v>OTHERS</c:v>
                </c:pt>
                <c:pt idx="1">
                  <c:v>KFINTECH</c:v>
                </c:pt>
                <c:pt idx="2">
                  <c:v>CRISIL</c:v>
                </c:pt>
                <c:pt idx="3">
                  <c:v>AMDOCS</c:v>
                </c:pt>
                <c:pt idx="4">
                  <c:v>CDAC MUMBAI</c:v>
                </c:pt>
                <c:pt idx="5">
                  <c:v>MORNING STAR</c:v>
                </c:pt>
                <c:pt idx="6">
                  <c:v>MORNINGSTAR</c:v>
                </c:pt>
                <c:pt idx="7">
                  <c:v>LEARNINGMATE</c:v>
                </c:pt>
              </c:strCache>
            </c:strRef>
          </c:cat>
          <c:val>
            <c:numRef>
              <c:f>'Placement Analysis'!$AA$5:$AA$13</c:f>
              <c:numCache>
                <c:formatCode>0.00</c:formatCode>
                <c:ptCount val="8"/>
                <c:pt idx="0">
                  <c:v>68</c:v>
                </c:pt>
                <c:pt idx="1">
                  <c:v>38</c:v>
                </c:pt>
                <c:pt idx="2">
                  <c:v>36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3-47E6-A924-C5FBF29979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560067167"/>
        <c:axId val="1560050847"/>
      </c:barChart>
      <c:catAx>
        <c:axId val="156006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050847"/>
        <c:crosses val="autoZero"/>
        <c:auto val="1"/>
        <c:lblAlgn val="ctr"/>
        <c:lblOffset val="100"/>
        <c:noMultiLvlLbl val="0"/>
      </c:catAx>
      <c:valAx>
        <c:axId val="156005084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6006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solved.xlsx]Placement Analysis!PivotTable3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'Placement Analysis'!$F$18:$F$19</c:f>
              <c:strCache>
                <c:ptCount val="1"/>
                <c:pt idx="0">
                  <c:v>DAC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'Placement Analysis'!$E$20:$E$23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'Placement Analysis'!$F$20:$F$23</c:f>
              <c:numCache>
                <c:formatCode>0.00</c:formatCode>
                <c:ptCount val="3"/>
                <c:pt idx="0">
                  <c:v>0.96595744680851059</c:v>
                </c:pt>
                <c:pt idx="1">
                  <c:v>0.80769230769230771</c:v>
                </c:pt>
                <c:pt idx="2">
                  <c:v>0.6330275229357798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4-4903-9F77-540753055AB4}"/>
            </c:ext>
          </c:extLst>
        </c:ser>
        <c:ser>
          <c:idx val="1"/>
          <c:order val="1"/>
          <c:tx>
            <c:strRef>
              <c:f>'Placement Analysis'!$G$18:$G$19</c:f>
              <c:strCache>
                <c:ptCount val="1"/>
                <c:pt idx="0">
                  <c:v>DBDA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'Placement Analysis'!$E$20:$E$23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'Placement Analysis'!$G$20:$G$23</c:f>
              <c:numCache>
                <c:formatCode>0.00</c:formatCode>
                <c:ptCount val="3"/>
                <c:pt idx="0">
                  <c:v>0.86885245901639341</c:v>
                </c:pt>
                <c:pt idx="1">
                  <c:v>0.59322033898305082</c:v>
                </c:pt>
                <c:pt idx="2">
                  <c:v>0.62135922330097082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24-4903-9F77-540753055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32704"/>
        <c:axId val="1234549024"/>
      </c:barChart>
      <c:catAx>
        <c:axId val="12345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49024"/>
        <c:crosses val="autoZero"/>
        <c:auto val="1"/>
        <c:lblAlgn val="ctr"/>
        <c:lblOffset val="100"/>
        <c:noMultiLvlLbl val="0"/>
      </c:catAx>
      <c:valAx>
        <c:axId val="123454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solved.xlsx]Academic Background Analysis!PivotTable10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Performance Based on Graduation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0099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0099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'Academic Background Analysis'!$K$3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E2-425C-A742-1A70BA9D961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E2-425C-A742-1A70BA9D961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E2-425C-A742-1A70BA9D961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E2-425C-A742-1A70BA9D961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E2-425C-A742-1A70BA9D961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E2-425C-A742-1A70BA9D961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80000"/>
                  <a:lumOff val="2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4E2-425C-A742-1A70BA9D96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'Academic Background Analysis'!$J$4:$J$11</c:f>
              <c:strCache>
                <c:ptCount val="7"/>
                <c:pt idx="0">
                  <c:v>Civil</c:v>
                </c:pt>
                <c:pt idx="1">
                  <c:v>Computer</c:v>
                </c:pt>
                <c:pt idx="2">
                  <c:v>Electrical</c:v>
                </c:pt>
                <c:pt idx="3">
                  <c:v>Electronics</c:v>
                </c:pt>
                <c:pt idx="4">
                  <c:v>IT</c:v>
                </c:pt>
                <c:pt idx="5">
                  <c:v>Mechanical</c:v>
                </c:pt>
                <c:pt idx="6">
                  <c:v>Other</c:v>
                </c:pt>
              </c:strCache>
            </c:strRef>
          </c:cat>
          <c:val>
            <c:numRef>
              <c:f>'Academic Background Analysis'!$K$4:$K$11</c:f>
              <c:numCache>
                <c:formatCode>0.00</c:formatCode>
                <c:ptCount val="7"/>
                <c:pt idx="0">
                  <c:v>64.156944444333334</c:v>
                </c:pt>
                <c:pt idx="1">
                  <c:v>64.856707316910573</c:v>
                </c:pt>
                <c:pt idx="2">
                  <c:v>64.241898148333334</c:v>
                </c:pt>
                <c:pt idx="3">
                  <c:v>66.444704049719633</c:v>
                </c:pt>
                <c:pt idx="4">
                  <c:v>64.559959349756099</c:v>
                </c:pt>
                <c:pt idx="5">
                  <c:v>65.705650252499993</c:v>
                </c:pt>
                <c:pt idx="6">
                  <c:v>66.14267676773278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4E2-425C-A742-1A70BA9D96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71486687"/>
        <c:axId val="1571487167"/>
      </c:barChart>
      <c:catAx>
        <c:axId val="157148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87167"/>
        <c:crosses val="autoZero"/>
        <c:auto val="1"/>
        <c:lblAlgn val="ctr"/>
        <c:lblOffset val="100"/>
        <c:noMultiLvlLbl val="0"/>
      </c:catAx>
      <c:valAx>
        <c:axId val="15714871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8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375137</xdr:colOff>
      <xdr:row>29</xdr:row>
      <xdr:rowOff>23446</xdr:rowOff>
    </xdr:from>
    <xdr:to>
      <xdr:col>9</xdr:col>
      <xdr:colOff>93784</xdr:colOff>
      <xdr:row>47</xdr:row>
      <xdr:rowOff>93784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52B3A-87AC-CCFB-20D0-3DBAD6ACC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469995</xdr:colOff>
      <xdr:row>29</xdr:row>
      <xdr:rowOff>30129</xdr:rowOff>
    </xdr:from>
    <xdr:to>
      <xdr:col>29</xdr:col>
      <xdr:colOff>168519</xdr:colOff>
      <xdr:row>47</xdr:row>
      <xdr:rowOff>117231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205B10F-64AB-977E-9D0D-9B23D1541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362397</xdr:colOff>
      <xdr:row>7</xdr:row>
      <xdr:rowOff>34153</xdr:rowOff>
    </xdr:from>
    <xdr:to>
      <xdr:col>9</xdr:col>
      <xdr:colOff>80210</xdr:colOff>
      <xdr:row>25</xdr:row>
      <xdr:rowOff>8021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F1AE0D2E-E149-4B83-05A7-FF7D5B982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8021</xdr:colOff>
      <xdr:row>6</xdr:row>
      <xdr:rowOff>144379</xdr:rowOff>
    </xdr:from>
    <xdr:to>
      <xdr:col>19</xdr:col>
      <xdr:colOff>73425</xdr:colOff>
      <xdr:row>25</xdr:row>
      <xdr:rowOff>91812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B7B632BA-D525-47E5-8F30-2A0AEE5A1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7</xdr:row>
      <xdr:rowOff>0</xdr:rowOff>
    </xdr:from>
    <xdr:to>
      <xdr:col>29</xdr:col>
      <xdr:colOff>494716</xdr:colOff>
      <xdr:row>24</xdr:row>
      <xdr:rowOff>109348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B872B33F-446F-4F04-8AA9-1A8A01803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348575</xdr:colOff>
      <xdr:row>49</xdr:row>
      <xdr:rowOff>80782</xdr:rowOff>
    </xdr:from>
    <xdr:to>
      <xdr:col>8</xdr:col>
      <xdr:colOff>71485</xdr:colOff>
      <xdr:row>64</xdr:row>
      <xdr:rowOff>55837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B7246C6-32D8-4AB8-234F-C1D5169C4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97276</xdr:colOff>
      <xdr:row>28</xdr:row>
      <xdr:rowOff>154021</xdr:rowOff>
    </xdr:from>
    <xdr:to>
      <xdr:col>19</xdr:col>
      <xdr:colOff>54074</xdr:colOff>
      <xdr:row>48</xdr:row>
      <xdr:rowOff>14466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E68BCE09-A7D9-433A-96D6-5B0C22BF7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19.571941782408" createdVersion="8" refreshedVersion="8" minRefreshableVersion="3" recordCount="1030" xr:uid="{A8661056-DBC4-435C-B9C3-E56638455F9C}">
  <cacheSource type="worksheet">
    <worksheetSource name="Cdacdata"/>
  </cacheSource>
  <cacheFields count="34">
    <cacheField name="prn" numFmtId="0">
      <sharedItems/>
    </cacheField>
    <cacheField name="formno" numFmtId="0">
      <sharedItems containsSemiMixedTypes="0" containsString="0" containsNumber="1" containsInteger="1" minValue="191000118" maxValue="230705653"/>
    </cacheField>
    <cacheField name="timestamp" numFmtId="15">
      <sharedItems containsNonDate="0" containsDate="1" containsString="0" containsBlank="1" minDate="2021-04-29T00:00:00" maxDate="2023-09-10T00:00:00"/>
    </cacheField>
    <cacheField name="Time" numFmtId="15">
      <sharedItems containsBlank="1"/>
    </cacheField>
    <cacheField name="ccat_rank" numFmtId="0">
      <sharedItems containsMixedTypes="1" containsNumber="1" containsInteger="1" minValue="7" maxValue="4321"/>
    </cacheField>
    <cacheField name="dob" numFmtId="15">
      <sharedItems containsDate="1" containsBlank="1" containsMixedTypes="1" minDate="1984-10-08T00:00:00" maxDate="2021-08-16T00:00:00"/>
    </cacheField>
    <cacheField name="tenth_percentage" numFmtId="0">
      <sharedItems containsSemiMixedTypes="0" containsString="0" containsNumber="1" minValue="0" maxValue="97.27"/>
    </cacheField>
    <cacheField name="twelfth_percentage" numFmtId="0">
      <sharedItems containsMixedTypes="1" containsNumber="1" minValue="0" maxValue="93.4"/>
    </cacheField>
    <cacheField name="diploma_percentage" numFmtId="0">
      <sharedItems containsMixedTypes="1" containsNumber="1" minValue="0" maxValue="93.77" count="203">
        <s v="Other"/>
        <n v="83.12"/>
        <n v="0"/>
        <n v="82.06"/>
        <n v="79.31"/>
        <n v="87.94"/>
        <n v="72.180000000000007"/>
        <n v="82.07"/>
        <n v="70.430000000000007"/>
        <n v="67.819999999999993"/>
        <n v="71.38"/>
        <n v="83.21"/>
        <n v="66.180000000000007"/>
        <n v="81.8"/>
        <n v="69.150000000000006"/>
        <n v="68.180000000000007"/>
        <n v="91.94"/>
        <n v="77.59"/>
        <n v="92.31"/>
        <n v="71.64"/>
        <n v="77.819999999999993"/>
        <n v="78.67"/>
        <n v="64.099999999999994"/>
        <n v="87.3"/>
        <n v="63.47"/>
        <n v="76.47"/>
        <n v="65.33"/>
        <n v="78.75"/>
        <n v="64.239999999999995"/>
        <n v="82"/>
        <n v="55.52"/>
        <n v="54.12"/>
        <n v="64.59"/>
        <n v="88.44"/>
        <n v="93.77"/>
        <n v="88.4"/>
        <n v="84.48"/>
        <n v="70.709999999999994"/>
        <n v="74.180000000000007"/>
        <n v="83.76"/>
        <n v="66.06"/>
        <n v="71.88"/>
        <n v="76.239999999999995"/>
        <n v="83"/>
        <n v="84.91"/>
        <n v="65.88"/>
        <n v="73.39"/>
        <n v="69.88"/>
        <n v="72.239999999999995"/>
        <n v="68.349999999999994"/>
        <n v="83.04"/>
        <n v="60.29"/>
        <n v="87.14"/>
        <n v="62.44"/>
        <n v="75"/>
        <n v="65.56"/>
        <n v="68.290000000000006"/>
        <n v="77.69"/>
        <n v="70.09"/>
        <n v="66.819999999999993"/>
        <n v="71.34"/>
        <n v="81.25"/>
        <n v="73.709999999999994"/>
        <n v="60.59"/>
        <n v="63"/>
        <n v="79.760000000000005"/>
        <n v="82.71"/>
        <n v="76.59"/>
        <n v="82.13"/>
        <n v="64"/>
        <n v="71.42"/>
        <n v="67.239999999999995"/>
        <n v="62.18"/>
        <n v="79.19"/>
        <n v="80.099999999999994"/>
        <n v="88.82"/>
        <n v="55.77"/>
        <n v="71.290000000000006"/>
        <n v="60"/>
        <n v="65.94"/>
        <n v="60.86"/>
        <n v="60.11"/>
        <n v="85.19"/>
        <n v="73"/>
        <n v="76.75"/>
        <n v="73.349999999999994"/>
        <n v="80.819999999999993"/>
        <n v="60.24"/>
        <n v="65.13"/>
        <n v="76"/>
        <n v="70"/>
        <n v="62.65"/>
        <n v="57.2"/>
        <n v="64.19"/>
        <n v="70.12"/>
        <n v="75.349999999999994"/>
        <n v="68.650000000000006"/>
        <n v="79.819999999999993"/>
        <n v="67.94"/>
        <n v="86.79"/>
        <n v="84"/>
        <n v="60.91"/>
        <n v="79.709999999999994"/>
        <n v="71.760000000000005"/>
        <n v="86.3"/>
        <n v="84.24"/>
        <n v="80.44"/>
        <n v="77.760000000000005"/>
        <n v="74.12"/>
        <n v="66.47"/>
        <n v="82.18"/>
        <n v="71.180000000000007"/>
        <n v="75.709999999999994"/>
        <n v="76.12"/>
        <n v="71"/>
        <n v="69"/>
        <n v="65.209999999999994"/>
        <n v="57.37"/>
        <n v="58.71"/>
        <n v="71.7"/>
        <n v="67.64"/>
        <n v="76.290000000000006"/>
        <n v="78.760000000000005"/>
        <n v="69.400000000000006"/>
        <n v="87.75"/>
        <n v="73.180000000000007"/>
        <n v="90.76"/>
        <n v="64.47"/>
        <n v="69.09"/>
        <n v="83.53"/>
        <n v="63.14"/>
        <n v="71.52"/>
        <n v="84.55"/>
        <n v="80.239999999999995"/>
        <n v="52.94"/>
        <n v="70.239999999999995"/>
        <n v="65.47"/>
        <n v="66.91"/>
        <n v="71.709999999999994"/>
        <n v="70.180000000000007"/>
        <n v="64.290000000000006"/>
        <n v="63.65"/>
        <n v="66.61"/>
        <n v="67.5"/>
        <n v="69.12"/>
        <n v="81.06"/>
        <n v="71.19"/>
        <n v="70.819999999999993"/>
        <n v="74.290000000000006"/>
        <n v="70.53"/>
        <n v="70.760000000000005"/>
        <n v="65.19"/>
        <n v="79.55"/>
        <n v="71.56"/>
        <n v="69.97"/>
        <n v="75.819999999999993"/>
        <n v="79.88"/>
        <n v="84.6"/>
        <n v="70.08"/>
        <n v="76.13"/>
        <n v="62.29"/>
        <n v="69.709999999999994"/>
        <n v="67.41"/>
        <n v="65.53"/>
        <n v="80.5"/>
        <n v="61.92"/>
        <n v="63.6"/>
        <n v="83.58"/>
        <n v="67.44"/>
        <n v="64.8"/>
        <n v="93.69"/>
        <n v="57.4"/>
        <n v="73.88"/>
        <n v="80.06"/>
        <n v="65.66"/>
        <n v="73.81"/>
        <n v="77.650000000000006"/>
        <n v="76.53"/>
        <n v="68.53"/>
        <n v="58.3"/>
        <n v="61"/>
        <n v="71.47"/>
        <n v="67.540000000000006"/>
        <n v="66.88"/>
        <n v="69.819999999999993"/>
        <n v="66"/>
        <n v="65.91"/>
        <n v="84.82"/>
        <n v="55"/>
        <n v="75.209999999999994"/>
        <n v="77.239999999999995"/>
        <n v="71.27"/>
        <n v="79.38"/>
        <n v="69.349999999999994"/>
        <n v="56.46"/>
        <n v="78.88"/>
        <n v="67.760000000000005"/>
        <n v="79.540000000000006"/>
        <n v="76.06"/>
        <n v="58"/>
        <n v="75.19"/>
        <n v="63.58"/>
        <n v="66.81"/>
      </sharedItems>
    </cacheField>
    <cacheField name="graduation_percentage" numFmtId="0">
      <sharedItems containsSemiMixedTypes="0" containsString="0" containsNumber="1" minValue="0" maxValue="8037" count="645">
        <n v="72.7"/>
        <n v="71.8"/>
        <n v="81.790000000000006"/>
        <n v="64.66"/>
        <n v="78.37"/>
        <n v="77.599999999999994"/>
        <n v="76.099999999999994"/>
        <n v="77.44"/>
        <n v="74.900000000000006"/>
        <n v="87.19"/>
        <n v="67"/>
        <n v="0"/>
        <n v="75.8"/>
        <n v="70"/>
        <n v="77.290000000000006"/>
        <n v="82.64"/>
        <n v="74.3"/>
        <n v="63.57"/>
        <n v="78.95"/>
        <n v="69.73"/>
        <n v="76.67"/>
        <n v="81.099999999999994"/>
        <n v="73"/>
        <n v="63.54"/>
        <n v="77.61"/>
        <n v="52.63"/>
        <n v="6.55"/>
        <n v="66.5"/>
        <n v="70.53"/>
        <n v="73.400000000000006"/>
        <n v="90.3"/>
        <n v="7.51"/>
        <n v="88.5"/>
        <n v="57"/>
        <n v="7.89"/>
        <n v="79.3"/>
        <n v="74.099999999999994"/>
        <n v="81.3"/>
        <n v="8.14"/>
        <n v="74.069999999999993"/>
        <n v="79.099999999999994"/>
        <n v="60"/>
        <n v="82.1"/>
        <n v="77.59"/>
        <n v="69.400000000000006"/>
        <n v="77"/>
        <n v="80.2"/>
        <n v="75.14"/>
        <n v="67.53"/>
        <n v="71.900000000000006"/>
        <n v="8.27"/>
        <n v="60.3"/>
        <n v="72.5"/>
        <n v="64.02"/>
        <n v="64.78"/>
        <n v="80.42"/>
        <n v="70.680000000000007"/>
        <n v="8.6300000000000008"/>
        <n v="76.34"/>
        <n v="68.819999999999993"/>
        <n v="67.75"/>
        <n v="80.38"/>
        <n v="80"/>
        <n v="86.15"/>
        <n v="77.06"/>
        <n v="53.17"/>
        <n v="80.400000000000006"/>
        <n v="86"/>
        <n v="68.75"/>
        <n v="72.48"/>
        <n v="81.599999999999994"/>
        <n v="82.4"/>
        <n v="74.84"/>
        <n v="84.6"/>
        <n v="83.9"/>
        <n v="73.19"/>
        <n v="77.17"/>
        <n v="63.8"/>
        <n v="69.42"/>
        <n v="69.08"/>
        <n v="72.459999999999994"/>
        <n v="75.5"/>
        <n v="65.62"/>
        <n v="71.599999999999994"/>
        <n v="88.2"/>
        <n v="70.599999999999994"/>
        <n v="68"/>
        <n v="79.98"/>
        <n v="77.209999999999994"/>
        <n v="76.95"/>
        <n v="61.6"/>
        <n v="58.6"/>
        <n v="59.94"/>
        <n v="98.4"/>
        <n v="80.540000000000006"/>
        <n v="64.58"/>
        <n v="74.400000000000006"/>
        <n v="76.760000000000005"/>
        <n v="63.46"/>
        <n v="61.2"/>
        <n v="83"/>
        <n v="68.78"/>
        <n v="72.41"/>
        <n v="87"/>
        <n v="82.81"/>
        <n v="83.84"/>
        <n v="82.8"/>
        <n v="78.56"/>
        <n v="66.010000000000005"/>
        <n v="62.98"/>
        <n v="67.540000000000006"/>
        <n v="70.5"/>
        <n v="58.79"/>
        <n v="78.930000000000007"/>
        <n v="70.69"/>
        <n v="65.52"/>
        <n v="64.14"/>
        <n v="80.47"/>
        <n v="63.55"/>
        <n v="86.3"/>
        <n v="6.76"/>
        <n v="75.599999999999994"/>
        <n v="75"/>
        <n v="87.25"/>
        <n v="81.900000000000006"/>
        <n v="60.26"/>
        <n v="70.09"/>
        <n v="72.959999999999994"/>
        <n v="70.06"/>
        <n v="71.42"/>
        <n v="81.150000000000006"/>
        <n v="8037"/>
        <n v="62.62"/>
        <n v="74"/>
        <n v="55.9"/>
        <n v="76.45"/>
        <n v="57.3"/>
        <n v="7.16"/>
        <n v="59"/>
        <n v="7.39"/>
        <n v="61.5"/>
        <n v="78"/>
        <n v="56.65"/>
        <n v="69.349999999999994"/>
        <n v="66.59"/>
        <n v="68.430000000000007"/>
        <n v="69.13"/>
        <n v="57.86"/>
        <n v="66.8"/>
        <n v="71.13"/>
        <n v="70.209999999999994"/>
        <n v="59.75"/>
        <n v="65"/>
        <n v="58.27"/>
        <n v="60.72"/>
        <n v="65.650000000000006"/>
        <n v="66.66"/>
        <n v="55"/>
        <n v="67.06"/>
        <n v="80.5"/>
        <n v="55.48"/>
        <n v="54.46"/>
        <n v="53.8"/>
        <n v="65.42"/>
        <n v="69"/>
        <n v="55.59"/>
        <n v="71"/>
        <n v="56.7"/>
        <n v="63.4"/>
        <n v="57.51"/>
        <n v="6.65"/>
        <n v="69.599999999999994"/>
        <n v="65.05"/>
        <n v="62"/>
        <n v="59.92"/>
        <n v="68.900000000000006"/>
        <n v="6.43"/>
        <n v="62.49"/>
        <n v="62.7"/>
        <n v="64"/>
        <n v="71.3"/>
        <n v="60.09"/>
        <n v="72.78"/>
        <n v="52"/>
        <n v="56.6"/>
        <n v="62.13"/>
        <n v="6.35"/>
        <n v="79.11"/>
        <n v="62.33"/>
        <n v="6.2"/>
        <n v="7.08"/>
        <n v="72.42"/>
        <n v="66.13"/>
        <n v="80.94"/>
        <n v="56.44"/>
        <n v="53.96"/>
        <n v="62.05"/>
        <n v="64.849999999999994"/>
        <n v="54.2"/>
        <n v="6"/>
        <n v="8.1"/>
        <n v="65.13"/>
        <n v="64.540000000000006"/>
        <n v="72.88"/>
        <n v="54.17"/>
        <n v="64.930000000000007"/>
        <n v="64.98"/>
        <n v="52.24"/>
        <n v="61.63"/>
        <n v="70.8"/>
        <n v="53.39"/>
        <n v="78.48"/>
        <n v="61.73"/>
        <n v="67.930000000000007"/>
        <n v="59.26"/>
        <n v="55.87"/>
        <n v="63.65"/>
        <n v="58.44"/>
        <n v="7.75"/>
        <n v="82.18"/>
        <n v="59.53"/>
        <n v="72.92"/>
        <n v="58.34"/>
        <n v="60.8"/>
        <n v="61.32"/>
        <n v="62.15"/>
        <n v="79.88"/>
        <n v="72.13"/>
        <n v="70.31"/>
        <n v="58.78"/>
        <n v="69.7"/>
        <n v="51.05"/>
        <n v="58.69"/>
        <n v="6.7"/>
        <n v="63"/>
        <n v="66.83"/>
        <n v="66.239999999999995"/>
        <n v="73.34"/>
        <n v="70.11"/>
        <n v="7.02"/>
        <n v="68.02"/>
        <n v="56.89"/>
        <n v="59.71"/>
        <n v="67.599999999999994"/>
        <n v="5.87"/>
        <n v="67.84"/>
        <n v="58.81"/>
        <n v="58.95"/>
        <n v="5.37"/>
        <n v="60.66"/>
        <n v="65.5"/>
        <n v="5.49"/>
        <n v="54.95"/>
        <n v="73.02"/>
        <n v="64.760000000000005"/>
        <n v="66.02"/>
        <n v="69.58"/>
        <n v="72.400000000000006"/>
        <n v="74.66"/>
        <n v="57.81"/>
        <n v="70.260000000000005"/>
        <n v="68.53"/>
        <n v="59.45"/>
        <n v="6.03"/>
        <n v="66.540000000000006"/>
        <n v="58.22"/>
        <n v="62.95"/>
        <n v="70.2"/>
        <n v="56.51"/>
        <n v="6.5"/>
        <n v="58.32"/>
        <n v="76"/>
        <n v="74.8"/>
        <n v="69.900000000000006"/>
        <n v="67.86"/>
        <n v="87.51"/>
        <n v="62.83"/>
        <n v="60.37"/>
        <n v="64.63"/>
        <n v="58.96"/>
        <n v="69.099999999999994"/>
        <n v="62.77"/>
        <n v="6.34"/>
        <n v="55.88"/>
        <n v="67.89"/>
        <n v="82.3"/>
        <n v="65.28"/>
        <n v="59.5"/>
        <n v="6.4"/>
        <n v="63.62"/>
        <n v="74.7"/>
        <n v="59.83"/>
        <n v="58.64"/>
        <n v="71.459999999999994"/>
        <n v="64.36"/>
        <n v="67.41"/>
        <n v="74.41"/>
        <n v="83.5"/>
        <n v="60.42"/>
        <n v="59.67"/>
        <n v="56.87"/>
        <n v="66.489999999999995"/>
        <n v="66.12"/>
        <n v="52.54"/>
        <n v="73.599999999999994"/>
        <n v="65.8"/>
        <n v="71.02"/>
        <n v="64.91"/>
        <n v="70.75"/>
        <n v="87.68"/>
        <n v="73.8"/>
        <n v="63.2"/>
        <n v="68.22"/>
        <n v="69.66"/>
        <n v="79.400000000000006"/>
        <n v="71.75"/>
        <n v="67.02"/>
        <n v="64.3"/>
        <n v="68.66"/>
        <n v="68.87"/>
        <n v="73.3"/>
        <n v="77.709999999999994"/>
        <n v="78.599999999999994"/>
        <n v="60.91"/>
        <n v="68.400000000000006"/>
        <n v="82.95"/>
        <n v="72.58"/>
        <n v="73.180000000000007"/>
        <n v="81.7"/>
        <n v="67.739999999999995"/>
        <n v="59.55"/>
        <n v="75.59"/>
        <n v="71.19"/>
        <n v="87.97"/>
        <n v="67.67"/>
        <n v="76.64"/>
        <n v="72"/>
        <n v="86.24"/>
        <n v="76.06"/>
        <n v="79.819999999999993"/>
        <n v="76.69"/>
        <n v="78.64"/>
        <n v="82.16"/>
        <n v="68.5"/>
        <n v="66.88"/>
        <n v="60.49"/>
        <n v="57.45"/>
        <n v="56.45"/>
        <n v="57.5"/>
        <n v="74.63"/>
        <n v="77.5"/>
        <n v="68.44"/>
        <n v="64.790000000000006"/>
        <n v="83.6"/>
        <n v="51.9"/>
        <n v="73.2"/>
        <n v="78.28"/>
        <n v="64.7"/>
        <n v="63.72"/>
        <n v="84.2"/>
        <n v="67.13"/>
        <n v="74.87"/>
        <n v="73.98"/>
        <n v="68.09"/>
        <n v="85.9"/>
        <n v="58.16"/>
        <n v="72.59"/>
        <n v="85.12"/>
        <n v="82.24"/>
        <n v="81.93"/>
        <n v="69.09"/>
        <n v="74.55"/>
        <n v="60.6"/>
        <n v="79"/>
        <n v="70.400000000000006"/>
        <n v="79.8"/>
        <n v="95.6"/>
        <n v="60.7"/>
        <n v="66"/>
        <n v="69.64"/>
        <n v="79.78"/>
        <n v="80.22"/>
        <n v="81.400000000000006"/>
        <n v="66.06"/>
        <n v="78.62"/>
        <n v="69.69"/>
        <n v="87.4"/>
        <n v="57.8"/>
        <n v="67.569999999999993"/>
        <n v="85"/>
        <n v="73.38"/>
        <n v="66.98"/>
        <n v="72.2"/>
        <n v="61.8"/>
        <n v="70.900000000000006"/>
        <n v="71.62"/>
        <n v="70.63"/>
        <n v="82.36"/>
        <n v="66.78"/>
        <n v="78.349999999999994"/>
        <n v="66.89"/>
        <n v="64.22"/>
        <n v="71.31"/>
        <n v="69.959999999999994"/>
        <n v="69.44"/>
        <n v="69.55"/>
        <n v="75.7"/>
        <n v="67.400000000000006"/>
        <n v="85.7"/>
        <n v="58.4"/>
        <n v="63.5"/>
        <n v="74.2"/>
        <n v="73.900000000000006"/>
        <n v="87.3"/>
        <n v="80.900000000000006"/>
        <n v="57.6"/>
        <n v="76.930000000000007"/>
        <n v="81.23"/>
        <n v="78.69"/>
        <n v="73.7"/>
        <n v="57.47"/>
        <n v="80.37"/>
        <n v="71.5"/>
        <n v="64.040000000000006"/>
        <n v="59.7"/>
        <n v="64.47"/>
        <n v="75.28"/>
        <n v="61"/>
        <n v="58.75"/>
        <n v="66.22"/>
        <n v="53.63"/>
        <n v="66.099999999999994"/>
        <n v="64.8"/>
        <n v="52.82"/>
        <n v="56.66"/>
        <n v="77.56"/>
        <n v="68.2"/>
        <n v="61.9"/>
        <n v="77.900000000000006"/>
        <n v="73.040000000000006"/>
        <n v="75.33"/>
        <n v="71.09"/>
        <n v="68.13"/>
        <n v="56.72"/>
        <n v="67.7"/>
        <n v="7.26"/>
        <n v="77.8"/>
        <n v="8.85"/>
        <n v="78.25"/>
        <n v="54.74"/>
        <n v="61.25"/>
        <n v="75.099999999999994"/>
        <n v="72.38"/>
        <n v="56.81"/>
        <n v="68.8"/>
        <n v="68.48"/>
        <n v="75.13"/>
        <n v="79.69"/>
        <n v="65.599999999999994"/>
        <n v="76.63"/>
        <n v="75.930000000000007"/>
        <n v="60.9"/>
        <n v="60.1"/>
        <n v="77.75"/>
        <n v="55.36"/>
        <n v="78.099999999999994"/>
        <n v="6.36"/>
        <n v="62.73"/>
        <n v="7.9"/>
        <n v="62.4"/>
        <n v="78.3"/>
        <n v="69.48"/>
        <n v="68.3"/>
        <n v="65.67"/>
        <n v="61.4"/>
        <n v="70.16"/>
        <n v="78.55"/>
        <n v="70.819999999999993"/>
        <n v="6.71"/>
        <n v="51"/>
        <n v="64.319999999999993"/>
        <n v="52.96"/>
        <n v="68.239999999999995"/>
        <n v="5.93"/>
        <n v="76.8"/>
        <n v="6.9"/>
        <n v="6.66"/>
        <n v="61.49"/>
        <n v="74.58"/>
        <n v="63.95"/>
        <n v="67.59"/>
        <n v="61.81"/>
        <n v="64.59"/>
        <n v="74.53"/>
        <n v="68.599999999999994"/>
        <n v="62.69"/>
        <n v="72.84"/>
        <n v="7.92"/>
        <n v="69.94"/>
        <n v="6.69"/>
        <n v="60.03"/>
        <n v="61.38"/>
        <n v="62.57"/>
        <n v="8.2799999999999994"/>
        <n v="81.67"/>
        <n v="74.599999999999994"/>
        <n v="73.66"/>
        <n v="71.760000000000005"/>
        <n v="70.239999999999995"/>
        <n v="64.680000000000007"/>
        <n v="63.23"/>
        <n v="61.62"/>
        <n v="60.62"/>
        <n v="62.66"/>
        <n v="59.11"/>
        <n v="63.9"/>
        <n v="79.2"/>
        <n v="63.1"/>
        <n v="59.28"/>
        <n v="56.23"/>
        <n v="62.56"/>
        <n v="79.7"/>
        <n v="43.44"/>
        <n v="5.89"/>
        <n v="72.599999999999994"/>
        <n v="77.38"/>
        <n v="61.06"/>
        <n v="56.75"/>
        <n v="70.62"/>
        <n v="76.849999999999994"/>
        <n v="7.87"/>
        <n v="76.900000000000006"/>
        <n v="62.31"/>
        <n v="61.7"/>
        <n v="84.5"/>
        <n v="6.51"/>
        <n v="59.93"/>
        <n v="70.150000000000006"/>
        <n v="7.4"/>
        <n v="67.36"/>
        <n v="7.1"/>
        <n v="66.56"/>
        <n v="62.2"/>
        <n v="74.760000000000005"/>
        <n v="75.83"/>
        <n v="91.5"/>
        <n v="76.2"/>
        <n v="61.41"/>
        <n v="63.73"/>
        <n v="74.31"/>
        <n v="62.1"/>
        <n v="59.09"/>
        <n v="72.75"/>
        <n v="82.2"/>
        <n v="56.28"/>
        <n v="66.400000000000006"/>
        <n v="6.04"/>
        <n v="68.86"/>
        <n v="63.6"/>
        <n v="73.930000000000007"/>
        <n v="64.5"/>
        <n v="66.67"/>
        <n v="65.53"/>
        <n v="71.84"/>
        <n v="84"/>
        <n v="80.16"/>
        <n v="63.25"/>
        <n v="70.86"/>
        <n v="61.45"/>
        <n v="55.45"/>
        <n v="70.459999999999994"/>
        <n v="60.35"/>
        <n v="76.209999999999994"/>
        <n v="7.29"/>
        <n v="75.53"/>
        <n v="60.13"/>
        <n v="64.2"/>
        <n v="71.37"/>
        <n v="54.56"/>
        <n v="67.58"/>
        <n v="71.2"/>
        <n v="57.94"/>
        <n v="63.87"/>
        <n v="62.67"/>
        <n v="63.18"/>
        <n v="5.73"/>
        <n v="74.709999999999994"/>
        <n v="70.760000000000005"/>
        <n v="73.099999999999994"/>
        <n v="56.67"/>
        <n v="63.7"/>
        <n v="5.7"/>
        <n v="5.16"/>
        <n v="68.37"/>
        <n v="68.38"/>
        <n v="84.8"/>
        <n v="63.69"/>
        <n v="76.13"/>
        <n v="8.01"/>
        <n v="66.930000000000007"/>
        <n v="58"/>
        <n v="65.819999999999993"/>
        <n v="6.27"/>
        <n v="62.64"/>
        <n v="71.650000000000006"/>
        <n v="64.06"/>
        <n v="57.29"/>
        <n v="63.96"/>
        <n v="58.9"/>
        <n v="70.010000000000005"/>
        <n v="68.7"/>
        <n v="65.260000000000005"/>
        <n v="78.290000000000006"/>
        <n v="78.06"/>
        <n v="60.86"/>
        <n v="66.2"/>
        <n v="65.47"/>
        <n v="71.41"/>
        <n v="88.1"/>
        <n v="63.3"/>
        <n v="60.14"/>
        <n v="55.51"/>
        <n v="75.94"/>
        <n v="55.07"/>
        <n v="74.040000000000006"/>
        <n v="78.47"/>
        <n v="63.71"/>
        <n v="72.62"/>
        <n v="88.6"/>
        <n v="56.58"/>
        <n v="66.53"/>
        <n v="62.86"/>
        <n v="71.86"/>
        <n v="57.2"/>
        <n v="55.3"/>
        <n v="68.930000000000007"/>
        <n v="69.569999999999993"/>
        <n v="6.46"/>
        <n v="74.67"/>
        <n v="58.87"/>
        <n v="60.41"/>
        <n v="64.400000000000006"/>
        <n v="64.900000000000006"/>
        <n v="66.31"/>
        <n v="64.42"/>
      </sharedItems>
    </cacheField>
    <cacheField name="Average Percentage" numFmtId="2">
      <sharedItems containsSemiMixedTypes="0" containsString="0" containsNumber="1" minValue="0" maxValue="2735.3333333333335" count="852">
        <n v="74.526666666666657"/>
        <n v="71.666666666666671"/>
        <n v="78.596666666666678"/>
        <n v="67.186666666666653"/>
        <n v="82.24666666666667"/>
        <n v="81.11999999999999"/>
        <n v="74.179999999999993"/>
        <n v="83.653333333333336"/>
        <n v="81.773333333333341"/>
        <n v="78.626666666666665"/>
        <n v="79.63666666666667"/>
        <n v="0"/>
        <n v="79.273333333333326"/>
        <n v="69.13333333333334"/>
        <n v="80.916666666666671"/>
        <n v="80.993333333333339"/>
        <n v="73.176666666666662"/>
        <n v="62.856666666666662"/>
        <n v="81.84333333333332"/>
        <n v="67.975000000000009"/>
        <n v="75.63"/>
        <n v="81.86"/>
        <n v="70"/>
        <n v="75.13"/>
        <n v="78.523333333333326"/>
        <n v="81.046666666666667"/>
        <n v="70.063333333333333"/>
        <n v="55.043333333333329"/>
        <n v="70.366666666666674"/>
        <n v="74.72"/>
        <n v="77.95"/>
        <n v="85.366666666666674"/>
        <n v="80.623333333333335"/>
        <n v="52.846666666666664"/>
        <n v="82.376666666666665"/>
        <n v="67.666666666666671"/>
        <n v="72.666666666666671"/>
        <n v="48.879999999999995"/>
        <n v="76.843333333333348"/>
        <n v="68.215000000000003"/>
        <n v="69"/>
        <n v="76.38666666666667"/>
        <n v="50.906666666666659"/>
        <n v="74.589999999999989"/>
        <n v="69.784999999999997"/>
        <n v="64.45"/>
        <n v="81.283333333333346"/>
        <n v="73.7"/>
        <n v="84"/>
        <n v="73.660000000000011"/>
        <n v="48.666666666666664"/>
        <n v="85.333333333333329"/>
        <n v="52.792500000000004"/>
        <n v="83.133333333333326"/>
        <n v="54.716666666666661"/>
        <n v="79.553333333333327"/>
        <n v="73.946666666666673"/>
        <n v="76.350000000000009"/>
        <n v="54.403333333333336"/>
        <n v="70.966666666666683"/>
        <n v="81.316666666666663"/>
        <n v="64.759999999999991"/>
        <n v="63.782500000000006"/>
        <n v="86.653333333333322"/>
        <n v="71.923333333333332"/>
        <n v="52.94"/>
        <n v="71.03"/>
        <n v="78.38666666666667"/>
        <n v="78.95"/>
        <n v="74.837500000000006"/>
        <n v="77.486666666666665"/>
        <n v="77.36333333333333"/>
        <n v="72.713333333333324"/>
        <n v="84.903333333333322"/>
        <n v="58.006666666666661"/>
        <n v="59.199999999999996"/>
        <n v="77.813333333333347"/>
        <n v="80.806666666666658"/>
        <n v="76.533333333333346"/>
        <n v="70.86"/>
        <n v="86.433333333333323"/>
        <n v="78.983333333333334"/>
        <n v="74.156666666666666"/>
        <n v="73.566666666666663"/>
        <n v="76.59"/>
        <n v="64.053333333333327"/>
        <n v="78.873333333333335"/>
        <n v="79.933333333333337"/>
        <n v="74.186666666666667"/>
        <n v="66.216666666666654"/>
        <n v="76.826666666666668"/>
        <n v="71.966666666666669"/>
        <n v="72.86333333333333"/>
        <n v="81.5"/>
        <n v="76.926666666666677"/>
        <n v="78.8"/>
        <n v="74.976666666666674"/>
        <n v="66.899999999999991"/>
        <n v="74.459999999999994"/>
        <n v="80.063333333333333"/>
        <n v="88.45"/>
        <n v="75.099999999999994"/>
        <n v="67.16"/>
        <n v="66.156666666666666"/>
        <n v="88.516666666666666"/>
        <n v="77.276666666666657"/>
        <n v="75.180000000000007"/>
        <n v="72.350000000000009"/>
        <n v="71.546666666666667"/>
        <n v="82.600000000000009"/>
        <n v="58.247500000000002"/>
        <n v="72.816666666666663"/>
        <n v="76.333333333333329"/>
        <n v="65.3"/>
        <n v="72.506666666666675"/>
        <n v="85.533333333333346"/>
        <n v="82.166666666666671"/>
        <n v="66.86666666666666"/>
        <n v="74.100000000000009"/>
        <n v="86.533333333333346"/>
        <n v="71.286666666666676"/>
        <n v="65.063333333333333"/>
        <n v="62.089999999999996"/>
        <n v="76.149999999999991"/>
        <n v="74.55"/>
        <n v="71.006666666666675"/>
        <n v="87.413333333333341"/>
        <n v="75.709999999999994"/>
        <n v="75.790000000000006"/>
        <n v="71.506666666666661"/>
        <n v="51.923333333333325"/>
        <n v="75.046666666666667"/>
        <n v="49.266666666666673"/>
        <n v="84.916666666666671"/>
        <n v="72.49666666666667"/>
        <n v="84.766666666666666"/>
        <n v="55.72"/>
        <n v="79.747500000000002"/>
        <n v="73.066666666666663"/>
        <n v="90.006666666666661"/>
        <n v="77.13333333333334"/>
        <n v="81.326666666666668"/>
        <n v="70.256666666666661"/>
        <n v="71.796666666666667"/>
        <n v="72.92"/>
        <n v="77.946666666666658"/>
        <n v="69.36333333333333"/>
        <n v="69.093333333333348"/>
        <n v="88.233333333333348"/>
        <n v="2735.3333333333335"/>
        <n v="58.806666666666672"/>
        <n v="80.066666666666663"/>
        <n v="67.36666666666666"/>
        <n v="86.600000000000009"/>
        <n v="48.143333333333338"/>
        <n v="83.13333333333334"/>
        <n v="75.143333333333331"/>
        <n v="53.823333333333331"/>
        <n v="72.316666666666663"/>
        <n v="52.569999999999993"/>
        <n v="77.75"/>
        <n v="78.256666666666661"/>
        <n v="75.406666666666666"/>
        <n v="71.83"/>
        <n v="75.5"/>
        <n v="49.77"/>
        <n v="65.36666666666666"/>
        <n v="70.47"/>
        <n v="69.893333333333331"/>
        <n v="68.399999999999991"/>
        <n v="77.63666666666667"/>
        <n v="70.679999999999993"/>
        <n v="67.13333333333334"/>
        <n v="76.92"/>
        <n v="72.593333333333334"/>
        <n v="75.3"/>
        <n v="73.989999999999995"/>
        <n v="71.463333333333338"/>
        <n v="75.783333333333331"/>
        <n v="62.256666666666661"/>
        <n v="58.017499999999998"/>
        <n v="63.916666666666664"/>
        <n v="73.756666666666675"/>
        <n v="59.313333333333333"/>
        <n v="74.123333333333335"/>
        <n v="76.959999999999994"/>
        <n v="65.186666666666667"/>
        <n v="66.185000000000002"/>
        <n v="75.160000000000011"/>
        <n v="78.399999999999991"/>
        <n v="71.196666666666673"/>
        <n v="73.03"/>
        <n v="68.946666666666658"/>
        <n v="62.6"/>
        <n v="72.400000000000006"/>
        <n v="67.236666666666665"/>
        <n v="57.076666666666661"/>
        <n v="71.096666666666664"/>
        <n v="83.303333333333327"/>
        <n v="78.559999999999988"/>
        <n v="66.69"/>
        <n v="68.693333333333328"/>
        <n v="71.73"/>
        <n v="79.570000000000007"/>
        <n v="47.143333333333338"/>
        <n v="68.656666666666666"/>
        <n v="77.663333333333341"/>
        <n v="66.997500000000002"/>
        <n v="76.053333333333327"/>
        <n v="68.333333333333329"/>
        <n v="67.509999999999991"/>
        <n v="74.88000000000001"/>
        <n v="80.149999999999991"/>
        <n v="79.160000000000011"/>
        <n v="70.666666666666671"/>
        <n v="79.693333333333342"/>
        <n v="74.026666666666657"/>
        <n v="64.3"/>
        <n v="64.403333333333336"/>
        <n v="65.516666666666666"/>
        <n v="53.68"/>
        <n v="79.256666666666661"/>
        <n v="76.376666666666665"/>
        <n v="60.525000000000006"/>
        <n v="54.713333333333331"/>
        <n v="61.193333333333335"/>
        <n v="80.586666666666659"/>
        <n v="69.64"/>
        <n v="76.86"/>
        <n v="68.679999999999993"/>
        <n v="69.093333333333334"/>
        <n v="59.756666666666668"/>
        <n v="72.173333333333346"/>
        <n v="72.11333333333333"/>
        <n v="70.459999999999994"/>
        <n v="73.97"/>
        <n v="47.886666666666663"/>
        <n v="57.623333333333328"/>
        <n v="69.739999999999995"/>
        <n v="80.756666666666675"/>
        <n v="84.396666666666661"/>
        <n v="66"/>
        <n v="70.2"/>
        <n v="75.206666666666663"/>
        <n v="70.836666666666659"/>
        <n v="66.102500000000006"/>
        <n v="85.566666666666677"/>
        <n v="77.816666666666663"/>
        <n v="81.593333333333348"/>
        <n v="40.616666666666667"/>
        <n v="66.77"/>
        <n v="76.076666666666668"/>
        <n v="73.496666666666655"/>
        <n v="69.116666666666674"/>
        <n v="78.486666666666665"/>
        <n v="71.086666666666659"/>
        <n v="69.423333333333332"/>
        <n v="74.38000000000001"/>
        <n v="71.626666666666665"/>
        <n v="66.273333333333326"/>
        <n v="55.256666666666668"/>
        <n v="73.100000000000009"/>
        <n v="67.510000000000005"/>
        <n v="78.773333333333326"/>
        <n v="70.836666666666673"/>
        <n v="66.59333333333332"/>
        <n v="63.906666666666666"/>
        <n v="62.330000000000005"/>
        <n v="75.793333333333337"/>
        <n v="61"/>
        <n v="82.013333333333335"/>
        <n v="72.016666666666666"/>
        <n v="81.089999999999989"/>
        <n v="49.52"/>
        <n v="66.08"/>
        <n v="78.006666666666661"/>
        <n v="71.64"/>
        <n v="72.84333333333332"/>
        <n v="70.206666666666663"/>
        <n v="66.046666666666667"/>
        <n v="65.263333333333335"/>
        <n v="55.04999999999999"/>
        <n v="52.483333333333327"/>
        <n v="71.333333333333329"/>
        <n v="73.11333333333333"/>
        <n v="68.716666666666654"/>
        <n v="74.703333333333333"/>
        <n v="72.443333333333328"/>
        <n v="74.306666666666672"/>
        <n v="40.906666666666666"/>
        <n v="76.233333333333334"/>
        <n v="70.873333333333335"/>
        <n v="67.53"/>
        <n v="73.152500000000003"/>
        <n v="49.896666666666668"/>
        <n v="69.290000000000006"/>
        <n v="66.946666666666673"/>
        <n v="60.646666666666668"/>
        <n v="63.504999999999995"/>
        <n v="44.516666666666673"/>
        <n v="62.573333333333331"/>
        <n v="71.7"/>
        <n v="46.71"/>
        <n v="78.5"/>
        <n v="65.986666666666665"/>
        <n v="81.44"/>
        <n v="69.88"/>
        <n v="80.456666666666663"/>
        <n v="76.67"/>
        <n v="64.073333333333338"/>
        <n v="75.223333333333343"/>
        <n v="72.333333333333343"/>
        <n v="68.39"/>
        <n v="70.58"/>
        <n v="62.473333333333336"/>
        <n v="65.773333333333326"/>
        <n v="73.616666666666674"/>
        <n v="73.013333333333335"/>
        <n v="72.343333333333348"/>
        <n v="76.013333333333335"/>
        <n v="76.956666666666663"/>
        <n v="45.406666666666666"/>
        <n v="78.363333333333344"/>
        <n v="66.666666666666671"/>
        <n v="62.333333333333336"/>
        <n v="73.213333333333324"/>
        <n v="66.033333333333331"/>
        <n v="71"/>
        <n v="64.816666666666663"/>
        <n v="45.5"/>
        <n v="67.723333333333343"/>
        <n v="76.89"/>
        <n v="68.633333333333326"/>
        <n v="59.9"/>
        <n v="65.87"/>
        <n v="41.559999999999995"/>
        <n v="84.910000000000011"/>
        <n v="61.733333333333327"/>
        <n v="78.99666666666667"/>
        <n v="71.323333333333338"/>
        <n v="74"/>
        <n v="69.176666666666662"/>
        <n v="74.844999999999999"/>
        <n v="69.875"/>
        <n v="78.843333333333334"/>
        <n v="76.773333333333326"/>
        <n v="64.763333333333335"/>
        <n v="67.416666666666671"/>
        <n v="66.36333333333333"/>
        <n v="50.513333333333328"/>
        <n v="63.73"/>
        <n v="69.910000000000011"/>
        <n v="36.943333333333335"/>
        <n v="47.4"/>
        <n v="77.466666666666669"/>
        <n v="81.596666666666678"/>
        <n v="79.56"/>
        <n v="60.24"/>
        <n v="61.44"/>
        <n v="47.800000000000004"/>
        <n v="59.265000000000001"/>
        <n v="66.94"/>
        <n v="66.515000000000001"/>
        <n v="69.313333333333333"/>
        <n v="69.923333333333332"/>
        <n v="68.373333333333335"/>
        <n v="68.063333333333333"/>
        <n v="63.236666666666657"/>
        <n v="75.653333333333336"/>
        <n v="69.459999999999994"/>
        <n v="70.233333333333334"/>
        <n v="74.833333333333329"/>
        <n v="68.720000000000013"/>
        <n v="66.573333333333338"/>
        <n v="58.137500000000003"/>
        <n v="52.72"/>
        <n v="79.739999999999995"/>
        <n v="70.959999999999994"/>
        <n v="67.333333333333329"/>
        <n v="69.286666666666676"/>
        <n v="67.086666666666659"/>
        <n v="71.046666666666667"/>
        <n v="71.006666666666661"/>
        <n v="70.343333333333348"/>
        <n v="81.709999999999994"/>
        <n v="72.260000000000005"/>
        <n v="76.22"/>
        <n v="74.42"/>
        <n v="85.223333333333343"/>
        <n v="79.38333333333334"/>
        <n v="75.183333333333337"/>
        <n v="66.289999999999992"/>
        <n v="74.913333333333327"/>
        <n v="80.423333333333332"/>
        <n v="78.31"/>
        <n v="71.396666666666661"/>
        <n v="70.973333333333343"/>
        <n v="69.52"/>
        <n v="71.149999999999991"/>
        <n v="84.13333333333334"/>
        <n v="74.77"/>
        <n v="75.036666666666676"/>
        <n v="61.454999999999998"/>
        <n v="69.150000000000006"/>
        <n v="85.23"/>
        <n v="68.966666666666654"/>
        <n v="78.056666666666672"/>
        <n v="81.31"/>
        <n v="79.766666666666666"/>
        <n v="79.803333333333327"/>
        <n v="65.103333333333339"/>
        <n v="63.713333333333331"/>
        <n v="71.570000000000007"/>
        <n v="69.099999999999994"/>
        <n v="82.696666666666673"/>
        <n v="77.314999999999998"/>
        <n v="87.27"/>
        <n v="75.833333333333329"/>
        <n v="79.973333333333343"/>
        <n v="74.206666666666663"/>
        <n v="83.800000000000011"/>
        <n v="75.873333333333335"/>
        <n v="73.44"/>
        <n v="63.666666666666664"/>
        <n v="72.02"/>
        <n v="82.74"/>
        <n v="74.546666666666667"/>
        <n v="84.40666666666668"/>
        <n v="81.11333333333333"/>
        <n v="74.183333333333337"/>
        <n v="74.416666666666671"/>
        <n v="74.046666666666667"/>
        <n v="67.276666666666657"/>
        <n v="75.09"/>
        <n v="65.696666666666673"/>
        <n v="68.483333333333334"/>
        <n v="78.533333333333331"/>
        <n v="74.233333333333334"/>
        <n v="74.966666666666669"/>
        <n v="76.666666666666671"/>
        <n v="72.926666666666662"/>
        <n v="69.066666666666663"/>
        <n v="80.666666666666671"/>
        <n v="82.846666666666664"/>
        <n v="71.530000000000015"/>
        <n v="73.686666666666667"/>
        <n v="76.599999999999994"/>
        <n v="65.603333333333339"/>
        <n v="73.286666666666676"/>
        <n v="68.763333333333335"/>
        <n v="70.470000000000013"/>
        <n v="55.402500000000003"/>
        <n v="75.953333333333333"/>
        <n v="68.239999999999995"/>
        <n v="72.790000000000006"/>
        <n v="76.663333333333341"/>
        <n v="71.703333333333333"/>
        <n v="73.69"/>
        <n v="67.63"/>
        <n v="70.163333333333341"/>
        <n v="81.953333333333333"/>
        <n v="79.325000000000003"/>
        <n v="82.89"/>
        <n v="66.336666666666659"/>
        <n v="74.563333333333333"/>
        <n v="83.313333333333333"/>
        <n v="84.373333333333321"/>
        <n v="72.33"/>
        <n v="79.806666666666672"/>
        <n v="88.896666666666661"/>
        <n v="74.266666666666666"/>
        <n v="70.49666666666667"/>
        <n v="73.295000000000002"/>
        <n v="78.510000000000005"/>
        <n v="73.55"/>
        <n v="65.75"/>
        <n v="82.75"/>
        <n v="67.903333333333336"/>
        <n v="66.399999999999991"/>
        <n v="82.179999999999993"/>
        <n v="69.976666666666674"/>
        <n v="80.19"/>
        <n v="76.186666666666667"/>
        <n v="79.73"/>
        <n v="88.339999999999989"/>
        <n v="84.783333333333331"/>
        <n v="65.086666666666659"/>
        <n v="83.353333333333339"/>
        <n v="83.276666666666671"/>
        <n v="76.100000000000009"/>
        <n v="71.86333333333333"/>
        <n v="72.486666666666665"/>
        <n v="66.333333333333329"/>
        <n v="84.68"/>
        <n v="61.984999999999999"/>
        <n v="81.27"/>
        <n v="75.936666666666667"/>
        <n v="76.913333333333341"/>
        <n v="67.720000000000013"/>
        <n v="67.846666666666664"/>
        <n v="76.930000000000007"/>
        <n v="76.416666666666671"/>
        <n v="63.183333333333337"/>
        <n v="83.416666666666671"/>
        <n v="78.156666666666666"/>
        <n v="75.823333333333338"/>
        <n v="70.892499999999984"/>
        <n v="82.820000000000007"/>
        <n v="80.103333333333339"/>
        <n v="69.436666666666667"/>
        <n v="72.196666666666658"/>
        <n v="72.069999999999993"/>
        <n v="61.476666666666667"/>
        <n v="75.74666666666667"/>
        <n v="75.7"/>
        <n v="72.883333333333326"/>
        <n v="73.34"/>
        <n v="87.766666666666666"/>
        <n v="83.266666666666666"/>
        <n v="68.943333333333342"/>
        <n v="78.73"/>
        <n v="69.25"/>
        <n v="78.026666666666657"/>
        <n v="65.77000000000001"/>
        <n v="61.283333333333331"/>
        <n v="83.71"/>
        <n v="73.293333333333337"/>
        <n v="82.563333333333333"/>
        <n v="69.84333333333332"/>
        <n v="65.176666666666662"/>
        <n v="83.836666666666659"/>
        <n v="71.066666666666663"/>
        <n v="76.62"/>
        <n v="75.63333333333334"/>
        <n v="73.5"/>
        <n v="61.366666666666674"/>
        <n v="67.309999999999988"/>
        <n v="68.843333333333334"/>
        <n v="68.766666666666666"/>
        <n v="71.28"/>
        <n v="75.97"/>
        <n v="64.649999999999991"/>
        <n v="69.63333333333334"/>
        <n v="74.256666666666661"/>
        <n v="73.473333333333329"/>
        <n v="63.616666666666667"/>
        <n v="79.12"/>
        <n v="71.865000000000009"/>
        <n v="73.566666666666677"/>
        <n v="83.04"/>
        <n v="65.766666666666666"/>
        <n v="66.930000000000007"/>
        <n v="74.953333333333333"/>
        <n v="80.81"/>
        <n v="76.463333333333338"/>
        <n v="78.069999999999993"/>
        <n v="65.036666666666662"/>
        <n v="65.7"/>
        <n v="77.396666666666661"/>
        <n v="63.073333333333331"/>
        <n v="73.483333333333334"/>
        <n v="56.056666666666665"/>
        <n v="74.733333333333334"/>
        <n v="81.350000000000009"/>
        <n v="59.72"/>
        <n v="65.416666666666671"/>
        <n v="64.103333333333339"/>
        <n v="70.36666666666666"/>
        <n v="80.42"/>
        <n v="68.873333333333335"/>
        <n v="70.333333333333329"/>
        <n v="68.776666666666657"/>
        <n v="69.86666666666666"/>
        <n v="73.472499999999997"/>
        <n v="75.826666666666668"/>
        <n v="82.11"/>
        <n v="62.426666666666669"/>
        <n v="76.513333333333335"/>
        <n v="66.8"/>
        <n v="72.623333333333335"/>
        <n v="79.899999999999991"/>
        <n v="71.3"/>
        <n v="70.546666666666667"/>
        <n v="78.946666666666673"/>
        <n v="67.256666666666675"/>
        <n v="74.813333333333333"/>
        <n v="68.053333333333342"/>
        <n v="74.13333333333334"/>
        <n v="50.120000000000005"/>
        <n v="60.782499999999992"/>
        <n v="76.883333333333326"/>
        <n v="71.873333333333335"/>
        <n v="48.693333333333335"/>
        <n v="69.466666666666669"/>
        <n v="82.92"/>
        <n v="82.033333333333331"/>
        <n v="68.733333333333334"/>
        <n v="67.376666666666665"/>
        <n v="68.332499999999996"/>
        <n v="80.486666666666665"/>
        <n v="73.245000000000005"/>
        <n v="83.72"/>
        <n v="81.176666666666662"/>
        <n v="70.643333333333331"/>
        <n v="80.673333333333332"/>
        <n v="51.56"/>
        <n v="60.4"/>
        <n v="48.886666666666656"/>
        <n v="72.31"/>
        <n v="63.2425"/>
        <n v="78.766666666666666"/>
        <n v="55.410000000000004"/>
        <n v="81.033333333333346"/>
        <n v="51.026666666666671"/>
        <n v="77.800000000000011"/>
        <n v="70.386666666666656"/>
        <n v="66.006666666666675"/>
        <n v="74.19"/>
        <n v="76.806666666666672"/>
        <n v="63.295000000000002"/>
        <n v="62.483333333333327"/>
        <n v="62.800000000000004"/>
        <n v="71.672500000000014"/>
        <n v="50.843333333333334"/>
        <n v="72.773333333333326"/>
        <n v="70.34"/>
        <n v="72.406666666666666"/>
        <n v="74.283333333333331"/>
        <n v="48.973333333333329"/>
        <n v="73.666666666666671"/>
        <n v="68.48"/>
        <n v="44.839999999999996"/>
        <n v="74.570000000000007"/>
        <n v="68.436666666666667"/>
        <n v="62.733333333333327"/>
        <n v="58.406666666666666"/>
        <n v="81.586666666666659"/>
        <n v="76.913333333333327"/>
        <n v="69.48"/>
        <n v="80.446666666666673"/>
        <n v="77.92"/>
        <n v="78.353333333333339"/>
        <n v="73.160000000000011"/>
        <n v="77.176666666666662"/>
        <n v="68.853333333333339"/>
        <n v="85.306666666666672"/>
        <n v="75.209999999999994"/>
        <n v="71.803333333333342"/>
        <n v="62.865000000000002"/>
        <n v="66.823333333333338"/>
        <n v="69.540000000000006"/>
        <n v="71.31"/>
        <n v="62.633333333333333"/>
        <n v="80.44"/>
        <n v="71.733333333333334"/>
        <n v="69.033333333333331"/>
        <n v="78.043333333333337"/>
        <n v="83.993333333333325"/>
        <n v="72.626666666666665"/>
        <n v="62.22"/>
        <n v="83.433333333333337"/>
        <n v="54.96"/>
        <n v="60.079999999999991"/>
        <n v="81.066666666666663"/>
        <n v="72.333333333333329"/>
        <n v="78.38"/>
        <n v="66.75333333333333"/>
        <n v="60.103333333333332"/>
        <n v="80.173333333333332"/>
        <n v="81.990000000000009"/>
        <n v="72.693333333333342"/>
        <n v="74.193333333333328"/>
        <n v="39.99"/>
        <n v="78.293333333333337"/>
        <n v="62.923333333333325"/>
        <n v="72.2"/>
        <n v="81.493333333333339"/>
        <n v="85.966666666666654"/>
        <n v="48.836666666666666"/>
        <n v="82.306666666666672"/>
        <n v="58.353333333333332"/>
        <n v="70.05"/>
        <n v="68.153333333333336"/>
        <n v="55.466666666666669"/>
        <n v="61.156666666666666"/>
        <n v="48.889999999999993"/>
        <n v="77.443333333333328"/>
        <n v="78.98"/>
        <n v="57.57"/>
        <n v="71.790000000000006"/>
        <n v="75.99666666666667"/>
        <n v="85.5"/>
        <n v="80.376666666666665"/>
        <n v="76.38000000000001"/>
        <n v="73.376666666666665"/>
        <n v="73.106666666666669"/>
        <n v="77.726666666666674"/>
        <n v="68.11999999999999"/>
        <n v="74.339999999999989"/>
        <n v="60.27"/>
        <n v="78.576666666666668"/>
        <n v="78.846666666666678"/>
        <n v="66.5"/>
        <n v="80.726666666666674"/>
        <n v="86.696666666666658"/>
        <n v="62.906666666666666"/>
        <n v="77.166666666666671"/>
        <n v="69.553333333333327"/>
        <n v="63.323333333333331"/>
        <n v="73.88666666666667"/>
        <n v="70.78"/>
        <n v="48.233333333333327"/>
        <n v="77.103333333333339"/>
        <n v="70.88333333333334"/>
        <n v="78.543333333333337"/>
        <n v="77.90666666666668"/>
        <n v="78.383333333333326"/>
        <n v="60.553333333333335"/>
        <n v="72.766666666666666"/>
        <n v="69.63"/>
        <n v="59.243333333333339"/>
        <n v="75.146666666666675"/>
        <n v="47.26"/>
        <n v="76.533333333333331"/>
        <n v="70.009999999999991"/>
        <n v="67.603333333333339"/>
        <n v="75.806666666666672"/>
        <n v="75.533333333333346"/>
        <n v="73.09333333333332"/>
        <n v="71.416666666666671"/>
        <n v="79.436666666666667"/>
        <n v="71.716666666666669"/>
        <n v="55.050000000000004"/>
        <n v="76.433333333333337"/>
        <n v="73.183333333333337"/>
        <n v="53.943333333333335"/>
        <n v="67.19"/>
        <n v="71.166666666666671"/>
        <n v="80.91"/>
        <n v="71.346666666666664"/>
        <n v="75.31"/>
        <n v="77.433333333333337"/>
        <n v="62.766666666666673"/>
        <n v="78.819999999999993"/>
        <n v="48.433333333333337"/>
        <n v="72.90666666666668"/>
        <n v="76.09333333333332"/>
        <n v="70.623333333333335"/>
        <n v="65.016666666666666"/>
        <n v="69.78"/>
        <n v="71.36"/>
        <n v="70.179999999999993"/>
        <n v="65.946666666666673"/>
        <n v="71.62"/>
        <n v="52.193333333333335"/>
        <n v="65.573333333333338"/>
        <n v="80.396666666666661"/>
        <n v="74.803333333333342"/>
        <n v="79.166666666666671"/>
        <n v="74.63333333333334"/>
        <n v="74.706666666666663"/>
        <n v="71.243333333333339"/>
        <n v="75.583333333333329"/>
        <n v="46.833333333333336"/>
        <n v="74.553333333333327"/>
        <n v="76.293333333333337"/>
        <n v="67.42"/>
        <n v="55.853333333333332"/>
        <n v="76.11333333333333"/>
        <n v="78.456666666666663"/>
        <n v="82.066666666666663"/>
        <n v="68.856666666666669"/>
        <n v="51.013333333333328"/>
        <n v="69.666666666666671"/>
        <n v="77.713333333333324"/>
        <n v="81.983333333333334"/>
        <n v="83.866666666666674"/>
        <n v="68.040000000000006"/>
        <n v="69.443333333333342"/>
        <n v="75"/>
        <n v="70.656666666666652"/>
        <n v="82.929999999999993"/>
        <n v="59.589999999999996"/>
        <n v="77.223333333333343"/>
        <n v="68.8"/>
        <n v="73.333333333333329"/>
        <n v="70.12"/>
        <n v="52.97"/>
        <n v="73.086666666666659"/>
        <n v="58.420000000000009"/>
        <n v="73.73"/>
        <n v="79.516666666666666"/>
        <n v="74.633333333333326"/>
        <n v="80.94"/>
        <n v="77.86"/>
        <n v="71.77"/>
        <n v="68.453333333333333"/>
        <n v="64.563333333333333"/>
        <n v="72.254999999999995"/>
        <n v="69.166666666666671"/>
        <n v="77.806666666666672"/>
        <n v="74.606666666666669"/>
        <n v="70.686666666666667"/>
        <n v="77.190000000000012"/>
        <n v="75.930000000000007"/>
        <n v="82.2"/>
        <n v="75.593333333333334"/>
        <n v="64.62"/>
        <n v="76.75"/>
        <n v="68.642499999999998"/>
        <n v="71.316666666666663"/>
        <n v="82.913333333333327"/>
        <n v="78.41"/>
        <n v="72.900000000000006"/>
        <n v="66.7"/>
        <n v="63.849999999999994"/>
        <n v="73.903333333333322"/>
        <n v="61.166666666666664"/>
        <n v="48.223333333333336"/>
        <n v="74.86666666666666"/>
        <n v="76.836666666666659"/>
        <n v="76.254999999999995"/>
        <n v="75.25"/>
        <n v="68.540000000000006"/>
        <n v="88.823333333333338"/>
        <n v="57.48"/>
        <n v="76.176666666666662"/>
        <n v="68.706666666666663"/>
        <n v="50.76"/>
        <n v="70.92"/>
        <n v="69.413333333333341"/>
        <n v="76.2"/>
        <n v="67.546666666666667"/>
        <n v="77.283333333333331"/>
        <n v="70.180000000000007"/>
        <n v="67.766666666666666"/>
        <n v="67.463333333333324"/>
        <n v="67.49666666666667"/>
        <n v="68.296666666666667"/>
        <n v="75.516666666666666"/>
        <n v="73.853333333333339"/>
        <n v="74.213333333333324"/>
        <n v="67.959999999999994"/>
        <n v="50.196666666666665"/>
        <n v="74.74666666666667"/>
        <n v="69.430000000000007"/>
        <n v="65.05"/>
        <n v="74.83"/>
        <n v="71.649999999999991"/>
        <n v="78.750000000000014"/>
        <n v="75.95"/>
        <n v="67.40666666666668"/>
      </sharedItems>
    </cacheField>
    <cacheField name="pg_cert" numFmtId="0">
      <sharedItems/>
    </cacheField>
    <cacheField name="done_precat" numFmtId="0">
      <sharedItems/>
    </cacheField>
    <cacheField name="age2" numFmtId="0">
      <sharedItems containsSemiMixedTypes="0" containsString="0" containsNumber="1" containsInteger="1" minValue="-1" maxValue="37"/>
    </cacheField>
    <cacheField name="grad_grade" numFmtId="0">
      <sharedItems/>
    </cacheField>
    <cacheField name="branch" numFmtId="0">
      <sharedItems count="7">
        <s v="IT"/>
        <s v="Electrical"/>
        <s v="Civil"/>
        <s v="Computer"/>
        <s v="Mechanical"/>
        <s v="Other"/>
        <s v="Electronics"/>
      </sharedItems>
    </cacheField>
    <cacheField name="grad_degree" numFmtId="0">
      <sharedItems count="7">
        <s v="BE"/>
        <s v="BTech"/>
        <s v="NA"/>
        <s v="BSc"/>
        <s v="Others"/>
        <s v="Other"/>
        <s v="BCA"/>
      </sharedItems>
    </cacheField>
    <cacheField name="total800" numFmtId="0">
      <sharedItems containsSemiMixedTypes="0" containsString="0" containsNumber="1" containsInteger="1" minValue="52" maxValue="709"/>
    </cacheField>
    <cacheField name="cdac_percentage" numFmtId="0">
      <sharedItems containsSemiMixedTypes="0" containsString="0" containsNumber="1" minValue="7.375" maxValue="89.833333330000002" count="380">
        <n v="51.625"/>
        <n v="55.75"/>
        <n v="65.125"/>
        <n v="67.75"/>
        <n v="56.625"/>
        <n v="74"/>
        <n v="59.25"/>
        <n v="76.25"/>
        <n v="54"/>
        <n v="77.875"/>
        <n v="54.5"/>
        <n v="39.875"/>
        <n v="71.625"/>
        <n v="58.125"/>
        <n v="66"/>
        <n v="68.25"/>
        <n v="16.375"/>
        <n v="55.25"/>
        <n v="61.75"/>
        <n v="69.875"/>
        <n v="77.375"/>
        <n v="37.25"/>
        <n v="52.375"/>
        <n v="69.75"/>
        <n v="60.625"/>
        <n v="67.25"/>
        <n v="53"/>
        <n v="76.625"/>
        <n v="64.75"/>
        <n v="75"/>
        <n v="61"/>
        <n v="74.625"/>
        <n v="78.125"/>
        <n v="64"/>
        <n v="42.125"/>
        <n v="66.375"/>
        <n v="59.375"/>
        <n v="56.875"/>
        <n v="69.375"/>
        <n v="78.5"/>
        <n v="58.875"/>
        <n v="64.375"/>
        <n v="44.625"/>
        <n v="65.25"/>
        <n v="63.75"/>
        <n v="70.375"/>
        <n v="51.375"/>
        <n v="68.5"/>
        <n v="61.625"/>
        <n v="51"/>
        <n v="72.125"/>
        <n v="68.375"/>
        <n v="76"/>
        <n v="37.375"/>
        <n v="50.625"/>
        <n v="53.625"/>
        <n v="48.625"/>
        <n v="75.25"/>
        <n v="66.625"/>
        <n v="46.875"/>
        <n v="49.125"/>
        <n v="65.75"/>
        <n v="82.875"/>
        <n v="70"/>
        <n v="62.875"/>
        <n v="66.5"/>
        <n v="79.75"/>
        <n v="82.5"/>
        <n v="58.25"/>
        <n v="61.125"/>
        <n v="52.875"/>
        <n v="81.875"/>
        <n v="71.75"/>
        <n v="73.375"/>
        <n v="62.125"/>
        <n v="62.25"/>
        <n v="32.25"/>
        <n v="47.75"/>
        <n v="69.625"/>
        <n v="37"/>
        <n v="68.75"/>
        <n v="50.75"/>
        <n v="50.875"/>
        <n v="49.5"/>
        <n v="60.125"/>
        <n v="71.875"/>
        <n v="78.875"/>
        <n v="88.625"/>
        <n v="63.125"/>
        <n v="40.5"/>
        <n v="73.875"/>
        <n v="45.625"/>
        <n v="64.625"/>
        <n v="65"/>
        <n v="60.75"/>
        <n v="48.375"/>
        <n v="59.625"/>
        <n v="7.375"/>
        <n v="49.875"/>
        <n v="75.625"/>
        <n v="83.875"/>
        <n v="67.875"/>
        <n v="63.25"/>
        <n v="72.5"/>
        <n v="60.375"/>
        <n v="26.25"/>
        <n v="58.75"/>
        <n v="75.875"/>
        <n v="60.25"/>
        <n v="56.5"/>
        <n v="67"/>
        <n v="58.625"/>
        <n v="66.875"/>
        <n v="68.625"/>
        <n v="50"/>
        <n v="74.75"/>
        <n v="73.5"/>
        <n v="76.375"/>
        <n v="48.5"/>
        <n v="56.25"/>
        <n v="46.375"/>
        <n v="55.625"/>
        <n v="60.875"/>
        <n v="67.375"/>
        <n v="75.5"/>
        <n v="72"/>
        <n v="73.125"/>
        <n v="79.25"/>
        <n v="74.25"/>
        <n v="56.375"/>
        <n v="75.75"/>
        <n v="66.125"/>
        <n v="58"/>
        <n v="56"/>
        <n v="73.625"/>
        <n v="70.25"/>
        <n v="57.25"/>
        <n v="71.375"/>
        <n v="69.5"/>
        <n v="57.625"/>
        <n v="62.625"/>
        <n v="74.875"/>
        <n v="77.125"/>
        <n v="58.375"/>
        <n v="79.125"/>
        <n v="73.25"/>
        <n v="62.75"/>
        <n v="76.875"/>
        <n v="65.625"/>
        <n v="59.125"/>
        <n v="83.5"/>
        <n v="72.375"/>
        <n v="63.5"/>
        <n v="63.375"/>
        <n v="70.125"/>
        <n v="57.125"/>
        <n v="62.5"/>
        <n v="53.25"/>
        <n v="71.125"/>
        <n v="55.875"/>
        <n v="57.875"/>
        <n v="69.125"/>
        <n v="50.125"/>
        <n v="66.75"/>
        <n v="72.875"/>
        <n v="53.75"/>
        <n v="68.125"/>
        <n v="76.125"/>
        <n v="77.25"/>
        <n v="67.125"/>
        <n v="40.625"/>
        <n v="72.25"/>
        <n v="74.375"/>
        <n v="53.375"/>
        <n v="71.5"/>
        <n v="66.25"/>
        <n v="54.25"/>
        <n v="60"/>
        <n v="71.25"/>
        <n v="57.75"/>
        <n v="62.375"/>
        <n v="63"/>
        <n v="52"/>
        <n v="47.125"/>
        <n v="59.5"/>
        <n v="62"/>
        <n v="64.125"/>
        <n v="57"/>
        <n v="77.75"/>
        <n v="47.375"/>
        <n v="51.75"/>
        <n v="67.625"/>
        <n v="49.375"/>
        <n v="74.5"/>
        <n v="72.166666669999998"/>
        <n v="72.333333330000002"/>
        <n v="45.666666669999998"/>
        <n v="72.666666669999998"/>
        <n v="63.333333330000002"/>
        <n v="67.333333330000002"/>
        <n v="74.666666669999998"/>
        <n v="70.666666669999998"/>
        <n v="76.5"/>
        <n v="64.666666669999998"/>
        <n v="64.5"/>
        <n v="75.166666669999998"/>
        <n v="69.166666669999998"/>
        <n v="76.833333330000002"/>
        <n v="53.666666669999998"/>
        <n v="69"/>
        <n v="70.833333330000002"/>
        <n v="59.166666669999998"/>
        <n v="48.333333330000002"/>
        <n v="65.333333330000002"/>
        <n v="74.166666669999998"/>
        <n v="77.666666669999998"/>
        <n v="76.333333330000002"/>
        <n v="84.5"/>
        <n v="76.666666669999998"/>
        <n v="65.833333330000002"/>
        <n v="89.833333330000002"/>
        <n v="64.833333330000002"/>
        <n v="75.333333330000002"/>
        <n v="61.333333330000002"/>
        <n v="80.666666669999998"/>
        <n v="66.666666669999998"/>
        <n v="79.666666669999998"/>
        <n v="70.333333330000002"/>
        <n v="58.333333330000002"/>
        <n v="73.333333330000002"/>
        <n v="79.333333330000002"/>
        <n v="59.333333330000002"/>
        <n v="30.5"/>
        <n v="58.166666669999998"/>
        <n v="80.5"/>
        <n v="71.833333330000002"/>
        <n v="69.833333330000002"/>
        <n v="12"/>
        <n v="84.666666669999998"/>
        <n v="56.666666669999998"/>
        <n v="59.833333330000002"/>
        <n v="77.833333330000002"/>
        <n v="74.833333330000002"/>
        <n v="71.333333330000002"/>
        <n v="70.5"/>
        <n v="66.166666669999998"/>
        <n v="67.166666669999998"/>
        <n v="76.166666669999998"/>
        <n v="66.833333330000002"/>
        <n v="61.666666669999998"/>
        <n v="78.333333330000002"/>
        <n v="61.833333330000002"/>
        <n v="57.5"/>
        <n v="45.833333330000002"/>
        <n v="69.333333330000002"/>
        <n v="53.833333330000002"/>
        <n v="68"/>
        <n v="43"/>
        <n v="47.666666669999998"/>
        <n v="81.666666669999998"/>
        <n v="73.666666669999998"/>
        <n v="75.666666669999998"/>
        <n v="66.333333330000002"/>
        <n v="42.666666669999998"/>
        <n v="78.166666669999998"/>
        <n v="63.833333330000002"/>
        <n v="60.833333330000002"/>
        <n v="79.166666669999998"/>
        <n v="63.166666669999998"/>
        <n v="64.166666669999998"/>
        <n v="68.166666669999998"/>
        <n v="70.166666669999998"/>
        <n v="83.333333330000002"/>
        <n v="81.333333330000002"/>
        <n v="58.666666669999998"/>
        <n v="46"/>
        <n v="52.5"/>
        <n v="61.5"/>
        <n v="55.166666669999998"/>
        <n v="48"/>
        <n v="37.333333330000002"/>
        <n v="68.666666669999998"/>
        <n v="62.333333330000002"/>
        <n v="57.333333330000002"/>
        <n v="65.666666669999998"/>
        <n v="8.6666666669999994"/>
        <n v="53.166666669999998"/>
        <n v="68.333333330000002"/>
        <n v="41.666666669999998"/>
        <n v="65.5"/>
        <n v="39.333333330000002"/>
        <n v="55.5"/>
        <n v="71.666666669999998"/>
        <n v="43.333333330000002"/>
        <n v="62.666666669999998"/>
        <n v="54.333333330000002"/>
        <n v="60.333333330000002"/>
        <n v="59.666666669999998"/>
        <n v="60.5"/>
        <n v="56.333333330000002"/>
        <n v="58.5"/>
        <n v="60.666666669999998"/>
        <n v="55.375"/>
        <n v="41.75"/>
        <n v="82.125"/>
        <n v="48.125"/>
        <n v="52.75"/>
        <n v="49.75"/>
        <n v="75.125"/>
        <n v="79"/>
        <n v="67.5"/>
        <n v="57.375"/>
        <n v="61.25"/>
        <n v="59.875"/>
        <n v="29.875"/>
        <n v="38.5"/>
        <n v="49.625"/>
        <n v="46.25"/>
        <n v="56.75"/>
        <n v="61.875"/>
        <n v="86.125"/>
        <n v="75.375"/>
        <n v="70.75"/>
        <n v="73.75"/>
        <n v="53.5"/>
        <n v="64.875"/>
        <n v="45.5"/>
        <n v="44.75"/>
        <n v="54.875"/>
        <n v="30.75"/>
        <n v="70.625"/>
        <n v="54.75"/>
        <n v="68.875"/>
        <n v="36.25"/>
        <n v="63.625"/>
        <n v="73"/>
        <n v="61.375"/>
        <n v="52.625"/>
        <n v="83"/>
        <n v="26.125"/>
        <n v="63.875"/>
        <n v="54.375"/>
        <n v="77.625"/>
        <n v="74.125"/>
        <n v="81.75"/>
        <n v="82.375"/>
        <n v="65.375"/>
        <n v="80.375"/>
        <n v="69.25"/>
        <n v="81.125"/>
        <n v="77.5"/>
        <n v="72.625"/>
        <n v="80.625"/>
        <n v="49.25"/>
        <n v="81.5"/>
        <n v="79.875"/>
        <n v="79.625"/>
        <n v="79.375"/>
        <n v="51.25"/>
        <n v="79.5"/>
        <n v="78.625"/>
        <n v="59.75"/>
        <n v="78"/>
        <n v="81.625"/>
        <n v="82.75"/>
        <n v="82"/>
        <n v="70.875"/>
        <n v="72.75"/>
        <n v="64.25"/>
        <n v="78.25"/>
        <n v="71"/>
        <n v="65.875"/>
        <n v="84.75"/>
        <n v="82.625"/>
        <n v="80.25"/>
        <n v="76.75"/>
        <n v="78.375"/>
        <n v="77"/>
        <n v="85.25"/>
        <n v="81"/>
      </sharedItems>
    </cacheField>
    <cacheField name="grade" numFmtId="0">
      <sharedItems count="6">
        <s v="C"/>
        <s v="A"/>
        <s v="B"/>
        <s v="Fail"/>
        <s v="D"/>
        <s v="Absent"/>
      </sharedItems>
    </cacheField>
    <cacheField name="result" numFmtId="0">
      <sharedItems/>
    </cacheField>
    <cacheField name="apti_ec_grade" numFmtId="0">
      <sharedItems count="6">
        <s v="C"/>
        <s v="A"/>
        <s v="B"/>
        <s v="Fail"/>
        <s v="D"/>
        <s v="Absent"/>
      </sharedItems>
    </cacheField>
    <cacheField name="project_grade" numFmtId="0">
      <sharedItems/>
    </cacheField>
    <cacheField name="course" numFmtId="0">
      <sharedItems count="2">
        <s v="DAC"/>
        <s v="DBDA"/>
      </sharedItems>
    </cacheField>
    <cacheField name="cdac_percentagecat" numFmtId="0">
      <sharedItems/>
    </cacheField>
    <cacheField name="placed_by" numFmtId="0">
      <sharedItems count="3">
        <s v="Unplaced"/>
        <s v="By VITA"/>
        <s v="Self Placed"/>
      </sharedItems>
    </cacheField>
    <cacheField name="company_name" numFmtId="0">
      <sharedItems count="189">
        <s v="unplaced"/>
        <s v="CDAC CHENOtherI"/>
        <s v="TREADBIOtherRY"/>
        <s v="OTHERS"/>
        <s v="CONTRACTPODAI"/>
        <s v="DIGIVRIDDHI TECH"/>
        <s v="DASSAULT SYSTEMS"/>
        <s v="WAULITE"/>
        <s v="3I INFOTECH"/>
        <s v="KFINTECH"/>
        <s v="UNITY SMALL FIOtherNCE BANK"/>
        <s v="MKCL"/>
        <s v="CDAC MUMBAI"/>
        <s v="CARE AOtherLYTICS AND ADVISORY"/>
        <s v="AVENUE ECOMMERCE"/>
        <s v="THOMAS COOK"/>
        <s v="IDBI"/>
        <s v="FINEZZA"/>
        <s v="DEPRONTO INFOTECH"/>
        <s v="MINDGATE"/>
        <s v="BTS"/>
        <s v="BILLDESK"/>
        <s v="HOUSE OF CODE"/>
        <s v="MUGENESYS"/>
        <s v="CRISIL"/>
        <s v="TATA ADVANCED SYSTEMS"/>
        <s v="MORNINGSTAR"/>
        <s v="ADFORM"/>
        <s v="RBHU"/>
        <s v="LOYALTY REWARDZ"/>
        <s v="RBL"/>
        <s v="COLLINSON"/>
        <s v="SMARTAVYA AOtherLYTICA"/>
        <s v="INFINITE COMPUTER SOLTIONS"/>
        <s v="BLUEMETEOR"/>
        <s v="SANVER INDIA"/>
        <s v="CDAC KOLKATA"/>
        <s v="INFARSIGHT"/>
        <s v="SAPIENS"/>
        <s v="EBIX"/>
        <s v="A.K. CAPITAL"/>
        <s v="NEOSOFT"/>
        <s v="INFOBELLS"/>
        <s v="NSE"/>
        <s v="BAKER HUGHES"/>
        <s v="LAMIOtherR"/>
        <s v="HITACHI PAYMENTS"/>
        <s v="IKS HEALTH"/>
        <s v="MOTILAL OSWAL"/>
        <s v="ARAGEN LIFE SCIENCES"/>
        <s v="ADENZA"/>
        <s v="XPO"/>
        <s v="ALTRES"/>
        <s v="TATA AIG"/>
        <s v="HSBC"/>
        <s v="FINFLUX"/>
        <s v="TRUCOVER"/>
        <s v="TIAA"/>
        <s v="63 MOONS"/>
        <s v="SECTECH"/>
        <s v="DI"/>
        <s v="BNP PARIBAS"/>
        <s v="YUGENSYS"/>
        <s v="AUTOMATAPI"/>
        <s v="TRAVELEX"/>
        <s v="DR. REDDY'S"/>
        <s v="NOMURA"/>
        <s v="LEARNINGMATE"/>
        <s v="CDAC ACTS"/>
        <s v="COUPA"/>
        <s v="CIRRIUS TECHNOLOGIES"/>
        <s v="SQUARE YARDS"/>
        <s v="TECH MAHINDRA"/>
        <s v="GEP"/>
        <s v="PROTOTECH"/>
        <s v="SOLVERMINDS"/>
        <s v="NIC BANGALORE"/>
        <s v="PIVOTROOTS"/>
        <s v="GODIGITAL"/>
        <s v="DELTA"/>
        <s v="CREDIT SUISSE"/>
        <s v="TATA STRIVE"/>
        <s v="MOTIFWORKS"/>
        <s v="STATUSNEO"/>
        <s v="CDAC PUNE"/>
        <s v="LG SOFT INDIA"/>
        <s v="JIBE"/>
        <s v="AMDOCS"/>
        <s v="ITIVITI"/>
        <s v="BANK OF AMERICA"/>
        <s v="ACTIVE.AI"/>
        <s v="PDG SOFTWARE"/>
        <s v="CYBAGE"/>
        <s v="JUNGLEE GAMES"/>
        <s v="INFIBEAM AVENUES LTD."/>
        <s v="SMARTSTREAM"/>
        <s v="AVENTIOR"/>
        <s v="BORN COMMERCE"/>
        <s v="AVATI"/>
        <s v="NEIRON"/>
        <s v="RELIANCE JIO"/>
        <s v="MOBILEUM"/>
        <s v="INFOSYS"/>
        <s v="HERALD LOGIC"/>
        <s v="PELICAN"/>
        <s v="RANDSTAD RISESMART"/>
        <s v="MSCI"/>
        <s v="CELEBAL TECHNOLOGIES"/>
        <s v="GREENPOINT GLOBAL"/>
        <s v="CRIMSON"/>
        <s v="DROOther PAY"/>
        <s v="AOtherNDRATHI WEALTH"/>
        <s v="LUMIQ"/>
        <s v="AQM TECHNOLOGIES"/>
        <s v="ECLERX"/>
        <s v="STEALTHGROUP"/>
        <s v="BAJAJ"/>
        <s v="EEMPHASYS"/>
        <s v="AMAZATIC SOLUTIONS"/>
        <s v="ALGOQUANT"/>
        <s v="KNIGHT FINTECH"/>
        <s v="STEEPGRAPH"/>
        <s v="DATAMATIC"/>
        <s v="BRISTLECONE"/>
        <s v="ODEX"/>
        <s v="LEARNING MATE"/>
        <s v="YASH TECHNOLOGIES"/>
        <s v="API HOLDING"/>
        <s v="USF BANK"/>
        <s v="BAJAJ FINSERV"/>
        <s v="AXIS MY INDIA"/>
        <s v="LIVING THINGS"/>
        <s v="GOLDEN SOURCE"/>
        <s v="WINWAYS"/>
        <s v="SPARK LABS"/>
        <s v="PEOCIT SOFTWARE"/>
        <s v="XYBION"/>
        <s v="MINDSTACK"/>
        <s v="PEOCIT"/>
        <s v="INFOBELL"/>
        <s v="BLUE RIDGE"/>
        <s v="XENONSTACK"/>
        <s v="XTREME MEDIA"/>
        <s v="KIYA.AI"/>
        <s v="PUBLICIS SAPIENT"/>
        <s v="HIREHUNCH"/>
        <s v="MINDSTIX"/>
        <s v="BITROOT.ORG"/>
        <s v="EXCELLEX"/>
        <s v="MICROWORLD"/>
        <s v="AXIS BANK"/>
        <s v="THYROCARE"/>
        <s v="ANKERCLOUD"/>
        <s v="DEUTSCHE BANK"/>
        <s v="K FINTECH"/>
        <s v="SPARK LALBS"/>
        <s v="APPLIED CLOUD COMPUTING"/>
        <s v="MPOKKET"/>
        <s v="TEAMNEST"/>
        <s v="CAIZIN"/>
        <s v="CUMULUS SYSTEMS"/>
        <s v="MORNING STAR"/>
        <s v="MILLENIAL HEALTH TECH"/>
        <s v="NPCI"/>
        <s v="CCTECH"/>
        <s v="CONNECTWISE"/>
        <s v="BP WEALTH"/>
        <s v="LOGINEXT"/>
        <s v="FUTURE GENERALI"/>
        <s v="PANTHEON"/>
        <s v="BDO"/>
        <s v="TEXCLABS"/>
        <s v="ETRM"/>
        <s v="INTELLECT DESIGN"/>
        <s v="KOTAK"/>
        <s v="DIEBOLD"/>
        <s v="NIYO SOLUTIONS"/>
        <s v="LAMIOtherAR AVIATION"/>
        <s v="MASTERCARD"/>
        <s v="AEGON LIFE INSURANCE"/>
        <s v="EZEST"/>
        <s v="LUMIQ.AI"/>
        <s v="DECIMAL POINT AOtherLYTICS"/>
        <s v="AUTOMATEPI"/>
        <s v="HERE MAPS"/>
        <s v="ARKK SOLUTION"/>
        <s v="SIEMENS"/>
        <s v="TECXLABS"/>
        <s v="THYSSENKRUPP"/>
      </sharedItems>
    </cacheField>
    <cacheField name="placement_status" numFmtId="0">
      <sharedItems count="2">
        <s v="Unplaced"/>
        <s v="Placed"/>
      </sharedItems>
    </cacheField>
    <cacheField name="placement_flag" numFmtId="0">
      <sharedItems containsSemiMixedTypes="0" containsString="0" containsNumber="1" containsInteger="1" minValue="0" maxValue="1" count="2">
        <n v="0"/>
        <n v="1"/>
      </sharedItems>
    </cacheField>
    <cacheField name="batch" numFmtId="0">
      <sharedItems count="6">
        <s v="2023_Sept"/>
        <s v="2022_March"/>
        <s v="2021_March"/>
        <s v="2023_March"/>
        <s v="2022_Sept"/>
        <s v="2021_Sept"/>
      </sharedItems>
    </cacheField>
    <cacheField name="ccat_cat" numFmtId="0">
      <sharedItems count="6">
        <s v="2k-3k"/>
        <s v="1k-2k"/>
        <s v="Unknown"/>
        <s v="1-1k"/>
        <s v="3k-4k"/>
        <s v="Gt than 4k"/>
      </sharedItems>
    </cacheField>
    <cacheField name="age_cat" numFmtId="0">
      <sharedItems count="5">
        <s v="23-25"/>
        <s v="26-28"/>
        <s v="20-22"/>
        <s v="Unknown"/>
        <s v="29+"/>
      </sharedItems>
    </cacheField>
    <cacheField name="Year" numFmtId="0">
      <sharedItems containsSemiMixedTypes="0" containsString="0" containsNumber="1" containsInteger="1" minValue="2021" maxValue="2023" count="3">
        <n v="2023"/>
        <n v="2022"/>
        <n v="2021"/>
      </sharedItems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19.59607013889" backgroundQuery="1" createdVersion="8" refreshedVersion="8" minRefreshableVersion="3" recordCount="0" supportSubquery="1" supportAdvancedDrill="1" xr:uid="{52A7E01E-C124-48EC-8D39-A04FE242F744}">
  <cacheSource type="external" connectionId="1"/>
  <cacheFields count="4">
    <cacheField name="[Cdacdata].[ccat_rank_bucket].[ccat_rank_bucket]" caption="ccat_rank_bucket" numFmtId="0" hierarchy="34" level="1">
      <sharedItems count="4">
        <s v="1000+"/>
        <s v="101–500"/>
        <s v="501–1000"/>
        <s v="Top 100"/>
      </sharedItems>
    </cacheField>
    <cacheField name="[Measures].[Count of prn]" caption="Count of prn" numFmtId="0" hierarchy="37" level="32767"/>
    <cacheField name="[Measures].[Average of cdac_percentage]" caption="Average of cdac_percentage" numFmtId="0" hierarchy="40" level="32767"/>
    <cacheField name="[Measures].[Average of placement_flag]" caption="Average of placement_flag" numFmtId="0" hierarchy="41" level="32767"/>
  </cacheFields>
  <cacheHierarchies count="42">
    <cacheHierarchy uniqueName="[Cdacdata].[prn]" caption="prn" attribute="1" defaultMemberUniqueName="[Cdacdata].[prn].[All]" allUniqueName="[Cdacdata].[prn].[All]" dimensionUniqueName="[Cdacdata]" displayFolder="" count="0" memberValueDatatype="130" unbalanced="0"/>
    <cacheHierarchy uniqueName="[Cdacdata].[formno]" caption="formno" attribute="1" defaultMemberUniqueName="[Cdacdata].[formno].[All]" allUniqueName="[Cdacdata].[formno].[All]" dimensionUniqueName="[Cdacdata]" displayFolder="" count="0" memberValueDatatype="20" unbalanced="0"/>
    <cacheHierarchy uniqueName="[Cdacdata].[timestamp]" caption="timestamp" attribute="1" time="1" defaultMemberUniqueName="[Cdacdata].[timestamp].[All]" allUniqueName="[Cdacdata].[timestamp].[All]" dimensionUniqueName="[Cdacdata]" displayFolder="" count="0" memberValueDatatype="7" unbalanced="0"/>
    <cacheHierarchy uniqueName="[Cdacdata].[Time]" caption="Time" attribute="1" defaultMemberUniqueName="[Cdacdata].[Time].[All]" allUniqueName="[Cdacdata].[Time].[All]" dimensionUniqueName="[Cdacdata]" displayFolder="" count="0" memberValueDatatype="130" unbalanced="0"/>
    <cacheHierarchy uniqueName="[Cdacdata].[ccat_rank]" caption="ccat_rank" attribute="1" defaultMemberUniqueName="[Cdacdata].[ccat_rank].[All]" allUniqueName="[Cdacdata].[ccat_rank].[All]" dimensionUniqueName="[Cdacdata]" displayFolder="" count="0" memberValueDatatype="130" unbalanced="0"/>
    <cacheHierarchy uniqueName="[Cdacdata].[dob]" caption="dob" attribute="1" defaultMemberUniqueName="[Cdacdata].[dob].[All]" allUniqueName="[Cdacdata].[dob].[All]" dimensionUniqueName="[Cdacdata]" displayFolder="" count="0" memberValueDatatype="130" unbalanced="0"/>
    <cacheHierarchy uniqueName="[Cdacdata].[tenth_percentage]" caption="tenth_percentage" attribute="1" defaultMemberUniqueName="[Cdacdata].[tenth_percentage].[All]" allUniqueName="[Cdacdata].[tenth_percentage].[All]" dimensionUniqueName="[Cdacdata]" displayFolder="" count="0" memberValueDatatype="5" unbalanced="0"/>
    <cacheHierarchy uniqueName="[Cdacdata].[twelfth_percentage]" caption="twelfth_percentage" attribute="1" defaultMemberUniqueName="[Cdacdata].[twelfth_percentage].[All]" allUniqueName="[Cdacdata].[twelfth_percentage].[All]" dimensionUniqueName="[Cdacdata]" displayFolder="" count="0" memberValueDatatype="130" unbalanced="0"/>
    <cacheHierarchy uniqueName="[Cdacdata].[diploma_percentage]" caption="diploma_percentage" attribute="1" defaultMemberUniqueName="[Cdacdata].[diploma_percentage].[All]" allUniqueName="[Cdacdata].[diploma_percentage].[All]" dimensionUniqueName="[Cdacdata]" displayFolder="" count="0" memberValueDatatype="130" unbalanced="0"/>
    <cacheHierarchy uniqueName="[Cdacdata].[graduation_percentage]" caption="graduation_percentage" attribute="1" defaultMemberUniqueName="[Cdacdata].[graduation_percentage].[All]" allUniqueName="[Cdacdata].[graduation_percentage].[All]" dimensionUniqueName="[Cdacdata]" displayFolder="" count="0" memberValueDatatype="5" unbalanced="0"/>
    <cacheHierarchy uniqueName="[Cdacdata].[Average Percentage]" caption="Average Percentage" attribute="1" defaultMemberUniqueName="[Cdacdata].[Average Percentage].[All]" allUniqueName="[Cdacdata].[Average Percentage].[All]" dimensionUniqueName="[Cdacdata]" displayFolder="" count="0" memberValueDatatype="5" unbalanced="0"/>
    <cacheHierarchy uniqueName="[Cdacdata].[pg_cert]" caption="pg_cert" attribute="1" defaultMemberUniqueName="[Cdacdata].[pg_cert].[All]" allUniqueName="[Cdacdata].[pg_cert].[All]" dimensionUniqueName="[Cdacdata]" displayFolder="" count="0" memberValueDatatype="130" unbalanced="0"/>
    <cacheHierarchy uniqueName="[Cdacdata].[done_precat]" caption="done_precat" attribute="1" defaultMemberUniqueName="[Cdacdata].[done_precat].[All]" allUniqueName="[Cdacdata].[done_precat].[All]" dimensionUniqueName="[Cdacdata]" displayFolder="" count="0" memberValueDatatype="130" unbalanced="0"/>
    <cacheHierarchy uniqueName="[Cdacdata].[age2]" caption="age2" attribute="1" defaultMemberUniqueName="[Cdacdata].[age2].[All]" allUniqueName="[Cdacdata].[age2].[All]" dimensionUniqueName="[Cdacdata]" displayFolder="" count="0" memberValueDatatype="20" unbalanced="0"/>
    <cacheHierarchy uniqueName="[Cdacdata].[grad_grade]" caption="grad_grade" attribute="1" defaultMemberUniqueName="[Cdacdata].[grad_grade].[All]" allUniqueName="[Cdacdata].[grad_grade].[All]" dimensionUniqueName="[Cdacdata]" displayFolder="" count="0" memberValueDatatype="130" unbalanced="0"/>
    <cacheHierarchy uniqueName="[Cdacdata].[branch]" caption="branch" attribute="1" defaultMemberUniqueName="[Cdacdata].[branch].[All]" allUniqueName="[Cdacdata].[branch].[All]" dimensionUniqueName="[Cdacdata]" displayFolder="" count="0" memberValueDatatype="130" unbalanced="0"/>
    <cacheHierarchy uniqueName="[Cdacdata].[grad_degree]" caption="grad_degree" attribute="1" defaultMemberUniqueName="[Cdacdata].[grad_degree].[All]" allUniqueName="[Cdacdata].[grad_degree].[All]" dimensionUniqueName="[Cdacdata]" displayFolder="" count="0" memberValueDatatype="130" unbalanced="0"/>
    <cacheHierarchy uniqueName="[Cdacdata].[total800]" caption="total800" attribute="1" defaultMemberUniqueName="[Cdacdata].[total800].[All]" allUniqueName="[Cdacdata].[total800].[All]" dimensionUniqueName="[Cdacdata]" displayFolder="" count="0" memberValueDatatype="20" unbalanced="0"/>
    <cacheHierarchy uniqueName="[Cdacdata].[cdac_percentage]" caption="cdac_percentage" attribute="1" defaultMemberUniqueName="[Cdacdata].[cdac_percentage].[All]" allUniqueName="[Cdacdata].[cdac_percentage].[All]" dimensionUniqueName="[Cdacdata]" displayFolder="" count="0" memberValueDatatype="5" unbalanced="0"/>
    <cacheHierarchy uniqueName="[Cdacdata].[grade]" caption="grade" attribute="1" defaultMemberUniqueName="[Cdacdata].[grade].[All]" allUniqueName="[Cdacdata].[grade].[All]" dimensionUniqueName="[Cdacdata]" displayFolder="" count="0" memberValueDatatype="130" unbalanced="0"/>
    <cacheHierarchy uniqueName="[Cdacdata].[result]" caption="result" attribute="1" defaultMemberUniqueName="[Cdacdata].[result].[All]" allUniqueName="[Cdacdata].[result].[All]" dimensionUniqueName="[Cdacdata]" displayFolder="" count="0" memberValueDatatype="130" unbalanced="0"/>
    <cacheHierarchy uniqueName="[Cdacdata].[apti_ec_grade]" caption="apti_ec_grade" attribute="1" defaultMemberUniqueName="[Cdacdata].[apti_ec_grade].[All]" allUniqueName="[Cdacdata].[apti_ec_grade].[All]" dimensionUniqueName="[Cdacdata]" displayFolder="" count="0" memberValueDatatype="130" unbalanced="0"/>
    <cacheHierarchy uniqueName="[Cdacdata].[project_grade]" caption="project_grade" attribute="1" defaultMemberUniqueName="[Cdacdata].[project_grade].[All]" allUniqueName="[Cdacdata].[project_grade].[All]" dimensionUniqueName="[Cdacdata]" displayFolder="" count="0" memberValueDatatype="130" unbalanced="0"/>
    <cacheHierarchy uniqueName="[Cdacdata].[course]" caption="course" attribute="1" defaultMemberUniqueName="[Cdacdata].[course].[All]" allUniqueName="[Cdacdata].[course].[All]" dimensionUniqueName="[Cdacdata]" displayFolder="" count="0" memberValueDatatype="130" unbalanced="0"/>
    <cacheHierarchy uniqueName="[Cdacdata].[cdac_percentagecat]" caption="cdac_percentagecat" attribute="1" defaultMemberUniqueName="[Cdacdata].[cdac_percentagecat].[All]" allUniqueName="[Cdacdata].[cdac_percentagecat].[All]" dimensionUniqueName="[Cdacdata]" displayFolder="" count="0" memberValueDatatype="130" unbalanced="0"/>
    <cacheHierarchy uniqueName="[Cdacdata].[placed_by]" caption="placed_by" attribute="1" defaultMemberUniqueName="[Cdacdata].[placed_by].[All]" allUniqueName="[Cdacdata].[placed_by].[All]" dimensionUniqueName="[Cdacdata]" displayFolder="" count="0" memberValueDatatype="130" unbalanced="0"/>
    <cacheHierarchy uniqueName="[Cdacdata].[company_name]" caption="company_name" attribute="1" defaultMemberUniqueName="[Cdacdata].[company_name].[All]" allUniqueName="[Cdacdata].[company_name].[All]" dimensionUniqueName="[Cdacdata]" displayFolder="" count="0" memberValueDatatype="130" unbalanced="0"/>
    <cacheHierarchy uniqueName="[Cdacdata].[placement_status]" caption="placement_status" attribute="1" defaultMemberUniqueName="[Cdacdata].[placement_status].[All]" allUniqueName="[Cdacdata].[placement_status].[All]" dimensionUniqueName="[Cdacdata]" displayFolder="" count="0" memberValueDatatype="130" unbalanced="0"/>
    <cacheHierarchy uniqueName="[Cdacdata].[placement_flag]" caption="placement_flag" attribute="1" defaultMemberUniqueName="[Cdacdata].[placement_flag].[All]" allUniqueName="[Cdacdata].[placement_flag].[All]" dimensionUniqueName="[Cdacdata]" displayFolder="" count="0" memberValueDatatype="20" unbalanced="0"/>
    <cacheHierarchy uniqueName="[Cdacdata].[batch]" caption="batch" attribute="1" defaultMemberUniqueName="[Cdacdata].[batch].[All]" allUniqueName="[Cdacdata].[batch].[All]" dimensionUniqueName="[Cdacdata]" displayFolder="" count="0" memberValueDatatype="130" unbalanced="0"/>
    <cacheHierarchy uniqueName="[Cdacdata].[ccat_cat]" caption="ccat_cat" attribute="1" defaultMemberUniqueName="[Cdacdata].[ccat_cat].[All]" allUniqueName="[Cdacdata].[ccat_cat].[All]" dimensionUniqueName="[Cdacdata]" displayFolder="" count="0" memberValueDatatype="130" unbalanced="0"/>
    <cacheHierarchy uniqueName="[Cdacdata].[age_cat]" caption="age_cat" attribute="1" defaultMemberUniqueName="[Cdacdata].[age_cat].[All]" allUniqueName="[Cdacdata].[age_cat].[All]" dimensionUniqueName="[Cdacdata]" displayFolder="" count="0" memberValueDatatype="130" unbalanced="0"/>
    <cacheHierarchy uniqueName="[Cdacdata].[Year]" caption="Year" attribute="1" defaultMemberUniqueName="[Cdacdata].[Year].[All]" allUniqueName="[Cdacdata].[Year].[All]" dimensionUniqueName="[Cdacdata]" displayFolder="" count="0" memberValueDatatype="20" unbalanced="0"/>
    <cacheHierarchy uniqueName="[Cdacdata].[Month]" caption="Month" attribute="1" defaultMemberUniqueName="[Cdacdata].[Month].[All]" allUniqueName="[Cdacdata].[Month].[All]" dimensionUniqueName="[Cdacdata]" displayFolder="" count="0" memberValueDatatype="130" unbalanced="0"/>
    <cacheHierarchy uniqueName="[Cdacdata].[ccat_rank_bucket]" caption="ccat_rank_bucket" attribute="1" defaultMemberUniqueName="[Cdacdata].[ccat_rank_bucket].[All]" allUniqueName="[Cdacdata].[ccat_rank_bucket].[All]" dimensionUniqueName="[Cdacdata]" displayFolder="" count="2" memberValueDatatype="130" unbalanced="0">
      <fieldsUsage count="2">
        <fieldUsage x="-1"/>
        <fieldUsage x="0"/>
      </fieldsUsage>
    </cacheHierarchy>
    <cacheHierarchy uniqueName="[Measures].[__XL_Count Cdacdata]" caption="__XL_Count Cdacdata" measure="1" displayFolder="" measureGroup="Cdacdata" count="0" hidden="1"/>
    <cacheHierarchy uniqueName="[Measures].[__No measures defined]" caption="__No measures defined" measure="1" displayFolder="" count="0" hidden="1"/>
    <cacheHierarchy uniqueName="[Measures].[Count of prn]" caption="Count of prn" measure="1" displayFolder="" measureGroup="Cdac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dac_percentage]" caption="Sum of cdac_percentage" measure="1" displayFolder="" measureGroup="Cdac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lacement_flag]" caption="Sum of placement_flag" measure="1" displayFolder="" measureGroup="Cdac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cdac_percentage]" caption="Average of cdac_percentage" measure="1" displayFolder="" measureGroup="Cdac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lacement_flag]" caption="Average of placement_flag" measure="1" displayFolder="" measureGroup="Cdac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2">
    <dimension name="Cdacdata" uniqueName="[Cdacdata]" caption="Cdacdata"/>
    <dimension measure="1" name="Measures" uniqueName="[Measures]" caption="Measures"/>
  </dimensions>
  <measureGroups count="1">
    <measureGroup name="Cdacdata" caption="Cdac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0">
  <r>
    <s v="2.30945E+11"/>
    <n v="230703798"/>
    <d v="2023-08-31T00:00:00"/>
    <s v="20:43:16.671Z"/>
    <n v="2085"/>
    <d v="2000-05-29T00:00:00"/>
    <n v="87.8"/>
    <n v="63.08"/>
    <x v="0"/>
    <x v="0"/>
    <x v="0"/>
    <s v="No"/>
    <s v="No"/>
    <n v="23"/>
    <s v="60-75"/>
    <x v="0"/>
    <x v="0"/>
    <n v="413"/>
    <x v="0"/>
    <x v="0"/>
    <s v="Pass"/>
    <x v="0"/>
    <s v="B"/>
    <x v="0"/>
    <s v="50-60"/>
    <x v="0"/>
    <x v="0"/>
    <x v="0"/>
    <x v="0"/>
    <x v="0"/>
    <x v="0"/>
    <x v="0"/>
    <x v="0"/>
    <s v="Sept"/>
  </r>
  <r>
    <s v="2.30945E+11"/>
    <n v="230703378"/>
    <d v="2023-09-05T00:00:00"/>
    <s v="19:30:46.166Z"/>
    <n v="1373"/>
    <d v="2000-03-31T00:00:00"/>
    <n v="72.2"/>
    <n v="71"/>
    <x v="0"/>
    <x v="1"/>
    <x v="1"/>
    <s v="No"/>
    <s v="Yes"/>
    <n v="23"/>
    <s v="60-75"/>
    <x v="1"/>
    <x v="1"/>
    <n v="446"/>
    <x v="1"/>
    <x v="0"/>
    <s v="Pass"/>
    <x v="0"/>
    <s v="B"/>
    <x v="0"/>
    <s v="50-60"/>
    <x v="1"/>
    <x v="1"/>
    <x v="1"/>
    <x v="1"/>
    <x v="0"/>
    <x v="1"/>
    <x v="0"/>
    <x v="0"/>
    <s v="Sept"/>
  </r>
  <r>
    <s v="2.30945E+11"/>
    <n v="230600143"/>
    <d v="2023-09-02T00:00:00"/>
    <s v="10:21:12.246Z"/>
    <n v="1920"/>
    <d v="2000-03-08T00:00:00"/>
    <n v="86"/>
    <n v="68"/>
    <x v="0"/>
    <x v="2"/>
    <x v="2"/>
    <s v="No"/>
    <s v="No"/>
    <n v="23"/>
    <s v="100-75"/>
    <x v="1"/>
    <x v="0"/>
    <n v="521"/>
    <x v="2"/>
    <x v="1"/>
    <s v="Pass"/>
    <x v="1"/>
    <s v="A"/>
    <x v="0"/>
    <s v="60-70"/>
    <x v="1"/>
    <x v="2"/>
    <x v="1"/>
    <x v="1"/>
    <x v="0"/>
    <x v="1"/>
    <x v="0"/>
    <x v="0"/>
    <s v="Sept"/>
  </r>
  <r>
    <s v="2.30945E+11"/>
    <n v="230601104"/>
    <d v="2023-08-25T00:00:00"/>
    <s v="20:52:56.052Z"/>
    <n v="1587"/>
    <d v="1995-07-13T00:00:00"/>
    <n v="74.099999999999994"/>
    <n v="62.8"/>
    <x v="0"/>
    <x v="3"/>
    <x v="3"/>
    <s v="No"/>
    <s v="No"/>
    <n v="28"/>
    <s v="60-75"/>
    <x v="2"/>
    <x v="0"/>
    <n v="542"/>
    <x v="3"/>
    <x v="1"/>
    <s v="Pass"/>
    <x v="1"/>
    <s v="B"/>
    <x v="0"/>
    <s v="60-70"/>
    <x v="2"/>
    <x v="3"/>
    <x v="1"/>
    <x v="1"/>
    <x v="0"/>
    <x v="1"/>
    <x v="1"/>
    <x v="0"/>
    <s v="Sept"/>
  </r>
  <r>
    <s v="2.30945E+11"/>
    <n v="230600607"/>
    <d v="2023-09-06T00:00:00"/>
    <s v="18:24:34.803Z"/>
    <n v="1442"/>
    <d v="2000-12-12T00:00:00"/>
    <n v="89.6"/>
    <n v="78.77"/>
    <x v="0"/>
    <x v="4"/>
    <x v="4"/>
    <s v="No"/>
    <s v="Yes"/>
    <n v="22"/>
    <s v="100-75"/>
    <x v="3"/>
    <x v="0"/>
    <n v="453"/>
    <x v="4"/>
    <x v="0"/>
    <s v="Pass"/>
    <x v="0"/>
    <s v="B"/>
    <x v="0"/>
    <s v="50-60"/>
    <x v="0"/>
    <x v="0"/>
    <x v="0"/>
    <x v="0"/>
    <x v="0"/>
    <x v="1"/>
    <x v="2"/>
    <x v="0"/>
    <s v="Sept"/>
  </r>
  <r>
    <s v="2.30945E+11"/>
    <n v="230603611"/>
    <d v="2023-08-27T00:00:00"/>
    <s v="13:19:40.572Z"/>
    <n v="1869"/>
    <d v="2001-09-17T00:00:00"/>
    <n v="88.2"/>
    <n v="77.56"/>
    <x v="0"/>
    <x v="5"/>
    <x v="5"/>
    <s v="No"/>
    <s v="No"/>
    <n v="21"/>
    <s v="100-75"/>
    <x v="3"/>
    <x v="0"/>
    <n v="592"/>
    <x v="5"/>
    <x v="1"/>
    <s v="Pass"/>
    <x v="1"/>
    <s v="A"/>
    <x v="0"/>
    <s v="70-85"/>
    <x v="1"/>
    <x v="4"/>
    <x v="1"/>
    <x v="1"/>
    <x v="0"/>
    <x v="1"/>
    <x v="2"/>
    <x v="0"/>
    <s v="Sept"/>
  </r>
  <r>
    <s v="2.30945E+11"/>
    <n v="230605516"/>
    <d v="2023-09-05T00:00:00"/>
    <s v="20:17:12.964Z"/>
    <n v="1755"/>
    <d v="1997-02-04T00:00:00"/>
    <n v="79.819999999999993"/>
    <n v="66.62"/>
    <x v="0"/>
    <x v="6"/>
    <x v="6"/>
    <s v="No"/>
    <s v="Yes"/>
    <n v="26"/>
    <s v="100-75"/>
    <x v="1"/>
    <x v="0"/>
    <n v="474"/>
    <x v="6"/>
    <x v="0"/>
    <s v="Pass"/>
    <x v="0"/>
    <s v="B"/>
    <x v="0"/>
    <s v="50-60"/>
    <x v="1"/>
    <x v="2"/>
    <x v="1"/>
    <x v="1"/>
    <x v="0"/>
    <x v="1"/>
    <x v="1"/>
    <x v="0"/>
    <s v="Sept"/>
  </r>
  <r>
    <s v="2.30945E+11"/>
    <n v="230701140"/>
    <d v="2023-09-06T00:00:00"/>
    <s v="13:59:57.691Z"/>
    <n v="1201"/>
    <d v="2001-04-11T00:00:00"/>
    <n v="90.4"/>
    <s v="Other"/>
    <x v="1"/>
    <x v="7"/>
    <x v="7"/>
    <s v="No"/>
    <s v="Yes"/>
    <n v="22"/>
    <s v="100-75"/>
    <x v="4"/>
    <x v="0"/>
    <n v="610"/>
    <x v="7"/>
    <x v="1"/>
    <s v="Pass"/>
    <x v="1"/>
    <s v="A"/>
    <x v="0"/>
    <s v="70-85"/>
    <x v="1"/>
    <x v="5"/>
    <x v="1"/>
    <x v="1"/>
    <x v="0"/>
    <x v="1"/>
    <x v="2"/>
    <x v="0"/>
    <s v="Sept"/>
  </r>
  <r>
    <s v="2.30945E+11"/>
    <n v="230602933"/>
    <d v="2023-08-30T00:00:00"/>
    <s v="11:34:15.310Z"/>
    <n v="1975"/>
    <d v="2001-01-04T00:00:00"/>
    <n v="87.8"/>
    <n v="82.62"/>
    <x v="0"/>
    <x v="8"/>
    <x v="8"/>
    <s v="No"/>
    <s v="No"/>
    <n v="22"/>
    <s v="0-35"/>
    <x v="4"/>
    <x v="1"/>
    <n v="432"/>
    <x v="8"/>
    <x v="2"/>
    <s v="Pass"/>
    <x v="2"/>
    <s v="B"/>
    <x v="0"/>
    <s v="50-60"/>
    <x v="0"/>
    <x v="0"/>
    <x v="0"/>
    <x v="0"/>
    <x v="0"/>
    <x v="1"/>
    <x v="2"/>
    <x v="0"/>
    <s v="Sept"/>
  </r>
  <r>
    <s v="2.30945E+11"/>
    <n v="230603601"/>
    <d v="2023-08-30T00:00:00"/>
    <s v="22:13:05.020Z"/>
    <n v="1840"/>
    <d v="2001-05-04T00:00:00"/>
    <n v="87"/>
    <n v="61.69"/>
    <x v="0"/>
    <x v="9"/>
    <x v="9"/>
    <s v="No"/>
    <s v="No"/>
    <n v="22"/>
    <s v="100-75"/>
    <x v="4"/>
    <x v="0"/>
    <n v="623"/>
    <x v="9"/>
    <x v="2"/>
    <s v="Pass"/>
    <x v="2"/>
    <s v="A"/>
    <x v="0"/>
    <s v="70-85"/>
    <x v="1"/>
    <x v="4"/>
    <x v="1"/>
    <x v="1"/>
    <x v="0"/>
    <x v="1"/>
    <x v="2"/>
    <x v="0"/>
    <s v="Sept"/>
  </r>
  <r>
    <s v="2.30945E+11"/>
    <n v="230704721"/>
    <d v="2023-09-05T00:00:00"/>
    <s v="08:57:36.196Z"/>
    <n v="1965"/>
    <d v="2002-04-07T00:00:00"/>
    <n v="93.6"/>
    <n v="78.31"/>
    <x v="0"/>
    <x v="10"/>
    <x v="10"/>
    <s v="No"/>
    <s v="No"/>
    <n v="21"/>
    <s v="60-75"/>
    <x v="3"/>
    <x v="1"/>
    <n v="436"/>
    <x v="10"/>
    <x v="2"/>
    <s v="Pass"/>
    <x v="2"/>
    <s v="C"/>
    <x v="0"/>
    <s v="50-60"/>
    <x v="2"/>
    <x v="3"/>
    <x v="1"/>
    <x v="1"/>
    <x v="0"/>
    <x v="1"/>
    <x v="2"/>
    <x v="0"/>
    <s v="Sept"/>
  </r>
  <r>
    <s v="2.30945E+11"/>
    <n v="230600610"/>
    <m/>
    <m/>
    <s v="Unknown"/>
    <m/>
    <n v="0"/>
    <n v="0"/>
    <x v="2"/>
    <x v="11"/>
    <x v="11"/>
    <s v="No"/>
    <s v="No"/>
    <n v="23"/>
    <s v="Unkown"/>
    <x v="5"/>
    <x v="2"/>
    <n v="319"/>
    <x v="11"/>
    <x v="0"/>
    <s v="Fail"/>
    <x v="0"/>
    <s v="C"/>
    <x v="0"/>
    <s v="Fail"/>
    <x v="0"/>
    <x v="0"/>
    <x v="0"/>
    <x v="0"/>
    <x v="0"/>
    <x v="2"/>
    <x v="3"/>
    <x v="0"/>
    <s v="Sept"/>
  </r>
  <r>
    <s v="2.30945E+11"/>
    <n v="230601565"/>
    <d v="2023-09-06T00:00:00"/>
    <s v="17:53:38.244Z"/>
    <n v="1780"/>
    <d v="2001-03-13T00:00:00"/>
    <n v="93.4"/>
    <n v="68.62"/>
    <x v="0"/>
    <x v="12"/>
    <x v="12"/>
    <s v="No"/>
    <s v="Yes"/>
    <n v="22"/>
    <s v="100-75"/>
    <x v="6"/>
    <x v="0"/>
    <n v="573"/>
    <x v="12"/>
    <x v="2"/>
    <s v="Pass"/>
    <x v="2"/>
    <s v="A"/>
    <x v="0"/>
    <s v="70-85"/>
    <x v="1"/>
    <x v="4"/>
    <x v="1"/>
    <x v="1"/>
    <x v="0"/>
    <x v="1"/>
    <x v="2"/>
    <x v="0"/>
    <s v="Sept"/>
  </r>
  <r>
    <s v="2.30945E+11"/>
    <n v="230600116"/>
    <d v="2023-08-31T00:00:00"/>
    <s v="19:42:54.754Z"/>
    <n v="2016"/>
    <d v="1994-09-18T00:00:00"/>
    <n v="72"/>
    <n v="65.400000000000006"/>
    <x v="0"/>
    <x v="13"/>
    <x v="13"/>
    <s v="No"/>
    <s v="Yes"/>
    <n v="28"/>
    <s v="60-75"/>
    <x v="3"/>
    <x v="0"/>
    <n v="465"/>
    <x v="13"/>
    <x v="0"/>
    <s v="Pass"/>
    <x v="0"/>
    <s v="B"/>
    <x v="0"/>
    <s v="50-60"/>
    <x v="0"/>
    <x v="0"/>
    <x v="0"/>
    <x v="0"/>
    <x v="0"/>
    <x v="0"/>
    <x v="1"/>
    <x v="0"/>
    <s v="Sept"/>
  </r>
  <r>
    <s v="2.30945E+11"/>
    <n v="230600595"/>
    <d v="2023-09-01T00:00:00"/>
    <s v="19:34:56.048Z"/>
    <n v="1526"/>
    <d v="1999-10-04T00:00:00"/>
    <n v="83.4"/>
    <s v="Other"/>
    <x v="3"/>
    <x v="14"/>
    <x v="14"/>
    <s v="No"/>
    <s v="No"/>
    <n v="23"/>
    <s v="100-75"/>
    <x v="4"/>
    <x v="0"/>
    <n v="528"/>
    <x v="14"/>
    <x v="2"/>
    <s v="Pass"/>
    <x v="2"/>
    <s v="A"/>
    <x v="0"/>
    <s v="60-70"/>
    <x v="1"/>
    <x v="6"/>
    <x v="1"/>
    <x v="1"/>
    <x v="0"/>
    <x v="1"/>
    <x v="0"/>
    <x v="0"/>
    <s v="Sept"/>
  </r>
  <r>
    <s v="2.30945E+11"/>
    <n v="230608745"/>
    <d v="2023-08-26T00:00:00"/>
    <s v="11:20:13.683Z"/>
    <n v="1926"/>
    <d v="2000-06-30T00:00:00"/>
    <n v="86.8"/>
    <n v="73.540000000000006"/>
    <x v="0"/>
    <x v="15"/>
    <x v="15"/>
    <s v="No"/>
    <s v="Yes"/>
    <n v="23"/>
    <s v="100-75"/>
    <x v="4"/>
    <x v="0"/>
    <n v="521"/>
    <x v="2"/>
    <x v="2"/>
    <s v="Pass"/>
    <x v="2"/>
    <s v="B"/>
    <x v="0"/>
    <s v="60-70"/>
    <x v="1"/>
    <x v="2"/>
    <x v="1"/>
    <x v="1"/>
    <x v="0"/>
    <x v="1"/>
    <x v="0"/>
    <x v="0"/>
    <s v="Sept"/>
  </r>
  <r>
    <s v="2.30945E+11"/>
    <n v="230600326"/>
    <d v="2023-08-25T00:00:00"/>
    <s v="18:15:22.550Z"/>
    <n v="1392"/>
    <d v="1998-07-16T00:00:00"/>
    <n v="84"/>
    <n v="61.23"/>
    <x v="0"/>
    <x v="16"/>
    <x v="16"/>
    <s v="No"/>
    <s v="Yes"/>
    <n v="25"/>
    <s v="0-35"/>
    <x v="4"/>
    <x v="0"/>
    <n v="546"/>
    <x v="15"/>
    <x v="1"/>
    <s v="Pass"/>
    <x v="1"/>
    <s v="B"/>
    <x v="0"/>
    <s v="60-70"/>
    <x v="2"/>
    <x v="3"/>
    <x v="1"/>
    <x v="1"/>
    <x v="0"/>
    <x v="1"/>
    <x v="0"/>
    <x v="0"/>
    <s v="Sept"/>
  </r>
  <r>
    <s v="2.30945E+11"/>
    <n v="230602177"/>
    <d v="2023-09-06T00:00:00"/>
    <s v="21:21:53.045Z"/>
    <n v="1630"/>
    <d v="1986-02-18T00:00:00"/>
    <n v="62.2"/>
    <n v="62.8"/>
    <x v="0"/>
    <x v="17"/>
    <x v="17"/>
    <s v="Yes"/>
    <s v="No"/>
    <n v="37"/>
    <s v="60-75"/>
    <x v="5"/>
    <x v="3"/>
    <n v="131"/>
    <x v="16"/>
    <x v="0"/>
    <s v="Fail"/>
    <x v="0"/>
    <s v="Absent"/>
    <x v="0"/>
    <s v="Fail"/>
    <x v="0"/>
    <x v="0"/>
    <x v="0"/>
    <x v="0"/>
    <x v="0"/>
    <x v="1"/>
    <x v="4"/>
    <x v="0"/>
    <s v="Sept"/>
  </r>
  <r>
    <s v="2.30945E+11"/>
    <n v="230610513"/>
    <d v="2023-08-26T00:00:00"/>
    <s v="22:15:22.321Z"/>
    <n v="1783"/>
    <d v="2001-03-17T00:00:00"/>
    <n v="89.2"/>
    <n v="77.38"/>
    <x v="0"/>
    <x v="18"/>
    <x v="18"/>
    <s v="No"/>
    <s v="No"/>
    <n v="22"/>
    <s v="100-75"/>
    <x v="6"/>
    <x v="1"/>
    <n v="442"/>
    <x v="17"/>
    <x v="1"/>
    <s v="Pass"/>
    <x v="1"/>
    <s v="B"/>
    <x v="0"/>
    <s v="50-60"/>
    <x v="2"/>
    <x v="3"/>
    <x v="1"/>
    <x v="1"/>
    <x v="0"/>
    <x v="1"/>
    <x v="2"/>
    <x v="0"/>
    <s v="Sept"/>
  </r>
  <r>
    <s v="2.30945E+11"/>
    <n v="230702324"/>
    <d v="2023-09-04T00:00:00"/>
    <s v="19:28:44.432Z"/>
    <n v="2105"/>
    <d v="2000-04-22T00:00:00"/>
    <n v="68.400000000000006"/>
    <n v="54.46"/>
    <x v="4"/>
    <x v="19"/>
    <x v="19"/>
    <s v="No"/>
    <s v="No"/>
    <n v="23"/>
    <s v="60-75"/>
    <x v="6"/>
    <x v="0"/>
    <n v="494"/>
    <x v="18"/>
    <x v="1"/>
    <s v="Pass"/>
    <x v="1"/>
    <s v="B"/>
    <x v="0"/>
    <s v="60-70"/>
    <x v="1"/>
    <x v="2"/>
    <x v="1"/>
    <x v="1"/>
    <x v="0"/>
    <x v="0"/>
    <x v="0"/>
    <x v="0"/>
    <s v="Sept"/>
  </r>
  <r>
    <s v="2.30945E+11"/>
    <n v="230605889"/>
    <d v="2023-09-06T00:00:00"/>
    <s v="19:06:25.395Z"/>
    <n v="2120"/>
    <d v="2001-06-13T00:00:00"/>
    <n v="85.6"/>
    <n v="64.62"/>
    <x v="0"/>
    <x v="20"/>
    <x v="20"/>
    <s v="No"/>
    <s v="No"/>
    <n v="22"/>
    <s v="100-75"/>
    <x v="6"/>
    <x v="0"/>
    <n v="559"/>
    <x v="19"/>
    <x v="2"/>
    <s v="Pass"/>
    <x v="2"/>
    <s v="A"/>
    <x v="0"/>
    <s v="60-70"/>
    <x v="1"/>
    <x v="7"/>
    <x v="1"/>
    <x v="1"/>
    <x v="0"/>
    <x v="0"/>
    <x v="2"/>
    <x v="0"/>
    <s v="Sept"/>
  </r>
  <r>
    <s v="2.30945E+11"/>
    <n v="230700203"/>
    <d v="2023-09-07T00:00:00"/>
    <s v="01:43:08.588Z"/>
    <n v="1893"/>
    <d v="2002-02-09T00:00:00"/>
    <n v="95.4"/>
    <n v="69.08"/>
    <x v="0"/>
    <x v="21"/>
    <x v="21"/>
    <s v="No"/>
    <s v="No"/>
    <n v="21"/>
    <s v="100-75"/>
    <x v="3"/>
    <x v="1"/>
    <n v="619"/>
    <x v="20"/>
    <x v="2"/>
    <s v="Pass"/>
    <x v="2"/>
    <s v="A"/>
    <x v="0"/>
    <s v="70-85"/>
    <x v="1"/>
    <x v="4"/>
    <x v="1"/>
    <x v="1"/>
    <x v="0"/>
    <x v="1"/>
    <x v="2"/>
    <x v="0"/>
    <s v="Sept"/>
  </r>
  <r>
    <s v="2.30945E+11"/>
    <n v="230611962"/>
    <d v="2023-09-03T00:00:00"/>
    <s v="20:54:26.038Z"/>
    <n v="1230"/>
    <d v="1999-10-27T00:00:00"/>
    <n v="87"/>
    <n v="50"/>
    <x v="0"/>
    <x v="22"/>
    <x v="22"/>
    <s v="Yes"/>
    <s v="No"/>
    <n v="23"/>
    <s v="60-75"/>
    <x v="3"/>
    <x v="4"/>
    <n v="298"/>
    <x v="21"/>
    <x v="2"/>
    <s v="Fail"/>
    <x v="2"/>
    <s v="C"/>
    <x v="0"/>
    <s v="Fail"/>
    <x v="0"/>
    <x v="0"/>
    <x v="0"/>
    <x v="0"/>
    <x v="0"/>
    <x v="1"/>
    <x v="0"/>
    <x v="0"/>
    <s v="Sept"/>
  </r>
  <r>
    <s v="2.30945E+11"/>
    <n v="230701336"/>
    <d v="2023-09-01T00:00:00"/>
    <s v="19:55:43.375Z"/>
    <n v="2118"/>
    <d v="1998-03-17T00:00:00"/>
    <n v="94"/>
    <n v="67.849999999999994"/>
    <x v="0"/>
    <x v="23"/>
    <x v="23"/>
    <s v="No"/>
    <s v="Yes"/>
    <n v="25"/>
    <s v="60-75"/>
    <x v="4"/>
    <x v="1"/>
    <n v="419"/>
    <x v="22"/>
    <x v="0"/>
    <s v="Pass"/>
    <x v="0"/>
    <s v="B"/>
    <x v="0"/>
    <s v="50-60"/>
    <x v="0"/>
    <x v="0"/>
    <x v="0"/>
    <x v="0"/>
    <x v="0"/>
    <x v="0"/>
    <x v="0"/>
    <x v="0"/>
    <s v="Sept"/>
  </r>
  <r>
    <s v="2.30945E+11"/>
    <n v="230605709"/>
    <d v="2023-08-30T00:00:00"/>
    <s v="22:50:59.028Z"/>
    <n v="2171"/>
    <d v="2000-11-02T00:00:00"/>
    <n v="88.6"/>
    <n v="69.36"/>
    <x v="0"/>
    <x v="24"/>
    <x v="24"/>
    <s v="No"/>
    <s v="Yes"/>
    <n v="22"/>
    <s v="100-75"/>
    <x v="4"/>
    <x v="0"/>
    <n v="521"/>
    <x v="2"/>
    <x v="1"/>
    <s v="Pass"/>
    <x v="1"/>
    <s v="B"/>
    <x v="0"/>
    <s v="60-70"/>
    <x v="2"/>
    <x v="3"/>
    <x v="1"/>
    <x v="1"/>
    <x v="0"/>
    <x v="0"/>
    <x v="2"/>
    <x v="0"/>
    <s v="Sept"/>
  </r>
  <r>
    <s v="2.30945E+11"/>
    <n v="230604117"/>
    <d v="2023-08-31T00:00:00"/>
    <s v="14:10:06.394Z"/>
    <n v="1887"/>
    <d v="1999-07-08T00:00:00"/>
    <n v="88.2"/>
    <s v="Other"/>
    <x v="5"/>
    <x v="10"/>
    <x v="25"/>
    <s v="No"/>
    <s v="No"/>
    <n v="24"/>
    <s v="60-75"/>
    <x v="5"/>
    <x v="1"/>
    <n v="558"/>
    <x v="23"/>
    <x v="2"/>
    <s v="Pass"/>
    <x v="2"/>
    <s v="B"/>
    <x v="0"/>
    <s v="60-70"/>
    <x v="2"/>
    <x v="3"/>
    <x v="1"/>
    <x v="1"/>
    <x v="0"/>
    <x v="1"/>
    <x v="0"/>
    <x v="0"/>
    <s v="Sept"/>
  </r>
  <r>
    <s v="2.30945E+11"/>
    <n v="230601568"/>
    <d v="2023-09-01T00:00:00"/>
    <s v="12:13:01.459Z"/>
    <n v="2065"/>
    <d v="1999-09-15T00:00:00"/>
    <n v="81.16"/>
    <n v="76.400000000000006"/>
    <x v="0"/>
    <x v="25"/>
    <x v="26"/>
    <s v="Yes"/>
    <s v="No"/>
    <n v="23"/>
    <s v="45-60"/>
    <x v="3"/>
    <x v="4"/>
    <n v="485"/>
    <x v="24"/>
    <x v="0"/>
    <s v="Pass"/>
    <x v="0"/>
    <s v="C"/>
    <x v="0"/>
    <s v="60-70"/>
    <x v="1"/>
    <x v="8"/>
    <x v="1"/>
    <x v="1"/>
    <x v="0"/>
    <x v="0"/>
    <x v="0"/>
    <x v="0"/>
    <s v="Sept"/>
  </r>
  <r>
    <s v="2.30945E+11"/>
    <n v="230701770"/>
    <d v="2023-09-04T00:00:00"/>
    <s v="18:54:24.034Z"/>
    <n v="1516"/>
    <d v="1997-04-14T00:00:00"/>
    <n v="90.73"/>
    <n v="67.849999999999994"/>
    <x v="0"/>
    <x v="26"/>
    <x v="27"/>
    <s v="No"/>
    <s v="Yes"/>
    <n v="26"/>
    <s v="0-35"/>
    <x v="6"/>
    <x v="0"/>
    <n v="538"/>
    <x v="25"/>
    <x v="1"/>
    <s v="Pass"/>
    <x v="1"/>
    <s v="B"/>
    <x v="0"/>
    <s v="60-70"/>
    <x v="0"/>
    <x v="0"/>
    <x v="0"/>
    <x v="0"/>
    <x v="0"/>
    <x v="1"/>
    <x v="1"/>
    <x v="0"/>
    <s v="Sept"/>
  </r>
  <r>
    <s v="2.30945E+11"/>
    <n v="230611204"/>
    <d v="2023-09-06T00:00:00"/>
    <s v="09:40:31.231Z"/>
    <n v="2060"/>
    <d v="1995-11-29T00:00:00"/>
    <n v="72.2"/>
    <n v="72.400000000000006"/>
    <x v="0"/>
    <x v="27"/>
    <x v="28"/>
    <s v="No"/>
    <s v="Yes"/>
    <n v="27"/>
    <s v="60-75"/>
    <x v="6"/>
    <x v="0"/>
    <n v="424"/>
    <x v="26"/>
    <x v="0"/>
    <s v="Pass"/>
    <x v="0"/>
    <s v="C"/>
    <x v="0"/>
    <s v="50-60"/>
    <x v="0"/>
    <x v="0"/>
    <x v="0"/>
    <x v="0"/>
    <x v="0"/>
    <x v="0"/>
    <x v="1"/>
    <x v="0"/>
    <s v="Sept"/>
  </r>
  <r>
    <s v="2.30945E+11"/>
    <n v="230601752"/>
    <d v="2023-09-06T00:00:00"/>
    <s v="20:55:16.579Z"/>
    <n v="504"/>
    <d v="1995-09-25T00:00:00"/>
    <n v="81.45"/>
    <s v="Other"/>
    <x v="6"/>
    <x v="28"/>
    <x v="29"/>
    <s v="No"/>
    <s v="Yes"/>
    <n v="27"/>
    <s v="60-75"/>
    <x v="4"/>
    <x v="0"/>
    <n v="613"/>
    <x v="27"/>
    <x v="2"/>
    <s v="Pass"/>
    <x v="2"/>
    <s v="B"/>
    <x v="0"/>
    <s v="70-85"/>
    <x v="1"/>
    <x v="9"/>
    <x v="1"/>
    <x v="1"/>
    <x v="0"/>
    <x v="3"/>
    <x v="1"/>
    <x v="0"/>
    <s v="Sept"/>
  </r>
  <r>
    <s v="2.30945E+11"/>
    <n v="230602422"/>
    <d v="2023-08-26T00:00:00"/>
    <s v="11:04:12.898Z"/>
    <n v="1827"/>
    <d v="1999-12-01T00:00:00"/>
    <n v="92.6"/>
    <n v="67.849999999999994"/>
    <x v="0"/>
    <x v="29"/>
    <x v="30"/>
    <s v="No"/>
    <s v="No"/>
    <n v="23"/>
    <s v="60-75"/>
    <x v="5"/>
    <x v="1"/>
    <n v="518"/>
    <x v="28"/>
    <x v="2"/>
    <s v="Pass"/>
    <x v="2"/>
    <s v="B"/>
    <x v="0"/>
    <s v="60-70"/>
    <x v="1"/>
    <x v="10"/>
    <x v="1"/>
    <x v="1"/>
    <x v="0"/>
    <x v="1"/>
    <x v="0"/>
    <x v="0"/>
    <s v="Sept"/>
  </r>
  <r>
    <s v="2.30945E+11"/>
    <n v="230602968"/>
    <d v="2023-09-01T00:00:00"/>
    <s v="17:11:25.238Z"/>
    <n v="1878"/>
    <d v="2002-01-21T00:00:00"/>
    <n v="91.2"/>
    <n v="74.599999999999994"/>
    <x v="0"/>
    <x v="30"/>
    <x v="31"/>
    <s v="No"/>
    <s v="No"/>
    <n v="21"/>
    <s v="100-75"/>
    <x v="3"/>
    <x v="1"/>
    <n v="600"/>
    <x v="29"/>
    <x v="2"/>
    <s v="Pass"/>
    <x v="2"/>
    <s v="B"/>
    <x v="0"/>
    <s v="70-85"/>
    <x v="1"/>
    <x v="11"/>
    <x v="1"/>
    <x v="1"/>
    <x v="0"/>
    <x v="1"/>
    <x v="2"/>
    <x v="0"/>
    <s v="Sept"/>
  </r>
  <r>
    <s v="2.30945E+11"/>
    <n v="230602128"/>
    <d v="2023-08-27T00:00:00"/>
    <s v="19:50:47.491Z"/>
    <n v="1468"/>
    <d v="1999-05-10T00:00:00"/>
    <n v="88"/>
    <s v="Other"/>
    <x v="7"/>
    <x v="1"/>
    <x v="32"/>
    <s v="No"/>
    <s v="Yes"/>
    <n v="24"/>
    <s v="60-75"/>
    <x v="1"/>
    <x v="0"/>
    <n v="488"/>
    <x v="30"/>
    <x v="1"/>
    <s v="Pass"/>
    <x v="1"/>
    <s v="B"/>
    <x v="0"/>
    <s v="60-70"/>
    <x v="0"/>
    <x v="0"/>
    <x v="0"/>
    <x v="0"/>
    <x v="0"/>
    <x v="1"/>
    <x v="0"/>
    <x v="0"/>
    <s v="Sept"/>
  </r>
  <r>
    <s v="2.30945E+11"/>
    <n v="230610665"/>
    <d v="2023-08-30T00:00:00"/>
    <s v="12:36:11.996Z"/>
    <n v="1625"/>
    <d v="2000-01-28T00:00:00"/>
    <n v="79.8"/>
    <n v="71.23"/>
    <x v="0"/>
    <x v="31"/>
    <x v="33"/>
    <s v="No"/>
    <s v="No"/>
    <n v="23"/>
    <s v="0-35"/>
    <x v="3"/>
    <x v="0"/>
    <n v="597"/>
    <x v="31"/>
    <x v="1"/>
    <s v="Pass"/>
    <x v="1"/>
    <s v="A"/>
    <x v="0"/>
    <s v="70-85"/>
    <x v="1"/>
    <x v="9"/>
    <x v="1"/>
    <x v="1"/>
    <x v="0"/>
    <x v="1"/>
    <x v="0"/>
    <x v="0"/>
    <s v="Sept"/>
  </r>
  <r>
    <s v="2.30945E+11"/>
    <n v="230605730"/>
    <d v="2023-09-02T00:00:00"/>
    <s v="16:41:56.229Z"/>
    <n v="2183"/>
    <d v="2000-12-15T00:00:00"/>
    <n v="87.4"/>
    <n v="71.23"/>
    <x v="0"/>
    <x v="32"/>
    <x v="34"/>
    <s v="No"/>
    <s v="Yes"/>
    <n v="22"/>
    <s v="100-75"/>
    <x v="3"/>
    <x v="1"/>
    <n v="625"/>
    <x v="32"/>
    <x v="2"/>
    <s v="Pass"/>
    <x v="2"/>
    <s v="A"/>
    <x v="0"/>
    <s v="70-85"/>
    <x v="1"/>
    <x v="12"/>
    <x v="1"/>
    <x v="1"/>
    <x v="0"/>
    <x v="0"/>
    <x v="2"/>
    <x v="0"/>
    <s v="Sept"/>
  </r>
  <r>
    <s v="2.30945E+11"/>
    <n v="230601573"/>
    <d v="2023-09-04T00:00:00"/>
    <s v="00:50:48.915Z"/>
    <n v="1803"/>
    <d v="1999-12-14T00:00:00"/>
    <n v="82"/>
    <n v="64"/>
    <x v="0"/>
    <x v="33"/>
    <x v="35"/>
    <s v="No"/>
    <s v="No"/>
    <n v="23"/>
    <s v="45-60"/>
    <x v="5"/>
    <x v="3"/>
    <n v="512"/>
    <x v="33"/>
    <x v="2"/>
    <s v="Pass"/>
    <x v="2"/>
    <s v="B"/>
    <x v="0"/>
    <s v="60-70"/>
    <x v="1"/>
    <x v="13"/>
    <x v="1"/>
    <x v="1"/>
    <x v="0"/>
    <x v="1"/>
    <x v="0"/>
    <x v="0"/>
    <s v="Sept"/>
  </r>
  <r>
    <s v="2.30945E+11"/>
    <n v="230603135"/>
    <d v="2023-09-01T00:00:00"/>
    <s v="00:31:45.610Z"/>
    <n v="579"/>
    <d v="1996-10-20T00:00:00"/>
    <n v="75"/>
    <n v="70"/>
    <x v="0"/>
    <x v="22"/>
    <x v="36"/>
    <s v="No"/>
    <s v="Yes"/>
    <n v="26"/>
    <s v="60-75"/>
    <x v="3"/>
    <x v="0"/>
    <n v="337"/>
    <x v="34"/>
    <x v="0"/>
    <s v="Fail"/>
    <x v="0"/>
    <s v="C"/>
    <x v="0"/>
    <s v="40-50"/>
    <x v="0"/>
    <x v="0"/>
    <x v="0"/>
    <x v="0"/>
    <x v="0"/>
    <x v="3"/>
    <x v="1"/>
    <x v="0"/>
    <s v="Sept"/>
  </r>
  <r>
    <s v="2.30945E+11"/>
    <n v="230608212"/>
    <d v="2023-09-05T00:00:00"/>
    <s v="17:33:40.450Z"/>
    <n v="1285"/>
    <d v="2000-06-24T00:00:00"/>
    <n v="82.6"/>
    <n v="56.15"/>
    <x v="0"/>
    <x v="34"/>
    <x v="37"/>
    <s v="Yes"/>
    <s v="Yes"/>
    <n v="23"/>
    <s v="0-35"/>
    <x v="3"/>
    <x v="4"/>
    <n v="531"/>
    <x v="35"/>
    <x v="2"/>
    <s v="Pass"/>
    <x v="2"/>
    <s v="A"/>
    <x v="0"/>
    <s v="60-70"/>
    <x v="1"/>
    <x v="14"/>
    <x v="1"/>
    <x v="1"/>
    <x v="0"/>
    <x v="1"/>
    <x v="0"/>
    <x v="0"/>
    <s v="Sept"/>
  </r>
  <r>
    <s v="2.30945E+11"/>
    <n v="230605975"/>
    <d v="2023-08-25T00:00:00"/>
    <s v="21:39:57.438Z"/>
    <n v="1992"/>
    <d v="2000-02-23T00:00:00"/>
    <n v="80.8"/>
    <s v="Other"/>
    <x v="8"/>
    <x v="35"/>
    <x v="38"/>
    <s v="No"/>
    <s v="No"/>
    <n v="23"/>
    <s v="100-75"/>
    <x v="5"/>
    <x v="1"/>
    <n v="475"/>
    <x v="36"/>
    <x v="2"/>
    <s v="Pass"/>
    <x v="2"/>
    <s v="B"/>
    <x v="0"/>
    <s v="50-60"/>
    <x v="1"/>
    <x v="15"/>
    <x v="1"/>
    <x v="1"/>
    <x v="0"/>
    <x v="1"/>
    <x v="0"/>
    <x v="0"/>
    <s v="Sept"/>
  </r>
  <r>
    <s v="2.30945E+11"/>
    <n v="230601774"/>
    <d v="2023-08-31T00:00:00"/>
    <s v="18:24:39.736Z"/>
    <n v="1581"/>
    <d v="1999-06-06T00:00:00"/>
    <n v="79.400000000000006"/>
    <n v="51.54"/>
    <x v="9"/>
    <x v="36"/>
    <x v="39"/>
    <s v="No"/>
    <s v="No"/>
    <n v="24"/>
    <s v="0-35"/>
    <x v="5"/>
    <x v="0"/>
    <n v="455"/>
    <x v="37"/>
    <x v="2"/>
    <s v="Pass"/>
    <x v="2"/>
    <s v="B"/>
    <x v="0"/>
    <s v="50-60"/>
    <x v="1"/>
    <x v="16"/>
    <x v="1"/>
    <x v="1"/>
    <x v="0"/>
    <x v="1"/>
    <x v="0"/>
    <x v="0"/>
    <s v="Sept"/>
  </r>
  <r>
    <s v="2.30945E+11"/>
    <n v="230604591"/>
    <d v="2023-09-05T00:00:00"/>
    <s v="16:55:57.172Z"/>
    <n v="1729"/>
    <d v="2000-08-26T00:00:00"/>
    <n v="67"/>
    <n v="70"/>
    <x v="0"/>
    <x v="13"/>
    <x v="40"/>
    <s v="No"/>
    <s v="No"/>
    <n v="23"/>
    <s v="60-75"/>
    <x v="3"/>
    <x v="0"/>
    <n v="555"/>
    <x v="38"/>
    <x v="1"/>
    <s v="Pass"/>
    <x v="1"/>
    <s v="B"/>
    <x v="0"/>
    <s v="60-70"/>
    <x v="1"/>
    <x v="14"/>
    <x v="1"/>
    <x v="1"/>
    <x v="0"/>
    <x v="1"/>
    <x v="0"/>
    <x v="0"/>
    <s v="Sept"/>
  </r>
  <r>
    <s v="2.30945E+11"/>
    <n v="230603046"/>
    <d v="2023-09-02T00:00:00"/>
    <s v="23:27:02.829Z"/>
    <n v="2107"/>
    <d v="2001-01-21T00:00:00"/>
    <n v="77.400000000000006"/>
    <n v="70.459999999999994"/>
    <x v="0"/>
    <x v="37"/>
    <x v="41"/>
    <s v="No"/>
    <s v="No"/>
    <n v="22"/>
    <s v="100-75"/>
    <x v="2"/>
    <x v="0"/>
    <n v="628"/>
    <x v="39"/>
    <x v="2"/>
    <s v="Pass"/>
    <x v="2"/>
    <s v="A"/>
    <x v="0"/>
    <s v="70-85"/>
    <x v="1"/>
    <x v="17"/>
    <x v="1"/>
    <x v="1"/>
    <x v="0"/>
    <x v="0"/>
    <x v="2"/>
    <x v="0"/>
    <s v="Sept"/>
  </r>
  <r>
    <s v="2.30945E+11"/>
    <n v="230705215"/>
    <d v="2023-09-07T00:00:00"/>
    <s v="02:51:05.576Z"/>
    <n v="1300"/>
    <d v="2000-05-01T00:00:00"/>
    <n v="73.2"/>
    <s v="Other"/>
    <x v="10"/>
    <x v="38"/>
    <x v="42"/>
    <s v="No"/>
    <s v="Yes"/>
    <n v="23"/>
    <s v="0-35"/>
    <x v="3"/>
    <x v="0"/>
    <n v="471"/>
    <x v="40"/>
    <x v="2"/>
    <s v="Pass"/>
    <x v="2"/>
    <s v="A"/>
    <x v="0"/>
    <s v="50-60"/>
    <x v="1"/>
    <x v="18"/>
    <x v="1"/>
    <x v="1"/>
    <x v="0"/>
    <x v="1"/>
    <x v="0"/>
    <x v="0"/>
    <s v="Sept"/>
  </r>
  <r>
    <s v="2.30945E+11"/>
    <n v="230703417"/>
    <d v="2023-09-04T00:00:00"/>
    <s v="18:46:56.981Z"/>
    <n v="1206"/>
    <d v="1999-10-11T00:00:00"/>
    <n v="80"/>
    <n v="69.7"/>
    <x v="0"/>
    <x v="39"/>
    <x v="43"/>
    <s v="No"/>
    <s v="Yes"/>
    <n v="23"/>
    <s v="0-35"/>
    <x v="1"/>
    <x v="1"/>
    <n v="465"/>
    <x v="13"/>
    <x v="1"/>
    <s v="Pass"/>
    <x v="1"/>
    <s v="C"/>
    <x v="0"/>
    <s v="50-60"/>
    <x v="1"/>
    <x v="1"/>
    <x v="1"/>
    <x v="1"/>
    <x v="0"/>
    <x v="1"/>
    <x v="0"/>
    <x v="0"/>
    <s v="Sept"/>
  </r>
  <r>
    <s v="2.30945E+11"/>
    <n v="230704845"/>
    <d v="2023-09-09T00:00:00"/>
    <s v="13:05:15.771Z"/>
    <n v="852"/>
    <d v="1999-04-04T00:00:00"/>
    <n v="76.2"/>
    <n v="52.46"/>
    <x v="10"/>
    <x v="40"/>
    <x v="44"/>
    <s v="No"/>
    <s v="Yes"/>
    <n v="24"/>
    <s v="100-75"/>
    <x v="0"/>
    <x v="0"/>
    <n v="515"/>
    <x v="41"/>
    <x v="1"/>
    <s v="Pass"/>
    <x v="1"/>
    <s v="A"/>
    <x v="0"/>
    <s v="60-70"/>
    <x v="2"/>
    <x v="3"/>
    <x v="1"/>
    <x v="1"/>
    <x v="0"/>
    <x v="3"/>
    <x v="0"/>
    <x v="0"/>
    <s v="Sept"/>
  </r>
  <r>
    <s v="2.30945E+11"/>
    <n v="230700614"/>
    <d v="2023-09-08T00:00:00"/>
    <s v="21:59:46.677Z"/>
    <n v="548"/>
    <d v="1994-01-13T00:00:00"/>
    <n v="76.180000000000007"/>
    <n v="57.17"/>
    <x v="0"/>
    <x v="41"/>
    <x v="45"/>
    <s v="No"/>
    <s v="Yes"/>
    <n v="29"/>
    <s v="60-75"/>
    <x v="4"/>
    <x v="0"/>
    <n v="357"/>
    <x v="42"/>
    <x v="2"/>
    <s v="Pass"/>
    <x v="2"/>
    <s v="C"/>
    <x v="0"/>
    <s v="40-50"/>
    <x v="0"/>
    <x v="0"/>
    <x v="0"/>
    <x v="0"/>
    <x v="0"/>
    <x v="3"/>
    <x v="4"/>
    <x v="0"/>
    <s v="Sept"/>
  </r>
  <r>
    <s v="2.30945E+11"/>
    <n v="230613815"/>
    <d v="2023-09-03T00:00:00"/>
    <s v="23:00:03.882Z"/>
    <n v="1686"/>
    <d v="2001-10-13T00:00:00"/>
    <n v="89.6"/>
    <n v="72.459999999999994"/>
    <x v="0"/>
    <x v="2"/>
    <x v="46"/>
    <s v="No"/>
    <s v="No"/>
    <n v="21"/>
    <s v="100-75"/>
    <x v="3"/>
    <x v="0"/>
    <n v="522"/>
    <x v="43"/>
    <x v="2"/>
    <s v="Pass"/>
    <x v="2"/>
    <s v="B"/>
    <x v="0"/>
    <s v="60-70"/>
    <x v="1"/>
    <x v="19"/>
    <x v="1"/>
    <x v="1"/>
    <x v="0"/>
    <x v="1"/>
    <x v="2"/>
    <x v="0"/>
    <s v="Sept"/>
  </r>
  <r>
    <s v="2.30945E+11"/>
    <n v="230606489"/>
    <d v="2023-08-26T00:00:00"/>
    <s v="10:10:00.887Z"/>
    <n v="1896"/>
    <d v="1999-10-01T00:00:00"/>
    <n v="76"/>
    <n v="63"/>
    <x v="0"/>
    <x v="42"/>
    <x v="47"/>
    <s v="No"/>
    <s v="No"/>
    <n v="23"/>
    <s v="100-75"/>
    <x v="3"/>
    <x v="1"/>
    <n v="510"/>
    <x v="44"/>
    <x v="2"/>
    <s v="Pass"/>
    <x v="2"/>
    <s v="A"/>
    <x v="0"/>
    <s v="60-70"/>
    <x v="1"/>
    <x v="19"/>
    <x v="1"/>
    <x v="1"/>
    <x v="0"/>
    <x v="1"/>
    <x v="0"/>
    <x v="0"/>
    <s v="Sept"/>
  </r>
  <r>
    <s v="2.30945E+11"/>
    <n v="230611726"/>
    <d v="2023-08-31T00:00:00"/>
    <s v="20:24:19.154Z"/>
    <n v="1777"/>
    <d v="1999-03-07T00:00:00"/>
    <n v="91.2"/>
    <s v="Other"/>
    <x v="11"/>
    <x v="43"/>
    <x v="48"/>
    <s v="No"/>
    <s v="Yes"/>
    <n v="24"/>
    <s v="100-75"/>
    <x v="1"/>
    <x v="0"/>
    <n v="563"/>
    <x v="45"/>
    <x v="1"/>
    <s v="Pass"/>
    <x v="1"/>
    <s v="B"/>
    <x v="0"/>
    <s v="70-85"/>
    <x v="1"/>
    <x v="9"/>
    <x v="1"/>
    <x v="1"/>
    <x v="0"/>
    <x v="1"/>
    <x v="0"/>
    <x v="0"/>
    <s v="Sept"/>
  </r>
  <r>
    <s v="2.30945E+11"/>
    <n v="230603335"/>
    <d v="2023-08-30T00:00:00"/>
    <s v="16:29:41.186Z"/>
    <n v="1394"/>
    <d v="1999-03-16T00:00:00"/>
    <n v="85.4"/>
    <s v="Other"/>
    <x v="12"/>
    <x v="44"/>
    <x v="49"/>
    <s v="No"/>
    <s v="No"/>
    <n v="24"/>
    <s v="60-75"/>
    <x v="4"/>
    <x v="0"/>
    <n v="411"/>
    <x v="46"/>
    <x v="2"/>
    <s v="Pass"/>
    <x v="2"/>
    <s v="C"/>
    <x v="0"/>
    <s v="50-60"/>
    <x v="0"/>
    <x v="0"/>
    <x v="0"/>
    <x v="0"/>
    <x v="0"/>
    <x v="1"/>
    <x v="0"/>
    <x v="0"/>
    <s v="Sept"/>
  </r>
  <r>
    <s v="2.30945E+11"/>
    <n v="230605622"/>
    <d v="2023-08-25T00:00:00"/>
    <s v="19:52:22.991Z"/>
    <n v="1669"/>
    <d v="2001-08-02T00:00:00"/>
    <n v="74"/>
    <n v="72"/>
    <x v="0"/>
    <x v="11"/>
    <x v="50"/>
    <s v="No"/>
    <s v="No"/>
    <n v="22"/>
    <s v="0-35"/>
    <x v="5"/>
    <x v="2"/>
    <n v="548"/>
    <x v="47"/>
    <x v="1"/>
    <s v="Pass"/>
    <x v="1"/>
    <s v="A"/>
    <x v="0"/>
    <s v="60-70"/>
    <x v="1"/>
    <x v="1"/>
    <x v="1"/>
    <x v="1"/>
    <x v="0"/>
    <x v="1"/>
    <x v="2"/>
    <x v="0"/>
    <s v="Sept"/>
  </r>
  <r>
    <s v="2.30945E+11"/>
    <n v="230601416"/>
    <d v="2023-08-27T00:00:00"/>
    <s v="19:24:19.565Z"/>
    <n v="2083"/>
    <d v="2002-07-05T00:00:00"/>
    <n v="93.8"/>
    <n v="85.2"/>
    <x v="0"/>
    <x v="45"/>
    <x v="51"/>
    <s v="No"/>
    <s v="No"/>
    <n v="21"/>
    <s v="100-75"/>
    <x v="3"/>
    <x v="0"/>
    <n v="493"/>
    <x v="48"/>
    <x v="1"/>
    <s v="Pass"/>
    <x v="1"/>
    <s v="A"/>
    <x v="0"/>
    <s v="60-70"/>
    <x v="1"/>
    <x v="20"/>
    <x v="1"/>
    <x v="1"/>
    <x v="0"/>
    <x v="0"/>
    <x v="2"/>
    <x v="0"/>
    <s v="Sept"/>
  </r>
  <r>
    <s v="2.30945E+11"/>
    <n v="230700611"/>
    <d v="2023-09-06T00:00:00"/>
    <s v="16:27:03.508Z"/>
    <n v="923"/>
    <d v="2000-09-30T00:00:00"/>
    <n v="72.599999999999994"/>
    <n v="56.77"/>
    <x v="13"/>
    <x v="11"/>
    <x v="52"/>
    <s v="No"/>
    <s v="No"/>
    <n v="22"/>
    <s v="0-35"/>
    <x v="5"/>
    <x v="2"/>
    <n v="408"/>
    <x v="49"/>
    <x v="0"/>
    <s v="Pass"/>
    <x v="0"/>
    <s v="B"/>
    <x v="0"/>
    <s v="50-60"/>
    <x v="0"/>
    <x v="0"/>
    <x v="0"/>
    <x v="0"/>
    <x v="0"/>
    <x v="3"/>
    <x v="2"/>
    <x v="0"/>
    <s v="Sept"/>
  </r>
  <r>
    <s v="2.30945E+11"/>
    <n v="230700281"/>
    <d v="2023-09-01T00:00:00"/>
    <s v="23:07:51.645Z"/>
    <n v="1904"/>
    <d v="1998-06-08T00:00:00"/>
    <n v="91.2"/>
    <n v="78"/>
    <x v="0"/>
    <x v="46"/>
    <x v="53"/>
    <s v="No"/>
    <s v="Yes"/>
    <n v="25"/>
    <s v="100-75"/>
    <x v="2"/>
    <x v="1"/>
    <n v="577"/>
    <x v="50"/>
    <x v="1"/>
    <s v="Pass"/>
    <x v="1"/>
    <s v="A"/>
    <x v="0"/>
    <s v="70-85"/>
    <x v="1"/>
    <x v="21"/>
    <x v="1"/>
    <x v="1"/>
    <x v="0"/>
    <x v="1"/>
    <x v="0"/>
    <x v="0"/>
    <s v="Sept"/>
  </r>
  <r>
    <s v="2.30945E+11"/>
    <n v="230608418"/>
    <d v="2023-09-06T00:00:00"/>
    <s v="19:32:44.521Z"/>
    <n v="1600"/>
    <d v="1994-12-31T00:00:00"/>
    <n v="93.82"/>
    <n v="70.33"/>
    <x v="0"/>
    <x v="11"/>
    <x v="54"/>
    <s v="No"/>
    <s v="No"/>
    <n v="28"/>
    <s v="0-35"/>
    <x v="5"/>
    <x v="2"/>
    <n v="547"/>
    <x v="51"/>
    <x v="0"/>
    <s v="Pass"/>
    <x v="0"/>
    <s v="B"/>
    <x v="0"/>
    <s v="60-70"/>
    <x v="0"/>
    <x v="0"/>
    <x v="0"/>
    <x v="0"/>
    <x v="0"/>
    <x v="1"/>
    <x v="1"/>
    <x v="0"/>
    <s v="Sept"/>
  </r>
  <r>
    <s v="2.30945E+11"/>
    <n v="230607622"/>
    <d v="2023-08-31T00:00:00"/>
    <s v="19:05:03.755Z"/>
    <n v="2038"/>
    <d v="2001-11-07T00:00:00"/>
    <n v="86.6"/>
    <n v="76.92"/>
    <x v="0"/>
    <x v="47"/>
    <x v="55"/>
    <s v="No"/>
    <s v="No"/>
    <n v="21"/>
    <s v="100-75"/>
    <x v="0"/>
    <x v="0"/>
    <n v="608"/>
    <x v="52"/>
    <x v="1"/>
    <s v="Pass"/>
    <x v="1"/>
    <s v="A"/>
    <x v="0"/>
    <s v="70-85"/>
    <x v="1"/>
    <x v="22"/>
    <x v="1"/>
    <x v="1"/>
    <x v="0"/>
    <x v="0"/>
    <x v="2"/>
    <x v="0"/>
    <s v="Sept"/>
  </r>
  <r>
    <s v="2.30945E+11"/>
    <n v="230607836"/>
    <d v="2023-08-30T00:00:00"/>
    <s v="19:16:29.021Z"/>
    <n v="1899"/>
    <d v="1994-07-25T00:00:00"/>
    <n v="93.64"/>
    <n v="60.67"/>
    <x v="0"/>
    <x v="48"/>
    <x v="56"/>
    <s v="No"/>
    <s v="Yes"/>
    <n v="29"/>
    <s v="60-75"/>
    <x v="4"/>
    <x v="0"/>
    <n v="299"/>
    <x v="53"/>
    <x v="0"/>
    <s v="Fail"/>
    <x v="0"/>
    <s v="C"/>
    <x v="0"/>
    <s v="Fail"/>
    <x v="0"/>
    <x v="0"/>
    <x v="0"/>
    <x v="0"/>
    <x v="0"/>
    <x v="1"/>
    <x v="4"/>
    <x v="0"/>
    <s v="Sept"/>
  </r>
  <r>
    <s v="2.30945E+11"/>
    <n v="230602206"/>
    <d v="2023-08-29T00:00:00"/>
    <s v="22:51:43.357Z"/>
    <n v="2142"/>
    <d v="1998-11-12T00:00:00"/>
    <n v="88"/>
    <s v="Other"/>
    <x v="14"/>
    <x v="49"/>
    <x v="57"/>
    <s v="No"/>
    <s v="Yes"/>
    <n v="24"/>
    <s v="60-75"/>
    <x v="1"/>
    <x v="0"/>
    <n v="405"/>
    <x v="54"/>
    <x v="0"/>
    <s v="Pass"/>
    <x v="0"/>
    <s v="B"/>
    <x v="0"/>
    <s v="50-60"/>
    <x v="0"/>
    <x v="0"/>
    <x v="0"/>
    <x v="0"/>
    <x v="0"/>
    <x v="0"/>
    <x v="0"/>
    <x v="0"/>
    <s v="Sept"/>
  </r>
  <r>
    <s v="2.30945E+11"/>
    <n v="230603225"/>
    <d v="2023-08-30T00:00:00"/>
    <s v="18:57:01.489Z"/>
    <n v="1538"/>
    <d v="2001-03-11T00:00:00"/>
    <n v="85.4"/>
    <n v="69.540000000000006"/>
    <x v="0"/>
    <x v="50"/>
    <x v="58"/>
    <s v="No"/>
    <s v="Yes"/>
    <n v="22"/>
    <s v="0-35"/>
    <x v="5"/>
    <x v="1"/>
    <n v="429"/>
    <x v="55"/>
    <x v="0"/>
    <s v="Pass"/>
    <x v="0"/>
    <s v="B"/>
    <x v="0"/>
    <s v="50-60"/>
    <x v="0"/>
    <x v="0"/>
    <x v="0"/>
    <x v="0"/>
    <x v="0"/>
    <x v="1"/>
    <x v="2"/>
    <x v="0"/>
    <s v="Sept"/>
  </r>
  <r>
    <s v="2.30945E+11"/>
    <n v="230603316"/>
    <d v="2023-08-31T00:00:00"/>
    <s v="14:48:40.436Z"/>
    <n v="1984"/>
    <d v="2000-09-25T00:00:00"/>
    <n v="81.2"/>
    <n v="71.400000000000006"/>
    <x v="0"/>
    <x v="51"/>
    <x v="59"/>
    <s v="No"/>
    <s v="Yes"/>
    <n v="22"/>
    <s v="60-75"/>
    <x v="6"/>
    <x v="0"/>
    <n v="389"/>
    <x v="56"/>
    <x v="0"/>
    <s v="Pass"/>
    <x v="0"/>
    <s v="C"/>
    <x v="0"/>
    <s v="40-50"/>
    <x v="0"/>
    <x v="0"/>
    <x v="0"/>
    <x v="0"/>
    <x v="0"/>
    <x v="1"/>
    <x v="2"/>
    <x v="0"/>
    <s v="Sept"/>
  </r>
  <r>
    <s v="2.30945E+11"/>
    <n v="230612994"/>
    <d v="2023-09-06T00:00:00"/>
    <s v="20:09:59.320Z"/>
    <n v="1640"/>
    <d v="2001-04-07T00:00:00"/>
    <n v="89.6"/>
    <n v="81.849999999999994"/>
    <x v="0"/>
    <x v="52"/>
    <x v="60"/>
    <s v="No"/>
    <s v="No"/>
    <n v="22"/>
    <s v="60-75"/>
    <x v="3"/>
    <x v="1"/>
    <n v="602"/>
    <x v="57"/>
    <x v="2"/>
    <s v="Pass"/>
    <x v="2"/>
    <s v="A"/>
    <x v="0"/>
    <s v="70-85"/>
    <x v="1"/>
    <x v="12"/>
    <x v="1"/>
    <x v="1"/>
    <x v="0"/>
    <x v="1"/>
    <x v="2"/>
    <x v="0"/>
    <s v="Sept"/>
  </r>
  <r>
    <s v="2.30945E+11"/>
    <n v="230607010"/>
    <d v="2023-09-06T00:00:00"/>
    <s v="20:09:16.266Z"/>
    <n v="1522"/>
    <d v="1999-11-05T00:00:00"/>
    <n v="77.8"/>
    <n v="52.46"/>
    <x v="0"/>
    <x v="53"/>
    <x v="61"/>
    <s v="No"/>
    <s v="No"/>
    <n v="23"/>
    <s v="60-75"/>
    <x v="6"/>
    <x v="0"/>
    <n v="442"/>
    <x v="17"/>
    <x v="0"/>
    <s v="Pass"/>
    <x v="0"/>
    <s v="B"/>
    <x v="0"/>
    <s v="50-60"/>
    <x v="0"/>
    <x v="0"/>
    <x v="0"/>
    <x v="0"/>
    <x v="0"/>
    <x v="1"/>
    <x v="0"/>
    <x v="0"/>
    <s v="Sept"/>
  </r>
  <r>
    <s v="2.30945E+11"/>
    <n v="230703507"/>
    <d v="2023-09-02T00:00:00"/>
    <s v="22:56:14.904Z"/>
    <n v="1180"/>
    <d v="1998-02-13T00:00:00"/>
    <n v="67.09"/>
    <n v="55.08"/>
    <x v="15"/>
    <x v="54"/>
    <x v="62"/>
    <s v="No"/>
    <s v="No"/>
    <n v="25"/>
    <s v="60-75"/>
    <x v="4"/>
    <x v="0"/>
    <n v="533"/>
    <x v="58"/>
    <x v="2"/>
    <s v="Pass"/>
    <x v="2"/>
    <s v="A"/>
    <x v="0"/>
    <s v="60-70"/>
    <x v="2"/>
    <x v="3"/>
    <x v="1"/>
    <x v="1"/>
    <x v="0"/>
    <x v="1"/>
    <x v="0"/>
    <x v="0"/>
    <s v="Sept"/>
  </r>
  <r>
    <s v="2.30945E+11"/>
    <n v="230602491"/>
    <d v="2023-09-06T00:00:00"/>
    <s v="17:30:58.571Z"/>
    <n v="639"/>
    <d v="2002-04-16T00:00:00"/>
    <n v="87.6"/>
    <s v="Other"/>
    <x v="16"/>
    <x v="55"/>
    <x v="63"/>
    <s v="No"/>
    <s v="Yes"/>
    <n v="21"/>
    <s v="100-75"/>
    <x v="6"/>
    <x v="0"/>
    <n v="555"/>
    <x v="38"/>
    <x v="1"/>
    <s v="Pass"/>
    <x v="1"/>
    <s v="B"/>
    <x v="0"/>
    <s v="60-70"/>
    <x v="1"/>
    <x v="9"/>
    <x v="1"/>
    <x v="1"/>
    <x v="0"/>
    <x v="3"/>
    <x v="2"/>
    <x v="0"/>
    <s v="Sept"/>
  </r>
  <r>
    <s v="2.30945E+11"/>
    <n v="230704285"/>
    <d v="2023-08-27T00:00:00"/>
    <s v="16:26:59.180Z"/>
    <n v="1194"/>
    <d v="2001-03-23T00:00:00"/>
    <n v="87.4"/>
    <n v="57.69"/>
    <x v="0"/>
    <x v="56"/>
    <x v="64"/>
    <s v="No"/>
    <s v="No"/>
    <n v="22"/>
    <s v="60-75"/>
    <x v="4"/>
    <x v="0"/>
    <n v="375"/>
    <x v="59"/>
    <x v="2"/>
    <s v="Pass"/>
    <x v="2"/>
    <s v="B"/>
    <x v="0"/>
    <s v="40-50"/>
    <x v="0"/>
    <x v="0"/>
    <x v="0"/>
    <x v="0"/>
    <x v="0"/>
    <x v="1"/>
    <x v="2"/>
    <x v="0"/>
    <s v="Sept"/>
  </r>
  <r>
    <s v="2.30945E+11"/>
    <n v="230701345"/>
    <d v="2023-08-31T00:00:00"/>
    <s v="19:09:33.258Z"/>
    <n v="1115"/>
    <d v="2000-02-08T00:00:00"/>
    <n v="72.599999999999994"/>
    <s v="Other"/>
    <x v="17"/>
    <x v="57"/>
    <x v="65"/>
    <s v="No"/>
    <s v="Yes"/>
    <n v="23"/>
    <s v="0-35"/>
    <x v="4"/>
    <x v="1"/>
    <n v="405"/>
    <x v="54"/>
    <x v="0"/>
    <s v="Pass"/>
    <x v="0"/>
    <s v="A"/>
    <x v="0"/>
    <s v="50-60"/>
    <x v="1"/>
    <x v="23"/>
    <x v="1"/>
    <x v="1"/>
    <x v="0"/>
    <x v="1"/>
    <x v="0"/>
    <x v="0"/>
    <s v="Sept"/>
  </r>
  <r>
    <s v="2.30945E+11"/>
    <n v="230601941"/>
    <d v="2023-09-06T00:00:00"/>
    <s v="17:07:35.349Z"/>
    <n v="1192"/>
    <d v="1999-11-17T00:00:00"/>
    <n v="84.6"/>
    <n v="52.15"/>
    <x v="0"/>
    <x v="58"/>
    <x v="66"/>
    <s v="Yes"/>
    <s v="Yes"/>
    <n v="23"/>
    <s v="100-75"/>
    <x v="3"/>
    <x v="3"/>
    <n v="442"/>
    <x v="17"/>
    <x v="0"/>
    <s v="Pass"/>
    <x v="0"/>
    <s v="C"/>
    <x v="0"/>
    <s v="50-60"/>
    <x v="0"/>
    <x v="0"/>
    <x v="0"/>
    <x v="0"/>
    <x v="0"/>
    <x v="1"/>
    <x v="0"/>
    <x v="0"/>
    <s v="Sept"/>
  </r>
  <r>
    <s v="2.30945E+11"/>
    <n v="230603701"/>
    <d v="2023-09-04T00:00:00"/>
    <s v="20:48:30.852Z"/>
    <n v="1979"/>
    <d v="2000-04-21T00:00:00"/>
    <n v="88.8"/>
    <n v="77.540000000000006"/>
    <x v="0"/>
    <x v="59"/>
    <x v="67"/>
    <s v="No"/>
    <s v="Yes"/>
    <n v="23"/>
    <s v="60-75"/>
    <x v="3"/>
    <x v="0"/>
    <n v="393"/>
    <x v="60"/>
    <x v="1"/>
    <s v="Pass"/>
    <x v="1"/>
    <s v="C"/>
    <x v="0"/>
    <s v="40-50"/>
    <x v="0"/>
    <x v="0"/>
    <x v="0"/>
    <x v="0"/>
    <x v="0"/>
    <x v="1"/>
    <x v="0"/>
    <x v="0"/>
    <s v="Sept"/>
  </r>
  <r>
    <s v="2.30945E+11"/>
    <n v="230614683"/>
    <d v="2023-09-03T00:00:00"/>
    <s v="16:05:36.508Z"/>
    <n v="1804"/>
    <d v="2000-05-26T00:00:00"/>
    <n v="90.2"/>
    <n v="78.900000000000006"/>
    <x v="0"/>
    <x v="60"/>
    <x v="68"/>
    <s v="No"/>
    <s v="Yes"/>
    <n v="23"/>
    <s v="60-75"/>
    <x v="6"/>
    <x v="0"/>
    <n v="526"/>
    <x v="61"/>
    <x v="2"/>
    <s v="Pass"/>
    <x v="2"/>
    <s v="B"/>
    <x v="0"/>
    <s v="60-70"/>
    <x v="0"/>
    <x v="0"/>
    <x v="0"/>
    <x v="0"/>
    <x v="0"/>
    <x v="1"/>
    <x v="0"/>
    <x v="0"/>
    <s v="Sept"/>
  </r>
  <r>
    <s v="2.30945E+11"/>
    <n v="230602395"/>
    <d v="2023-08-29T00:00:00"/>
    <s v="12:45:05.377Z"/>
    <n v="265"/>
    <d v="1999-11-13T00:00:00"/>
    <n v="72.2"/>
    <n v="54.46"/>
    <x v="18"/>
    <x v="61"/>
    <x v="69"/>
    <s v="No"/>
    <s v="No"/>
    <n v="23"/>
    <s v="100-75"/>
    <x v="3"/>
    <x v="0"/>
    <n v="663"/>
    <x v="62"/>
    <x v="1"/>
    <s v="Pass"/>
    <x v="1"/>
    <s v="A"/>
    <x v="0"/>
    <s v="70-85"/>
    <x v="1"/>
    <x v="24"/>
    <x v="1"/>
    <x v="1"/>
    <x v="0"/>
    <x v="3"/>
    <x v="0"/>
    <x v="0"/>
    <s v="Sept"/>
  </r>
  <r>
    <s v="2.30945E+11"/>
    <n v="230604440"/>
    <d v="2023-08-28T00:00:00"/>
    <s v="20:18:02.015Z"/>
    <n v="1696"/>
    <d v="2001-11-25T00:00:00"/>
    <n v="88"/>
    <n v="64.459999999999994"/>
    <x v="0"/>
    <x v="62"/>
    <x v="70"/>
    <s v="No"/>
    <s v="Yes"/>
    <n v="21"/>
    <s v="100-75"/>
    <x v="0"/>
    <x v="0"/>
    <n v="560"/>
    <x v="63"/>
    <x v="1"/>
    <s v="Pass"/>
    <x v="1"/>
    <s v="A"/>
    <x v="0"/>
    <s v="70-85"/>
    <x v="1"/>
    <x v="24"/>
    <x v="1"/>
    <x v="1"/>
    <x v="0"/>
    <x v="1"/>
    <x v="2"/>
    <x v="0"/>
    <s v="Sept"/>
  </r>
  <r>
    <s v="2.30945E+11"/>
    <n v="230702134"/>
    <d v="2023-09-06T00:00:00"/>
    <s v="19:56:06.667Z"/>
    <n v="995"/>
    <d v="1998-07-01T00:00:00"/>
    <n v="80.400000000000006"/>
    <n v="65.540000000000006"/>
    <x v="0"/>
    <x v="63"/>
    <x v="71"/>
    <s v="No"/>
    <s v="No"/>
    <n v="25"/>
    <s v="100-75"/>
    <x v="0"/>
    <x v="0"/>
    <n v="503"/>
    <x v="64"/>
    <x v="0"/>
    <s v="Pass"/>
    <x v="0"/>
    <s v="B"/>
    <x v="0"/>
    <s v="60-70"/>
    <x v="0"/>
    <x v="0"/>
    <x v="0"/>
    <x v="0"/>
    <x v="0"/>
    <x v="3"/>
    <x v="0"/>
    <x v="0"/>
    <s v="Sept"/>
  </r>
  <r>
    <s v="2.30945E+11"/>
    <n v="230702562"/>
    <d v="2023-09-06T00:00:00"/>
    <s v="21:37:26.599Z"/>
    <n v="1236"/>
    <d v="2001-05-21T00:00:00"/>
    <n v="75.599999999999994"/>
    <n v="69.540000000000006"/>
    <x v="0"/>
    <x v="22"/>
    <x v="72"/>
    <s v="No"/>
    <s v="Yes"/>
    <n v="22"/>
    <s v="60-75"/>
    <x v="4"/>
    <x v="0"/>
    <n v="532"/>
    <x v="65"/>
    <x v="0"/>
    <s v="Pass"/>
    <x v="0"/>
    <s v="A"/>
    <x v="0"/>
    <s v="60-70"/>
    <x v="2"/>
    <x v="3"/>
    <x v="1"/>
    <x v="1"/>
    <x v="0"/>
    <x v="1"/>
    <x v="2"/>
    <x v="0"/>
    <s v="Sept"/>
  </r>
  <r>
    <s v="2.30945E+11"/>
    <n v="230702524"/>
    <d v="2023-08-25T00:00:00"/>
    <s v="21:57:43.001Z"/>
    <n v="1632"/>
    <d v="2000-10-11T00:00:00"/>
    <n v="95.8"/>
    <n v="81.849999999999994"/>
    <x v="0"/>
    <x v="64"/>
    <x v="73"/>
    <s v="No"/>
    <s v="No"/>
    <n v="22"/>
    <s v="100-75"/>
    <x v="4"/>
    <x v="1"/>
    <n v="638"/>
    <x v="66"/>
    <x v="1"/>
    <s v="Pass"/>
    <x v="1"/>
    <s v="A"/>
    <x v="0"/>
    <s v="70-85"/>
    <x v="1"/>
    <x v="24"/>
    <x v="1"/>
    <x v="1"/>
    <x v="0"/>
    <x v="1"/>
    <x v="2"/>
    <x v="0"/>
    <s v="Sept"/>
  </r>
  <r>
    <s v="2.30945E+11"/>
    <n v="230600350"/>
    <d v="2023-08-30T00:00:00"/>
    <s v="13:43:02.213Z"/>
    <n v="1170"/>
    <d v="1997-04-27T00:00:00"/>
    <n v="67"/>
    <n v="53.85"/>
    <x v="0"/>
    <x v="65"/>
    <x v="74"/>
    <s v="No"/>
    <s v="Yes"/>
    <n v="26"/>
    <s v="45-60"/>
    <x v="6"/>
    <x v="0"/>
    <n v="518"/>
    <x v="28"/>
    <x v="0"/>
    <s v="Pass"/>
    <x v="0"/>
    <s v="B"/>
    <x v="0"/>
    <s v="60-70"/>
    <x v="0"/>
    <x v="0"/>
    <x v="0"/>
    <x v="0"/>
    <x v="0"/>
    <x v="1"/>
    <x v="1"/>
    <x v="0"/>
    <s v="Sept"/>
  </r>
  <r>
    <s v="2.30945E+11"/>
    <n v="230609145"/>
    <d v="2023-08-24T00:00:00"/>
    <s v="19:46:17.870Z"/>
    <n v="1880"/>
    <d v="2002-08-02T00:00:00"/>
    <n v="90"/>
    <n v="87.6"/>
    <x v="0"/>
    <x v="11"/>
    <x v="75"/>
    <s v="No"/>
    <s v="Yes"/>
    <n v="21"/>
    <s v="0-35"/>
    <x v="4"/>
    <x v="1"/>
    <n v="660"/>
    <x v="67"/>
    <x v="1"/>
    <s v="Pass"/>
    <x v="1"/>
    <s v="B"/>
    <x v="0"/>
    <s v="70-85"/>
    <x v="1"/>
    <x v="24"/>
    <x v="1"/>
    <x v="1"/>
    <x v="0"/>
    <x v="1"/>
    <x v="2"/>
    <x v="0"/>
    <s v="Sept"/>
  </r>
  <r>
    <s v="2.30945E+11"/>
    <n v="230601775"/>
    <d v="2023-08-30T00:00:00"/>
    <s v="10:45:52.510Z"/>
    <n v="1808"/>
    <d v="2000-10-16T00:00:00"/>
    <n v="81.400000000000006"/>
    <s v="Other"/>
    <x v="19"/>
    <x v="66"/>
    <x v="76"/>
    <s v="No"/>
    <s v="Yes"/>
    <n v="22"/>
    <s v="100-75"/>
    <x v="1"/>
    <x v="0"/>
    <n v="466"/>
    <x v="68"/>
    <x v="0"/>
    <s v="Pass"/>
    <x v="0"/>
    <s v="B"/>
    <x v="0"/>
    <s v="50-60"/>
    <x v="0"/>
    <x v="0"/>
    <x v="0"/>
    <x v="0"/>
    <x v="0"/>
    <x v="1"/>
    <x v="2"/>
    <x v="0"/>
    <s v="Sept"/>
  </r>
  <r>
    <s v="2.30945E+11"/>
    <n v="230600010"/>
    <d v="2023-08-24T00:00:00"/>
    <s v="18:18:39.936Z"/>
    <n v="1586"/>
    <d v="1999-11-02T00:00:00"/>
    <n v="78.599999999999994"/>
    <s v="Other"/>
    <x v="20"/>
    <x v="67"/>
    <x v="77"/>
    <s v="No"/>
    <s v="Yes"/>
    <n v="23"/>
    <s v="100-75"/>
    <x v="1"/>
    <x v="0"/>
    <n v="489"/>
    <x v="69"/>
    <x v="2"/>
    <s v="Pass"/>
    <x v="2"/>
    <s v="A"/>
    <x v="0"/>
    <s v="60-70"/>
    <x v="1"/>
    <x v="25"/>
    <x v="1"/>
    <x v="1"/>
    <x v="0"/>
    <x v="1"/>
    <x v="0"/>
    <x v="0"/>
    <s v="Sept"/>
  </r>
  <r>
    <s v="2.30945E+11"/>
    <n v="230705653"/>
    <d v="2023-09-08T00:00:00"/>
    <s v="20:04:55.083Z"/>
    <n v="2091"/>
    <d v="1998-05-17T00:00:00"/>
    <n v="82.18"/>
    <s v="Other"/>
    <x v="21"/>
    <x v="68"/>
    <x v="78"/>
    <s v="No"/>
    <s v="No"/>
    <n v="25"/>
    <s v="60-75"/>
    <x v="2"/>
    <x v="0"/>
    <n v="423"/>
    <x v="70"/>
    <x v="1"/>
    <s v="Pass"/>
    <x v="1"/>
    <s v="B"/>
    <x v="0"/>
    <s v="50-60"/>
    <x v="0"/>
    <x v="0"/>
    <x v="0"/>
    <x v="0"/>
    <x v="0"/>
    <x v="0"/>
    <x v="0"/>
    <x v="0"/>
    <s v="Sept"/>
  </r>
  <r>
    <s v="2.30945E+11"/>
    <n v="230601605"/>
    <d v="2023-08-28T00:00:00"/>
    <s v="20:51:42.705Z"/>
    <n v="1593"/>
    <d v="1997-02-23T00:00:00"/>
    <n v="76"/>
    <s v="Other"/>
    <x v="22"/>
    <x v="69"/>
    <x v="79"/>
    <s v="No"/>
    <s v="Yes"/>
    <n v="26"/>
    <s v="60-75"/>
    <x v="3"/>
    <x v="1"/>
    <n v="532"/>
    <x v="65"/>
    <x v="2"/>
    <s v="Pass"/>
    <x v="2"/>
    <s v="B"/>
    <x v="0"/>
    <s v="60-70"/>
    <x v="1"/>
    <x v="13"/>
    <x v="1"/>
    <x v="1"/>
    <x v="0"/>
    <x v="1"/>
    <x v="1"/>
    <x v="0"/>
    <s v="Sept"/>
  </r>
  <r>
    <s v="2.30945E+11"/>
    <n v="230613414"/>
    <d v="2023-08-26T00:00:00"/>
    <s v="22:41:29.486Z"/>
    <n v="780"/>
    <d v="2000-08-14T00:00:00"/>
    <n v="90.4"/>
    <s v="Other"/>
    <x v="23"/>
    <x v="70"/>
    <x v="80"/>
    <s v="No"/>
    <s v="Yes"/>
    <n v="23"/>
    <s v="100-75"/>
    <x v="1"/>
    <x v="1"/>
    <n v="655"/>
    <x v="71"/>
    <x v="2"/>
    <s v="Pass"/>
    <x v="2"/>
    <s v="A"/>
    <x v="0"/>
    <s v="70-85"/>
    <x v="1"/>
    <x v="5"/>
    <x v="1"/>
    <x v="1"/>
    <x v="0"/>
    <x v="3"/>
    <x v="0"/>
    <x v="0"/>
    <s v="Sept"/>
  </r>
  <r>
    <s v="2.30945E+11"/>
    <n v="230613411"/>
    <d v="2023-08-25T00:00:00"/>
    <s v="18:30:05.030Z"/>
    <n v="491"/>
    <d v="2000-02-11T00:00:00"/>
    <n v="90.4"/>
    <n v="64.150000000000006"/>
    <x v="0"/>
    <x v="71"/>
    <x v="81"/>
    <s v="No"/>
    <s v="No"/>
    <n v="23"/>
    <s v="100-75"/>
    <x v="1"/>
    <x v="1"/>
    <n v="574"/>
    <x v="72"/>
    <x v="1"/>
    <s v="Pass"/>
    <x v="1"/>
    <s v="A"/>
    <x v="0"/>
    <s v="70-85"/>
    <x v="1"/>
    <x v="9"/>
    <x v="1"/>
    <x v="1"/>
    <x v="0"/>
    <x v="3"/>
    <x v="0"/>
    <x v="0"/>
    <s v="Sept"/>
  </r>
  <r>
    <s v="2.30945E+11"/>
    <n v="230702886"/>
    <d v="2023-08-28T00:00:00"/>
    <s v="18:03:54.577Z"/>
    <n v="1283"/>
    <d v="2000-12-02T00:00:00"/>
    <n v="86.4"/>
    <n v="61.23"/>
    <x v="0"/>
    <x v="72"/>
    <x v="82"/>
    <s v="No"/>
    <s v="Yes"/>
    <n v="22"/>
    <s v="0-35"/>
    <x v="4"/>
    <x v="0"/>
    <n v="587"/>
    <x v="73"/>
    <x v="2"/>
    <s v="Pass"/>
    <x v="2"/>
    <s v="B"/>
    <x v="0"/>
    <s v="70-85"/>
    <x v="1"/>
    <x v="16"/>
    <x v="1"/>
    <x v="1"/>
    <x v="0"/>
    <x v="1"/>
    <x v="2"/>
    <x v="0"/>
    <s v="Sept"/>
  </r>
  <r>
    <s v="2.30945E+11"/>
    <n v="230608091"/>
    <d v="2023-09-01T00:00:00"/>
    <s v="00:31:18.531Z"/>
    <n v="1871"/>
    <d v="1999-06-14T00:00:00"/>
    <n v="70.3"/>
    <n v="65.8"/>
    <x v="0"/>
    <x v="73"/>
    <x v="83"/>
    <s v="No"/>
    <s v="No"/>
    <n v="24"/>
    <s v="100-75"/>
    <x v="4"/>
    <x v="1"/>
    <n v="497"/>
    <x v="74"/>
    <x v="1"/>
    <s v="Pass"/>
    <x v="1"/>
    <s v="A"/>
    <x v="0"/>
    <s v="60-70"/>
    <x v="1"/>
    <x v="1"/>
    <x v="1"/>
    <x v="1"/>
    <x v="0"/>
    <x v="1"/>
    <x v="0"/>
    <x v="0"/>
    <s v="Sept"/>
  </r>
  <r>
    <s v="2.30945E+11"/>
    <n v="230605976"/>
    <d v="2023-08-29T00:00:00"/>
    <s v="14:28:49.566Z"/>
    <n v="2087"/>
    <d v="2000-01-05T00:00:00"/>
    <n v="82.4"/>
    <s v="Other"/>
    <x v="24"/>
    <x v="74"/>
    <x v="84"/>
    <s v="No"/>
    <s v="No"/>
    <n v="23"/>
    <s v="100-75"/>
    <x v="4"/>
    <x v="0"/>
    <n v="498"/>
    <x v="75"/>
    <x v="2"/>
    <s v="Pass"/>
    <x v="2"/>
    <s v="A"/>
    <x v="0"/>
    <s v="60-70"/>
    <x v="0"/>
    <x v="0"/>
    <x v="0"/>
    <x v="0"/>
    <x v="0"/>
    <x v="0"/>
    <x v="0"/>
    <x v="0"/>
    <s v="Sept"/>
  </r>
  <r>
    <s v="2.30945E+11"/>
    <n v="230702186"/>
    <d v="2023-08-29T00:00:00"/>
    <s v="11:51:04.983Z"/>
    <n v="1636"/>
    <d v="2000-08-07T00:00:00"/>
    <n v="62.2"/>
    <n v="56.77"/>
    <x v="0"/>
    <x v="75"/>
    <x v="85"/>
    <s v="No"/>
    <s v="Yes"/>
    <n v="23"/>
    <s v="60-75"/>
    <x v="4"/>
    <x v="0"/>
    <n v="258"/>
    <x v="76"/>
    <x v="2"/>
    <s v="Fail"/>
    <x v="2"/>
    <s v="C"/>
    <x v="0"/>
    <s v="Fail"/>
    <x v="0"/>
    <x v="0"/>
    <x v="0"/>
    <x v="0"/>
    <x v="0"/>
    <x v="1"/>
    <x v="0"/>
    <x v="0"/>
    <s v="Sept"/>
  </r>
  <r>
    <s v="2.30945E+11"/>
    <n v="230611497"/>
    <d v="2023-09-06T00:00:00"/>
    <s v="12:06:59.186Z"/>
    <n v="1739"/>
    <d v="1997-05-25T00:00:00"/>
    <n v="85.45"/>
    <n v="74"/>
    <x v="0"/>
    <x v="76"/>
    <x v="86"/>
    <s v="No"/>
    <s v="No"/>
    <n v="26"/>
    <s v="100-75"/>
    <x v="4"/>
    <x v="0"/>
    <n v="592"/>
    <x v="5"/>
    <x v="1"/>
    <s v="Pass"/>
    <x v="1"/>
    <s v="A"/>
    <x v="0"/>
    <s v="70-85"/>
    <x v="1"/>
    <x v="1"/>
    <x v="1"/>
    <x v="1"/>
    <x v="0"/>
    <x v="1"/>
    <x v="1"/>
    <x v="0"/>
    <s v="Sept"/>
  </r>
  <r>
    <s v="2.30945E+11"/>
    <n v="230601213"/>
    <d v="2023-08-29T00:00:00"/>
    <s v="14:32:44.349Z"/>
    <n v="1291"/>
    <d v="1997-11-01T00:00:00"/>
    <n v="89"/>
    <n v="87"/>
    <x v="0"/>
    <x v="77"/>
    <x v="87"/>
    <s v="No"/>
    <s v="No"/>
    <n v="25"/>
    <s v="60-75"/>
    <x v="4"/>
    <x v="1"/>
    <n v="446"/>
    <x v="1"/>
    <x v="1"/>
    <s v="Pass"/>
    <x v="1"/>
    <s v="B"/>
    <x v="0"/>
    <s v="50-60"/>
    <x v="1"/>
    <x v="21"/>
    <x v="1"/>
    <x v="1"/>
    <x v="0"/>
    <x v="1"/>
    <x v="0"/>
    <x v="0"/>
    <s v="Sept"/>
  </r>
  <r>
    <s v="2.30945E+11"/>
    <n v="230600924"/>
    <d v="2023-09-07T00:00:00"/>
    <s v="15:47:32.373Z"/>
    <n v="133"/>
    <d v="2001-07-02T00:00:00"/>
    <n v="85.6"/>
    <n v="67.540000000000006"/>
    <x v="0"/>
    <x v="78"/>
    <x v="88"/>
    <s v="No"/>
    <s v="Yes"/>
    <n v="22"/>
    <s v="60-75"/>
    <x v="6"/>
    <x v="0"/>
    <n v="602"/>
    <x v="57"/>
    <x v="1"/>
    <s v="Pass"/>
    <x v="1"/>
    <s v="A"/>
    <x v="0"/>
    <s v="70-85"/>
    <x v="1"/>
    <x v="9"/>
    <x v="1"/>
    <x v="1"/>
    <x v="0"/>
    <x v="3"/>
    <x v="2"/>
    <x v="0"/>
    <s v="Sept"/>
  </r>
  <r>
    <s v="2.30945E+11"/>
    <n v="230607011"/>
    <d v="2023-09-06T00:00:00"/>
    <s v="19:07:41.495Z"/>
    <n v="1756"/>
    <d v="1996-03-30T00:00:00"/>
    <n v="70.400000000000006"/>
    <n v="59.17"/>
    <x v="0"/>
    <x v="79"/>
    <x v="89"/>
    <s v="No"/>
    <s v="No"/>
    <n v="27"/>
    <s v="60-75"/>
    <x v="6"/>
    <x v="0"/>
    <n v="382"/>
    <x v="77"/>
    <x v="0"/>
    <s v="Pass"/>
    <x v="0"/>
    <s v="B"/>
    <x v="0"/>
    <s v="40-50"/>
    <x v="0"/>
    <x v="0"/>
    <x v="0"/>
    <x v="0"/>
    <x v="0"/>
    <x v="1"/>
    <x v="1"/>
    <x v="0"/>
    <s v="Sept"/>
  </r>
  <r>
    <s v="2.30945E+11"/>
    <n v="230705023"/>
    <d v="2023-09-07T00:00:00"/>
    <s v="23:19:24.342Z"/>
    <n v="581"/>
    <d v="1999-08-25T00:00:00"/>
    <n v="91.4"/>
    <n v="66.62"/>
    <x v="0"/>
    <x v="80"/>
    <x v="90"/>
    <s v="No"/>
    <s v="Yes"/>
    <n v="24"/>
    <s v="60-75"/>
    <x v="0"/>
    <x v="0"/>
    <n v="557"/>
    <x v="78"/>
    <x v="1"/>
    <s v="Pass"/>
    <x v="1"/>
    <s v="A"/>
    <x v="0"/>
    <s v="60-70"/>
    <x v="1"/>
    <x v="8"/>
    <x v="1"/>
    <x v="1"/>
    <x v="0"/>
    <x v="3"/>
    <x v="0"/>
    <x v="0"/>
    <s v="Sept"/>
  </r>
  <r>
    <s v="2.30945E+11"/>
    <n v="230700612"/>
    <d v="2023-08-26T00:00:00"/>
    <s v="13:13:26.337Z"/>
    <n v="1407"/>
    <d v="2000-03-30T00:00:00"/>
    <n v="80.400000000000006"/>
    <n v="60"/>
    <x v="0"/>
    <x v="81"/>
    <x v="91"/>
    <s v="No"/>
    <s v="Yes"/>
    <n v="23"/>
    <s v="100-75"/>
    <x v="4"/>
    <x v="0"/>
    <n v="296"/>
    <x v="79"/>
    <x v="2"/>
    <s v="Fail"/>
    <x v="2"/>
    <s v="C"/>
    <x v="0"/>
    <s v="Fail"/>
    <x v="0"/>
    <x v="0"/>
    <x v="0"/>
    <x v="0"/>
    <x v="0"/>
    <x v="1"/>
    <x v="0"/>
    <x v="0"/>
    <s v="Sept"/>
  </r>
  <r>
    <s v="2.30945E+11"/>
    <n v="230603003"/>
    <d v="2023-08-25T00:00:00"/>
    <s v="19:50:34.445Z"/>
    <n v="2143"/>
    <d v="1998-04-04T00:00:00"/>
    <n v="88.2"/>
    <n v="64.77"/>
    <x v="0"/>
    <x v="82"/>
    <x v="92"/>
    <s v="No"/>
    <s v="Yes"/>
    <n v="25"/>
    <s v="60-75"/>
    <x v="4"/>
    <x v="0"/>
    <n v="550"/>
    <x v="80"/>
    <x v="2"/>
    <s v="Pass"/>
    <x v="2"/>
    <s v="B"/>
    <x v="0"/>
    <s v="60-70"/>
    <x v="1"/>
    <x v="2"/>
    <x v="1"/>
    <x v="1"/>
    <x v="0"/>
    <x v="0"/>
    <x v="0"/>
    <x v="0"/>
    <s v="Sept"/>
  </r>
  <r>
    <s v="2.30945E+11"/>
    <n v="230704897"/>
    <d v="2023-09-08T00:00:00"/>
    <s v="08:02:38.934Z"/>
    <n v="1921"/>
    <d v="1999-09-07T00:00:00"/>
    <n v="91.4"/>
    <s v="Other"/>
    <x v="0"/>
    <x v="83"/>
    <x v="93"/>
    <s v="No"/>
    <s v="No"/>
    <n v="24"/>
    <s v="60-75"/>
    <x v="0"/>
    <x v="0"/>
    <n v="406"/>
    <x v="81"/>
    <x v="2"/>
    <s v="Pass"/>
    <x v="2"/>
    <s v="B"/>
    <x v="0"/>
    <s v="50-60"/>
    <x v="0"/>
    <x v="0"/>
    <x v="0"/>
    <x v="0"/>
    <x v="0"/>
    <x v="1"/>
    <x v="0"/>
    <x v="0"/>
    <s v="Sept"/>
  </r>
  <r>
    <s v="2.30945E+11"/>
    <n v="230702139"/>
    <d v="2023-09-02T00:00:00"/>
    <s v="17:45:16.516Z"/>
    <n v="1191"/>
    <d v="2000-04-04T00:00:00"/>
    <n v="74.400000000000006"/>
    <s v="Other"/>
    <x v="15"/>
    <x v="84"/>
    <x v="94"/>
    <s v="No"/>
    <s v="No"/>
    <n v="23"/>
    <s v="100-75"/>
    <x v="0"/>
    <x v="0"/>
    <n v="407"/>
    <x v="82"/>
    <x v="0"/>
    <s v="Pass"/>
    <x v="0"/>
    <s v="C"/>
    <x v="0"/>
    <s v="50-60"/>
    <x v="0"/>
    <x v="0"/>
    <x v="0"/>
    <x v="0"/>
    <x v="0"/>
    <x v="1"/>
    <x v="0"/>
    <x v="0"/>
    <s v="Sept"/>
  </r>
  <r>
    <s v="2.30945E+11"/>
    <n v="230607957"/>
    <d v="2023-08-24T00:00:00"/>
    <s v="20:15:03.826Z"/>
    <n v="1813"/>
    <d v="2001-11-10T00:00:00"/>
    <n v="95"/>
    <n v="70.8"/>
    <x v="0"/>
    <x v="85"/>
    <x v="95"/>
    <s v="No"/>
    <s v="No"/>
    <n v="21"/>
    <s v="60-75"/>
    <x v="3"/>
    <x v="1"/>
    <n v="396"/>
    <x v="83"/>
    <x v="0"/>
    <s v="Pass"/>
    <x v="0"/>
    <s v="C"/>
    <x v="0"/>
    <s v="40-50"/>
    <x v="1"/>
    <x v="25"/>
    <x v="1"/>
    <x v="1"/>
    <x v="0"/>
    <x v="1"/>
    <x v="2"/>
    <x v="0"/>
    <s v="Sept"/>
  </r>
  <r>
    <s v="2.30945E+11"/>
    <n v="230600823"/>
    <d v="2023-09-03T00:00:00"/>
    <s v="22:55:01.323Z"/>
    <n v="2012"/>
    <d v="1991-10-22T00:00:00"/>
    <n v="80.459999999999994"/>
    <s v="Other"/>
    <x v="25"/>
    <x v="86"/>
    <x v="96"/>
    <s v="No"/>
    <s v="No"/>
    <n v="31"/>
    <s v="60-75"/>
    <x v="0"/>
    <x v="0"/>
    <n v="481"/>
    <x v="84"/>
    <x v="0"/>
    <s v="Pass"/>
    <x v="0"/>
    <s v="B"/>
    <x v="0"/>
    <s v="60-70"/>
    <x v="1"/>
    <x v="2"/>
    <x v="1"/>
    <x v="1"/>
    <x v="0"/>
    <x v="0"/>
    <x v="4"/>
    <x v="0"/>
    <s v="Sept"/>
  </r>
  <r>
    <s v="2.30945E+11"/>
    <n v="230611265"/>
    <d v="2023-08-26T00:00:00"/>
    <s v="17:34:54.385Z"/>
    <n v="2184"/>
    <d v="1997-06-17T00:00:00"/>
    <n v="68"/>
    <n v="58.4"/>
    <x v="0"/>
    <x v="16"/>
    <x v="97"/>
    <s v="No"/>
    <s v="No"/>
    <n v="26"/>
    <s v="0-35"/>
    <x v="5"/>
    <x v="0"/>
    <n v="575"/>
    <x v="85"/>
    <x v="1"/>
    <s v="Pass"/>
    <x v="1"/>
    <s v="B"/>
    <x v="0"/>
    <s v="70-85"/>
    <x v="1"/>
    <x v="24"/>
    <x v="1"/>
    <x v="1"/>
    <x v="0"/>
    <x v="0"/>
    <x v="1"/>
    <x v="0"/>
    <s v="Sept"/>
  </r>
  <r>
    <s v="2.30945E+11"/>
    <n v="230615241"/>
    <d v="2023-09-05T00:00:00"/>
    <s v="11:27:06.573Z"/>
    <n v="1720"/>
    <d v="2000-08-08T00:00:00"/>
    <n v="68.400000000000006"/>
    <n v="75"/>
    <x v="0"/>
    <x v="87"/>
    <x v="98"/>
    <s v="No"/>
    <s v="No"/>
    <n v="23"/>
    <s v="100-75"/>
    <x v="3"/>
    <x v="1"/>
    <n v="631"/>
    <x v="86"/>
    <x v="1"/>
    <s v="Pass"/>
    <x v="1"/>
    <s v="A"/>
    <x v="0"/>
    <s v="70-85"/>
    <x v="1"/>
    <x v="26"/>
    <x v="1"/>
    <x v="1"/>
    <x v="0"/>
    <x v="1"/>
    <x v="0"/>
    <x v="0"/>
    <s v="Sept"/>
  </r>
  <r>
    <s v="2.30945E+11"/>
    <n v="230610015"/>
    <d v="2023-09-06T00:00:00"/>
    <s v="16:17:28.922Z"/>
    <n v="1690"/>
    <d v="2001-10-19T00:00:00"/>
    <n v="91.6"/>
    <n v="71.38"/>
    <x v="0"/>
    <x v="88"/>
    <x v="99"/>
    <s v="No"/>
    <s v="No"/>
    <n v="21"/>
    <s v="100-75"/>
    <x v="0"/>
    <x v="0"/>
    <n v="547"/>
    <x v="51"/>
    <x v="2"/>
    <s v="Pass"/>
    <x v="2"/>
    <s v="B"/>
    <x v="0"/>
    <s v="60-70"/>
    <x v="1"/>
    <x v="4"/>
    <x v="1"/>
    <x v="1"/>
    <x v="0"/>
    <x v="1"/>
    <x v="2"/>
    <x v="0"/>
    <s v="Sept"/>
  </r>
  <r>
    <s v="2.30945E+11"/>
    <n v="230603341"/>
    <d v="2023-08-25T00:00:00"/>
    <s v="20:42:34.600Z"/>
    <n v="68"/>
    <d v="2001-07-27T00:00:00"/>
    <n v="95"/>
    <n v="93.4"/>
    <x v="0"/>
    <x v="89"/>
    <x v="100"/>
    <s v="No"/>
    <s v="No"/>
    <n v="22"/>
    <s v="100-75"/>
    <x v="3"/>
    <x v="1"/>
    <n v="709"/>
    <x v="87"/>
    <x v="1"/>
    <s v="Pass"/>
    <x v="1"/>
    <s v="B"/>
    <x v="0"/>
    <s v="85-100"/>
    <x v="1"/>
    <x v="27"/>
    <x v="1"/>
    <x v="1"/>
    <x v="0"/>
    <x v="3"/>
    <x v="2"/>
    <x v="0"/>
    <s v="Sept"/>
  </r>
  <r>
    <s v="2.30945E+11"/>
    <n v="230702563"/>
    <d v="2023-09-05T00:00:00"/>
    <s v="18:40:15.015Z"/>
    <n v="1204"/>
    <d v="1996-10-10T00:00:00"/>
    <n v="88.6"/>
    <s v="Other"/>
    <x v="0"/>
    <x v="90"/>
    <x v="101"/>
    <s v="No"/>
    <s v="Yes"/>
    <n v="26"/>
    <s v="60-75"/>
    <x v="4"/>
    <x v="0"/>
    <n v="533"/>
    <x v="58"/>
    <x v="2"/>
    <s v="Pass"/>
    <x v="2"/>
    <s v="B"/>
    <x v="0"/>
    <s v="60-70"/>
    <x v="2"/>
    <x v="3"/>
    <x v="1"/>
    <x v="1"/>
    <x v="0"/>
    <x v="1"/>
    <x v="1"/>
    <x v="0"/>
    <s v="Sept"/>
  </r>
  <r>
    <s v="2.30945E+11"/>
    <n v="230701309"/>
    <d v="2023-09-06T00:00:00"/>
    <s v="18:28:48.607Z"/>
    <n v="1611"/>
    <d v="1997-02-01T00:00:00"/>
    <n v="74.73"/>
    <n v="68.150000000000006"/>
    <x v="0"/>
    <x v="91"/>
    <x v="102"/>
    <s v="No"/>
    <s v="No"/>
    <n v="26"/>
    <s v="45-60"/>
    <x v="6"/>
    <x v="0"/>
    <n v="505"/>
    <x v="88"/>
    <x v="0"/>
    <s v="Pass"/>
    <x v="0"/>
    <s v="B"/>
    <x v="0"/>
    <s v="60-70"/>
    <x v="1"/>
    <x v="26"/>
    <x v="1"/>
    <x v="1"/>
    <x v="0"/>
    <x v="1"/>
    <x v="1"/>
    <x v="0"/>
    <s v="Sept"/>
  </r>
  <r>
    <s v="2.30945E+11"/>
    <n v="230602392"/>
    <d v="2023-08-27T00:00:00"/>
    <s v="13:34:23.177Z"/>
    <n v="1885"/>
    <d v="1997-11-15T00:00:00"/>
    <n v="73.2"/>
    <s v="Other"/>
    <x v="26"/>
    <x v="92"/>
    <x v="103"/>
    <s v="No"/>
    <s v="No"/>
    <n v="25"/>
    <s v="0-35"/>
    <x v="1"/>
    <x v="0"/>
    <n v="324"/>
    <x v="89"/>
    <x v="0"/>
    <s v="Fail"/>
    <x v="0"/>
    <s v="C"/>
    <x v="0"/>
    <s v="40-50"/>
    <x v="0"/>
    <x v="0"/>
    <x v="0"/>
    <x v="0"/>
    <x v="0"/>
    <x v="1"/>
    <x v="0"/>
    <x v="0"/>
    <s v="Sept"/>
  </r>
  <r>
    <s v="2.30945E+11"/>
    <n v="230614156"/>
    <d v="2023-08-24T00:00:00"/>
    <s v="20:55:10.493Z"/>
    <n v="1941"/>
    <d v="2000-11-03T00:00:00"/>
    <n v="88.4"/>
    <s v="Other"/>
    <x v="27"/>
    <x v="93"/>
    <x v="104"/>
    <s v="No"/>
    <s v="No"/>
    <n v="22"/>
    <s v="100-75"/>
    <x v="2"/>
    <x v="0"/>
    <n v="591"/>
    <x v="90"/>
    <x v="1"/>
    <s v="Pass"/>
    <x v="1"/>
    <s v="B"/>
    <x v="0"/>
    <s v="70-85"/>
    <x v="1"/>
    <x v="14"/>
    <x v="1"/>
    <x v="1"/>
    <x v="0"/>
    <x v="1"/>
    <x v="2"/>
    <x v="0"/>
    <s v="Sept"/>
  </r>
  <r>
    <s v="2.30945E+11"/>
    <n v="230601777"/>
    <d v="2023-09-02T00:00:00"/>
    <s v="00:00:03.566Z"/>
    <n v="629"/>
    <d v="2000-05-28T00:00:00"/>
    <n v="85.8"/>
    <s v="Other"/>
    <x v="28"/>
    <x v="2"/>
    <x v="105"/>
    <s v="No"/>
    <s v="Yes"/>
    <n v="23"/>
    <s v="100-75"/>
    <x v="1"/>
    <x v="0"/>
    <n v="365"/>
    <x v="91"/>
    <x v="2"/>
    <s v="Pass"/>
    <x v="2"/>
    <s v="C"/>
    <x v="0"/>
    <s v="40-50"/>
    <x v="0"/>
    <x v="0"/>
    <x v="0"/>
    <x v="0"/>
    <x v="0"/>
    <x v="3"/>
    <x v="0"/>
    <x v="0"/>
    <s v="Sept"/>
  </r>
  <r>
    <s v="2.30945E+11"/>
    <n v="230606729"/>
    <d v="2023-09-04T00:00:00"/>
    <s v="22:51:44.631Z"/>
    <n v="2582"/>
    <d v="2001-06-14T00:00:00"/>
    <n v="74.400000000000006"/>
    <n v="70.599999999999994"/>
    <x v="0"/>
    <x v="94"/>
    <x v="106"/>
    <s v="No"/>
    <s v="No"/>
    <n v="22"/>
    <s v="100-75"/>
    <x v="3"/>
    <x v="1"/>
    <n v="600"/>
    <x v="29"/>
    <x v="1"/>
    <s v="Pass"/>
    <x v="1"/>
    <s v="A"/>
    <x v="1"/>
    <s v="70-85"/>
    <x v="1"/>
    <x v="28"/>
    <x v="1"/>
    <x v="1"/>
    <x v="0"/>
    <x v="0"/>
    <x v="2"/>
    <x v="0"/>
    <s v="Sept"/>
  </r>
  <r>
    <s v="2.30945E+11"/>
    <n v="230600348"/>
    <d v="2023-09-04T00:00:00"/>
    <s v="20:35:10.714Z"/>
    <n v="3001"/>
    <d v="1998-06-12T00:00:00"/>
    <n v="93.4"/>
    <n v="73.849999999999994"/>
    <x v="0"/>
    <x v="95"/>
    <x v="105"/>
    <s v="No"/>
    <s v="Yes"/>
    <n v="25"/>
    <s v="60-75"/>
    <x v="4"/>
    <x v="0"/>
    <n v="517"/>
    <x v="92"/>
    <x v="1"/>
    <s v="Pass"/>
    <x v="1"/>
    <s v="A"/>
    <x v="1"/>
    <s v="60-70"/>
    <x v="1"/>
    <x v="28"/>
    <x v="1"/>
    <x v="1"/>
    <x v="0"/>
    <x v="4"/>
    <x v="0"/>
    <x v="0"/>
    <s v="Sept"/>
  </r>
  <r>
    <s v="2.30945E+11"/>
    <n v="230606312"/>
    <d v="2023-09-04T00:00:00"/>
    <s v="18:45:16.624Z"/>
    <n v="2123"/>
    <d v="2000-08-11T00:00:00"/>
    <n v="78.8"/>
    <n v="63.85"/>
    <x v="0"/>
    <x v="96"/>
    <x v="107"/>
    <s v="No"/>
    <s v="No"/>
    <n v="23"/>
    <s v="0-35"/>
    <x v="4"/>
    <x v="0"/>
    <n v="520"/>
    <x v="93"/>
    <x v="2"/>
    <s v="Pass"/>
    <x v="2"/>
    <s v="C"/>
    <x v="1"/>
    <s v="60-70"/>
    <x v="1"/>
    <x v="29"/>
    <x v="1"/>
    <x v="1"/>
    <x v="0"/>
    <x v="0"/>
    <x v="0"/>
    <x v="0"/>
    <s v="Sept"/>
  </r>
  <r>
    <s v="2.30945E+11"/>
    <n v="230704666"/>
    <d v="2023-09-05T00:00:00"/>
    <s v="16:09:23.958Z"/>
    <n v="2112"/>
    <d v="1998-10-26T00:00:00"/>
    <n v="78.8"/>
    <n v="59.08"/>
    <x v="0"/>
    <x v="97"/>
    <x v="108"/>
    <s v="Yes"/>
    <s v="Yes"/>
    <n v="24"/>
    <s v="100-75"/>
    <x v="3"/>
    <x v="3"/>
    <n v="528"/>
    <x v="14"/>
    <x v="1"/>
    <s v="Pass"/>
    <x v="1"/>
    <s v="B"/>
    <x v="1"/>
    <s v="60-70"/>
    <x v="0"/>
    <x v="0"/>
    <x v="0"/>
    <x v="0"/>
    <x v="0"/>
    <x v="0"/>
    <x v="0"/>
    <x v="0"/>
    <s v="Sept"/>
  </r>
  <r>
    <s v="2.30945E+11"/>
    <n v="230703947"/>
    <d v="2023-08-26T00:00:00"/>
    <s v="11:15:38.177Z"/>
    <n v="2833"/>
    <d v="1999-12-23T00:00:00"/>
    <n v="85.8"/>
    <s v="Other"/>
    <x v="29"/>
    <x v="62"/>
    <x v="109"/>
    <s v="No"/>
    <s v="Yes"/>
    <n v="23"/>
    <s v="100-75"/>
    <x v="3"/>
    <x v="0"/>
    <n v="486"/>
    <x v="94"/>
    <x v="0"/>
    <s v="Pass"/>
    <x v="0"/>
    <s v="A"/>
    <x v="1"/>
    <s v="60-70"/>
    <x v="0"/>
    <x v="0"/>
    <x v="0"/>
    <x v="0"/>
    <x v="0"/>
    <x v="0"/>
    <x v="0"/>
    <x v="0"/>
    <s v="Sept"/>
  </r>
  <r>
    <s v="2.30945E+11"/>
    <n v="230700620"/>
    <d v="2023-09-04T00:00:00"/>
    <s v="13:22:22.264Z"/>
    <n v="1386"/>
    <d v="1992-12-03T00:00:00"/>
    <n v="67.84"/>
    <n v="46.17"/>
    <x v="30"/>
    <x v="98"/>
    <x v="110"/>
    <s v="No"/>
    <s v="Yes"/>
    <n v="30"/>
    <s v="60-75"/>
    <x v="5"/>
    <x v="0"/>
    <n v="387"/>
    <x v="95"/>
    <x v="0"/>
    <s v="Pass"/>
    <x v="0"/>
    <s v="B"/>
    <x v="1"/>
    <s v="40-50"/>
    <x v="0"/>
    <x v="0"/>
    <x v="0"/>
    <x v="0"/>
    <x v="0"/>
    <x v="1"/>
    <x v="4"/>
    <x v="0"/>
    <s v="Sept"/>
  </r>
  <r>
    <s v="2.30945E+11"/>
    <n v="230615130"/>
    <d v="2023-09-06T00:00:00"/>
    <s v="13:06:54.248Z"/>
    <n v="2960"/>
    <d v="2000-09-05T00:00:00"/>
    <n v="93.4"/>
    <n v="63.85"/>
    <x v="0"/>
    <x v="99"/>
    <x v="111"/>
    <s v="Yes"/>
    <s v="No"/>
    <n v="23"/>
    <s v="60-75"/>
    <x v="5"/>
    <x v="3"/>
    <n v="477"/>
    <x v="96"/>
    <x v="0"/>
    <s v="Pass"/>
    <x v="0"/>
    <s v="C"/>
    <x v="1"/>
    <s v="50-60"/>
    <x v="1"/>
    <x v="2"/>
    <x v="1"/>
    <x v="1"/>
    <x v="0"/>
    <x v="0"/>
    <x v="0"/>
    <x v="0"/>
    <s v="Sept"/>
  </r>
  <r>
    <s v="2.30945E+11"/>
    <n v="230609730"/>
    <d v="2023-09-04T00:00:00"/>
    <s v="14:36:45.488Z"/>
    <n v="2729"/>
    <d v="2001-04-29T00:00:00"/>
    <n v="86"/>
    <n v="60"/>
    <x v="0"/>
    <x v="100"/>
    <x v="112"/>
    <s v="No"/>
    <s v="Yes"/>
    <n v="22"/>
    <s v="100-75"/>
    <x v="0"/>
    <x v="0"/>
    <n v="59"/>
    <x v="97"/>
    <x v="3"/>
    <s v="Fail"/>
    <x v="3"/>
    <s v="Absent"/>
    <x v="1"/>
    <s v="Fail"/>
    <x v="0"/>
    <x v="0"/>
    <x v="0"/>
    <x v="0"/>
    <x v="0"/>
    <x v="0"/>
    <x v="2"/>
    <x v="0"/>
    <s v="Sept"/>
  </r>
  <r>
    <s v="2.30945E+11"/>
    <n v="230602141"/>
    <d v="2023-08-25T00:00:00"/>
    <s v="00:07:08.024Z"/>
    <n v="3211"/>
    <d v="1998-05-06T00:00:00"/>
    <n v="73"/>
    <s v="Other"/>
    <x v="31"/>
    <x v="101"/>
    <x v="113"/>
    <s v="No"/>
    <s v="Yes"/>
    <n v="25"/>
    <s v="60-75"/>
    <x v="4"/>
    <x v="1"/>
    <n v="399"/>
    <x v="98"/>
    <x v="1"/>
    <s v="Pass"/>
    <x v="1"/>
    <s v="A"/>
    <x v="1"/>
    <s v="40-50"/>
    <x v="1"/>
    <x v="30"/>
    <x v="1"/>
    <x v="1"/>
    <x v="0"/>
    <x v="4"/>
    <x v="0"/>
    <x v="0"/>
    <s v="Sept"/>
  </r>
  <r>
    <s v="2.30945E+11"/>
    <n v="230602366"/>
    <d v="2023-08-24T00:00:00"/>
    <s v="20:51:39.211Z"/>
    <n v="1629"/>
    <d v="2001-12-20T00:00:00"/>
    <n v="76.8"/>
    <n v="68.31"/>
    <x v="0"/>
    <x v="102"/>
    <x v="114"/>
    <s v="No"/>
    <s v="Yes"/>
    <n v="21"/>
    <s v="60-75"/>
    <x v="3"/>
    <x v="0"/>
    <n v="605"/>
    <x v="99"/>
    <x v="1"/>
    <s v="Pass"/>
    <x v="1"/>
    <s v="A"/>
    <x v="1"/>
    <s v="70-85"/>
    <x v="1"/>
    <x v="26"/>
    <x v="1"/>
    <x v="1"/>
    <x v="0"/>
    <x v="1"/>
    <x v="2"/>
    <x v="0"/>
    <s v="Sept"/>
  </r>
  <r>
    <s v="2.30945E+11"/>
    <n v="230607352"/>
    <d v="2023-09-04T00:00:00"/>
    <s v="15:26:45.991Z"/>
    <n v="1985"/>
    <d v="2001-03-30T00:00:00"/>
    <n v="90"/>
    <n v="79.599999999999994"/>
    <x v="0"/>
    <x v="103"/>
    <x v="115"/>
    <s v="No"/>
    <s v="No"/>
    <n v="22"/>
    <s v="100-75"/>
    <x v="4"/>
    <x v="0"/>
    <n v="671"/>
    <x v="100"/>
    <x v="1"/>
    <s v="Pass"/>
    <x v="1"/>
    <s v="A"/>
    <x v="1"/>
    <s v="70-85"/>
    <x v="1"/>
    <x v="31"/>
    <x v="1"/>
    <x v="1"/>
    <x v="0"/>
    <x v="1"/>
    <x v="2"/>
    <x v="0"/>
    <s v="Sept"/>
  </r>
  <r>
    <s v="2.30945E+11"/>
    <n v="230609477"/>
    <d v="2023-08-25T00:00:00"/>
    <s v="20:47:20.644Z"/>
    <n v="1025"/>
    <d v="2000-06-11T00:00:00"/>
    <n v="88"/>
    <n v="75.69"/>
    <x v="0"/>
    <x v="104"/>
    <x v="116"/>
    <s v="Yes"/>
    <s v="No"/>
    <n v="23"/>
    <s v="100-75"/>
    <x v="5"/>
    <x v="3"/>
    <n v="543"/>
    <x v="101"/>
    <x v="1"/>
    <s v="Pass"/>
    <x v="1"/>
    <s v="A"/>
    <x v="1"/>
    <s v="60-70"/>
    <x v="2"/>
    <x v="3"/>
    <x v="1"/>
    <x v="1"/>
    <x v="0"/>
    <x v="1"/>
    <x v="0"/>
    <x v="0"/>
    <s v="Sept"/>
  </r>
  <r>
    <s v="2.30945E+11"/>
    <n v="230602427"/>
    <d v="2023-09-04T00:00:00"/>
    <s v="13:23:34.195Z"/>
    <n v="1765"/>
    <d v="1996-10-03T00:00:00"/>
    <n v="83.6"/>
    <n v="57"/>
    <x v="0"/>
    <x v="41"/>
    <x v="117"/>
    <s v="No"/>
    <s v="Yes"/>
    <n v="26"/>
    <s v="60-75"/>
    <x v="4"/>
    <x v="0"/>
    <n v="506"/>
    <x v="102"/>
    <x v="2"/>
    <s v="Pass"/>
    <x v="2"/>
    <s v="A"/>
    <x v="1"/>
    <s v="60-70"/>
    <x v="0"/>
    <x v="0"/>
    <x v="0"/>
    <x v="0"/>
    <x v="0"/>
    <x v="1"/>
    <x v="1"/>
    <x v="0"/>
    <s v="Sept"/>
  </r>
  <r>
    <s v="2.30945E+11"/>
    <n v="230701693"/>
    <d v="2023-09-04T00:00:00"/>
    <s v="21:20:01.020Z"/>
    <n v="2230"/>
    <d v="1999-09-02T00:00:00"/>
    <n v="84"/>
    <n v="54.46"/>
    <x v="0"/>
    <x v="105"/>
    <x v="118"/>
    <s v="No"/>
    <s v="Yes"/>
    <n v="24"/>
    <s v="100-75"/>
    <x v="5"/>
    <x v="0"/>
    <n v="580"/>
    <x v="103"/>
    <x v="0"/>
    <s v="Pass"/>
    <x v="0"/>
    <s v="B"/>
    <x v="1"/>
    <s v="70-85"/>
    <x v="1"/>
    <x v="32"/>
    <x v="1"/>
    <x v="1"/>
    <x v="0"/>
    <x v="0"/>
    <x v="0"/>
    <x v="0"/>
    <s v="Sept"/>
  </r>
  <r>
    <s v="2.30945E+11"/>
    <n v="230611471"/>
    <d v="2023-08-26T00:00:00"/>
    <s v="00:17:20.331Z"/>
    <n v="3002"/>
    <d v="2000-02-15T00:00:00"/>
    <n v="95"/>
    <n v="81.8"/>
    <x v="0"/>
    <x v="106"/>
    <x v="119"/>
    <s v="No"/>
    <s v="No"/>
    <n v="23"/>
    <s v="100-75"/>
    <x v="6"/>
    <x v="1"/>
    <n v="531"/>
    <x v="35"/>
    <x v="1"/>
    <s v="Pass"/>
    <x v="1"/>
    <s v="A"/>
    <x v="1"/>
    <s v="60-70"/>
    <x v="1"/>
    <x v="12"/>
    <x v="1"/>
    <x v="1"/>
    <x v="0"/>
    <x v="4"/>
    <x v="0"/>
    <x v="0"/>
    <s v="Sept"/>
  </r>
  <r>
    <s v="2.30945E+11"/>
    <n v="230702906"/>
    <d v="2023-09-05T00:00:00"/>
    <s v="14:48:47.108Z"/>
    <n v="2499"/>
    <d v="1999-03-15T00:00:00"/>
    <n v="77.900000000000006"/>
    <n v="57.4"/>
    <x v="0"/>
    <x v="107"/>
    <x v="120"/>
    <s v="No"/>
    <s v="No"/>
    <n v="24"/>
    <s v="100-75"/>
    <x v="5"/>
    <x v="1"/>
    <n v="483"/>
    <x v="104"/>
    <x v="2"/>
    <s v="Pass"/>
    <x v="2"/>
    <s v="C"/>
    <x v="1"/>
    <s v="60-70"/>
    <x v="0"/>
    <x v="0"/>
    <x v="0"/>
    <x v="0"/>
    <x v="0"/>
    <x v="0"/>
    <x v="0"/>
    <x v="0"/>
    <s v="Sept"/>
  </r>
  <r>
    <s v="2.30945E+11"/>
    <n v="230705026"/>
    <d v="2023-09-06T00:00:00"/>
    <s v="19:18:04.163Z"/>
    <n v="2006"/>
    <d v="2000-07-02T00:00:00"/>
    <n v="77.8"/>
    <n v="51.38"/>
    <x v="0"/>
    <x v="108"/>
    <x v="121"/>
    <s v="No"/>
    <s v="Yes"/>
    <n v="23"/>
    <s v="60-75"/>
    <x v="2"/>
    <x v="0"/>
    <n v="210"/>
    <x v="105"/>
    <x v="0"/>
    <s v="Fail"/>
    <x v="0"/>
    <s v="C"/>
    <x v="1"/>
    <s v="Fail"/>
    <x v="0"/>
    <x v="0"/>
    <x v="0"/>
    <x v="0"/>
    <x v="0"/>
    <x v="0"/>
    <x v="0"/>
    <x v="0"/>
    <s v="Sept"/>
  </r>
  <r>
    <s v="2.30945E+11"/>
    <n v="230701000"/>
    <d v="2023-09-04T00:00:00"/>
    <s v="14:03:15.972Z"/>
    <n v="1972"/>
    <d v="2000-10-03T00:00:00"/>
    <n v="67.599999999999994"/>
    <n v="55.69"/>
    <x v="0"/>
    <x v="109"/>
    <x v="122"/>
    <s v="No"/>
    <s v="Yes"/>
    <n v="22"/>
    <s v="60-75"/>
    <x v="6"/>
    <x v="0"/>
    <n v="387"/>
    <x v="95"/>
    <x v="0"/>
    <s v="Pass"/>
    <x v="0"/>
    <s v="D"/>
    <x v="1"/>
    <s v="40-50"/>
    <x v="0"/>
    <x v="0"/>
    <x v="0"/>
    <x v="0"/>
    <x v="0"/>
    <x v="1"/>
    <x v="2"/>
    <x v="0"/>
    <s v="Sept"/>
  </r>
  <r>
    <s v="2.30945E+11"/>
    <n v="230610372"/>
    <d v="2023-09-01T00:00:00"/>
    <s v="17:22:44.126Z"/>
    <n v="3087"/>
    <d v="1997-05-17T00:00:00"/>
    <n v="86.6"/>
    <n v="74.31"/>
    <x v="0"/>
    <x v="110"/>
    <x v="123"/>
    <s v="No"/>
    <s v="Yes"/>
    <n v="26"/>
    <s v="60-75"/>
    <x v="4"/>
    <x v="0"/>
    <n v="470"/>
    <x v="106"/>
    <x v="0"/>
    <s v="Pass"/>
    <x v="0"/>
    <s v="A"/>
    <x v="1"/>
    <s v="50-60"/>
    <x v="0"/>
    <x v="0"/>
    <x v="0"/>
    <x v="0"/>
    <x v="0"/>
    <x v="4"/>
    <x v="1"/>
    <x v="0"/>
    <s v="Sept"/>
  </r>
  <r>
    <s v="2.30945E+11"/>
    <n v="230700664"/>
    <d v="2023-09-04T00:00:00"/>
    <s v="12:05:54.645Z"/>
    <n v="3188"/>
    <d v="2001-08-02T00:00:00"/>
    <n v="89"/>
    <n v="64.150000000000006"/>
    <x v="0"/>
    <x v="111"/>
    <x v="124"/>
    <s v="No"/>
    <s v="No"/>
    <n v="22"/>
    <s v="60-75"/>
    <x v="3"/>
    <x v="0"/>
    <n v="436"/>
    <x v="10"/>
    <x v="2"/>
    <s v="Pass"/>
    <x v="2"/>
    <s v="C"/>
    <x v="1"/>
    <s v="50-60"/>
    <x v="0"/>
    <x v="0"/>
    <x v="0"/>
    <x v="0"/>
    <x v="0"/>
    <x v="4"/>
    <x v="2"/>
    <x v="0"/>
    <s v="Sept"/>
  </r>
  <r>
    <s v="2.30945E+11"/>
    <n v="230601217"/>
    <d v="2023-09-04T00:00:00"/>
    <s v="22:28:48.744Z"/>
    <n v="2674"/>
    <d v="1996-07-14T00:00:00"/>
    <n v="89.64"/>
    <s v="Other"/>
    <x v="32"/>
    <x v="112"/>
    <x v="125"/>
    <s v="No"/>
    <s v="Yes"/>
    <n v="27"/>
    <s v="45-60"/>
    <x v="1"/>
    <x v="0"/>
    <n v="515"/>
    <x v="41"/>
    <x v="1"/>
    <s v="Pass"/>
    <x v="1"/>
    <s v="C"/>
    <x v="1"/>
    <s v="60-70"/>
    <x v="1"/>
    <x v="29"/>
    <x v="1"/>
    <x v="1"/>
    <x v="0"/>
    <x v="0"/>
    <x v="1"/>
    <x v="0"/>
    <s v="Sept"/>
  </r>
  <r>
    <s v="2.30945E+11"/>
    <n v="230609228"/>
    <d v="2023-08-25T00:00:00"/>
    <s v="11:25:56.558Z"/>
    <n v="2848"/>
    <d v="1999-12-12T00:00:00"/>
    <n v="91"/>
    <n v="92.31"/>
    <x v="0"/>
    <x v="113"/>
    <x v="126"/>
    <s v="No"/>
    <s v="No"/>
    <n v="23"/>
    <s v="100-75"/>
    <x v="6"/>
    <x v="1"/>
    <n v="607"/>
    <x v="107"/>
    <x v="1"/>
    <s v="Pass"/>
    <x v="1"/>
    <s v="A"/>
    <x v="1"/>
    <s v="70-85"/>
    <x v="1"/>
    <x v="33"/>
    <x v="1"/>
    <x v="1"/>
    <x v="0"/>
    <x v="0"/>
    <x v="0"/>
    <x v="0"/>
    <s v="Sept"/>
  </r>
  <r>
    <s v="2.30945E+11"/>
    <n v="230701126"/>
    <d v="2023-08-25T00:00:00"/>
    <s v="20:51:00.726Z"/>
    <n v="2672"/>
    <d v="2001-12-10T00:00:00"/>
    <n v="91.2"/>
    <n v="63.23"/>
    <x v="0"/>
    <x v="0"/>
    <x v="127"/>
    <s v="No"/>
    <s v="No"/>
    <n v="21"/>
    <s v="60-75"/>
    <x v="6"/>
    <x v="0"/>
    <n v="482"/>
    <x v="108"/>
    <x v="0"/>
    <s v="Pass"/>
    <x v="0"/>
    <s v="D"/>
    <x v="1"/>
    <s v="60-70"/>
    <x v="2"/>
    <x v="3"/>
    <x v="1"/>
    <x v="1"/>
    <x v="0"/>
    <x v="0"/>
    <x v="2"/>
    <x v="0"/>
    <s v="Sept"/>
  </r>
  <r>
    <s v="2.30945E+11"/>
    <n v="230606568"/>
    <d v="2023-08-24T00:00:00"/>
    <s v="21:28:59.163Z"/>
    <n v="3104"/>
    <d v="1999-08-26T00:00:00"/>
    <n v="81.599999999999994"/>
    <n v="75.08"/>
    <x v="0"/>
    <x v="114"/>
    <x v="128"/>
    <s v="No"/>
    <s v="No"/>
    <n v="23"/>
    <s v="60-75"/>
    <x v="4"/>
    <x v="1"/>
    <n v="580"/>
    <x v="103"/>
    <x v="1"/>
    <s v="Pass"/>
    <x v="1"/>
    <s v="A"/>
    <x v="1"/>
    <s v="70-85"/>
    <x v="1"/>
    <x v="26"/>
    <x v="1"/>
    <x v="1"/>
    <x v="0"/>
    <x v="4"/>
    <x v="0"/>
    <x v="0"/>
    <s v="Sept"/>
  </r>
  <r>
    <s v="2.30945E+11"/>
    <n v="230604657"/>
    <d v="2023-09-01T00:00:00"/>
    <s v="15:10:54.952Z"/>
    <n v="2008"/>
    <d v="2000-02-29T00:00:00"/>
    <n v="81"/>
    <n v="68"/>
    <x v="0"/>
    <x v="115"/>
    <x v="129"/>
    <s v="No"/>
    <s v="Yes"/>
    <n v="23"/>
    <s v="60-75"/>
    <x v="4"/>
    <x v="0"/>
    <n v="452"/>
    <x v="109"/>
    <x v="2"/>
    <s v="Pass"/>
    <x v="2"/>
    <s v="A"/>
    <x v="1"/>
    <s v="50-60"/>
    <x v="0"/>
    <x v="0"/>
    <x v="0"/>
    <x v="0"/>
    <x v="0"/>
    <x v="0"/>
    <x v="0"/>
    <x v="0"/>
    <s v="Sept"/>
  </r>
  <r>
    <s v="2.30945E+11"/>
    <n v="230610845"/>
    <d v="2023-08-24T00:00:00"/>
    <s v="20:40:39.408Z"/>
    <n v="1592"/>
    <d v="1994-12-27T00:00:00"/>
    <n v="85.27"/>
    <n v="70.5"/>
    <x v="0"/>
    <x v="11"/>
    <x v="130"/>
    <s v="Yes"/>
    <s v="No"/>
    <n v="28"/>
    <s v="0-35"/>
    <x v="6"/>
    <x v="0"/>
    <n v="518"/>
    <x v="28"/>
    <x v="2"/>
    <s v="Pass"/>
    <x v="2"/>
    <s v="D"/>
    <x v="1"/>
    <s v="60-70"/>
    <x v="0"/>
    <x v="0"/>
    <x v="0"/>
    <x v="0"/>
    <x v="0"/>
    <x v="1"/>
    <x v="1"/>
    <x v="0"/>
    <s v="Sept"/>
  </r>
  <r>
    <s v="2.30945E+11"/>
    <n v="230606037"/>
    <d v="2023-09-05T00:00:00"/>
    <s v="19:34:37.898Z"/>
    <n v="1745"/>
    <d v="1996-07-18T00:00:00"/>
    <n v="85"/>
    <n v="76"/>
    <x v="0"/>
    <x v="116"/>
    <x v="131"/>
    <s v="No"/>
    <s v="No"/>
    <n v="27"/>
    <s v="60-75"/>
    <x v="6"/>
    <x v="1"/>
    <n v="522"/>
    <x v="43"/>
    <x v="1"/>
    <s v="Pass"/>
    <x v="1"/>
    <s v="A"/>
    <x v="1"/>
    <s v="60-70"/>
    <x v="1"/>
    <x v="31"/>
    <x v="1"/>
    <x v="1"/>
    <x v="0"/>
    <x v="1"/>
    <x v="1"/>
    <x v="0"/>
    <s v="Sept"/>
  </r>
  <r>
    <s v="2.30945E+11"/>
    <n v="230608117"/>
    <d v="2023-09-06T00:00:00"/>
    <s v="17:30:47.390Z"/>
    <n v="2819"/>
    <d v="2001-06-09T00:00:00"/>
    <n v="82"/>
    <n v="65.8"/>
    <x v="0"/>
    <x v="11"/>
    <x v="132"/>
    <s v="No"/>
    <s v="No"/>
    <n v="22"/>
    <s v="0-35"/>
    <x v="3"/>
    <x v="1"/>
    <n v="536"/>
    <x v="110"/>
    <x v="2"/>
    <s v="Pass"/>
    <x v="2"/>
    <s v="C"/>
    <x v="1"/>
    <s v="60-70"/>
    <x v="1"/>
    <x v="34"/>
    <x v="1"/>
    <x v="1"/>
    <x v="0"/>
    <x v="0"/>
    <x v="2"/>
    <x v="0"/>
    <s v="Sept"/>
  </r>
  <r>
    <s v="2.30945E+11"/>
    <n v="230603057"/>
    <d v="2023-08-24T00:00:00"/>
    <s v="22:56:39.409Z"/>
    <n v="2789"/>
    <d v="2000-05-16T00:00:00"/>
    <n v="95"/>
    <n v="79.28"/>
    <x v="0"/>
    <x v="117"/>
    <x v="133"/>
    <s v="No"/>
    <s v="Yes"/>
    <n v="23"/>
    <s v="100-75"/>
    <x v="3"/>
    <x v="1"/>
    <n v="573"/>
    <x v="12"/>
    <x v="0"/>
    <s v="Pass"/>
    <x v="0"/>
    <s v="A"/>
    <x v="1"/>
    <s v="70-85"/>
    <x v="1"/>
    <x v="28"/>
    <x v="1"/>
    <x v="1"/>
    <x v="0"/>
    <x v="0"/>
    <x v="0"/>
    <x v="0"/>
    <s v="Sept"/>
  </r>
  <r>
    <s v="2.30945E+11"/>
    <n v="230604012"/>
    <d v="2023-08-27T00:00:00"/>
    <s v="16:09:05.142Z"/>
    <n v="2288"/>
    <d v="1998-03-02T00:00:00"/>
    <n v="86.4"/>
    <n v="67.540000000000006"/>
    <x v="0"/>
    <x v="118"/>
    <x v="134"/>
    <s v="No"/>
    <s v="No"/>
    <n v="25"/>
    <s v="60-75"/>
    <x v="4"/>
    <x v="0"/>
    <n v="469"/>
    <x v="111"/>
    <x v="1"/>
    <s v="Pass"/>
    <x v="1"/>
    <s v="A"/>
    <x v="1"/>
    <s v="50-60"/>
    <x v="1"/>
    <x v="31"/>
    <x v="1"/>
    <x v="1"/>
    <x v="0"/>
    <x v="0"/>
    <x v="0"/>
    <x v="0"/>
    <s v="Sept"/>
  </r>
  <r>
    <s v="2.30945E+11"/>
    <n v="230609890"/>
    <d v="2023-08-28T00:00:00"/>
    <s v="21:05:53.959Z"/>
    <n v="2022"/>
    <d v="2000-07-02T00:00:00"/>
    <n v="94"/>
    <n v="74"/>
    <x v="0"/>
    <x v="119"/>
    <x v="135"/>
    <s v="No"/>
    <s v="No"/>
    <n v="23"/>
    <s v="100-75"/>
    <x v="3"/>
    <x v="1"/>
    <n v="535"/>
    <x v="112"/>
    <x v="2"/>
    <s v="Pass"/>
    <x v="2"/>
    <s v="A"/>
    <x v="1"/>
    <s v="60-70"/>
    <x v="1"/>
    <x v="2"/>
    <x v="1"/>
    <x v="1"/>
    <x v="0"/>
    <x v="0"/>
    <x v="0"/>
    <x v="0"/>
    <s v="Sept"/>
  </r>
  <r>
    <s v="2.30945E+11"/>
    <n v="230701566"/>
    <d v="2023-09-04T00:00:00"/>
    <s v="22:44:24.794Z"/>
    <n v="2800"/>
    <d v="1999-09-22T00:00:00"/>
    <n v="90.4"/>
    <n v="70"/>
    <x v="0"/>
    <x v="120"/>
    <x v="136"/>
    <s v="No"/>
    <s v="Yes"/>
    <n v="23"/>
    <s v="0-35"/>
    <x v="2"/>
    <x v="1"/>
    <n v="497"/>
    <x v="74"/>
    <x v="2"/>
    <s v="Pass"/>
    <x v="2"/>
    <s v="D"/>
    <x v="1"/>
    <s v="60-70"/>
    <x v="1"/>
    <x v="28"/>
    <x v="1"/>
    <x v="1"/>
    <x v="0"/>
    <x v="0"/>
    <x v="0"/>
    <x v="0"/>
    <s v="Sept"/>
  </r>
  <r>
    <s v="2.30945E+11"/>
    <n v="230600988"/>
    <d v="2023-09-06T00:00:00"/>
    <s v="18:48:34.506Z"/>
    <n v="2342"/>
    <d v="2001-10-16T00:00:00"/>
    <n v="86.8"/>
    <n v="68.150000000000006"/>
    <x v="33"/>
    <x v="121"/>
    <x v="137"/>
    <s v="No"/>
    <s v="No"/>
    <n v="21"/>
    <s v="100-75"/>
    <x v="3"/>
    <x v="0"/>
    <n v="549"/>
    <x v="113"/>
    <x v="1"/>
    <s v="Pass"/>
    <x v="1"/>
    <s v="A"/>
    <x v="1"/>
    <s v="60-70"/>
    <x v="2"/>
    <x v="3"/>
    <x v="1"/>
    <x v="1"/>
    <x v="0"/>
    <x v="0"/>
    <x v="2"/>
    <x v="0"/>
    <s v="Sept"/>
  </r>
  <r>
    <s v="2.30945E+11"/>
    <n v="230608115"/>
    <d v="2023-09-06T00:00:00"/>
    <s v="17:41:48.420Z"/>
    <n v="2158"/>
    <d v="2000-02-20T00:00:00"/>
    <n v="78.599999999999994"/>
    <n v="65.599999999999994"/>
    <x v="0"/>
    <x v="122"/>
    <x v="138"/>
    <s v="No"/>
    <s v="No"/>
    <n v="23"/>
    <s v="100-75"/>
    <x v="3"/>
    <x v="1"/>
    <n v="400"/>
    <x v="114"/>
    <x v="0"/>
    <s v="Pass"/>
    <x v="0"/>
    <s v="B"/>
    <x v="1"/>
    <s v="50-60"/>
    <x v="0"/>
    <x v="0"/>
    <x v="0"/>
    <x v="0"/>
    <x v="0"/>
    <x v="0"/>
    <x v="0"/>
    <x v="0"/>
    <s v="Sept"/>
  </r>
  <r>
    <s v="2.30945E+11"/>
    <n v="230700616"/>
    <d v="2023-08-27T00:00:00"/>
    <s v="21:54:51.063Z"/>
    <n v="329"/>
    <d v="2001-08-06T00:00:00"/>
    <n v="89"/>
    <s v="Other"/>
    <x v="34"/>
    <x v="123"/>
    <x v="139"/>
    <s v="No"/>
    <s v="Yes"/>
    <n v="22"/>
    <s v="100-75"/>
    <x v="3"/>
    <x v="1"/>
    <n v="598"/>
    <x v="115"/>
    <x v="1"/>
    <s v="Pass"/>
    <x v="1"/>
    <s v="A"/>
    <x v="1"/>
    <s v="70-85"/>
    <x v="1"/>
    <x v="26"/>
    <x v="1"/>
    <x v="1"/>
    <x v="0"/>
    <x v="3"/>
    <x v="2"/>
    <x v="0"/>
    <s v="Sept"/>
  </r>
  <r>
    <s v="2.30945E+11"/>
    <n v="230604347"/>
    <d v="2023-09-03T00:00:00"/>
    <s v="12:48:35.262Z"/>
    <n v="3224"/>
    <d v="2001-10-27T00:00:00"/>
    <n v="71.2"/>
    <n v="77.2"/>
    <x v="0"/>
    <x v="100"/>
    <x v="140"/>
    <s v="No"/>
    <s v="No"/>
    <n v="21"/>
    <s v="100-75"/>
    <x v="3"/>
    <x v="0"/>
    <n v="588"/>
    <x v="116"/>
    <x v="0"/>
    <s v="Pass"/>
    <x v="0"/>
    <s v="C"/>
    <x v="1"/>
    <s v="70-85"/>
    <x v="1"/>
    <x v="32"/>
    <x v="1"/>
    <x v="1"/>
    <x v="0"/>
    <x v="4"/>
    <x v="2"/>
    <x v="0"/>
    <s v="Sept"/>
  </r>
  <r>
    <s v="2.30945E+11"/>
    <n v="230701131"/>
    <d v="2023-08-27T00:00:00"/>
    <s v="01:34:41.139Z"/>
    <n v="3210"/>
    <d v="2000-06-06T00:00:00"/>
    <n v="91"/>
    <n v="71.08"/>
    <x v="0"/>
    <x v="124"/>
    <x v="141"/>
    <s v="No"/>
    <s v="No"/>
    <n v="23"/>
    <s v="100-75"/>
    <x v="3"/>
    <x v="0"/>
    <n v="611"/>
    <x v="117"/>
    <x v="1"/>
    <s v="Pass"/>
    <x v="1"/>
    <s v="A"/>
    <x v="1"/>
    <s v="70-85"/>
    <x v="1"/>
    <x v="32"/>
    <x v="1"/>
    <x v="1"/>
    <x v="0"/>
    <x v="4"/>
    <x v="0"/>
    <x v="0"/>
    <s v="Sept"/>
  </r>
  <r>
    <s v="2.30945E+11"/>
    <n v="230610919"/>
    <d v="2023-09-05T00:00:00"/>
    <s v="22:16:20.704Z"/>
    <n v="3008"/>
    <d v="1995-02-26T00:00:00"/>
    <n v="86.18"/>
    <n v="64.33"/>
    <x v="0"/>
    <x v="125"/>
    <x v="142"/>
    <s v="Yes"/>
    <s v="No"/>
    <n v="28"/>
    <s v="60-75"/>
    <x v="4"/>
    <x v="0"/>
    <n v="388"/>
    <x v="118"/>
    <x v="2"/>
    <s v="Pass"/>
    <x v="2"/>
    <s v="C"/>
    <x v="1"/>
    <s v="40-50"/>
    <x v="0"/>
    <x v="0"/>
    <x v="0"/>
    <x v="0"/>
    <x v="0"/>
    <x v="4"/>
    <x v="1"/>
    <x v="0"/>
    <s v="Sept"/>
  </r>
  <r>
    <s v="2.30945E+11"/>
    <n v="230605032"/>
    <d v="2023-09-05T00:00:00"/>
    <s v="19:10:23.824Z"/>
    <n v="2094"/>
    <d v="1998-01-28T00:00:00"/>
    <n v="77.900000000000006"/>
    <n v="67.400000000000006"/>
    <x v="0"/>
    <x v="126"/>
    <x v="143"/>
    <s v="No"/>
    <s v="Yes"/>
    <n v="25"/>
    <s v="60-75"/>
    <x v="3"/>
    <x v="1"/>
    <n v="450"/>
    <x v="119"/>
    <x v="0"/>
    <s v="Pass"/>
    <x v="0"/>
    <s v="B"/>
    <x v="1"/>
    <s v="50-60"/>
    <x v="0"/>
    <x v="0"/>
    <x v="0"/>
    <x v="0"/>
    <x v="0"/>
    <x v="0"/>
    <x v="0"/>
    <x v="0"/>
    <s v="Sept"/>
  </r>
  <r>
    <s v="2.30945E+11"/>
    <n v="230610046"/>
    <d v="2023-09-04T00:00:00"/>
    <s v="22:56:04.677Z"/>
    <n v="2542"/>
    <d v="1999-11-22T00:00:00"/>
    <n v="83.6"/>
    <n v="62.2"/>
    <x v="0"/>
    <x v="127"/>
    <x v="144"/>
    <s v="No"/>
    <s v="Yes"/>
    <n v="23"/>
    <s v="60-75"/>
    <x v="0"/>
    <x v="1"/>
    <n v="559"/>
    <x v="19"/>
    <x v="2"/>
    <s v="Pass"/>
    <x v="2"/>
    <s v="D"/>
    <x v="1"/>
    <s v="60-70"/>
    <x v="1"/>
    <x v="28"/>
    <x v="1"/>
    <x v="1"/>
    <x v="0"/>
    <x v="0"/>
    <x v="0"/>
    <x v="0"/>
    <s v="Sept"/>
  </r>
  <r>
    <s v="2.30945E+11"/>
    <n v="230602302"/>
    <m/>
    <m/>
    <s v="Unknown"/>
    <m/>
    <n v="0"/>
    <n v="0"/>
    <x v="2"/>
    <x v="11"/>
    <x v="11"/>
    <s v="No"/>
    <s v="No"/>
    <n v="23"/>
    <s v="Unkown"/>
    <x v="5"/>
    <x v="2"/>
    <n v="371"/>
    <x v="120"/>
    <x v="2"/>
    <s v="Pass"/>
    <x v="2"/>
    <s v="D"/>
    <x v="1"/>
    <s v="40-50"/>
    <x v="0"/>
    <x v="0"/>
    <x v="0"/>
    <x v="0"/>
    <x v="0"/>
    <x v="2"/>
    <x v="3"/>
    <x v="0"/>
    <s v="Sept"/>
  </r>
  <r>
    <s v="2.30945E+11"/>
    <n v="230601376"/>
    <d v="2023-08-24T00:00:00"/>
    <s v="17:15:27.623Z"/>
    <n v="3023"/>
    <d v="2001-03-10T00:00:00"/>
    <n v="65"/>
    <n v="75"/>
    <x v="0"/>
    <x v="13"/>
    <x v="22"/>
    <s v="No"/>
    <s v="Yes"/>
    <n v="22"/>
    <s v="60-75"/>
    <x v="3"/>
    <x v="1"/>
    <n v="445"/>
    <x v="121"/>
    <x v="2"/>
    <s v="Pass"/>
    <x v="2"/>
    <s v="B"/>
    <x v="1"/>
    <s v="50-60"/>
    <x v="1"/>
    <x v="35"/>
    <x v="1"/>
    <x v="1"/>
    <x v="0"/>
    <x v="4"/>
    <x v="2"/>
    <x v="0"/>
    <s v="Sept"/>
  </r>
  <r>
    <s v="2.30945E+11"/>
    <n v="230609765"/>
    <d v="2023-09-04T00:00:00"/>
    <s v="11:40:02.237Z"/>
    <n v="3143"/>
    <d v="2001-06-01T00:00:00"/>
    <n v="89"/>
    <n v="63.54"/>
    <x v="0"/>
    <x v="37"/>
    <x v="145"/>
    <s v="No"/>
    <s v="No"/>
    <n v="22"/>
    <s v="100-75"/>
    <x v="0"/>
    <x v="0"/>
    <n v="487"/>
    <x v="122"/>
    <x v="2"/>
    <s v="Pass"/>
    <x v="2"/>
    <s v="C"/>
    <x v="1"/>
    <s v="60-70"/>
    <x v="1"/>
    <x v="36"/>
    <x v="1"/>
    <x v="1"/>
    <x v="0"/>
    <x v="4"/>
    <x v="2"/>
    <x v="0"/>
    <s v="Sept"/>
  </r>
  <r>
    <s v="2.30945E+11"/>
    <n v="230602460"/>
    <d v="2023-09-05T00:00:00"/>
    <s v="14:24:01.377Z"/>
    <n v="2577"/>
    <d v="1995-05-20T00:00:00"/>
    <n v="84.36"/>
    <n v="53.67"/>
    <x v="0"/>
    <x v="128"/>
    <x v="146"/>
    <s v="No"/>
    <s v="Yes"/>
    <n v="28"/>
    <s v="60-75"/>
    <x v="3"/>
    <x v="0"/>
    <n v="470"/>
    <x v="106"/>
    <x v="1"/>
    <s v="Pass"/>
    <x v="1"/>
    <s v="A"/>
    <x v="1"/>
    <s v="50-60"/>
    <x v="0"/>
    <x v="0"/>
    <x v="0"/>
    <x v="0"/>
    <x v="0"/>
    <x v="0"/>
    <x v="1"/>
    <x v="0"/>
    <s v="Sept"/>
  </r>
  <r>
    <s v="2.30945E+11"/>
    <n v="230603450"/>
    <d v="2023-09-05T00:00:00"/>
    <s v="16:04:15.204Z"/>
    <n v="2896"/>
    <d v="2001-10-22T00:00:00"/>
    <n v="81.400000000000006"/>
    <n v="54.46"/>
    <x v="0"/>
    <x v="129"/>
    <x v="147"/>
    <s v="Yes"/>
    <s v="No"/>
    <n v="21"/>
    <s v="60-75"/>
    <x v="5"/>
    <x v="3"/>
    <n v="539"/>
    <x v="123"/>
    <x v="0"/>
    <s v="Pass"/>
    <x v="0"/>
    <s v="A"/>
    <x v="1"/>
    <s v="60-70"/>
    <x v="1"/>
    <x v="2"/>
    <x v="1"/>
    <x v="1"/>
    <x v="0"/>
    <x v="0"/>
    <x v="2"/>
    <x v="0"/>
    <s v="Sept"/>
  </r>
  <r>
    <s v="2.30945E+11"/>
    <n v="230604231"/>
    <d v="2023-09-06T00:00:00"/>
    <s v="19:28:14.929Z"/>
    <n v="1855"/>
    <d v="2000-09-04T00:00:00"/>
    <n v="95.4"/>
    <n v="88.15"/>
    <x v="0"/>
    <x v="130"/>
    <x v="148"/>
    <s v="Yes"/>
    <s v="No"/>
    <n v="23"/>
    <s v="100-75"/>
    <x v="5"/>
    <x v="3"/>
    <n v="604"/>
    <x v="124"/>
    <x v="2"/>
    <s v="Pass"/>
    <x v="2"/>
    <s v="A"/>
    <x v="1"/>
    <s v="70-85"/>
    <x v="1"/>
    <x v="37"/>
    <x v="1"/>
    <x v="1"/>
    <x v="0"/>
    <x v="1"/>
    <x v="0"/>
    <x v="0"/>
    <s v="Sept"/>
  </r>
  <r>
    <s v="2.30945E+11"/>
    <n v="230600418"/>
    <d v="2023-08-24T00:00:00"/>
    <s v="21:39:29.436Z"/>
    <n v="3030"/>
    <d v="2001-08-11T00:00:00"/>
    <n v="87.6"/>
    <n v="81.400000000000006"/>
    <x v="0"/>
    <x v="131"/>
    <x v="149"/>
    <s v="No"/>
    <s v="No"/>
    <n v="22"/>
    <s v="100-75"/>
    <x v="3"/>
    <x v="0"/>
    <n v="576"/>
    <x v="125"/>
    <x v="1"/>
    <s v="Pass"/>
    <x v="1"/>
    <s v="C"/>
    <x v="1"/>
    <s v="70-85"/>
    <x v="1"/>
    <x v="4"/>
    <x v="1"/>
    <x v="1"/>
    <x v="0"/>
    <x v="4"/>
    <x v="2"/>
    <x v="0"/>
    <s v="Sept"/>
  </r>
  <r>
    <s v="2.30945E+11"/>
    <n v="230604165"/>
    <d v="2023-09-06T00:00:00"/>
    <s v="19:19:42.492Z"/>
    <n v="3091"/>
    <d v="1988-09-05T00:00:00"/>
    <n v="61.6"/>
    <n v="52.2"/>
    <x v="0"/>
    <x v="132"/>
    <x v="150"/>
    <s v="No"/>
    <s v="No"/>
    <n v="35"/>
    <s v="60-75"/>
    <x v="2"/>
    <x v="1"/>
    <n v="469"/>
    <x v="111"/>
    <x v="0"/>
    <s v="Pass"/>
    <x v="0"/>
    <s v="B"/>
    <x v="1"/>
    <s v="50-60"/>
    <x v="0"/>
    <x v="0"/>
    <x v="0"/>
    <x v="0"/>
    <x v="0"/>
    <x v="4"/>
    <x v="4"/>
    <x v="0"/>
    <s v="Sept"/>
  </r>
  <r>
    <s v="2.30945E+11"/>
    <n v="230614323"/>
    <d v="2023-09-06T00:00:00"/>
    <s v="13:36:18.959Z"/>
    <n v="2610"/>
    <d v="1999-02-20T00:00:00"/>
    <n v="91.2"/>
    <n v="75"/>
    <x v="0"/>
    <x v="133"/>
    <x v="151"/>
    <s v="No"/>
    <s v="Yes"/>
    <n v="24"/>
    <s v="60-75"/>
    <x v="0"/>
    <x v="1"/>
    <n v="542"/>
    <x v="3"/>
    <x v="2"/>
    <s v="Pass"/>
    <x v="2"/>
    <s v="C"/>
    <x v="1"/>
    <s v="60-70"/>
    <x v="0"/>
    <x v="0"/>
    <x v="0"/>
    <x v="0"/>
    <x v="0"/>
    <x v="0"/>
    <x v="0"/>
    <x v="0"/>
    <s v="Sept"/>
  </r>
  <r>
    <s v="2.20345E+11"/>
    <n v="220108473"/>
    <d v="2022-02-23T00:00:00"/>
    <s v="11:28:57.450Z"/>
    <n v="1390"/>
    <d v="1995-03-10T00:00:00"/>
    <n v="82.2"/>
    <n v="64"/>
    <x v="0"/>
    <x v="134"/>
    <x v="152"/>
    <s v="No"/>
    <s v="No"/>
    <n v="26"/>
    <s v="45-60"/>
    <x v="5"/>
    <x v="1"/>
    <n v="487"/>
    <x v="122"/>
    <x v="0"/>
    <s v="Pass"/>
    <x v="0"/>
    <s v="A"/>
    <x v="0"/>
    <s v="60-70"/>
    <x v="0"/>
    <x v="0"/>
    <x v="0"/>
    <x v="0"/>
    <x v="1"/>
    <x v="1"/>
    <x v="1"/>
    <x v="1"/>
    <s v="March"/>
  </r>
  <r>
    <s v="2.20345E+11"/>
    <n v="220104071"/>
    <m/>
    <m/>
    <s v="Unknown"/>
    <m/>
    <n v="0"/>
    <n v="0"/>
    <x v="2"/>
    <x v="11"/>
    <x v="11"/>
    <s v="No"/>
    <s v="No"/>
    <n v="23"/>
    <s v="Unkown"/>
    <x v="5"/>
    <x v="2"/>
    <n v="585"/>
    <x v="126"/>
    <x v="0"/>
    <s v="Pass"/>
    <x v="0"/>
    <s v="A"/>
    <x v="0"/>
    <s v="70-85"/>
    <x v="1"/>
    <x v="38"/>
    <x v="1"/>
    <x v="1"/>
    <x v="1"/>
    <x v="2"/>
    <x v="3"/>
    <x v="1"/>
    <s v="March"/>
  </r>
  <r>
    <s v="2.20345E+11"/>
    <n v="211205578"/>
    <m/>
    <m/>
    <s v="Unknown"/>
    <m/>
    <n v="0"/>
    <n v="0"/>
    <x v="2"/>
    <x v="11"/>
    <x v="11"/>
    <s v="No"/>
    <s v="No"/>
    <n v="23"/>
    <s v="Unkown"/>
    <x v="5"/>
    <x v="2"/>
    <n v="446"/>
    <x v="1"/>
    <x v="4"/>
    <s v="Pass"/>
    <x v="4"/>
    <s v="B"/>
    <x v="0"/>
    <s v="50-60"/>
    <x v="1"/>
    <x v="39"/>
    <x v="1"/>
    <x v="1"/>
    <x v="1"/>
    <x v="2"/>
    <x v="3"/>
    <x v="1"/>
    <s v="March"/>
  </r>
  <r>
    <s v="2.20345E+11"/>
    <n v="211200656"/>
    <d v="2022-02-22T00:00:00"/>
    <s v="21:14:30.377Z"/>
    <n v="1124"/>
    <d v="1997-09-18T00:00:00"/>
    <n v="94.73"/>
    <n v="88.62"/>
    <x v="0"/>
    <x v="135"/>
    <x v="153"/>
    <s v="No"/>
    <s v="No"/>
    <n v="24"/>
    <s v="100-75"/>
    <x v="4"/>
    <x v="0"/>
    <n v="611"/>
    <x v="117"/>
    <x v="2"/>
    <s v="Pass"/>
    <x v="2"/>
    <s v="B"/>
    <x v="0"/>
    <s v="70-85"/>
    <x v="1"/>
    <x v="40"/>
    <x v="1"/>
    <x v="1"/>
    <x v="1"/>
    <x v="1"/>
    <x v="0"/>
    <x v="1"/>
    <s v="March"/>
  </r>
  <r>
    <s v="2.20345E+11"/>
    <n v="220103975"/>
    <m/>
    <m/>
    <s v="Unknown"/>
    <m/>
    <n v="0"/>
    <n v="0"/>
    <x v="2"/>
    <x v="11"/>
    <x v="11"/>
    <s v="No"/>
    <s v="No"/>
    <n v="23"/>
    <s v="Unkown"/>
    <x v="5"/>
    <x v="2"/>
    <n v="634"/>
    <x v="127"/>
    <x v="2"/>
    <s v="Pass"/>
    <x v="2"/>
    <s v="A"/>
    <x v="0"/>
    <s v="70-85"/>
    <x v="1"/>
    <x v="41"/>
    <x v="1"/>
    <x v="1"/>
    <x v="1"/>
    <x v="2"/>
    <x v="3"/>
    <x v="1"/>
    <s v="March"/>
  </r>
  <r>
    <s v="2.20345E+11"/>
    <n v="211200391"/>
    <m/>
    <m/>
    <s v="Unknown"/>
    <m/>
    <n v="0"/>
    <n v="0"/>
    <x v="2"/>
    <x v="11"/>
    <x v="11"/>
    <s v="No"/>
    <s v="No"/>
    <n v="23"/>
    <s v="Unkown"/>
    <x v="5"/>
    <x v="2"/>
    <n v="594"/>
    <x v="128"/>
    <x v="1"/>
    <s v="Pass"/>
    <x v="1"/>
    <s v="A"/>
    <x v="0"/>
    <s v="70-85"/>
    <x v="1"/>
    <x v="26"/>
    <x v="1"/>
    <x v="1"/>
    <x v="1"/>
    <x v="2"/>
    <x v="3"/>
    <x v="1"/>
    <s v="March"/>
  </r>
  <r>
    <s v="2.20345E+11"/>
    <n v="211202396"/>
    <m/>
    <m/>
    <s v="Unknown"/>
    <m/>
    <n v="0"/>
    <n v="0"/>
    <x v="2"/>
    <x v="11"/>
    <x v="11"/>
    <s v="No"/>
    <s v="No"/>
    <n v="23"/>
    <s v="Unkown"/>
    <x v="5"/>
    <x v="2"/>
    <n v="558"/>
    <x v="23"/>
    <x v="0"/>
    <s v="Pass"/>
    <x v="0"/>
    <s v="C"/>
    <x v="0"/>
    <s v="60-70"/>
    <x v="1"/>
    <x v="42"/>
    <x v="1"/>
    <x v="1"/>
    <x v="1"/>
    <x v="2"/>
    <x v="3"/>
    <x v="1"/>
    <s v="March"/>
  </r>
  <r>
    <s v="2.20345E+11"/>
    <n v="211200052"/>
    <m/>
    <m/>
    <s v="Unknown"/>
    <m/>
    <n v="0"/>
    <n v="0"/>
    <x v="2"/>
    <x v="11"/>
    <x v="11"/>
    <s v="No"/>
    <s v="No"/>
    <n v="23"/>
    <s v="Unkown"/>
    <x v="5"/>
    <x v="2"/>
    <n v="451"/>
    <x v="129"/>
    <x v="4"/>
    <s v="Pass"/>
    <x v="4"/>
    <s v="C"/>
    <x v="0"/>
    <s v="50-60"/>
    <x v="0"/>
    <x v="0"/>
    <x v="0"/>
    <x v="0"/>
    <x v="1"/>
    <x v="2"/>
    <x v="3"/>
    <x v="1"/>
    <s v="March"/>
  </r>
  <r>
    <s v="2.20345E+11"/>
    <n v="211201093"/>
    <m/>
    <m/>
    <s v="Unknown"/>
    <m/>
    <n v="0"/>
    <n v="0"/>
    <x v="2"/>
    <x v="11"/>
    <x v="11"/>
    <s v="No"/>
    <s v="No"/>
    <n v="23"/>
    <s v="Unkown"/>
    <x v="5"/>
    <x v="2"/>
    <n v="606"/>
    <x v="130"/>
    <x v="1"/>
    <s v="Pass"/>
    <x v="1"/>
    <s v="A"/>
    <x v="0"/>
    <s v="70-85"/>
    <x v="1"/>
    <x v="43"/>
    <x v="1"/>
    <x v="1"/>
    <x v="1"/>
    <x v="2"/>
    <x v="3"/>
    <x v="1"/>
    <s v="March"/>
  </r>
  <r>
    <s v="2.20345E+11"/>
    <n v="211204894"/>
    <m/>
    <m/>
    <s v="Unknown"/>
    <m/>
    <n v="0"/>
    <n v="0"/>
    <x v="2"/>
    <x v="11"/>
    <x v="11"/>
    <s v="No"/>
    <s v="No"/>
    <n v="23"/>
    <s v="Unkown"/>
    <x v="5"/>
    <x v="2"/>
    <n v="529"/>
    <x v="131"/>
    <x v="1"/>
    <s v="Pass"/>
    <x v="1"/>
    <s v="B"/>
    <x v="0"/>
    <s v="60-70"/>
    <x v="1"/>
    <x v="44"/>
    <x v="1"/>
    <x v="1"/>
    <x v="1"/>
    <x v="2"/>
    <x v="3"/>
    <x v="1"/>
    <s v="March"/>
  </r>
  <r>
    <s v="2.20345E+11"/>
    <n v="220104910"/>
    <m/>
    <m/>
    <s v="Unknown"/>
    <m/>
    <n v="0"/>
    <n v="0"/>
    <x v="2"/>
    <x v="11"/>
    <x v="11"/>
    <s v="No"/>
    <s v="No"/>
    <n v="23"/>
    <s v="Unkown"/>
    <x v="5"/>
    <x v="2"/>
    <n v="625"/>
    <x v="32"/>
    <x v="2"/>
    <s v="Pass"/>
    <x v="2"/>
    <s v="A"/>
    <x v="0"/>
    <s v="70-85"/>
    <x v="1"/>
    <x v="45"/>
    <x v="1"/>
    <x v="1"/>
    <x v="1"/>
    <x v="2"/>
    <x v="3"/>
    <x v="1"/>
    <s v="March"/>
  </r>
  <r>
    <s v="2.20345E+11"/>
    <n v="211200922"/>
    <d v="2022-02-22T00:00:00"/>
    <s v="20:07:38.784Z"/>
    <n v="938"/>
    <d v="2000-01-05T00:00:00"/>
    <n v="85.2"/>
    <n v="59.23"/>
    <x v="0"/>
    <x v="11"/>
    <x v="154"/>
    <s v="No"/>
    <s v="No"/>
    <n v="22"/>
    <s v="0-35"/>
    <x v="5"/>
    <x v="1"/>
    <n v="455"/>
    <x v="37"/>
    <x v="0"/>
    <s v="Pass"/>
    <x v="0"/>
    <s v="B"/>
    <x v="0"/>
    <s v="50-60"/>
    <x v="0"/>
    <x v="0"/>
    <x v="0"/>
    <x v="0"/>
    <x v="1"/>
    <x v="3"/>
    <x v="2"/>
    <x v="1"/>
    <s v="March"/>
  </r>
  <r>
    <s v="2.20345E+11"/>
    <n v="211200874"/>
    <m/>
    <m/>
    <s v="Unknown"/>
    <m/>
    <n v="0"/>
    <n v="0"/>
    <x v="2"/>
    <x v="11"/>
    <x v="11"/>
    <s v="No"/>
    <s v="No"/>
    <n v="23"/>
    <s v="Unkown"/>
    <x v="5"/>
    <x v="2"/>
    <n v="547"/>
    <x v="51"/>
    <x v="2"/>
    <s v="Pass"/>
    <x v="2"/>
    <s v="A"/>
    <x v="0"/>
    <s v="60-70"/>
    <x v="1"/>
    <x v="9"/>
    <x v="1"/>
    <x v="1"/>
    <x v="1"/>
    <x v="2"/>
    <x v="3"/>
    <x v="1"/>
    <s v="March"/>
  </r>
  <r>
    <s v="2.20345E+11"/>
    <n v="211200586"/>
    <m/>
    <m/>
    <s v="Unknown"/>
    <m/>
    <n v="0"/>
    <n v="0"/>
    <x v="2"/>
    <x v="11"/>
    <x v="11"/>
    <s v="No"/>
    <s v="No"/>
    <n v="23"/>
    <s v="Unkown"/>
    <x v="5"/>
    <x v="2"/>
    <n v="497"/>
    <x v="74"/>
    <x v="1"/>
    <s v="Pass"/>
    <x v="1"/>
    <s v="B"/>
    <x v="0"/>
    <s v="60-70"/>
    <x v="1"/>
    <x v="45"/>
    <x v="1"/>
    <x v="1"/>
    <x v="1"/>
    <x v="2"/>
    <x v="3"/>
    <x v="1"/>
    <s v="March"/>
  </r>
  <r>
    <s v="2.20345E+11"/>
    <n v="211202536"/>
    <m/>
    <m/>
    <s v="Unknown"/>
    <m/>
    <n v="0"/>
    <n v="0"/>
    <x v="2"/>
    <x v="11"/>
    <x v="11"/>
    <s v="No"/>
    <s v="No"/>
    <n v="23"/>
    <s v="Unkown"/>
    <x v="5"/>
    <x v="2"/>
    <n v="464"/>
    <x v="132"/>
    <x v="2"/>
    <s v="Pass"/>
    <x v="2"/>
    <s v="A"/>
    <x v="0"/>
    <s v="50-60"/>
    <x v="1"/>
    <x v="46"/>
    <x v="1"/>
    <x v="1"/>
    <x v="1"/>
    <x v="2"/>
    <x v="3"/>
    <x v="1"/>
    <s v="March"/>
  </r>
  <r>
    <s v="2.20345E+11"/>
    <n v="220100893"/>
    <d v="2022-02-22T00:00:00"/>
    <s v="22:06:39.929Z"/>
    <n v="582"/>
    <d v="1998-01-21T00:00:00"/>
    <n v="84"/>
    <s v="Other"/>
    <x v="35"/>
    <x v="45"/>
    <x v="155"/>
    <s v="No"/>
    <s v="No"/>
    <n v="24"/>
    <s v="100-75"/>
    <x v="6"/>
    <x v="0"/>
    <n v="522"/>
    <x v="43"/>
    <x v="1"/>
    <s v="Pass"/>
    <x v="1"/>
    <s v="B"/>
    <x v="0"/>
    <s v="60-70"/>
    <x v="1"/>
    <x v="45"/>
    <x v="1"/>
    <x v="1"/>
    <x v="1"/>
    <x v="3"/>
    <x v="0"/>
    <x v="1"/>
    <s v="March"/>
  </r>
  <r>
    <s v="2.20345E+11"/>
    <n v="211207231"/>
    <d v="2022-02-22T00:00:00"/>
    <s v="18:54:00.551Z"/>
    <n v="1041"/>
    <d v="1990-02-25T00:00:00"/>
    <n v="84.8"/>
    <n v="83.33"/>
    <x v="0"/>
    <x v="136"/>
    <x v="156"/>
    <s v="Yes"/>
    <s v="No"/>
    <n v="31"/>
    <s v="45-60"/>
    <x v="5"/>
    <x v="1"/>
    <n v="448"/>
    <x v="133"/>
    <x v="1"/>
    <s v="Pass"/>
    <x v="1"/>
    <s v="C"/>
    <x v="0"/>
    <s v="50-60"/>
    <x v="2"/>
    <x v="3"/>
    <x v="1"/>
    <x v="1"/>
    <x v="1"/>
    <x v="1"/>
    <x v="4"/>
    <x v="1"/>
    <s v="March"/>
  </r>
  <r>
    <s v="2.20345E+11"/>
    <n v="211200939"/>
    <m/>
    <m/>
    <s v="Unknown"/>
    <m/>
    <n v="0"/>
    <n v="0"/>
    <x v="2"/>
    <x v="11"/>
    <x v="11"/>
    <s v="No"/>
    <s v="No"/>
    <n v="23"/>
    <s v="Unkown"/>
    <x v="5"/>
    <x v="2"/>
    <n v="512"/>
    <x v="33"/>
    <x v="0"/>
    <s v="Pass"/>
    <x v="0"/>
    <s v="A"/>
    <x v="0"/>
    <s v="60-70"/>
    <x v="2"/>
    <x v="3"/>
    <x v="1"/>
    <x v="1"/>
    <x v="1"/>
    <x v="2"/>
    <x v="3"/>
    <x v="1"/>
    <s v="March"/>
  </r>
  <r>
    <s v="2.20345E+11"/>
    <n v="211202100"/>
    <m/>
    <m/>
    <s v="Unknown"/>
    <m/>
    <n v="0"/>
    <n v="0"/>
    <x v="2"/>
    <x v="11"/>
    <x v="11"/>
    <s v="No"/>
    <s v="No"/>
    <n v="23"/>
    <s v="Unkown"/>
    <x v="5"/>
    <x v="2"/>
    <n v="588"/>
    <x v="116"/>
    <x v="0"/>
    <s v="Pass"/>
    <x v="0"/>
    <s v="A"/>
    <x v="0"/>
    <s v="70-85"/>
    <x v="1"/>
    <x v="9"/>
    <x v="1"/>
    <x v="1"/>
    <x v="1"/>
    <x v="2"/>
    <x v="3"/>
    <x v="1"/>
    <s v="March"/>
  </r>
  <r>
    <s v="2.20345E+11"/>
    <n v="211200277"/>
    <d v="2022-02-22T00:00:00"/>
    <s v="21:27:53.633Z"/>
    <n v="1363"/>
    <d v="1996-10-30T00:00:00"/>
    <n v="86"/>
    <n v="68.31"/>
    <x v="0"/>
    <x v="137"/>
    <x v="157"/>
    <s v="No"/>
    <s v="No"/>
    <n v="25"/>
    <s v="0-35"/>
    <x v="4"/>
    <x v="0"/>
    <n v="589"/>
    <x v="134"/>
    <x v="0"/>
    <s v="Pass"/>
    <x v="0"/>
    <s v="B"/>
    <x v="0"/>
    <s v="70-85"/>
    <x v="1"/>
    <x v="26"/>
    <x v="1"/>
    <x v="1"/>
    <x v="1"/>
    <x v="1"/>
    <x v="0"/>
    <x v="1"/>
    <s v="March"/>
  </r>
  <r>
    <s v="2.20345E+11"/>
    <n v="211200846"/>
    <m/>
    <m/>
    <s v="Unknown"/>
    <m/>
    <n v="0"/>
    <n v="0"/>
    <x v="2"/>
    <x v="11"/>
    <x v="11"/>
    <s v="No"/>
    <s v="No"/>
    <n v="23"/>
    <s v="Unkown"/>
    <x v="5"/>
    <x v="2"/>
    <n v="562"/>
    <x v="135"/>
    <x v="1"/>
    <s v="Pass"/>
    <x v="1"/>
    <s v="A"/>
    <x v="0"/>
    <s v="70-85"/>
    <x v="1"/>
    <x v="47"/>
    <x v="1"/>
    <x v="1"/>
    <x v="1"/>
    <x v="2"/>
    <x v="3"/>
    <x v="1"/>
    <s v="March"/>
  </r>
  <r>
    <s v="2.20345E+11"/>
    <n v="211207102"/>
    <d v="2022-02-22T00:00:00"/>
    <s v="21:35:22.770Z"/>
    <n v="1301"/>
    <d v="1996-04-13T00:00:00"/>
    <n v="93.45"/>
    <n v="64.5"/>
    <x v="0"/>
    <x v="138"/>
    <x v="158"/>
    <s v="No"/>
    <s v="No"/>
    <n v="25"/>
    <s v="45-60"/>
    <x v="5"/>
    <x v="0"/>
    <n v="458"/>
    <x v="136"/>
    <x v="1"/>
    <s v="Pass"/>
    <x v="1"/>
    <s v="D"/>
    <x v="0"/>
    <s v="50-60"/>
    <x v="2"/>
    <x v="3"/>
    <x v="1"/>
    <x v="1"/>
    <x v="1"/>
    <x v="1"/>
    <x v="0"/>
    <x v="1"/>
    <s v="March"/>
  </r>
  <r>
    <s v="2.20345E+11"/>
    <n v="211205097"/>
    <d v="2022-02-22T00:00:00"/>
    <s v="22:51:49.326Z"/>
    <n v="1029"/>
    <d v="1999-07-02T00:00:00"/>
    <n v="81.400000000000006"/>
    <n v="68.92"/>
    <x v="0"/>
    <x v="139"/>
    <x v="159"/>
    <s v="No"/>
    <s v="No"/>
    <n v="22"/>
    <s v="0-35"/>
    <x v="2"/>
    <x v="0"/>
    <n v="550"/>
    <x v="80"/>
    <x v="2"/>
    <s v="Pass"/>
    <x v="2"/>
    <s v="B"/>
    <x v="0"/>
    <s v="60-70"/>
    <x v="1"/>
    <x v="38"/>
    <x v="1"/>
    <x v="1"/>
    <x v="1"/>
    <x v="1"/>
    <x v="2"/>
    <x v="1"/>
    <s v="March"/>
  </r>
  <r>
    <s v="2.20345E+11"/>
    <n v="211201785"/>
    <d v="2022-02-22T00:00:00"/>
    <s v="18:39:29.799Z"/>
    <n v="1341"/>
    <d v="1997-08-27T00:00:00"/>
    <n v="94"/>
    <s v="Other"/>
    <x v="0"/>
    <x v="140"/>
    <x v="160"/>
    <s v="No"/>
    <s v="No"/>
    <n v="24"/>
    <s v="60-75"/>
    <x v="6"/>
    <x v="5"/>
    <n v="482"/>
    <x v="108"/>
    <x v="0"/>
    <s v="Pass"/>
    <x v="0"/>
    <s v="A"/>
    <x v="0"/>
    <s v="60-70"/>
    <x v="1"/>
    <x v="45"/>
    <x v="1"/>
    <x v="1"/>
    <x v="1"/>
    <x v="1"/>
    <x v="0"/>
    <x v="1"/>
    <s v="March"/>
  </r>
  <r>
    <s v="2.20345E+11"/>
    <n v="220102738"/>
    <m/>
    <m/>
    <s v="Unknown"/>
    <m/>
    <n v="0"/>
    <n v="0"/>
    <x v="2"/>
    <x v="11"/>
    <x v="11"/>
    <s v="No"/>
    <s v="No"/>
    <n v="23"/>
    <s v="Unkown"/>
    <x v="5"/>
    <x v="2"/>
    <n v="571"/>
    <x v="137"/>
    <x v="0"/>
    <s v="Pass"/>
    <x v="0"/>
    <s v="A"/>
    <x v="0"/>
    <s v="70-85"/>
    <x v="1"/>
    <x v="48"/>
    <x v="1"/>
    <x v="1"/>
    <x v="1"/>
    <x v="2"/>
    <x v="3"/>
    <x v="1"/>
    <s v="March"/>
  </r>
  <r>
    <s v="2.20345E+11"/>
    <n v="211206460"/>
    <m/>
    <m/>
    <s v="Unknown"/>
    <m/>
    <n v="0"/>
    <n v="0"/>
    <x v="2"/>
    <x v="11"/>
    <x v="11"/>
    <s v="No"/>
    <s v="No"/>
    <n v="23"/>
    <s v="Unkown"/>
    <x v="5"/>
    <x v="2"/>
    <n v="432"/>
    <x v="8"/>
    <x v="4"/>
    <s v="Pass"/>
    <x v="4"/>
    <s v="C"/>
    <x v="0"/>
    <s v="50-60"/>
    <x v="1"/>
    <x v="9"/>
    <x v="1"/>
    <x v="1"/>
    <x v="1"/>
    <x v="2"/>
    <x v="3"/>
    <x v="1"/>
    <s v="March"/>
  </r>
  <r>
    <s v="2.20345E+11"/>
    <n v="211205916"/>
    <d v="2022-02-22T00:00:00"/>
    <s v="20:00:57.867Z"/>
    <n v="1163"/>
    <d v="1997-04-16T00:00:00"/>
    <n v="81.2"/>
    <n v="75.569999999999993"/>
    <x v="0"/>
    <x v="141"/>
    <x v="161"/>
    <s v="No"/>
    <s v="No"/>
    <n v="24"/>
    <s v="100-75"/>
    <x v="5"/>
    <x v="0"/>
    <n v="663"/>
    <x v="62"/>
    <x v="0"/>
    <s v="Pass"/>
    <x v="0"/>
    <s v="A"/>
    <x v="0"/>
    <s v="70-85"/>
    <x v="1"/>
    <x v="49"/>
    <x v="1"/>
    <x v="1"/>
    <x v="1"/>
    <x v="1"/>
    <x v="0"/>
    <x v="1"/>
    <s v="March"/>
  </r>
  <r>
    <s v="2.20345E+11"/>
    <n v="211207303"/>
    <d v="2022-02-23T00:00:00"/>
    <s v="12:29:05.648Z"/>
    <n v="169"/>
    <d v="1998-06-03T00:00:00"/>
    <n v="85.09"/>
    <s v="Other"/>
    <x v="36"/>
    <x v="142"/>
    <x v="162"/>
    <s v="No"/>
    <s v="No"/>
    <n v="23"/>
    <s v="45-60"/>
    <x v="2"/>
    <x v="0"/>
    <n v="574"/>
    <x v="72"/>
    <x v="1"/>
    <s v="Pass"/>
    <x v="1"/>
    <s v="A"/>
    <x v="0"/>
    <s v="70-85"/>
    <x v="1"/>
    <x v="50"/>
    <x v="1"/>
    <x v="1"/>
    <x v="1"/>
    <x v="3"/>
    <x v="0"/>
    <x v="1"/>
    <s v="March"/>
  </r>
  <r>
    <s v="2.20345E+11"/>
    <n v="211201147"/>
    <m/>
    <m/>
    <s v="Unknown"/>
    <m/>
    <n v="0"/>
    <n v="0"/>
    <x v="2"/>
    <x v="11"/>
    <x v="11"/>
    <s v="No"/>
    <s v="No"/>
    <n v="23"/>
    <s v="Unkown"/>
    <x v="5"/>
    <x v="2"/>
    <n v="556"/>
    <x v="138"/>
    <x v="2"/>
    <s v="Pass"/>
    <x v="2"/>
    <s v="A"/>
    <x v="0"/>
    <s v="60-70"/>
    <x v="1"/>
    <x v="51"/>
    <x v="1"/>
    <x v="1"/>
    <x v="1"/>
    <x v="2"/>
    <x v="3"/>
    <x v="1"/>
    <s v="March"/>
  </r>
  <r>
    <s v="2.20345E+11"/>
    <n v="211203029"/>
    <m/>
    <m/>
    <s v="Unknown"/>
    <m/>
    <n v="0"/>
    <n v="0"/>
    <x v="2"/>
    <x v="11"/>
    <x v="11"/>
    <s v="No"/>
    <s v="No"/>
    <n v="23"/>
    <s v="Unkown"/>
    <x v="5"/>
    <x v="2"/>
    <n v="485"/>
    <x v="24"/>
    <x v="0"/>
    <s v="Pass"/>
    <x v="0"/>
    <s v="C"/>
    <x v="0"/>
    <s v="60-70"/>
    <x v="0"/>
    <x v="0"/>
    <x v="0"/>
    <x v="0"/>
    <x v="1"/>
    <x v="2"/>
    <x v="3"/>
    <x v="1"/>
    <s v="March"/>
  </r>
  <r>
    <s v="2.20345E+11"/>
    <n v="211205092"/>
    <d v="2022-02-22T00:00:00"/>
    <s v="22:51:44.894Z"/>
    <n v="1096"/>
    <d v="1998-06-01T00:00:00"/>
    <n v="72.599999999999994"/>
    <n v="73.540000000000006"/>
    <x v="0"/>
    <x v="143"/>
    <x v="163"/>
    <s v="No"/>
    <s v="No"/>
    <n v="23"/>
    <s v="60-75"/>
    <x v="3"/>
    <x v="0"/>
    <n v="461"/>
    <x v="139"/>
    <x v="4"/>
    <s v="Pass"/>
    <x v="4"/>
    <s v="C"/>
    <x v="0"/>
    <s v="50-60"/>
    <x v="1"/>
    <x v="9"/>
    <x v="1"/>
    <x v="1"/>
    <x v="1"/>
    <x v="1"/>
    <x v="0"/>
    <x v="1"/>
    <s v="March"/>
  </r>
  <r>
    <s v="2.20345E+11"/>
    <n v="211207018"/>
    <d v="2022-02-23T00:00:00"/>
    <s v="10:25:11.944Z"/>
    <n v="1226"/>
    <d v="1998-02-24T00:00:00"/>
    <n v="89.2"/>
    <s v="Other"/>
    <x v="37"/>
    <x v="144"/>
    <x v="164"/>
    <s v="No"/>
    <s v="No"/>
    <n v="23"/>
    <s v="60-75"/>
    <x v="2"/>
    <x v="1"/>
    <n v="501"/>
    <x v="140"/>
    <x v="4"/>
    <s v="Pass"/>
    <x v="4"/>
    <s v="C"/>
    <x v="0"/>
    <s v="60-70"/>
    <x v="1"/>
    <x v="47"/>
    <x v="1"/>
    <x v="1"/>
    <x v="1"/>
    <x v="1"/>
    <x v="0"/>
    <x v="1"/>
    <s v="March"/>
  </r>
  <r>
    <s v="2.20345E+11"/>
    <n v="220100388"/>
    <m/>
    <m/>
    <s v="Unknown"/>
    <m/>
    <n v="0"/>
    <n v="0"/>
    <x v="2"/>
    <x v="11"/>
    <x v="11"/>
    <s v="No"/>
    <s v="No"/>
    <n v="23"/>
    <s v="Unkown"/>
    <x v="5"/>
    <x v="2"/>
    <n v="493"/>
    <x v="48"/>
    <x v="0"/>
    <s v="Pass"/>
    <x v="0"/>
    <s v="C"/>
    <x v="0"/>
    <s v="60-70"/>
    <x v="0"/>
    <x v="0"/>
    <x v="0"/>
    <x v="0"/>
    <x v="1"/>
    <x v="2"/>
    <x v="3"/>
    <x v="1"/>
    <s v="March"/>
  </r>
  <r>
    <s v="2.20345E+11"/>
    <n v="211205853"/>
    <m/>
    <m/>
    <s v="Unknown"/>
    <m/>
    <n v="0"/>
    <n v="0"/>
    <x v="2"/>
    <x v="11"/>
    <x v="11"/>
    <s v="No"/>
    <s v="No"/>
    <n v="23"/>
    <s v="Unkown"/>
    <x v="5"/>
    <x v="2"/>
    <n v="599"/>
    <x v="141"/>
    <x v="1"/>
    <s v="Pass"/>
    <x v="1"/>
    <s v="A"/>
    <x v="0"/>
    <s v="70-85"/>
    <x v="1"/>
    <x v="52"/>
    <x v="1"/>
    <x v="1"/>
    <x v="1"/>
    <x v="2"/>
    <x v="3"/>
    <x v="1"/>
    <s v="March"/>
  </r>
  <r>
    <s v="2.20345E+11"/>
    <n v="211203319"/>
    <m/>
    <m/>
    <s v="Unknown"/>
    <m/>
    <n v="0"/>
    <n v="0"/>
    <x v="2"/>
    <x v="11"/>
    <x v="11"/>
    <s v="No"/>
    <s v="No"/>
    <n v="23"/>
    <s v="Unkown"/>
    <x v="5"/>
    <x v="2"/>
    <n v="594"/>
    <x v="128"/>
    <x v="1"/>
    <s v="Pass"/>
    <x v="1"/>
    <s v="B"/>
    <x v="0"/>
    <s v="70-85"/>
    <x v="1"/>
    <x v="9"/>
    <x v="1"/>
    <x v="1"/>
    <x v="1"/>
    <x v="2"/>
    <x v="3"/>
    <x v="1"/>
    <s v="March"/>
  </r>
  <r>
    <s v="2.20345E+11"/>
    <n v="220101930"/>
    <m/>
    <m/>
    <s v="Unknown"/>
    <m/>
    <n v="0"/>
    <n v="0"/>
    <x v="2"/>
    <x v="11"/>
    <x v="11"/>
    <s v="No"/>
    <s v="No"/>
    <n v="23"/>
    <s v="Unkown"/>
    <x v="5"/>
    <x v="2"/>
    <n v="617"/>
    <x v="142"/>
    <x v="2"/>
    <s v="Pass"/>
    <x v="2"/>
    <s v="A"/>
    <x v="0"/>
    <s v="70-85"/>
    <x v="1"/>
    <x v="53"/>
    <x v="1"/>
    <x v="1"/>
    <x v="1"/>
    <x v="2"/>
    <x v="3"/>
    <x v="1"/>
    <s v="March"/>
  </r>
  <r>
    <s v="2.20345E+11"/>
    <n v="211208052"/>
    <m/>
    <m/>
    <s v="Unknown"/>
    <m/>
    <n v="0"/>
    <n v="0"/>
    <x v="2"/>
    <x v="11"/>
    <x v="11"/>
    <s v="No"/>
    <s v="No"/>
    <n v="23"/>
    <s v="Unkown"/>
    <x v="5"/>
    <x v="2"/>
    <n v="467"/>
    <x v="143"/>
    <x v="1"/>
    <s v="Fail"/>
    <x v="1"/>
    <s v="C"/>
    <x v="0"/>
    <s v="50-60"/>
    <x v="0"/>
    <x v="0"/>
    <x v="0"/>
    <x v="0"/>
    <x v="1"/>
    <x v="2"/>
    <x v="3"/>
    <x v="1"/>
    <s v="March"/>
  </r>
  <r>
    <s v="2.20345E+11"/>
    <n v="211206178"/>
    <d v="2022-02-23T00:00:00"/>
    <s v="10:05:43.201Z"/>
    <n v="1270"/>
    <d v="1999-08-12T00:00:00"/>
    <n v="86.4"/>
    <n v="56.15"/>
    <x v="0"/>
    <x v="120"/>
    <x v="165"/>
    <s v="No"/>
    <s v="No"/>
    <n v="22"/>
    <s v="0-35"/>
    <x v="0"/>
    <x v="5"/>
    <n v="633"/>
    <x v="144"/>
    <x v="2"/>
    <s v="Pass"/>
    <x v="2"/>
    <s v="B"/>
    <x v="0"/>
    <s v="70-85"/>
    <x v="1"/>
    <x v="26"/>
    <x v="1"/>
    <x v="1"/>
    <x v="1"/>
    <x v="1"/>
    <x v="2"/>
    <x v="1"/>
    <s v="March"/>
  </r>
  <r>
    <s v="2.20345E+11"/>
    <n v="220107215"/>
    <m/>
    <m/>
    <s v="Unknown"/>
    <m/>
    <n v="0"/>
    <n v="0"/>
    <x v="2"/>
    <x v="11"/>
    <x v="11"/>
    <s v="No"/>
    <s v="No"/>
    <n v="23"/>
    <s v="Unkown"/>
    <x v="5"/>
    <x v="2"/>
    <n v="602"/>
    <x v="57"/>
    <x v="1"/>
    <s v="Pass"/>
    <x v="1"/>
    <s v="A"/>
    <x v="0"/>
    <s v="70-85"/>
    <x v="1"/>
    <x v="24"/>
    <x v="1"/>
    <x v="1"/>
    <x v="1"/>
    <x v="2"/>
    <x v="3"/>
    <x v="1"/>
    <s v="March"/>
  </r>
  <r>
    <s v="2.20345E+11"/>
    <n v="211201272"/>
    <m/>
    <m/>
    <s v="Unknown"/>
    <m/>
    <n v="0"/>
    <n v="0"/>
    <x v="2"/>
    <x v="11"/>
    <x v="11"/>
    <s v="No"/>
    <s v="No"/>
    <n v="23"/>
    <s v="Unkown"/>
    <x v="5"/>
    <x v="2"/>
    <n v="598"/>
    <x v="115"/>
    <x v="0"/>
    <s v="Pass"/>
    <x v="0"/>
    <s v="B"/>
    <x v="0"/>
    <s v="70-85"/>
    <x v="1"/>
    <x v="53"/>
    <x v="1"/>
    <x v="1"/>
    <x v="1"/>
    <x v="2"/>
    <x v="3"/>
    <x v="1"/>
    <s v="March"/>
  </r>
  <r>
    <s v="2.20345E+11"/>
    <n v="211207402"/>
    <m/>
    <m/>
    <s v="Unknown"/>
    <m/>
    <n v="0"/>
    <n v="0"/>
    <x v="2"/>
    <x v="11"/>
    <x v="11"/>
    <s v="No"/>
    <s v="No"/>
    <n v="23"/>
    <s v="Unkown"/>
    <x v="5"/>
    <x v="2"/>
    <n v="586"/>
    <x v="145"/>
    <x v="0"/>
    <s v="Pass"/>
    <x v="0"/>
    <s v="B"/>
    <x v="0"/>
    <s v="70-85"/>
    <x v="1"/>
    <x v="38"/>
    <x v="1"/>
    <x v="1"/>
    <x v="1"/>
    <x v="2"/>
    <x v="3"/>
    <x v="1"/>
    <s v="March"/>
  </r>
  <r>
    <s v="2.20345E+11"/>
    <n v="220110208"/>
    <d v="2022-02-22T00:00:00"/>
    <s v="23:45:26.163Z"/>
    <n v="1313"/>
    <d v="1997-03-08T00:00:00"/>
    <n v="69.819999999999993"/>
    <n v="57.85"/>
    <x v="0"/>
    <x v="145"/>
    <x v="166"/>
    <s v="No"/>
    <s v="No"/>
    <n v="24"/>
    <s v="60-75"/>
    <x v="2"/>
    <x v="0"/>
    <n v="560"/>
    <x v="63"/>
    <x v="0"/>
    <s v="Pass"/>
    <x v="0"/>
    <s v="A"/>
    <x v="0"/>
    <s v="70-85"/>
    <x v="1"/>
    <x v="54"/>
    <x v="1"/>
    <x v="1"/>
    <x v="1"/>
    <x v="1"/>
    <x v="0"/>
    <x v="1"/>
    <s v="March"/>
  </r>
  <r>
    <s v="2.20345E+11"/>
    <n v="211201585"/>
    <d v="2022-02-22T00:00:00"/>
    <s v="22:24:01.828Z"/>
    <n v="1382"/>
    <d v="1991-08-23T00:00:00"/>
    <n v="74.61"/>
    <n v="67.67"/>
    <x v="0"/>
    <x v="146"/>
    <x v="167"/>
    <s v="Yes"/>
    <s v="No"/>
    <n v="30"/>
    <s v="60-75"/>
    <x v="4"/>
    <x v="0"/>
    <n v="502"/>
    <x v="146"/>
    <x v="4"/>
    <s v="Pass"/>
    <x v="4"/>
    <s v="B"/>
    <x v="0"/>
    <s v="60-70"/>
    <x v="1"/>
    <x v="9"/>
    <x v="1"/>
    <x v="1"/>
    <x v="1"/>
    <x v="1"/>
    <x v="4"/>
    <x v="1"/>
    <s v="March"/>
  </r>
  <r>
    <s v="2.20345E+11"/>
    <n v="211200018"/>
    <m/>
    <m/>
    <s v="Unknown"/>
    <m/>
    <n v="0"/>
    <n v="0"/>
    <x v="2"/>
    <x v="11"/>
    <x v="11"/>
    <s v="No"/>
    <s v="No"/>
    <n v="23"/>
    <s v="Unkown"/>
    <x v="5"/>
    <x v="2"/>
    <n v="522"/>
    <x v="43"/>
    <x v="1"/>
    <s v="Pass"/>
    <x v="1"/>
    <s v="A"/>
    <x v="0"/>
    <s v="60-70"/>
    <x v="1"/>
    <x v="45"/>
    <x v="1"/>
    <x v="1"/>
    <x v="1"/>
    <x v="2"/>
    <x v="3"/>
    <x v="1"/>
    <s v="March"/>
  </r>
  <r>
    <s v="2.20345E+11"/>
    <n v="220101070"/>
    <d v="2022-02-22T00:00:00"/>
    <s v="18:57:18.764Z"/>
    <n v="893"/>
    <d v="1996-07-25T00:00:00"/>
    <n v="85.82"/>
    <n v="66"/>
    <x v="0"/>
    <x v="147"/>
    <x v="168"/>
    <s v="No"/>
    <s v="No"/>
    <n v="25"/>
    <s v="45-60"/>
    <x v="4"/>
    <x v="0"/>
    <n v="587"/>
    <x v="73"/>
    <x v="1"/>
    <s v="Pass"/>
    <x v="1"/>
    <s v="A"/>
    <x v="0"/>
    <s v="70-85"/>
    <x v="1"/>
    <x v="55"/>
    <x v="1"/>
    <x v="1"/>
    <x v="1"/>
    <x v="3"/>
    <x v="0"/>
    <x v="1"/>
    <s v="March"/>
  </r>
  <r>
    <s v="2.20345E+11"/>
    <n v="211200054"/>
    <m/>
    <m/>
    <s v="Unknown"/>
    <m/>
    <n v="0"/>
    <n v="0"/>
    <x v="2"/>
    <x v="11"/>
    <x v="11"/>
    <s v="No"/>
    <s v="No"/>
    <n v="23"/>
    <s v="Unkown"/>
    <x v="5"/>
    <x v="2"/>
    <n v="455"/>
    <x v="37"/>
    <x v="0"/>
    <s v="Pass"/>
    <x v="0"/>
    <s v="C"/>
    <x v="0"/>
    <s v="50-60"/>
    <x v="0"/>
    <x v="0"/>
    <x v="0"/>
    <x v="0"/>
    <x v="1"/>
    <x v="2"/>
    <x v="3"/>
    <x v="1"/>
    <s v="March"/>
  </r>
  <r>
    <s v="2.20345E+11"/>
    <n v="211201343"/>
    <m/>
    <m/>
    <s v="Unknown"/>
    <m/>
    <n v="0"/>
    <n v="0"/>
    <x v="2"/>
    <x v="11"/>
    <x v="11"/>
    <s v="No"/>
    <s v="No"/>
    <n v="23"/>
    <s v="Unkown"/>
    <x v="5"/>
    <x v="2"/>
    <n v="550"/>
    <x v="80"/>
    <x v="2"/>
    <s v="Pass"/>
    <x v="2"/>
    <s v="B"/>
    <x v="0"/>
    <s v="60-70"/>
    <x v="1"/>
    <x v="45"/>
    <x v="1"/>
    <x v="1"/>
    <x v="1"/>
    <x v="2"/>
    <x v="3"/>
    <x v="1"/>
    <s v="March"/>
  </r>
  <r>
    <s v="2.20345E+11"/>
    <n v="211208493"/>
    <d v="2022-02-23T00:00:00"/>
    <s v="10:39:20.306Z"/>
    <n v="1277"/>
    <d v="1998-07-07T00:00:00"/>
    <n v="72.400000000000006"/>
    <n v="66"/>
    <x v="0"/>
    <x v="148"/>
    <x v="169"/>
    <s v="No"/>
    <s v="No"/>
    <n v="23"/>
    <s v="60-75"/>
    <x v="5"/>
    <x v="0"/>
    <n v="505"/>
    <x v="88"/>
    <x v="1"/>
    <s v="Pass"/>
    <x v="1"/>
    <s v="B"/>
    <x v="0"/>
    <s v="60-70"/>
    <x v="1"/>
    <x v="56"/>
    <x v="1"/>
    <x v="1"/>
    <x v="1"/>
    <x v="1"/>
    <x v="0"/>
    <x v="1"/>
    <s v="March"/>
  </r>
  <r>
    <s v="2.20345E+11"/>
    <n v="211206348"/>
    <d v="2022-02-23T00:00:00"/>
    <s v="09:54:53.949Z"/>
    <n v="1175"/>
    <d v="1997-11-04T00:00:00"/>
    <n v="87.6"/>
    <s v="Other"/>
    <x v="38"/>
    <x v="149"/>
    <x v="170"/>
    <s v="No"/>
    <s v="No"/>
    <n v="24"/>
    <s v="60-75"/>
    <x v="4"/>
    <x v="0"/>
    <n v="615"/>
    <x v="147"/>
    <x v="1"/>
    <s v="Pass"/>
    <x v="1"/>
    <s v="A"/>
    <x v="0"/>
    <s v="70-85"/>
    <x v="1"/>
    <x v="27"/>
    <x v="1"/>
    <x v="1"/>
    <x v="1"/>
    <x v="1"/>
    <x v="0"/>
    <x v="1"/>
    <s v="March"/>
  </r>
  <r>
    <s v="2.20345E+11"/>
    <n v="220101711"/>
    <d v="2022-02-22T00:00:00"/>
    <s v="19:40:05.915Z"/>
    <n v="1248"/>
    <d v="1997-04-17T00:00:00"/>
    <n v="76.91"/>
    <n v="64.92"/>
    <x v="0"/>
    <x v="150"/>
    <x v="171"/>
    <s v="No"/>
    <s v="No"/>
    <n v="24"/>
    <s v="60-75"/>
    <x v="0"/>
    <x v="0"/>
    <n v="547"/>
    <x v="51"/>
    <x v="1"/>
    <s v="Pass"/>
    <x v="1"/>
    <s v="A"/>
    <x v="0"/>
    <s v="60-70"/>
    <x v="1"/>
    <x v="57"/>
    <x v="1"/>
    <x v="1"/>
    <x v="1"/>
    <x v="1"/>
    <x v="0"/>
    <x v="1"/>
    <s v="March"/>
  </r>
  <r>
    <s v="2.20345E+11"/>
    <n v="211207232"/>
    <m/>
    <m/>
    <s v="Unknown"/>
    <m/>
    <n v="0"/>
    <n v="0"/>
    <x v="2"/>
    <x v="11"/>
    <x v="11"/>
    <s v="No"/>
    <s v="No"/>
    <n v="23"/>
    <s v="Unkown"/>
    <x v="5"/>
    <x v="2"/>
    <n v="525"/>
    <x v="148"/>
    <x v="4"/>
    <s v="Pass"/>
    <x v="4"/>
    <s v="C"/>
    <x v="0"/>
    <s v="60-70"/>
    <x v="1"/>
    <x v="46"/>
    <x v="1"/>
    <x v="1"/>
    <x v="1"/>
    <x v="2"/>
    <x v="3"/>
    <x v="1"/>
    <s v="March"/>
  </r>
  <r>
    <s v="2.20345E+11"/>
    <n v="211203164"/>
    <m/>
    <m/>
    <s v="Unknown"/>
    <m/>
    <n v="0"/>
    <n v="0"/>
    <x v="2"/>
    <x v="11"/>
    <x v="11"/>
    <s v="No"/>
    <s v="No"/>
    <n v="23"/>
    <s v="Unkown"/>
    <x v="5"/>
    <x v="2"/>
    <n v="473"/>
    <x v="149"/>
    <x v="1"/>
    <s v="Pass"/>
    <x v="1"/>
    <s v="B"/>
    <x v="0"/>
    <s v="50-60"/>
    <x v="0"/>
    <x v="0"/>
    <x v="0"/>
    <x v="0"/>
    <x v="1"/>
    <x v="2"/>
    <x v="3"/>
    <x v="1"/>
    <s v="March"/>
  </r>
  <r>
    <s v="2.20345E+11"/>
    <n v="220103933"/>
    <m/>
    <m/>
    <s v="Unknown"/>
    <m/>
    <n v="0"/>
    <n v="0"/>
    <x v="2"/>
    <x v="11"/>
    <x v="11"/>
    <s v="No"/>
    <s v="No"/>
    <n v="23"/>
    <s v="Unkown"/>
    <x v="5"/>
    <x v="2"/>
    <n v="668"/>
    <x v="150"/>
    <x v="1"/>
    <s v="Pass"/>
    <x v="1"/>
    <s v="A"/>
    <x v="0"/>
    <s v="70-85"/>
    <x v="1"/>
    <x v="41"/>
    <x v="1"/>
    <x v="1"/>
    <x v="1"/>
    <x v="2"/>
    <x v="3"/>
    <x v="1"/>
    <s v="March"/>
  </r>
  <r>
    <s v="2.20345E+11"/>
    <n v="220110296"/>
    <m/>
    <m/>
    <s v="Unknown"/>
    <m/>
    <n v="0"/>
    <n v="0"/>
    <x v="2"/>
    <x v="11"/>
    <x v="11"/>
    <s v="No"/>
    <s v="No"/>
    <n v="23"/>
    <s v="Unkown"/>
    <x v="5"/>
    <x v="2"/>
    <n v="464"/>
    <x v="132"/>
    <x v="4"/>
    <s v="Pass"/>
    <x v="4"/>
    <s v="B"/>
    <x v="0"/>
    <s v="50-60"/>
    <x v="1"/>
    <x v="58"/>
    <x v="1"/>
    <x v="1"/>
    <x v="1"/>
    <x v="2"/>
    <x v="3"/>
    <x v="1"/>
    <s v="March"/>
  </r>
  <r>
    <s v="2.20345E+11"/>
    <n v="220103553"/>
    <d v="2022-02-23T00:00:00"/>
    <s v="09:58:15.056Z"/>
    <n v="489"/>
    <d v="1998-07-10T00:00:00"/>
    <n v="79.8"/>
    <n v="61.85"/>
    <x v="0"/>
    <x v="151"/>
    <x v="172"/>
    <s v="No"/>
    <s v="No"/>
    <n v="23"/>
    <s v="0-35"/>
    <x v="5"/>
    <x v="0"/>
    <n v="529"/>
    <x v="131"/>
    <x v="1"/>
    <s v="Pass"/>
    <x v="1"/>
    <s v="A"/>
    <x v="0"/>
    <s v="60-70"/>
    <x v="1"/>
    <x v="59"/>
    <x v="1"/>
    <x v="1"/>
    <x v="1"/>
    <x v="3"/>
    <x v="0"/>
    <x v="1"/>
    <s v="March"/>
  </r>
  <r>
    <s v="2.20345E+11"/>
    <n v="220105411"/>
    <m/>
    <m/>
    <s v="Unknown"/>
    <m/>
    <n v="0"/>
    <n v="0"/>
    <x v="2"/>
    <x v="11"/>
    <x v="11"/>
    <s v="No"/>
    <s v="No"/>
    <n v="23"/>
    <s v="Unkown"/>
    <x v="5"/>
    <x v="2"/>
    <n v="634"/>
    <x v="127"/>
    <x v="1"/>
    <s v="Pass"/>
    <x v="1"/>
    <s v="A"/>
    <x v="0"/>
    <s v="70-85"/>
    <x v="1"/>
    <x v="26"/>
    <x v="1"/>
    <x v="1"/>
    <x v="1"/>
    <x v="2"/>
    <x v="3"/>
    <x v="1"/>
    <s v="March"/>
  </r>
  <r>
    <s v="2.20345E+11"/>
    <n v="220105094"/>
    <m/>
    <m/>
    <s v="Unknown"/>
    <m/>
    <n v="0"/>
    <n v="0"/>
    <x v="2"/>
    <x v="11"/>
    <x v="11"/>
    <s v="No"/>
    <s v="No"/>
    <n v="23"/>
    <s v="Unkown"/>
    <x v="5"/>
    <x v="2"/>
    <n v="579"/>
    <x v="151"/>
    <x v="2"/>
    <s v="Pass"/>
    <x v="2"/>
    <s v="A"/>
    <x v="0"/>
    <s v="70-85"/>
    <x v="1"/>
    <x v="26"/>
    <x v="1"/>
    <x v="1"/>
    <x v="1"/>
    <x v="2"/>
    <x v="3"/>
    <x v="1"/>
    <s v="March"/>
  </r>
  <r>
    <s v="2.20345E+11"/>
    <n v="211202801"/>
    <d v="2022-02-23T00:00:00"/>
    <s v="06:01:18.813Z"/>
    <n v="1306"/>
    <d v="1991-05-04T00:00:00"/>
    <n v="90.76"/>
    <n v="80"/>
    <x v="0"/>
    <x v="41"/>
    <x v="173"/>
    <s v="No"/>
    <s v="No"/>
    <n v="30"/>
    <s v="60-75"/>
    <x v="6"/>
    <x v="0"/>
    <n v="508"/>
    <x v="152"/>
    <x v="0"/>
    <s v="Pass"/>
    <x v="0"/>
    <s v="A"/>
    <x v="0"/>
    <s v="60-70"/>
    <x v="1"/>
    <x v="60"/>
    <x v="1"/>
    <x v="1"/>
    <x v="1"/>
    <x v="1"/>
    <x v="4"/>
    <x v="1"/>
    <s v="March"/>
  </r>
  <r>
    <s v="2.20345E+11"/>
    <n v="211201710"/>
    <m/>
    <m/>
    <s v="Unknown"/>
    <m/>
    <n v="0"/>
    <n v="0"/>
    <x v="2"/>
    <x v="11"/>
    <x v="11"/>
    <s v="No"/>
    <s v="No"/>
    <n v="23"/>
    <s v="Unkown"/>
    <x v="5"/>
    <x v="2"/>
    <n v="507"/>
    <x v="153"/>
    <x v="1"/>
    <s v="Pass"/>
    <x v="1"/>
    <s v="C"/>
    <x v="0"/>
    <s v="60-70"/>
    <x v="1"/>
    <x v="61"/>
    <x v="1"/>
    <x v="1"/>
    <x v="1"/>
    <x v="2"/>
    <x v="3"/>
    <x v="1"/>
    <s v="March"/>
  </r>
  <r>
    <s v="2.20345E+11"/>
    <n v="211206012"/>
    <m/>
    <m/>
    <s v="Unknown"/>
    <m/>
    <n v="0"/>
    <n v="0"/>
    <x v="2"/>
    <x v="11"/>
    <x v="11"/>
    <s v="No"/>
    <s v="No"/>
    <n v="23"/>
    <s v="Unkown"/>
    <x v="5"/>
    <x v="2"/>
    <n v="588"/>
    <x v="116"/>
    <x v="0"/>
    <s v="Pass"/>
    <x v="0"/>
    <s v="A"/>
    <x v="0"/>
    <s v="70-85"/>
    <x v="1"/>
    <x v="62"/>
    <x v="1"/>
    <x v="1"/>
    <x v="1"/>
    <x v="2"/>
    <x v="3"/>
    <x v="1"/>
    <s v="March"/>
  </r>
  <r>
    <s v="2.20345E+11"/>
    <n v="211202573"/>
    <m/>
    <m/>
    <s v="Unknown"/>
    <m/>
    <n v="0"/>
    <n v="0"/>
    <x v="2"/>
    <x v="11"/>
    <x v="11"/>
    <s v="No"/>
    <s v="No"/>
    <n v="23"/>
    <s v="Unkown"/>
    <x v="5"/>
    <x v="2"/>
    <n v="520"/>
    <x v="93"/>
    <x v="2"/>
    <s v="Pass"/>
    <x v="2"/>
    <s v="B"/>
    <x v="0"/>
    <s v="60-70"/>
    <x v="1"/>
    <x v="47"/>
    <x v="1"/>
    <x v="1"/>
    <x v="1"/>
    <x v="2"/>
    <x v="3"/>
    <x v="1"/>
    <s v="March"/>
  </r>
  <r>
    <s v="2.20345E+11"/>
    <n v="211201230"/>
    <d v="2022-02-23T00:00:00"/>
    <s v="11:11:51.763Z"/>
    <n v="1224"/>
    <d v="1996-10-30T00:00:00"/>
    <n v="81.09"/>
    <n v="71.69"/>
    <x v="0"/>
    <x v="152"/>
    <x v="174"/>
    <s v="No"/>
    <s v="No"/>
    <n v="25"/>
    <s v="60-75"/>
    <x v="5"/>
    <x v="0"/>
    <n v="555"/>
    <x v="38"/>
    <x v="1"/>
    <s v="Pass"/>
    <x v="1"/>
    <s v="A"/>
    <x v="0"/>
    <s v="60-70"/>
    <x v="1"/>
    <x v="46"/>
    <x v="1"/>
    <x v="1"/>
    <x v="1"/>
    <x v="1"/>
    <x v="0"/>
    <x v="1"/>
    <s v="March"/>
  </r>
  <r>
    <s v="2.20345E+11"/>
    <n v="211202385"/>
    <m/>
    <m/>
    <s v="Unknown"/>
    <m/>
    <n v="0"/>
    <n v="0"/>
    <x v="2"/>
    <x v="11"/>
    <x v="11"/>
    <s v="No"/>
    <s v="No"/>
    <n v="23"/>
    <s v="Unkown"/>
    <x v="5"/>
    <x v="2"/>
    <n v="561"/>
    <x v="154"/>
    <x v="0"/>
    <s v="Pass"/>
    <x v="0"/>
    <s v="B"/>
    <x v="0"/>
    <s v="70-85"/>
    <x v="1"/>
    <x v="63"/>
    <x v="1"/>
    <x v="1"/>
    <x v="1"/>
    <x v="2"/>
    <x v="3"/>
    <x v="1"/>
    <s v="March"/>
  </r>
  <r>
    <s v="2.20345E+11"/>
    <n v="211205424"/>
    <m/>
    <m/>
    <s v="Unknown"/>
    <m/>
    <n v="0"/>
    <n v="0"/>
    <x v="2"/>
    <x v="11"/>
    <x v="11"/>
    <s v="No"/>
    <s v="No"/>
    <n v="23"/>
    <s v="Unkown"/>
    <x v="5"/>
    <x v="2"/>
    <n v="457"/>
    <x v="155"/>
    <x v="4"/>
    <s v="Pass"/>
    <x v="4"/>
    <s v="C"/>
    <x v="0"/>
    <s v="50-60"/>
    <x v="1"/>
    <x v="64"/>
    <x v="1"/>
    <x v="1"/>
    <x v="1"/>
    <x v="2"/>
    <x v="3"/>
    <x v="1"/>
    <s v="March"/>
  </r>
  <r>
    <s v="2.20345E+11"/>
    <n v="211200167"/>
    <m/>
    <m/>
    <s v="Unknown"/>
    <m/>
    <n v="0"/>
    <n v="0"/>
    <x v="2"/>
    <x v="11"/>
    <x v="11"/>
    <s v="No"/>
    <s v="No"/>
    <n v="23"/>
    <s v="Unkown"/>
    <x v="5"/>
    <x v="2"/>
    <n v="482"/>
    <x v="108"/>
    <x v="2"/>
    <s v="Pass"/>
    <x v="2"/>
    <s v="C"/>
    <x v="0"/>
    <s v="60-70"/>
    <x v="2"/>
    <x v="3"/>
    <x v="1"/>
    <x v="1"/>
    <x v="1"/>
    <x v="2"/>
    <x v="3"/>
    <x v="1"/>
    <s v="March"/>
  </r>
  <r>
    <s v="2.20345E+11"/>
    <n v="220100482"/>
    <d v="2022-02-22T00:00:00"/>
    <s v="22:09:21.162Z"/>
    <n v="1305"/>
    <d v="1997-01-14T00:00:00"/>
    <n v="90.55"/>
    <n v="77.08"/>
    <x v="0"/>
    <x v="153"/>
    <x v="175"/>
    <s v="No"/>
    <s v="No"/>
    <n v="25"/>
    <s v="45-60"/>
    <x v="6"/>
    <x v="0"/>
    <n v="563"/>
    <x v="45"/>
    <x v="1"/>
    <s v="Pass"/>
    <x v="1"/>
    <s v="B"/>
    <x v="0"/>
    <s v="70-85"/>
    <x v="0"/>
    <x v="0"/>
    <x v="0"/>
    <x v="0"/>
    <x v="1"/>
    <x v="1"/>
    <x v="0"/>
    <x v="1"/>
    <s v="March"/>
  </r>
  <r>
    <s v="2.20345E+11"/>
    <n v="211207572"/>
    <d v="2022-02-22T00:00:00"/>
    <s v="22:23:14.833Z"/>
    <n v="1397"/>
    <d v="1997-09-06T00:00:00"/>
    <n v="87.4"/>
    <n v="73.849999999999994"/>
    <x v="0"/>
    <x v="154"/>
    <x v="176"/>
    <s v="No"/>
    <s v="No"/>
    <n v="24"/>
    <s v="60-75"/>
    <x v="3"/>
    <x v="5"/>
    <n v="563"/>
    <x v="45"/>
    <x v="0"/>
    <s v="Pass"/>
    <x v="0"/>
    <s v="B"/>
    <x v="0"/>
    <s v="70-85"/>
    <x v="1"/>
    <x v="43"/>
    <x v="1"/>
    <x v="1"/>
    <x v="1"/>
    <x v="1"/>
    <x v="0"/>
    <x v="1"/>
    <s v="March"/>
  </r>
  <r>
    <s v="2.20345E+11"/>
    <n v="220108900"/>
    <m/>
    <m/>
    <s v="Unknown"/>
    <m/>
    <n v="0"/>
    <n v="0"/>
    <x v="2"/>
    <x v="11"/>
    <x v="11"/>
    <s v="No"/>
    <s v="No"/>
    <n v="23"/>
    <s v="Unkown"/>
    <x v="5"/>
    <x v="2"/>
    <n v="580"/>
    <x v="103"/>
    <x v="0"/>
    <s v="Pass"/>
    <x v="0"/>
    <s v="C"/>
    <x v="0"/>
    <s v="70-85"/>
    <x v="0"/>
    <x v="0"/>
    <x v="0"/>
    <x v="0"/>
    <x v="1"/>
    <x v="2"/>
    <x v="3"/>
    <x v="1"/>
    <s v="March"/>
  </r>
  <r>
    <s v="2.20345E+11"/>
    <n v="211206085"/>
    <d v="2022-02-23T00:00:00"/>
    <s v="12:17:49.622Z"/>
    <n v="1067"/>
    <d v="1999-10-15T00:00:00"/>
    <n v="79.2"/>
    <n v="69.540000000000006"/>
    <x v="0"/>
    <x v="155"/>
    <x v="177"/>
    <s v="No"/>
    <s v="No"/>
    <n v="22"/>
    <s v="60-75"/>
    <x v="1"/>
    <x v="0"/>
    <n v="557"/>
    <x v="78"/>
    <x v="0"/>
    <s v="Pass"/>
    <x v="0"/>
    <s v="A"/>
    <x v="0"/>
    <s v="60-70"/>
    <x v="1"/>
    <x v="26"/>
    <x v="1"/>
    <x v="1"/>
    <x v="1"/>
    <x v="1"/>
    <x v="2"/>
    <x v="1"/>
    <s v="March"/>
  </r>
  <r>
    <s v="2.20345E+11"/>
    <n v="220109322"/>
    <m/>
    <m/>
    <s v="Unknown"/>
    <m/>
    <n v="0"/>
    <n v="0"/>
    <x v="2"/>
    <x v="11"/>
    <x v="11"/>
    <s v="No"/>
    <s v="No"/>
    <n v="23"/>
    <s v="Unkown"/>
    <x v="5"/>
    <x v="2"/>
    <n v="458"/>
    <x v="136"/>
    <x v="1"/>
    <s v="Pass"/>
    <x v="1"/>
    <s v="C"/>
    <x v="0"/>
    <s v="50-60"/>
    <x v="1"/>
    <x v="65"/>
    <x v="1"/>
    <x v="1"/>
    <x v="1"/>
    <x v="2"/>
    <x v="3"/>
    <x v="1"/>
    <s v="March"/>
  </r>
  <r>
    <s v="2.20345E+11"/>
    <n v="220107636"/>
    <m/>
    <m/>
    <s v="Unknown"/>
    <m/>
    <n v="0"/>
    <n v="0"/>
    <x v="2"/>
    <x v="11"/>
    <x v="11"/>
    <s v="No"/>
    <s v="No"/>
    <n v="23"/>
    <s v="Unkown"/>
    <x v="5"/>
    <x v="2"/>
    <n v="615"/>
    <x v="147"/>
    <x v="1"/>
    <s v="Pass"/>
    <x v="1"/>
    <s v="A"/>
    <x v="0"/>
    <s v="70-85"/>
    <x v="1"/>
    <x v="40"/>
    <x v="1"/>
    <x v="1"/>
    <x v="1"/>
    <x v="2"/>
    <x v="3"/>
    <x v="1"/>
    <s v="March"/>
  </r>
  <r>
    <s v="2.20345E+11"/>
    <n v="211205398"/>
    <d v="2022-02-23T00:00:00"/>
    <s v="12:07:44.614Z"/>
    <n v="1115"/>
    <d v="1998-06-27T00:00:00"/>
    <n v="89"/>
    <n v="71.69"/>
    <x v="0"/>
    <x v="156"/>
    <x v="178"/>
    <s v="No"/>
    <s v="No"/>
    <n v="23"/>
    <s v="60-75"/>
    <x v="5"/>
    <x v="0"/>
    <n v="510"/>
    <x v="44"/>
    <x v="1"/>
    <s v="Pass"/>
    <x v="1"/>
    <s v="A"/>
    <x v="0"/>
    <s v="60-70"/>
    <x v="1"/>
    <x v="66"/>
    <x v="1"/>
    <x v="1"/>
    <x v="1"/>
    <x v="1"/>
    <x v="0"/>
    <x v="1"/>
    <s v="March"/>
  </r>
  <r>
    <s v="2.20345E+11"/>
    <n v="220102240"/>
    <d v="2022-02-22T00:00:00"/>
    <s v="20:35:15.870Z"/>
    <n v="952"/>
    <d v="1995-12-10T00:00:00"/>
    <n v="75.599999999999994"/>
    <n v="56.17"/>
    <x v="0"/>
    <x v="157"/>
    <x v="179"/>
    <s v="No"/>
    <s v="No"/>
    <n v="26"/>
    <s v="45-60"/>
    <x v="1"/>
    <x v="0"/>
    <n v="515"/>
    <x v="41"/>
    <x v="1"/>
    <s v="Pass"/>
    <x v="1"/>
    <s v="B"/>
    <x v="0"/>
    <s v="60-70"/>
    <x v="1"/>
    <x v="67"/>
    <x v="1"/>
    <x v="1"/>
    <x v="1"/>
    <x v="3"/>
    <x v="1"/>
    <x v="1"/>
    <s v="March"/>
  </r>
  <r>
    <s v="2.20345E+11"/>
    <n v="211200956"/>
    <m/>
    <m/>
    <s v="Unknown"/>
    <m/>
    <n v="0"/>
    <n v="0"/>
    <x v="2"/>
    <x v="11"/>
    <x v="11"/>
    <s v="No"/>
    <s v="No"/>
    <n v="23"/>
    <s v="Unkown"/>
    <x v="5"/>
    <x v="2"/>
    <n v="500"/>
    <x v="156"/>
    <x v="1"/>
    <s v="Pass"/>
    <x v="1"/>
    <s v="B"/>
    <x v="0"/>
    <s v="60-70"/>
    <x v="2"/>
    <x v="3"/>
    <x v="1"/>
    <x v="1"/>
    <x v="1"/>
    <x v="2"/>
    <x v="3"/>
    <x v="1"/>
    <s v="March"/>
  </r>
  <r>
    <s v="2.20345E+11"/>
    <n v="211203131"/>
    <d v="2022-02-23T00:00:00"/>
    <s v="10:54:54.468Z"/>
    <n v="1123"/>
    <d v="1996-03-21T00:00:00"/>
    <n v="86"/>
    <n v="62.31"/>
    <x v="39"/>
    <x v="11"/>
    <x v="180"/>
    <s v="No"/>
    <s v="No"/>
    <n v="25"/>
    <s v="0-35"/>
    <x v="5"/>
    <x v="0"/>
    <n v="426"/>
    <x v="157"/>
    <x v="1"/>
    <s v="Pass"/>
    <x v="1"/>
    <s v="A"/>
    <x v="0"/>
    <s v="50-60"/>
    <x v="1"/>
    <x v="50"/>
    <x v="1"/>
    <x v="1"/>
    <x v="1"/>
    <x v="1"/>
    <x v="0"/>
    <x v="1"/>
    <s v="March"/>
  </r>
  <r>
    <s v="2.20345E+11"/>
    <n v="220108904"/>
    <m/>
    <m/>
    <s v="Unknown"/>
    <m/>
    <n v="0"/>
    <n v="0"/>
    <x v="2"/>
    <x v="11"/>
    <x v="11"/>
    <s v="No"/>
    <s v="No"/>
    <n v="23"/>
    <s v="Unkown"/>
    <x v="5"/>
    <x v="2"/>
    <n v="569"/>
    <x v="158"/>
    <x v="0"/>
    <s v="Pass"/>
    <x v="0"/>
    <s v="A"/>
    <x v="0"/>
    <s v="70-85"/>
    <x v="1"/>
    <x v="12"/>
    <x v="1"/>
    <x v="1"/>
    <x v="1"/>
    <x v="2"/>
    <x v="3"/>
    <x v="1"/>
    <s v="March"/>
  </r>
  <r>
    <s v="2.20345E+11"/>
    <n v="220104266"/>
    <d v="2022-02-23T00:00:00"/>
    <s v="00:17:25.962Z"/>
    <n v="1299"/>
    <d v="1994-06-02T00:00:00"/>
    <n v="70.36"/>
    <n v="54.33"/>
    <x v="0"/>
    <x v="158"/>
    <x v="181"/>
    <s v="No"/>
    <s v="No"/>
    <n v="27"/>
    <s v="60-75"/>
    <x v="1"/>
    <x v="0"/>
    <n v="512"/>
    <x v="33"/>
    <x v="0"/>
    <s v="Pass"/>
    <x v="0"/>
    <s v="A"/>
    <x v="0"/>
    <s v="60-70"/>
    <x v="0"/>
    <x v="0"/>
    <x v="0"/>
    <x v="0"/>
    <x v="1"/>
    <x v="1"/>
    <x v="1"/>
    <x v="1"/>
    <s v="March"/>
  </r>
  <r>
    <s v="2.20345E+11"/>
    <n v="211207365"/>
    <d v="2022-02-23T00:00:00"/>
    <s v="10:25:41.715Z"/>
    <n v="1332"/>
    <d v="1999-03-17T00:00:00"/>
    <n v="80"/>
    <n v="60.77"/>
    <x v="0"/>
    <x v="159"/>
    <x v="182"/>
    <s v="No"/>
    <s v="No"/>
    <n v="22"/>
    <s v="100-75"/>
    <x v="5"/>
    <x v="1"/>
    <n v="594"/>
    <x v="128"/>
    <x v="2"/>
    <s v="Pass"/>
    <x v="2"/>
    <s v="A"/>
    <x v="0"/>
    <s v="70-85"/>
    <x v="1"/>
    <x v="40"/>
    <x v="1"/>
    <x v="1"/>
    <x v="1"/>
    <x v="1"/>
    <x v="2"/>
    <x v="1"/>
    <s v="March"/>
  </r>
  <r>
    <s v="2.20345E+11"/>
    <n v="211203567"/>
    <d v="2022-02-23T00:00:00"/>
    <s v="12:02:51.417Z"/>
    <n v="1351"/>
    <d v="1997-03-16T00:00:00"/>
    <n v="56.4"/>
    <s v="Other"/>
    <x v="40"/>
    <x v="160"/>
    <x v="183"/>
    <s v="No"/>
    <s v="No"/>
    <n v="24"/>
    <s v="45-60"/>
    <x v="4"/>
    <x v="5"/>
    <n v="447"/>
    <x v="159"/>
    <x v="4"/>
    <s v="Pass"/>
    <x v="4"/>
    <s v="B"/>
    <x v="0"/>
    <s v="50-60"/>
    <x v="1"/>
    <x v="68"/>
    <x v="1"/>
    <x v="1"/>
    <x v="1"/>
    <x v="1"/>
    <x v="0"/>
    <x v="1"/>
    <s v="March"/>
  </r>
  <r>
    <s v="2.20345E+11"/>
    <n v="211201204"/>
    <d v="2022-02-22T00:00:00"/>
    <s v="18:39:01.998Z"/>
    <n v="1386"/>
    <d v="1997-11-21T00:00:00"/>
    <n v="93.45"/>
    <n v="74.459999999999994"/>
    <x v="0"/>
    <x v="161"/>
    <x v="184"/>
    <s v="No"/>
    <s v="No"/>
    <n v="24"/>
    <s v="45-60"/>
    <x v="4"/>
    <x v="1"/>
    <n v="613"/>
    <x v="27"/>
    <x v="1"/>
    <s v="Pass"/>
    <x v="1"/>
    <s v="A"/>
    <x v="0"/>
    <s v="70-85"/>
    <x v="1"/>
    <x v="69"/>
    <x v="1"/>
    <x v="1"/>
    <x v="1"/>
    <x v="1"/>
    <x v="0"/>
    <x v="1"/>
    <s v="March"/>
  </r>
  <r>
    <s v="2.20345E+11"/>
    <n v="211203333"/>
    <m/>
    <m/>
    <s v="Unknown"/>
    <m/>
    <n v="0"/>
    <n v="0"/>
    <x v="2"/>
    <x v="11"/>
    <x v="11"/>
    <s v="No"/>
    <s v="No"/>
    <n v="23"/>
    <s v="Unkown"/>
    <x v="5"/>
    <x v="2"/>
    <n v="463"/>
    <x v="160"/>
    <x v="1"/>
    <s v="Pass"/>
    <x v="1"/>
    <s v="C"/>
    <x v="0"/>
    <s v="50-60"/>
    <x v="1"/>
    <x v="70"/>
    <x v="1"/>
    <x v="1"/>
    <x v="1"/>
    <x v="2"/>
    <x v="3"/>
    <x v="1"/>
    <s v="March"/>
  </r>
  <r>
    <s v="2.20345E+11"/>
    <n v="211208398"/>
    <m/>
    <m/>
    <s v="Unknown"/>
    <m/>
    <n v="0"/>
    <n v="0"/>
    <x v="2"/>
    <x v="11"/>
    <x v="11"/>
    <s v="No"/>
    <s v="No"/>
    <n v="23"/>
    <s v="Unkown"/>
    <x v="5"/>
    <x v="2"/>
    <n v="585"/>
    <x v="126"/>
    <x v="2"/>
    <s v="Pass"/>
    <x v="2"/>
    <s v="B"/>
    <x v="0"/>
    <s v="70-85"/>
    <x v="1"/>
    <x v="9"/>
    <x v="1"/>
    <x v="1"/>
    <x v="1"/>
    <x v="2"/>
    <x v="3"/>
    <x v="1"/>
    <s v="March"/>
  </r>
  <r>
    <s v="2.20345E+11"/>
    <n v="220108726"/>
    <m/>
    <m/>
    <s v="Unknown"/>
    <m/>
    <n v="0"/>
    <n v="0"/>
    <x v="2"/>
    <x v="11"/>
    <x v="11"/>
    <s v="No"/>
    <s v="No"/>
    <n v="23"/>
    <s v="Unkown"/>
    <x v="5"/>
    <x v="2"/>
    <n v="536"/>
    <x v="110"/>
    <x v="2"/>
    <s v="Pass"/>
    <x v="2"/>
    <s v="C"/>
    <x v="0"/>
    <s v="60-70"/>
    <x v="1"/>
    <x v="71"/>
    <x v="1"/>
    <x v="1"/>
    <x v="1"/>
    <x v="2"/>
    <x v="3"/>
    <x v="1"/>
    <s v="March"/>
  </r>
  <r>
    <s v="2.20345E+11"/>
    <n v="211201630"/>
    <d v="2022-02-22T00:00:00"/>
    <s v="21:36:57.169Z"/>
    <n v="1060"/>
    <d v="1996-08-27T00:00:00"/>
    <n v="80.599999999999994"/>
    <s v="Other"/>
    <x v="20"/>
    <x v="80"/>
    <x v="185"/>
    <s v="No"/>
    <s v="No"/>
    <n v="25"/>
    <s v="60-75"/>
    <x v="4"/>
    <x v="0"/>
    <n v="483"/>
    <x v="104"/>
    <x v="0"/>
    <s v="Pass"/>
    <x v="0"/>
    <s v="C"/>
    <x v="0"/>
    <s v="60-70"/>
    <x v="1"/>
    <x v="9"/>
    <x v="1"/>
    <x v="1"/>
    <x v="1"/>
    <x v="1"/>
    <x v="0"/>
    <x v="1"/>
    <s v="March"/>
  </r>
  <r>
    <s v="2.20345E+11"/>
    <n v="211202810"/>
    <d v="2022-02-22T00:00:00"/>
    <s v="22:11:14.590Z"/>
    <n v="1321"/>
    <d v="1996-03-05T00:00:00"/>
    <n v="74.33"/>
    <n v="67.430000000000007"/>
    <x v="0"/>
    <x v="162"/>
    <x v="186"/>
    <s v="No"/>
    <s v="No"/>
    <n v="25"/>
    <s v="45-60"/>
    <x v="5"/>
    <x v="5"/>
    <n v="553"/>
    <x v="161"/>
    <x v="0"/>
    <s v="Pass"/>
    <x v="0"/>
    <s v="B"/>
    <x v="0"/>
    <s v="60-70"/>
    <x v="1"/>
    <x v="64"/>
    <x v="1"/>
    <x v="1"/>
    <x v="1"/>
    <x v="1"/>
    <x v="0"/>
    <x v="1"/>
    <s v="March"/>
  </r>
  <r>
    <s v="2.20345E+11"/>
    <n v="220104168"/>
    <m/>
    <m/>
    <s v="Unknown"/>
    <m/>
    <n v="0"/>
    <n v="0"/>
    <x v="2"/>
    <x v="11"/>
    <x v="11"/>
    <s v="No"/>
    <s v="No"/>
    <n v="23"/>
    <s v="Unkown"/>
    <x v="5"/>
    <x v="2"/>
    <n v="502"/>
    <x v="146"/>
    <x v="1"/>
    <s v="Pass"/>
    <x v="1"/>
    <s v="A"/>
    <x v="0"/>
    <s v="60-70"/>
    <x v="2"/>
    <x v="3"/>
    <x v="1"/>
    <x v="1"/>
    <x v="1"/>
    <x v="2"/>
    <x v="3"/>
    <x v="1"/>
    <s v="March"/>
  </r>
  <r>
    <s v="2.20345E+11"/>
    <n v="220107418"/>
    <m/>
    <m/>
    <s v="Unknown"/>
    <m/>
    <n v="0"/>
    <n v="0"/>
    <x v="2"/>
    <x v="11"/>
    <x v="11"/>
    <s v="No"/>
    <s v="No"/>
    <n v="23"/>
    <s v="Unkown"/>
    <x v="5"/>
    <x v="2"/>
    <n v="401"/>
    <x v="162"/>
    <x v="1"/>
    <s v="Pass"/>
    <x v="1"/>
    <s v="A"/>
    <x v="0"/>
    <s v="50-60"/>
    <x v="1"/>
    <x v="72"/>
    <x v="1"/>
    <x v="1"/>
    <x v="1"/>
    <x v="2"/>
    <x v="3"/>
    <x v="1"/>
    <s v="March"/>
  </r>
  <r>
    <s v="2.20345E+11"/>
    <n v="220105419"/>
    <d v="2022-02-22T00:00:00"/>
    <s v="19:21:41.375Z"/>
    <n v="388"/>
    <d v="1996-09-12T00:00:00"/>
    <n v="64.8"/>
    <n v="68.31"/>
    <x v="41"/>
    <x v="151"/>
    <x v="187"/>
    <s v="No"/>
    <s v="No"/>
    <n v="25"/>
    <s v="0-35"/>
    <x v="4"/>
    <x v="5"/>
    <n v="525"/>
    <x v="148"/>
    <x v="0"/>
    <s v="Pass"/>
    <x v="0"/>
    <s v="A"/>
    <x v="0"/>
    <s v="60-70"/>
    <x v="1"/>
    <x v="63"/>
    <x v="1"/>
    <x v="1"/>
    <x v="1"/>
    <x v="3"/>
    <x v="0"/>
    <x v="1"/>
    <s v="March"/>
  </r>
  <r>
    <s v="2.20345E+11"/>
    <n v="220104278"/>
    <d v="2022-02-22T00:00:00"/>
    <s v="20:08:07.829Z"/>
    <n v="1398"/>
    <d v="1998-02-01T00:00:00"/>
    <n v="83.82"/>
    <s v="Other"/>
    <x v="42"/>
    <x v="163"/>
    <x v="188"/>
    <s v="No"/>
    <s v="No"/>
    <n v="24"/>
    <s v="60-75"/>
    <x v="5"/>
    <x v="5"/>
    <n v="534"/>
    <x v="163"/>
    <x v="1"/>
    <s v="Pass"/>
    <x v="1"/>
    <s v="B"/>
    <x v="0"/>
    <s v="60-70"/>
    <x v="1"/>
    <x v="47"/>
    <x v="1"/>
    <x v="1"/>
    <x v="1"/>
    <x v="1"/>
    <x v="0"/>
    <x v="1"/>
    <s v="March"/>
  </r>
  <r>
    <s v="2.20345E+11"/>
    <n v="211207514"/>
    <m/>
    <m/>
    <s v="Unknown"/>
    <m/>
    <n v="0"/>
    <n v="0"/>
    <x v="2"/>
    <x v="11"/>
    <x v="11"/>
    <s v="No"/>
    <s v="No"/>
    <n v="23"/>
    <s v="Unkown"/>
    <x v="5"/>
    <x v="2"/>
    <n v="610"/>
    <x v="7"/>
    <x v="1"/>
    <s v="Pass"/>
    <x v="1"/>
    <s v="A"/>
    <x v="0"/>
    <s v="70-85"/>
    <x v="1"/>
    <x v="12"/>
    <x v="1"/>
    <x v="1"/>
    <x v="1"/>
    <x v="2"/>
    <x v="3"/>
    <x v="1"/>
    <s v="March"/>
  </r>
  <r>
    <s v="2.20345E+11"/>
    <n v="211204945"/>
    <m/>
    <m/>
    <s v="Unknown"/>
    <m/>
    <n v="0"/>
    <n v="0"/>
    <x v="2"/>
    <x v="11"/>
    <x v="11"/>
    <s v="No"/>
    <s v="No"/>
    <n v="23"/>
    <s v="Unkown"/>
    <x v="5"/>
    <x v="2"/>
    <n v="505"/>
    <x v="88"/>
    <x v="1"/>
    <s v="Pass"/>
    <x v="1"/>
    <s v="A"/>
    <x v="0"/>
    <s v="60-70"/>
    <x v="1"/>
    <x v="52"/>
    <x v="1"/>
    <x v="1"/>
    <x v="1"/>
    <x v="2"/>
    <x v="3"/>
    <x v="1"/>
    <s v="March"/>
  </r>
  <r>
    <s v="2.20345E+11"/>
    <n v="220109500"/>
    <d v="2022-02-22T00:00:00"/>
    <s v="21:27:55.749Z"/>
    <n v="1319"/>
    <d v="1998-02-19T00:00:00"/>
    <n v="83.2"/>
    <s v="Other"/>
    <x v="43"/>
    <x v="164"/>
    <x v="189"/>
    <s v="No"/>
    <s v="No"/>
    <n v="24"/>
    <s v="60-75"/>
    <x v="4"/>
    <x v="0"/>
    <n v="531"/>
    <x v="35"/>
    <x v="0"/>
    <s v="Pass"/>
    <x v="0"/>
    <s v="A"/>
    <x v="0"/>
    <s v="60-70"/>
    <x v="1"/>
    <x v="9"/>
    <x v="1"/>
    <x v="1"/>
    <x v="1"/>
    <x v="1"/>
    <x v="0"/>
    <x v="1"/>
    <s v="March"/>
  </r>
  <r>
    <s v="2.20345E+11"/>
    <n v="211205409"/>
    <m/>
    <m/>
    <s v="Unknown"/>
    <m/>
    <n v="0"/>
    <n v="0"/>
    <x v="2"/>
    <x v="11"/>
    <x v="11"/>
    <s v="No"/>
    <s v="No"/>
    <n v="23"/>
    <s v="Unkown"/>
    <x v="5"/>
    <x v="2"/>
    <n v="482"/>
    <x v="108"/>
    <x v="0"/>
    <s v="Pass"/>
    <x v="0"/>
    <s v="B"/>
    <x v="0"/>
    <s v="60-70"/>
    <x v="0"/>
    <x v="0"/>
    <x v="0"/>
    <x v="0"/>
    <x v="1"/>
    <x v="2"/>
    <x v="3"/>
    <x v="1"/>
    <s v="March"/>
  </r>
  <r>
    <s v="2.20345E+11"/>
    <n v="220106985"/>
    <m/>
    <m/>
    <s v="Unknown"/>
    <m/>
    <n v="0"/>
    <n v="0"/>
    <x v="2"/>
    <x v="11"/>
    <x v="11"/>
    <s v="No"/>
    <s v="No"/>
    <n v="23"/>
    <s v="Unkown"/>
    <x v="5"/>
    <x v="2"/>
    <n v="569"/>
    <x v="158"/>
    <x v="2"/>
    <s v="Pass"/>
    <x v="2"/>
    <s v="A"/>
    <x v="0"/>
    <s v="70-85"/>
    <x v="1"/>
    <x v="9"/>
    <x v="1"/>
    <x v="1"/>
    <x v="1"/>
    <x v="2"/>
    <x v="3"/>
    <x v="1"/>
    <s v="March"/>
  </r>
  <r>
    <s v="2.20345E+11"/>
    <n v="220105799"/>
    <m/>
    <m/>
    <s v="Unknown"/>
    <m/>
    <n v="0"/>
    <n v="0"/>
    <x v="2"/>
    <x v="11"/>
    <x v="11"/>
    <s v="No"/>
    <s v="No"/>
    <n v="23"/>
    <s v="Unkown"/>
    <x v="5"/>
    <x v="2"/>
    <n v="560"/>
    <x v="63"/>
    <x v="0"/>
    <s v="Pass"/>
    <x v="0"/>
    <s v="B"/>
    <x v="0"/>
    <s v="70-85"/>
    <x v="1"/>
    <x v="64"/>
    <x v="1"/>
    <x v="1"/>
    <x v="1"/>
    <x v="2"/>
    <x v="3"/>
    <x v="1"/>
    <s v="March"/>
  </r>
  <r>
    <s v="2.20345E+11"/>
    <n v="220106302"/>
    <d v="2022-02-22T00:00:00"/>
    <s v="23:16:26.161Z"/>
    <n v="1145"/>
    <d v="1996-10-19T00:00:00"/>
    <n v="90"/>
    <n v="68"/>
    <x v="0"/>
    <x v="165"/>
    <x v="190"/>
    <s v="No"/>
    <s v="No"/>
    <n v="25"/>
    <s v="45-60"/>
    <x v="4"/>
    <x v="0"/>
    <n v="583"/>
    <x v="164"/>
    <x v="1"/>
    <s v="Pass"/>
    <x v="1"/>
    <s v="A"/>
    <x v="0"/>
    <s v="70-85"/>
    <x v="1"/>
    <x v="55"/>
    <x v="1"/>
    <x v="1"/>
    <x v="1"/>
    <x v="1"/>
    <x v="0"/>
    <x v="1"/>
    <s v="March"/>
  </r>
  <r>
    <s v="2.20345E+11"/>
    <n v="211206185"/>
    <m/>
    <m/>
    <s v="Unknown"/>
    <m/>
    <n v="0"/>
    <n v="0"/>
    <x v="2"/>
    <x v="11"/>
    <x v="11"/>
    <s v="No"/>
    <s v="No"/>
    <n v="23"/>
    <s v="Unkown"/>
    <x v="5"/>
    <x v="2"/>
    <n v="555"/>
    <x v="38"/>
    <x v="0"/>
    <s v="Pass"/>
    <x v="0"/>
    <s v="B"/>
    <x v="0"/>
    <s v="60-70"/>
    <x v="1"/>
    <x v="64"/>
    <x v="1"/>
    <x v="1"/>
    <x v="1"/>
    <x v="2"/>
    <x v="3"/>
    <x v="1"/>
    <s v="March"/>
  </r>
  <r>
    <s v="2.20345E+11"/>
    <n v="220106278"/>
    <m/>
    <m/>
    <s v="Unknown"/>
    <m/>
    <n v="0"/>
    <n v="0"/>
    <x v="2"/>
    <x v="11"/>
    <x v="11"/>
    <s v="No"/>
    <s v="No"/>
    <n v="23"/>
    <s v="Unkown"/>
    <x v="5"/>
    <x v="2"/>
    <n v="520"/>
    <x v="93"/>
    <x v="0"/>
    <s v="Pass"/>
    <x v="0"/>
    <s v="C"/>
    <x v="0"/>
    <s v="60-70"/>
    <x v="1"/>
    <x v="73"/>
    <x v="1"/>
    <x v="1"/>
    <x v="1"/>
    <x v="2"/>
    <x v="3"/>
    <x v="1"/>
    <s v="March"/>
  </r>
  <r>
    <s v="2.20345E+11"/>
    <n v="211201936"/>
    <m/>
    <m/>
    <s v="Unknown"/>
    <m/>
    <n v="0"/>
    <n v="0"/>
    <x v="2"/>
    <x v="11"/>
    <x v="11"/>
    <s v="No"/>
    <s v="No"/>
    <n v="23"/>
    <s v="Unkown"/>
    <x v="5"/>
    <x v="2"/>
    <n v="430"/>
    <x v="165"/>
    <x v="2"/>
    <s v="Pass"/>
    <x v="2"/>
    <s v="C"/>
    <x v="0"/>
    <s v="50-60"/>
    <x v="1"/>
    <x v="44"/>
    <x v="1"/>
    <x v="1"/>
    <x v="1"/>
    <x v="2"/>
    <x v="3"/>
    <x v="1"/>
    <s v="March"/>
  </r>
  <r>
    <s v="2.20345E+11"/>
    <n v="220109875"/>
    <m/>
    <m/>
    <s v="Unknown"/>
    <m/>
    <n v="0"/>
    <n v="0"/>
    <x v="2"/>
    <x v="11"/>
    <x v="11"/>
    <s v="No"/>
    <s v="No"/>
    <n v="23"/>
    <s v="Unkown"/>
    <x v="5"/>
    <x v="2"/>
    <n v="545"/>
    <x v="166"/>
    <x v="0"/>
    <s v="Pass"/>
    <x v="0"/>
    <s v="A"/>
    <x v="0"/>
    <s v="60-70"/>
    <x v="1"/>
    <x v="57"/>
    <x v="1"/>
    <x v="1"/>
    <x v="1"/>
    <x v="2"/>
    <x v="3"/>
    <x v="1"/>
    <s v="March"/>
  </r>
  <r>
    <s v="2.20345E+11"/>
    <n v="211200041"/>
    <m/>
    <m/>
    <s v="Unknown"/>
    <m/>
    <n v="0"/>
    <n v="0"/>
    <x v="2"/>
    <x v="11"/>
    <x v="11"/>
    <s v="No"/>
    <s v="No"/>
    <n v="23"/>
    <s v="Unkown"/>
    <x v="5"/>
    <x v="2"/>
    <n v="533"/>
    <x v="58"/>
    <x v="0"/>
    <s v="Pass"/>
    <x v="0"/>
    <s v="B"/>
    <x v="0"/>
    <s v="60-70"/>
    <x v="1"/>
    <x v="74"/>
    <x v="1"/>
    <x v="1"/>
    <x v="1"/>
    <x v="2"/>
    <x v="3"/>
    <x v="1"/>
    <s v="March"/>
  </r>
  <r>
    <s v="2.20345E+11"/>
    <n v="220101360"/>
    <m/>
    <m/>
    <s v="Unknown"/>
    <m/>
    <n v="0"/>
    <n v="0"/>
    <x v="2"/>
    <x v="11"/>
    <x v="11"/>
    <s v="No"/>
    <s v="No"/>
    <n v="23"/>
    <s v="Unkown"/>
    <x v="5"/>
    <x v="2"/>
    <n v="528"/>
    <x v="14"/>
    <x v="0"/>
    <s v="Pass"/>
    <x v="0"/>
    <s v="B"/>
    <x v="0"/>
    <s v="60-70"/>
    <x v="1"/>
    <x v="59"/>
    <x v="1"/>
    <x v="1"/>
    <x v="1"/>
    <x v="2"/>
    <x v="3"/>
    <x v="1"/>
    <s v="March"/>
  </r>
  <r>
    <s v="2.20345E+11"/>
    <n v="211203616"/>
    <d v="2022-02-23T00:00:00"/>
    <s v="11:10:36.549Z"/>
    <n v="1357"/>
    <d v="1997-01-24T00:00:00"/>
    <n v="80.400000000000006"/>
    <n v="67.69"/>
    <x v="0"/>
    <x v="166"/>
    <x v="191"/>
    <s v="No"/>
    <s v="No"/>
    <n v="25"/>
    <s v="60-75"/>
    <x v="5"/>
    <x v="0"/>
    <n v="562"/>
    <x v="135"/>
    <x v="1"/>
    <s v="Pass"/>
    <x v="1"/>
    <s v="A"/>
    <x v="0"/>
    <s v="70-85"/>
    <x v="0"/>
    <x v="0"/>
    <x v="0"/>
    <x v="0"/>
    <x v="1"/>
    <x v="1"/>
    <x v="0"/>
    <x v="1"/>
    <s v="March"/>
  </r>
  <r>
    <s v="2.20345E+11"/>
    <n v="211207001"/>
    <m/>
    <m/>
    <s v="Unknown"/>
    <m/>
    <n v="0"/>
    <n v="0"/>
    <x v="2"/>
    <x v="11"/>
    <x v="11"/>
    <s v="No"/>
    <s v="No"/>
    <n v="23"/>
    <s v="Unkown"/>
    <x v="5"/>
    <x v="2"/>
    <n v="580"/>
    <x v="103"/>
    <x v="1"/>
    <s v="Pass"/>
    <x v="1"/>
    <s v="B"/>
    <x v="0"/>
    <s v="70-85"/>
    <x v="1"/>
    <x v="24"/>
    <x v="1"/>
    <x v="1"/>
    <x v="1"/>
    <x v="2"/>
    <x v="3"/>
    <x v="1"/>
    <s v="March"/>
  </r>
  <r>
    <s v="2.20345E+11"/>
    <n v="211204434"/>
    <d v="2022-02-22T00:00:00"/>
    <s v="19:05:18.278Z"/>
    <n v="1315"/>
    <d v="1996-10-03T00:00:00"/>
    <n v="76.91"/>
    <n v="73.23"/>
    <x v="0"/>
    <x v="167"/>
    <x v="192"/>
    <s v="No"/>
    <s v="No"/>
    <n v="25"/>
    <s v="45-60"/>
    <x v="2"/>
    <x v="0"/>
    <n v="549"/>
    <x v="113"/>
    <x v="1"/>
    <s v="Pass"/>
    <x v="1"/>
    <s v="C"/>
    <x v="0"/>
    <s v="60-70"/>
    <x v="1"/>
    <x v="75"/>
    <x v="1"/>
    <x v="1"/>
    <x v="1"/>
    <x v="1"/>
    <x v="0"/>
    <x v="1"/>
    <s v="March"/>
  </r>
  <r>
    <s v="2.20345E+11"/>
    <n v="220106991"/>
    <m/>
    <m/>
    <s v="Unknown"/>
    <m/>
    <n v="0"/>
    <n v="0"/>
    <x v="2"/>
    <x v="11"/>
    <x v="11"/>
    <s v="No"/>
    <s v="No"/>
    <n v="23"/>
    <s v="Unkown"/>
    <x v="5"/>
    <x v="2"/>
    <n v="609"/>
    <x v="167"/>
    <x v="1"/>
    <s v="Pass"/>
    <x v="1"/>
    <s v="B"/>
    <x v="0"/>
    <s v="70-85"/>
    <x v="1"/>
    <x v="69"/>
    <x v="1"/>
    <x v="1"/>
    <x v="1"/>
    <x v="2"/>
    <x v="3"/>
    <x v="1"/>
    <s v="March"/>
  </r>
  <r>
    <s v="2.20345E+11"/>
    <n v="211202670"/>
    <m/>
    <m/>
    <s v="Unknown"/>
    <m/>
    <n v="0"/>
    <n v="0"/>
    <x v="2"/>
    <x v="11"/>
    <x v="11"/>
    <s v="No"/>
    <s v="No"/>
    <n v="23"/>
    <s v="Unkown"/>
    <x v="5"/>
    <x v="2"/>
    <n v="618"/>
    <x v="168"/>
    <x v="0"/>
    <s v="Pass"/>
    <x v="0"/>
    <s v="A"/>
    <x v="0"/>
    <s v="70-85"/>
    <x v="1"/>
    <x v="40"/>
    <x v="1"/>
    <x v="1"/>
    <x v="1"/>
    <x v="2"/>
    <x v="3"/>
    <x v="1"/>
    <s v="March"/>
  </r>
  <r>
    <s v="2.20345E+11"/>
    <n v="211204939"/>
    <m/>
    <m/>
    <s v="Unknown"/>
    <m/>
    <n v="0"/>
    <n v="0"/>
    <x v="2"/>
    <x v="11"/>
    <x v="11"/>
    <s v="No"/>
    <s v="No"/>
    <n v="23"/>
    <s v="Unkown"/>
    <x v="5"/>
    <x v="2"/>
    <n v="537"/>
    <x v="169"/>
    <x v="0"/>
    <s v="Pass"/>
    <x v="0"/>
    <s v="A"/>
    <x v="0"/>
    <s v="60-70"/>
    <x v="1"/>
    <x v="24"/>
    <x v="1"/>
    <x v="1"/>
    <x v="1"/>
    <x v="2"/>
    <x v="3"/>
    <x v="1"/>
    <s v="March"/>
  </r>
  <r>
    <s v="2.20345E+11"/>
    <n v="211207871"/>
    <m/>
    <m/>
    <s v="Unknown"/>
    <m/>
    <n v="0"/>
    <n v="0"/>
    <x v="2"/>
    <x v="11"/>
    <x v="11"/>
    <s v="No"/>
    <s v="No"/>
    <n v="23"/>
    <s v="Unkown"/>
    <x v="5"/>
    <x v="2"/>
    <n v="325"/>
    <x v="170"/>
    <x v="2"/>
    <s v="Fail"/>
    <x v="2"/>
    <s v="D"/>
    <x v="0"/>
    <s v="40-50"/>
    <x v="0"/>
    <x v="0"/>
    <x v="0"/>
    <x v="0"/>
    <x v="1"/>
    <x v="2"/>
    <x v="3"/>
    <x v="1"/>
    <s v="March"/>
  </r>
  <r>
    <s v="2.20345E+11"/>
    <n v="220103154"/>
    <m/>
    <m/>
    <s v="Unknown"/>
    <m/>
    <n v="0"/>
    <n v="0"/>
    <x v="2"/>
    <x v="11"/>
    <x v="11"/>
    <s v="No"/>
    <s v="No"/>
    <n v="23"/>
    <s v="Unkown"/>
    <x v="5"/>
    <x v="2"/>
    <n v="553"/>
    <x v="161"/>
    <x v="1"/>
    <s v="Pass"/>
    <x v="1"/>
    <s v="B"/>
    <x v="0"/>
    <s v="60-70"/>
    <x v="1"/>
    <x v="45"/>
    <x v="1"/>
    <x v="1"/>
    <x v="1"/>
    <x v="2"/>
    <x v="3"/>
    <x v="1"/>
    <s v="March"/>
  </r>
  <r>
    <s v="2.20345E+11"/>
    <n v="220101743"/>
    <d v="2022-02-23T00:00:00"/>
    <s v="08:22:36.470Z"/>
    <n v="484"/>
    <d v="1994-11-28T00:00:00"/>
    <n v="77.8"/>
    <n v="50"/>
    <x v="0"/>
    <x v="41"/>
    <x v="193"/>
    <s v="No"/>
    <s v="No"/>
    <n v="27"/>
    <s v="60-75"/>
    <x v="4"/>
    <x v="1"/>
    <n v="442"/>
    <x v="17"/>
    <x v="0"/>
    <s v="Pass"/>
    <x v="0"/>
    <s v="B"/>
    <x v="0"/>
    <s v="50-60"/>
    <x v="0"/>
    <x v="0"/>
    <x v="0"/>
    <x v="0"/>
    <x v="1"/>
    <x v="3"/>
    <x v="1"/>
    <x v="1"/>
    <s v="March"/>
  </r>
  <r>
    <s v="2.20345E+11"/>
    <n v="211208003"/>
    <m/>
    <m/>
    <s v="Unknown"/>
    <m/>
    <n v="0"/>
    <n v="0"/>
    <x v="2"/>
    <x v="11"/>
    <x v="11"/>
    <s v="No"/>
    <s v="No"/>
    <n v="23"/>
    <s v="Unkown"/>
    <x v="5"/>
    <x v="2"/>
    <n v="512"/>
    <x v="33"/>
    <x v="4"/>
    <s v="Pass"/>
    <x v="4"/>
    <s v="A"/>
    <x v="0"/>
    <s v="60-70"/>
    <x v="1"/>
    <x v="76"/>
    <x v="1"/>
    <x v="1"/>
    <x v="1"/>
    <x v="2"/>
    <x v="3"/>
    <x v="1"/>
    <s v="March"/>
  </r>
  <r>
    <s v="2.20345E+11"/>
    <n v="211207050"/>
    <m/>
    <m/>
    <s v="Unknown"/>
    <m/>
    <n v="0"/>
    <n v="0"/>
    <x v="2"/>
    <x v="11"/>
    <x v="11"/>
    <s v="No"/>
    <s v="No"/>
    <n v="23"/>
    <s v="Unkown"/>
    <x v="5"/>
    <x v="2"/>
    <n v="536"/>
    <x v="110"/>
    <x v="1"/>
    <s v="Pass"/>
    <x v="1"/>
    <s v="A"/>
    <x v="0"/>
    <s v="60-70"/>
    <x v="1"/>
    <x v="45"/>
    <x v="1"/>
    <x v="1"/>
    <x v="1"/>
    <x v="2"/>
    <x v="3"/>
    <x v="1"/>
    <s v="March"/>
  </r>
  <r>
    <s v="2.20345E+11"/>
    <n v="211200453"/>
    <m/>
    <m/>
    <s v="Unknown"/>
    <m/>
    <n v="0"/>
    <n v="0"/>
    <x v="2"/>
    <x v="11"/>
    <x v="11"/>
    <s v="No"/>
    <s v="No"/>
    <n v="23"/>
    <s v="Unkown"/>
    <x v="5"/>
    <x v="2"/>
    <n v="578"/>
    <x v="171"/>
    <x v="0"/>
    <s v="Pass"/>
    <x v="0"/>
    <s v="B"/>
    <x v="0"/>
    <s v="70-85"/>
    <x v="1"/>
    <x v="44"/>
    <x v="1"/>
    <x v="1"/>
    <x v="1"/>
    <x v="2"/>
    <x v="3"/>
    <x v="1"/>
    <s v="March"/>
  </r>
  <r>
    <s v="2.20345E+11"/>
    <n v="220110344"/>
    <m/>
    <m/>
    <s v="Unknown"/>
    <m/>
    <n v="0"/>
    <n v="0"/>
    <x v="2"/>
    <x v="11"/>
    <x v="11"/>
    <s v="No"/>
    <s v="No"/>
    <n v="23"/>
    <s v="Unkown"/>
    <x v="5"/>
    <x v="2"/>
    <n v="556"/>
    <x v="138"/>
    <x v="1"/>
    <s v="Pass"/>
    <x v="1"/>
    <s v="A"/>
    <x v="0"/>
    <s v="60-70"/>
    <x v="1"/>
    <x v="46"/>
    <x v="1"/>
    <x v="1"/>
    <x v="1"/>
    <x v="2"/>
    <x v="3"/>
    <x v="1"/>
    <s v="March"/>
  </r>
  <r>
    <s v="2.20345E+11"/>
    <n v="211208173"/>
    <m/>
    <m/>
    <s v="Unknown"/>
    <m/>
    <n v="0"/>
    <n v="0"/>
    <x v="2"/>
    <x v="11"/>
    <x v="11"/>
    <s v="No"/>
    <s v="No"/>
    <n v="23"/>
    <s v="Unkown"/>
    <x v="5"/>
    <x v="2"/>
    <n v="555"/>
    <x v="38"/>
    <x v="2"/>
    <s v="Pass"/>
    <x v="2"/>
    <s v="B"/>
    <x v="0"/>
    <s v="60-70"/>
    <x v="1"/>
    <x v="9"/>
    <x v="1"/>
    <x v="1"/>
    <x v="1"/>
    <x v="2"/>
    <x v="3"/>
    <x v="1"/>
    <s v="March"/>
  </r>
  <r>
    <s v="2.20345E+11"/>
    <n v="211206606"/>
    <d v="2022-02-22T00:00:00"/>
    <s v="18:55:34.943Z"/>
    <n v="2917"/>
    <d v="1992-08-07T00:00:00"/>
    <n v="84.3"/>
    <n v="69.5"/>
    <x v="0"/>
    <x v="168"/>
    <x v="194"/>
    <s v="Yes"/>
    <s v="No"/>
    <n v="29"/>
    <s v="60-75"/>
    <x v="2"/>
    <x v="0"/>
    <n v="560"/>
    <x v="63"/>
    <x v="1"/>
    <s v="Pass"/>
    <x v="1"/>
    <s v="A"/>
    <x v="1"/>
    <s v="70-85"/>
    <x v="1"/>
    <x v="77"/>
    <x v="1"/>
    <x v="1"/>
    <x v="1"/>
    <x v="0"/>
    <x v="4"/>
    <x v="1"/>
    <s v="March"/>
  </r>
  <r>
    <s v="2.20345E+11"/>
    <n v="220101599"/>
    <d v="2022-02-23T00:00:00"/>
    <s v="12:10:38.744Z"/>
    <n v="2524"/>
    <d v="1994-05-05T00:00:00"/>
    <n v="81.53"/>
    <n v="62.67"/>
    <x v="0"/>
    <x v="169"/>
    <x v="195"/>
    <s v="No"/>
    <s v="No"/>
    <n v="27"/>
    <s v="45-60"/>
    <x v="5"/>
    <x v="0"/>
    <n v="545"/>
    <x v="166"/>
    <x v="1"/>
    <s v="Pass"/>
    <x v="1"/>
    <s v="A"/>
    <x v="1"/>
    <s v="60-70"/>
    <x v="2"/>
    <x v="3"/>
    <x v="1"/>
    <x v="1"/>
    <x v="1"/>
    <x v="0"/>
    <x v="1"/>
    <x v="1"/>
    <s v="March"/>
  </r>
  <r>
    <s v="2.20345E+11"/>
    <n v="220109335"/>
    <m/>
    <m/>
    <s v="Unknown"/>
    <m/>
    <n v="0"/>
    <n v="0"/>
    <x v="2"/>
    <x v="11"/>
    <x v="11"/>
    <s v="No"/>
    <s v="No"/>
    <n v="23"/>
    <s v="Unkown"/>
    <x v="5"/>
    <x v="2"/>
    <n v="473"/>
    <x v="149"/>
    <x v="2"/>
    <s v="Pass"/>
    <x v="2"/>
    <s v="B"/>
    <x v="1"/>
    <s v="50-60"/>
    <x v="2"/>
    <x v="3"/>
    <x v="1"/>
    <x v="1"/>
    <x v="1"/>
    <x v="2"/>
    <x v="3"/>
    <x v="1"/>
    <s v="March"/>
  </r>
  <r>
    <s v="2.20345E+11"/>
    <n v="211204746"/>
    <m/>
    <m/>
    <s v="Unknown"/>
    <m/>
    <n v="0"/>
    <n v="0"/>
    <x v="2"/>
    <x v="11"/>
    <x v="11"/>
    <s v="No"/>
    <s v="No"/>
    <n v="23"/>
    <s v="Unkown"/>
    <x v="5"/>
    <x v="2"/>
    <n v="576"/>
    <x v="125"/>
    <x v="1"/>
    <s v="Pass"/>
    <x v="1"/>
    <s v="A"/>
    <x v="1"/>
    <s v="70-85"/>
    <x v="1"/>
    <x v="43"/>
    <x v="1"/>
    <x v="1"/>
    <x v="1"/>
    <x v="2"/>
    <x v="3"/>
    <x v="1"/>
    <s v="March"/>
  </r>
  <r>
    <s v="2.20345E+11"/>
    <n v="211200844"/>
    <m/>
    <m/>
    <s v="Unknown"/>
    <m/>
    <n v="0"/>
    <n v="0"/>
    <x v="2"/>
    <x v="11"/>
    <x v="11"/>
    <s v="No"/>
    <s v="No"/>
    <n v="23"/>
    <s v="Unkown"/>
    <x v="5"/>
    <x v="2"/>
    <n v="463"/>
    <x v="160"/>
    <x v="2"/>
    <s v="Pass"/>
    <x v="2"/>
    <s v="A"/>
    <x v="1"/>
    <s v="50-60"/>
    <x v="0"/>
    <x v="0"/>
    <x v="0"/>
    <x v="0"/>
    <x v="1"/>
    <x v="2"/>
    <x v="3"/>
    <x v="1"/>
    <s v="March"/>
  </r>
  <r>
    <s v="2.20345E+11"/>
    <n v="220103686"/>
    <m/>
    <m/>
    <s v="Unknown"/>
    <m/>
    <n v="0"/>
    <n v="0"/>
    <x v="2"/>
    <x v="11"/>
    <x v="11"/>
    <s v="No"/>
    <s v="No"/>
    <n v="23"/>
    <s v="Unkown"/>
    <x v="5"/>
    <x v="2"/>
    <n v="595"/>
    <x v="172"/>
    <x v="1"/>
    <s v="Pass"/>
    <x v="1"/>
    <s v="B"/>
    <x v="1"/>
    <s v="70-85"/>
    <x v="1"/>
    <x v="78"/>
    <x v="1"/>
    <x v="1"/>
    <x v="1"/>
    <x v="2"/>
    <x v="3"/>
    <x v="1"/>
    <s v="March"/>
  </r>
  <r>
    <s v="2.20345E+11"/>
    <n v="220103015"/>
    <m/>
    <m/>
    <s v="Unknown"/>
    <m/>
    <n v="0"/>
    <n v="0"/>
    <x v="2"/>
    <x v="11"/>
    <x v="11"/>
    <s v="No"/>
    <s v="No"/>
    <n v="23"/>
    <s v="Unkown"/>
    <x v="5"/>
    <x v="2"/>
    <n v="571"/>
    <x v="137"/>
    <x v="1"/>
    <s v="Pass"/>
    <x v="1"/>
    <s v="B"/>
    <x v="1"/>
    <s v="70-85"/>
    <x v="1"/>
    <x v="79"/>
    <x v="1"/>
    <x v="1"/>
    <x v="1"/>
    <x v="2"/>
    <x v="3"/>
    <x v="1"/>
    <s v="March"/>
  </r>
  <r>
    <s v="2.20345E+11"/>
    <n v="211205847"/>
    <m/>
    <m/>
    <s v="Unknown"/>
    <m/>
    <n v="0"/>
    <n v="0"/>
    <x v="2"/>
    <x v="11"/>
    <x v="11"/>
    <s v="No"/>
    <s v="No"/>
    <n v="23"/>
    <s v="Unkown"/>
    <x v="5"/>
    <x v="2"/>
    <n v="419"/>
    <x v="22"/>
    <x v="1"/>
    <s v="Pass"/>
    <x v="1"/>
    <s v="C"/>
    <x v="1"/>
    <s v="50-60"/>
    <x v="0"/>
    <x v="0"/>
    <x v="0"/>
    <x v="0"/>
    <x v="1"/>
    <x v="2"/>
    <x v="3"/>
    <x v="1"/>
    <s v="March"/>
  </r>
  <r>
    <s v="2.20345E+11"/>
    <n v="211205337"/>
    <d v="2022-02-23T00:00:00"/>
    <s v="11:31:48.953Z"/>
    <n v="2927"/>
    <d v="1997-10-08T00:00:00"/>
    <n v="89.2"/>
    <n v="75.38"/>
    <x v="0"/>
    <x v="170"/>
    <x v="196"/>
    <s v="No"/>
    <s v="No"/>
    <n v="24"/>
    <s v="0-35"/>
    <x v="5"/>
    <x v="5"/>
    <n v="489"/>
    <x v="69"/>
    <x v="1"/>
    <s v="Pass"/>
    <x v="1"/>
    <s v="C"/>
    <x v="1"/>
    <s v="60-70"/>
    <x v="1"/>
    <x v="67"/>
    <x v="1"/>
    <x v="1"/>
    <x v="1"/>
    <x v="0"/>
    <x v="0"/>
    <x v="1"/>
    <s v="March"/>
  </r>
  <r>
    <s v="2.20345E+11"/>
    <n v="211201451"/>
    <m/>
    <m/>
    <s v="Unknown"/>
    <m/>
    <n v="0"/>
    <n v="0"/>
    <x v="2"/>
    <x v="11"/>
    <x v="11"/>
    <s v="No"/>
    <s v="No"/>
    <n v="23"/>
    <s v="Unkown"/>
    <x v="5"/>
    <x v="2"/>
    <n v="427"/>
    <x v="173"/>
    <x v="1"/>
    <s v="Pass"/>
    <x v="1"/>
    <s v="C"/>
    <x v="1"/>
    <s v="50-60"/>
    <x v="0"/>
    <x v="0"/>
    <x v="0"/>
    <x v="0"/>
    <x v="1"/>
    <x v="2"/>
    <x v="3"/>
    <x v="1"/>
    <s v="March"/>
  </r>
  <r>
    <s v="2.20345E+11"/>
    <n v="220107121"/>
    <m/>
    <m/>
    <s v="Unknown"/>
    <m/>
    <n v="0"/>
    <n v="0"/>
    <x v="2"/>
    <x v="11"/>
    <x v="11"/>
    <s v="No"/>
    <s v="No"/>
    <n v="23"/>
    <s v="Unkown"/>
    <x v="5"/>
    <x v="2"/>
    <n v="457"/>
    <x v="155"/>
    <x v="2"/>
    <s v="Pass"/>
    <x v="2"/>
    <s v="B"/>
    <x v="1"/>
    <s v="50-60"/>
    <x v="0"/>
    <x v="0"/>
    <x v="0"/>
    <x v="0"/>
    <x v="1"/>
    <x v="2"/>
    <x v="3"/>
    <x v="1"/>
    <s v="March"/>
  </r>
  <r>
    <s v="2.20345E+11"/>
    <n v="211207863"/>
    <m/>
    <m/>
    <s v="Unknown"/>
    <m/>
    <n v="0"/>
    <n v="0"/>
    <x v="2"/>
    <x v="11"/>
    <x v="11"/>
    <s v="No"/>
    <s v="No"/>
    <n v="23"/>
    <s v="Unkown"/>
    <x v="5"/>
    <x v="2"/>
    <n v="572"/>
    <x v="174"/>
    <x v="1"/>
    <s v="Pass"/>
    <x v="1"/>
    <s v="A"/>
    <x v="1"/>
    <s v="70-85"/>
    <x v="1"/>
    <x v="12"/>
    <x v="1"/>
    <x v="1"/>
    <x v="1"/>
    <x v="2"/>
    <x v="3"/>
    <x v="1"/>
    <s v="March"/>
  </r>
  <r>
    <s v="2.20345E+11"/>
    <n v="211205618"/>
    <d v="2022-02-23T00:00:00"/>
    <s v="11:44:55.845Z"/>
    <n v="1785"/>
    <d v="1999-10-11T00:00:00"/>
    <n v="84.6"/>
    <n v="63.69"/>
    <x v="0"/>
    <x v="152"/>
    <x v="197"/>
    <s v="No"/>
    <s v="No"/>
    <n v="22"/>
    <s v="60-75"/>
    <x v="5"/>
    <x v="5"/>
    <n v="530"/>
    <x v="175"/>
    <x v="2"/>
    <s v="Pass"/>
    <x v="2"/>
    <s v="B"/>
    <x v="1"/>
    <s v="60-70"/>
    <x v="1"/>
    <x v="43"/>
    <x v="1"/>
    <x v="1"/>
    <x v="1"/>
    <x v="1"/>
    <x v="2"/>
    <x v="1"/>
    <s v="March"/>
  </r>
  <r>
    <s v="2.20345E+11"/>
    <n v="220107140"/>
    <m/>
    <m/>
    <s v="Unknown"/>
    <m/>
    <n v="0"/>
    <n v="0"/>
    <x v="2"/>
    <x v="11"/>
    <x v="11"/>
    <s v="No"/>
    <s v="No"/>
    <n v="23"/>
    <s v="Unkown"/>
    <x v="5"/>
    <x v="2"/>
    <n v="579"/>
    <x v="151"/>
    <x v="2"/>
    <s v="Pass"/>
    <x v="2"/>
    <s v="B"/>
    <x v="1"/>
    <s v="70-85"/>
    <x v="1"/>
    <x v="42"/>
    <x v="1"/>
    <x v="1"/>
    <x v="1"/>
    <x v="2"/>
    <x v="3"/>
    <x v="1"/>
    <s v="March"/>
  </r>
  <r>
    <s v="2.20345E+11"/>
    <n v="211200001"/>
    <m/>
    <m/>
    <s v="Unknown"/>
    <m/>
    <n v="0"/>
    <n v="0"/>
    <x v="2"/>
    <x v="11"/>
    <x v="11"/>
    <s v="No"/>
    <s v="No"/>
    <n v="23"/>
    <s v="Unkown"/>
    <x v="5"/>
    <x v="2"/>
    <n v="434"/>
    <x v="176"/>
    <x v="4"/>
    <s v="Pass"/>
    <x v="4"/>
    <s v="D"/>
    <x v="1"/>
    <s v="50-60"/>
    <x v="1"/>
    <x v="67"/>
    <x v="1"/>
    <x v="1"/>
    <x v="1"/>
    <x v="2"/>
    <x v="3"/>
    <x v="1"/>
    <s v="March"/>
  </r>
  <r>
    <s v="2.20345E+11"/>
    <n v="211203295"/>
    <m/>
    <m/>
    <s v="Unknown"/>
    <m/>
    <n v="0"/>
    <n v="0"/>
    <x v="2"/>
    <x v="11"/>
    <x v="11"/>
    <s v="No"/>
    <s v="No"/>
    <n v="23"/>
    <s v="Unkown"/>
    <x v="5"/>
    <x v="2"/>
    <n v="480"/>
    <x v="177"/>
    <x v="2"/>
    <s v="Pass"/>
    <x v="2"/>
    <s v="B"/>
    <x v="1"/>
    <s v="60-70"/>
    <x v="1"/>
    <x v="43"/>
    <x v="1"/>
    <x v="1"/>
    <x v="1"/>
    <x v="2"/>
    <x v="3"/>
    <x v="1"/>
    <s v="March"/>
  </r>
  <r>
    <s v="2.20345E+11"/>
    <n v="211208403"/>
    <m/>
    <m/>
    <s v="Unknown"/>
    <m/>
    <n v="0"/>
    <n v="0"/>
    <x v="2"/>
    <x v="11"/>
    <x v="11"/>
    <s v="No"/>
    <s v="No"/>
    <n v="23"/>
    <s v="Unkown"/>
    <x v="5"/>
    <x v="2"/>
    <n v="570"/>
    <x v="178"/>
    <x v="1"/>
    <s v="Pass"/>
    <x v="1"/>
    <s v="B"/>
    <x v="1"/>
    <s v="70-85"/>
    <x v="1"/>
    <x v="57"/>
    <x v="1"/>
    <x v="1"/>
    <x v="1"/>
    <x v="2"/>
    <x v="3"/>
    <x v="1"/>
    <s v="March"/>
  </r>
  <r>
    <s v="2.20345E+11"/>
    <n v="211205391"/>
    <m/>
    <m/>
    <s v="Unknown"/>
    <m/>
    <n v="0"/>
    <n v="0"/>
    <x v="2"/>
    <x v="11"/>
    <x v="11"/>
    <s v="No"/>
    <s v="No"/>
    <n v="23"/>
    <s v="Unkown"/>
    <x v="5"/>
    <x v="2"/>
    <n v="560"/>
    <x v="63"/>
    <x v="2"/>
    <s v="Pass"/>
    <x v="2"/>
    <s v="B"/>
    <x v="1"/>
    <s v="70-85"/>
    <x v="1"/>
    <x v="80"/>
    <x v="1"/>
    <x v="1"/>
    <x v="1"/>
    <x v="2"/>
    <x v="3"/>
    <x v="1"/>
    <s v="March"/>
  </r>
  <r>
    <s v="2.20345E+11"/>
    <n v="211200426"/>
    <d v="2022-02-22T00:00:00"/>
    <s v="23:51:19.794Z"/>
    <n v="2463"/>
    <d v="1998-04-05T00:00:00"/>
    <n v="91.6"/>
    <s v="Other"/>
    <x v="44"/>
    <x v="29"/>
    <x v="198"/>
    <s v="No"/>
    <s v="No"/>
    <n v="23"/>
    <s v="60-75"/>
    <x v="5"/>
    <x v="0"/>
    <n v="448"/>
    <x v="133"/>
    <x v="2"/>
    <s v="Pass"/>
    <x v="2"/>
    <s v="B"/>
    <x v="1"/>
    <s v="50-60"/>
    <x v="1"/>
    <x v="56"/>
    <x v="1"/>
    <x v="1"/>
    <x v="1"/>
    <x v="0"/>
    <x v="0"/>
    <x v="1"/>
    <s v="March"/>
  </r>
  <r>
    <s v="2.20345E+11"/>
    <n v="220109423"/>
    <m/>
    <m/>
    <s v="Unknown"/>
    <m/>
    <n v="0"/>
    <n v="0"/>
    <x v="2"/>
    <x v="11"/>
    <x v="11"/>
    <s v="No"/>
    <s v="No"/>
    <n v="23"/>
    <s v="Unkown"/>
    <x v="5"/>
    <x v="2"/>
    <n v="462"/>
    <x v="179"/>
    <x v="2"/>
    <s v="Pass"/>
    <x v="2"/>
    <s v="C"/>
    <x v="1"/>
    <s v="50-60"/>
    <x v="1"/>
    <x v="67"/>
    <x v="1"/>
    <x v="1"/>
    <x v="1"/>
    <x v="2"/>
    <x v="3"/>
    <x v="1"/>
    <s v="March"/>
  </r>
  <r>
    <s v="2.20345E+11"/>
    <n v="211201768"/>
    <m/>
    <m/>
    <s v="Unknown"/>
    <m/>
    <n v="0"/>
    <n v="0"/>
    <x v="2"/>
    <x v="11"/>
    <x v="11"/>
    <s v="No"/>
    <s v="No"/>
    <n v="23"/>
    <s v="Unkown"/>
    <x v="5"/>
    <x v="2"/>
    <n v="434"/>
    <x v="176"/>
    <x v="2"/>
    <s v="Pass"/>
    <x v="2"/>
    <s v="C"/>
    <x v="1"/>
    <s v="50-60"/>
    <x v="0"/>
    <x v="0"/>
    <x v="0"/>
    <x v="0"/>
    <x v="1"/>
    <x v="2"/>
    <x v="3"/>
    <x v="1"/>
    <s v="March"/>
  </r>
  <r>
    <s v="2.20345E+11"/>
    <n v="220101688"/>
    <m/>
    <m/>
    <s v="Unknown"/>
    <m/>
    <n v="0"/>
    <n v="0"/>
    <x v="2"/>
    <x v="11"/>
    <x v="11"/>
    <s v="No"/>
    <s v="No"/>
    <n v="23"/>
    <s v="Unkown"/>
    <x v="5"/>
    <x v="2"/>
    <n v="534"/>
    <x v="163"/>
    <x v="1"/>
    <s v="Pass"/>
    <x v="1"/>
    <s v="B"/>
    <x v="1"/>
    <s v="60-70"/>
    <x v="1"/>
    <x v="46"/>
    <x v="1"/>
    <x v="1"/>
    <x v="1"/>
    <x v="2"/>
    <x v="3"/>
    <x v="1"/>
    <s v="March"/>
  </r>
  <r>
    <s v="2.20345E+11"/>
    <n v="211205273"/>
    <d v="2022-02-22T00:00:00"/>
    <s v="20:07:26.696Z"/>
    <n v="2690"/>
    <d v="1999-09-02T00:00:00"/>
    <n v="87"/>
    <n v="79.08"/>
    <x v="0"/>
    <x v="171"/>
    <x v="199"/>
    <s v="No"/>
    <s v="No"/>
    <n v="22"/>
    <s v="60-75"/>
    <x v="5"/>
    <x v="5"/>
    <n v="489"/>
    <x v="69"/>
    <x v="0"/>
    <s v="Pass"/>
    <x v="0"/>
    <s v="C"/>
    <x v="1"/>
    <s v="60-70"/>
    <x v="1"/>
    <x v="67"/>
    <x v="1"/>
    <x v="1"/>
    <x v="1"/>
    <x v="0"/>
    <x v="2"/>
    <x v="1"/>
    <s v="March"/>
  </r>
  <r>
    <s v="2.20345E+11"/>
    <n v="220105100"/>
    <m/>
    <m/>
    <s v="Unknown"/>
    <m/>
    <n v="0"/>
    <n v="0"/>
    <x v="2"/>
    <x v="11"/>
    <x v="11"/>
    <s v="No"/>
    <s v="No"/>
    <n v="23"/>
    <s v="Unkown"/>
    <x v="5"/>
    <x v="2"/>
    <n v="537"/>
    <x v="169"/>
    <x v="2"/>
    <s v="Pass"/>
    <x v="2"/>
    <s v="A"/>
    <x v="1"/>
    <s v="60-70"/>
    <x v="1"/>
    <x v="56"/>
    <x v="1"/>
    <x v="1"/>
    <x v="1"/>
    <x v="2"/>
    <x v="3"/>
    <x v="1"/>
    <s v="March"/>
  </r>
  <r>
    <s v="2.20345E+11"/>
    <n v="211200532"/>
    <d v="2022-02-23T00:00:00"/>
    <s v="12:17:53.384Z"/>
    <n v="2997"/>
    <d v="1997-12-18T00:00:00"/>
    <n v="74"/>
    <n v="61.02"/>
    <x v="0"/>
    <x v="172"/>
    <x v="200"/>
    <s v="No"/>
    <s v="No"/>
    <n v="24"/>
    <s v="60-75"/>
    <x v="5"/>
    <x v="0"/>
    <n v="499"/>
    <x v="180"/>
    <x v="1"/>
    <s v="Pass"/>
    <x v="1"/>
    <s v="B"/>
    <x v="1"/>
    <s v="60-70"/>
    <x v="1"/>
    <x v="9"/>
    <x v="1"/>
    <x v="1"/>
    <x v="1"/>
    <x v="0"/>
    <x v="0"/>
    <x v="1"/>
    <s v="March"/>
  </r>
  <r>
    <s v="2.20345E+11"/>
    <n v="220109229"/>
    <m/>
    <m/>
    <s v="Unknown"/>
    <m/>
    <n v="0"/>
    <n v="0"/>
    <x v="2"/>
    <x v="11"/>
    <x v="11"/>
    <s v="No"/>
    <s v="No"/>
    <n v="23"/>
    <s v="Unkown"/>
    <x v="5"/>
    <x v="2"/>
    <n v="504"/>
    <x v="181"/>
    <x v="1"/>
    <s v="Pass"/>
    <x v="1"/>
    <s v="B"/>
    <x v="1"/>
    <s v="60-70"/>
    <x v="0"/>
    <x v="0"/>
    <x v="0"/>
    <x v="0"/>
    <x v="1"/>
    <x v="2"/>
    <x v="3"/>
    <x v="1"/>
    <s v="March"/>
  </r>
  <r>
    <s v="2.20345E+11"/>
    <n v="220110705"/>
    <m/>
    <m/>
    <s v="Unknown"/>
    <m/>
    <n v="0"/>
    <n v="0"/>
    <x v="2"/>
    <x v="11"/>
    <x v="11"/>
    <s v="No"/>
    <s v="No"/>
    <n v="23"/>
    <s v="Unkown"/>
    <x v="5"/>
    <x v="2"/>
    <n v="510"/>
    <x v="44"/>
    <x v="1"/>
    <s v="Pass"/>
    <x v="1"/>
    <s v="B"/>
    <x v="1"/>
    <s v="60-70"/>
    <x v="1"/>
    <x v="67"/>
    <x v="1"/>
    <x v="1"/>
    <x v="1"/>
    <x v="2"/>
    <x v="3"/>
    <x v="1"/>
    <s v="March"/>
  </r>
  <r>
    <s v="2.20345E+11"/>
    <n v="211200502"/>
    <m/>
    <m/>
    <s v="Unknown"/>
    <m/>
    <n v="0"/>
    <n v="0"/>
    <x v="2"/>
    <x v="11"/>
    <x v="11"/>
    <s v="No"/>
    <s v="No"/>
    <n v="23"/>
    <s v="Unkown"/>
    <x v="5"/>
    <x v="2"/>
    <n v="416"/>
    <x v="182"/>
    <x v="0"/>
    <s v="Pass"/>
    <x v="0"/>
    <s v="B"/>
    <x v="1"/>
    <s v="50-60"/>
    <x v="0"/>
    <x v="0"/>
    <x v="0"/>
    <x v="0"/>
    <x v="1"/>
    <x v="2"/>
    <x v="3"/>
    <x v="1"/>
    <s v="March"/>
  </r>
  <r>
    <s v="2.20345E+11"/>
    <n v="220108960"/>
    <m/>
    <m/>
    <s v="Unknown"/>
    <m/>
    <n v="0"/>
    <n v="0"/>
    <x v="2"/>
    <x v="11"/>
    <x v="11"/>
    <s v="No"/>
    <s v="No"/>
    <n v="23"/>
    <s v="Unkown"/>
    <x v="5"/>
    <x v="2"/>
    <n v="377"/>
    <x v="183"/>
    <x v="0"/>
    <s v="Fail"/>
    <x v="0"/>
    <s v="D"/>
    <x v="1"/>
    <s v="40-50"/>
    <x v="0"/>
    <x v="0"/>
    <x v="0"/>
    <x v="0"/>
    <x v="1"/>
    <x v="2"/>
    <x v="3"/>
    <x v="1"/>
    <s v="March"/>
  </r>
  <r>
    <s v="2.20345E+11"/>
    <n v="220101076"/>
    <m/>
    <m/>
    <s v="Unknown"/>
    <m/>
    <n v="0"/>
    <n v="0"/>
    <x v="2"/>
    <x v="11"/>
    <x v="11"/>
    <s v="No"/>
    <s v="No"/>
    <n v="23"/>
    <s v="Unkown"/>
    <x v="5"/>
    <x v="2"/>
    <n v="576"/>
    <x v="125"/>
    <x v="2"/>
    <s v="Pass"/>
    <x v="2"/>
    <s v="A"/>
    <x v="1"/>
    <s v="70-85"/>
    <x v="1"/>
    <x v="12"/>
    <x v="1"/>
    <x v="1"/>
    <x v="1"/>
    <x v="2"/>
    <x v="3"/>
    <x v="1"/>
    <s v="March"/>
  </r>
  <r>
    <s v="2.20345E+11"/>
    <n v="220102886"/>
    <d v="2022-02-22T00:00:00"/>
    <s v="22:16:10.311Z"/>
    <n v="2890"/>
    <d v="1995-06-08T00:00:00"/>
    <n v="81.28"/>
    <n v="62.8"/>
    <x v="0"/>
    <x v="173"/>
    <x v="201"/>
    <s v="No"/>
    <s v="No"/>
    <n v="26"/>
    <s v="60-75"/>
    <x v="3"/>
    <x v="1"/>
    <n v="476"/>
    <x v="184"/>
    <x v="2"/>
    <s v="Pass"/>
    <x v="2"/>
    <s v="D"/>
    <x v="1"/>
    <s v="50-60"/>
    <x v="1"/>
    <x v="24"/>
    <x v="1"/>
    <x v="1"/>
    <x v="1"/>
    <x v="0"/>
    <x v="1"/>
    <x v="1"/>
    <s v="March"/>
  </r>
  <r>
    <s v="2.20345E+11"/>
    <n v="211205817"/>
    <m/>
    <m/>
    <s v="Unknown"/>
    <m/>
    <n v="0"/>
    <n v="0"/>
    <x v="2"/>
    <x v="11"/>
    <x v="11"/>
    <s v="No"/>
    <s v="No"/>
    <n v="23"/>
    <s v="Unkown"/>
    <x v="5"/>
    <x v="2"/>
    <n v="525"/>
    <x v="148"/>
    <x v="1"/>
    <s v="Pass"/>
    <x v="1"/>
    <s v="B"/>
    <x v="1"/>
    <s v="60-70"/>
    <x v="2"/>
    <x v="3"/>
    <x v="1"/>
    <x v="1"/>
    <x v="1"/>
    <x v="2"/>
    <x v="3"/>
    <x v="1"/>
    <s v="March"/>
  </r>
  <r>
    <s v="2.20345E+11"/>
    <n v="220106960"/>
    <d v="2022-02-23T00:00:00"/>
    <s v="10:57:23.252Z"/>
    <n v="2530"/>
    <d v="1996-07-30T00:00:00"/>
    <n v="89.27"/>
    <n v="66"/>
    <x v="0"/>
    <x v="174"/>
    <x v="202"/>
    <s v="No"/>
    <s v="No"/>
    <n v="25"/>
    <s v="0-35"/>
    <x v="6"/>
    <x v="0"/>
    <n v="494"/>
    <x v="18"/>
    <x v="2"/>
    <s v="Pass"/>
    <x v="2"/>
    <s v="C"/>
    <x v="1"/>
    <s v="60-70"/>
    <x v="1"/>
    <x v="67"/>
    <x v="1"/>
    <x v="1"/>
    <x v="1"/>
    <x v="0"/>
    <x v="0"/>
    <x v="1"/>
    <s v="March"/>
  </r>
  <r>
    <s v="2.20345E+11"/>
    <n v="211203855"/>
    <m/>
    <m/>
    <s v="Unknown"/>
    <m/>
    <n v="0"/>
    <n v="0"/>
    <x v="2"/>
    <x v="11"/>
    <x v="11"/>
    <s v="No"/>
    <s v="No"/>
    <n v="23"/>
    <s v="Unkown"/>
    <x v="5"/>
    <x v="2"/>
    <n v="562"/>
    <x v="135"/>
    <x v="1"/>
    <s v="Pass"/>
    <x v="1"/>
    <s v="B"/>
    <x v="1"/>
    <s v="70-85"/>
    <x v="1"/>
    <x v="26"/>
    <x v="1"/>
    <x v="1"/>
    <x v="1"/>
    <x v="2"/>
    <x v="3"/>
    <x v="1"/>
    <s v="March"/>
  </r>
  <r>
    <s v="2.20345E+11"/>
    <n v="211206315"/>
    <m/>
    <m/>
    <s v="Unknown"/>
    <m/>
    <n v="0"/>
    <n v="0"/>
    <x v="2"/>
    <x v="11"/>
    <x v="11"/>
    <s v="No"/>
    <s v="No"/>
    <n v="23"/>
    <s v="Unkown"/>
    <x v="5"/>
    <x v="2"/>
    <n v="508"/>
    <x v="152"/>
    <x v="1"/>
    <s v="Pass"/>
    <x v="1"/>
    <s v="B"/>
    <x v="1"/>
    <s v="60-70"/>
    <x v="1"/>
    <x v="24"/>
    <x v="1"/>
    <x v="1"/>
    <x v="1"/>
    <x v="2"/>
    <x v="3"/>
    <x v="1"/>
    <s v="March"/>
  </r>
  <r>
    <s v="2.20345E+11"/>
    <n v="211201523"/>
    <d v="2022-02-22T00:00:00"/>
    <s v="22:34:55.714Z"/>
    <n v="2878"/>
    <d v="1994-06-10T00:00:00"/>
    <n v="87.64"/>
    <n v="82.17"/>
    <x v="0"/>
    <x v="175"/>
    <x v="203"/>
    <s v="No"/>
    <s v="No"/>
    <n v="27"/>
    <s v="60-75"/>
    <x v="3"/>
    <x v="0"/>
    <n v="553"/>
    <x v="161"/>
    <x v="1"/>
    <s v="Pass"/>
    <x v="1"/>
    <s v="B"/>
    <x v="1"/>
    <s v="60-70"/>
    <x v="1"/>
    <x v="79"/>
    <x v="1"/>
    <x v="1"/>
    <x v="1"/>
    <x v="0"/>
    <x v="1"/>
    <x v="1"/>
    <s v="March"/>
  </r>
  <r>
    <s v="2.20345E+11"/>
    <n v="211201134"/>
    <m/>
    <m/>
    <s v="Unknown"/>
    <m/>
    <n v="0"/>
    <n v="0"/>
    <x v="2"/>
    <x v="11"/>
    <x v="11"/>
    <s v="No"/>
    <s v="No"/>
    <n v="23"/>
    <s v="Unkown"/>
    <x v="5"/>
    <x v="2"/>
    <n v="517"/>
    <x v="92"/>
    <x v="2"/>
    <s v="Pass"/>
    <x v="2"/>
    <s v="C"/>
    <x v="1"/>
    <s v="60-70"/>
    <x v="1"/>
    <x v="9"/>
    <x v="1"/>
    <x v="1"/>
    <x v="1"/>
    <x v="2"/>
    <x v="3"/>
    <x v="1"/>
    <s v="March"/>
  </r>
  <r>
    <s v="2.20345E+11"/>
    <n v="211200217"/>
    <m/>
    <m/>
    <s v="Unknown"/>
    <m/>
    <n v="0"/>
    <n v="0"/>
    <x v="2"/>
    <x v="11"/>
    <x v="11"/>
    <s v="No"/>
    <s v="No"/>
    <n v="23"/>
    <s v="Unkown"/>
    <x v="5"/>
    <x v="2"/>
    <n v="473"/>
    <x v="149"/>
    <x v="0"/>
    <s v="Pass"/>
    <x v="0"/>
    <s v="C"/>
    <x v="1"/>
    <s v="50-60"/>
    <x v="1"/>
    <x v="81"/>
    <x v="1"/>
    <x v="1"/>
    <x v="1"/>
    <x v="2"/>
    <x v="3"/>
    <x v="1"/>
    <s v="March"/>
  </r>
  <r>
    <s v="2.20345E+11"/>
    <n v="220107296"/>
    <m/>
    <m/>
    <s v="Unknown"/>
    <m/>
    <n v="0"/>
    <n v="0"/>
    <x v="2"/>
    <x v="11"/>
    <x v="11"/>
    <s v="No"/>
    <s v="No"/>
    <n v="23"/>
    <s v="Unkown"/>
    <x v="5"/>
    <x v="2"/>
    <n v="496"/>
    <x v="185"/>
    <x v="1"/>
    <s v="Pass"/>
    <x v="1"/>
    <s v="B"/>
    <x v="1"/>
    <s v="60-70"/>
    <x v="1"/>
    <x v="81"/>
    <x v="1"/>
    <x v="1"/>
    <x v="1"/>
    <x v="2"/>
    <x v="3"/>
    <x v="1"/>
    <s v="March"/>
  </r>
  <r>
    <s v="2.20345E+11"/>
    <n v="220102889"/>
    <m/>
    <m/>
    <s v="Unknown"/>
    <m/>
    <n v="0"/>
    <n v="0"/>
    <x v="2"/>
    <x v="11"/>
    <x v="11"/>
    <s v="No"/>
    <s v="No"/>
    <n v="23"/>
    <s v="Unkown"/>
    <x v="5"/>
    <x v="2"/>
    <n v="513"/>
    <x v="186"/>
    <x v="2"/>
    <s v="Pass"/>
    <x v="2"/>
    <s v="C"/>
    <x v="1"/>
    <s v="60-70"/>
    <x v="0"/>
    <x v="0"/>
    <x v="0"/>
    <x v="0"/>
    <x v="1"/>
    <x v="2"/>
    <x v="3"/>
    <x v="1"/>
    <s v="March"/>
  </r>
  <r>
    <s v="2.20345E+11"/>
    <n v="211206502"/>
    <d v="2022-02-23T00:00:00"/>
    <s v="12:19:15.756Z"/>
    <n v="1906"/>
    <d v="1998-12-23T00:00:00"/>
    <n v="79"/>
    <n v="56"/>
    <x v="0"/>
    <x v="176"/>
    <x v="204"/>
    <s v="No"/>
    <s v="No"/>
    <n v="23"/>
    <s v="0-35"/>
    <x v="3"/>
    <x v="0"/>
    <n v="475"/>
    <x v="36"/>
    <x v="2"/>
    <s v="Pass"/>
    <x v="2"/>
    <s v="B"/>
    <x v="1"/>
    <s v="50-60"/>
    <x v="1"/>
    <x v="78"/>
    <x v="1"/>
    <x v="1"/>
    <x v="1"/>
    <x v="1"/>
    <x v="0"/>
    <x v="1"/>
    <s v="March"/>
  </r>
  <r>
    <s v="2.20345E+11"/>
    <n v="211203591"/>
    <m/>
    <m/>
    <s v="Unknown"/>
    <m/>
    <n v="0"/>
    <n v="0"/>
    <x v="2"/>
    <x v="11"/>
    <x v="11"/>
    <s v="No"/>
    <s v="No"/>
    <n v="23"/>
    <s v="Unkown"/>
    <x v="5"/>
    <x v="2"/>
    <n v="456"/>
    <x v="187"/>
    <x v="4"/>
    <s v="Pass"/>
    <x v="4"/>
    <s v="C"/>
    <x v="1"/>
    <s v="50-60"/>
    <x v="1"/>
    <x v="67"/>
    <x v="1"/>
    <x v="1"/>
    <x v="1"/>
    <x v="2"/>
    <x v="3"/>
    <x v="1"/>
    <s v="March"/>
  </r>
  <r>
    <s v="2.20345E+11"/>
    <n v="211208769"/>
    <m/>
    <m/>
    <s v="Unknown"/>
    <m/>
    <n v="0"/>
    <n v="0"/>
    <x v="2"/>
    <x v="11"/>
    <x v="11"/>
    <s v="No"/>
    <s v="No"/>
    <n v="23"/>
    <s v="Unkown"/>
    <x v="5"/>
    <x v="2"/>
    <n v="382"/>
    <x v="77"/>
    <x v="2"/>
    <s v="Fail"/>
    <x v="2"/>
    <s v="D"/>
    <x v="1"/>
    <s v="40-50"/>
    <x v="0"/>
    <x v="0"/>
    <x v="0"/>
    <x v="0"/>
    <x v="1"/>
    <x v="2"/>
    <x v="3"/>
    <x v="1"/>
    <s v="March"/>
  </r>
  <r>
    <s v="2.20345E+11"/>
    <n v="220105154"/>
    <m/>
    <m/>
    <s v="Unknown"/>
    <m/>
    <n v="0"/>
    <n v="0"/>
    <x v="2"/>
    <x v="11"/>
    <x v="11"/>
    <s v="No"/>
    <s v="No"/>
    <n v="23"/>
    <s v="Unkown"/>
    <x v="5"/>
    <x v="2"/>
    <n v="533"/>
    <x v="58"/>
    <x v="1"/>
    <s v="Pass"/>
    <x v="1"/>
    <s v="A"/>
    <x v="1"/>
    <s v="60-70"/>
    <x v="1"/>
    <x v="82"/>
    <x v="1"/>
    <x v="1"/>
    <x v="1"/>
    <x v="2"/>
    <x v="3"/>
    <x v="1"/>
    <s v="March"/>
  </r>
  <r>
    <s v="2.20345E+11"/>
    <n v="211205599"/>
    <d v="2022-02-22T00:00:00"/>
    <s v="19:19:39.051Z"/>
    <n v="1676"/>
    <d v="1999-04-15T00:00:00"/>
    <n v="77.599999999999994"/>
    <s v="Other"/>
    <x v="45"/>
    <x v="177"/>
    <x v="205"/>
    <s v="No"/>
    <s v="No"/>
    <n v="22"/>
    <s v="60-75"/>
    <x v="5"/>
    <x v="0"/>
    <n v="553"/>
    <x v="161"/>
    <x v="2"/>
    <s v="Pass"/>
    <x v="2"/>
    <s v="B"/>
    <x v="1"/>
    <s v="60-70"/>
    <x v="1"/>
    <x v="43"/>
    <x v="1"/>
    <x v="1"/>
    <x v="1"/>
    <x v="1"/>
    <x v="2"/>
    <x v="1"/>
    <s v="March"/>
  </r>
  <r>
    <s v="2.20345E+11"/>
    <n v="211202093"/>
    <d v="2022-02-23T00:00:00"/>
    <s v="00:19:57.113Z"/>
    <n v="2255"/>
    <d v="1999-09-08T00:00:00"/>
    <n v="76.599999999999994"/>
    <s v="Other"/>
    <x v="46"/>
    <x v="100"/>
    <x v="206"/>
    <s v="No"/>
    <s v="No"/>
    <n v="22"/>
    <s v="100-75"/>
    <x v="1"/>
    <x v="5"/>
    <n v="622"/>
    <x v="188"/>
    <x v="0"/>
    <s v="Pass"/>
    <x v="0"/>
    <s v="A"/>
    <x v="1"/>
    <s v="70-85"/>
    <x v="1"/>
    <x v="26"/>
    <x v="1"/>
    <x v="1"/>
    <x v="1"/>
    <x v="0"/>
    <x v="2"/>
    <x v="1"/>
    <s v="March"/>
  </r>
  <r>
    <s v="2.20345E+11"/>
    <n v="220106990"/>
    <m/>
    <m/>
    <s v="Unknown"/>
    <m/>
    <n v="0"/>
    <n v="0"/>
    <x v="2"/>
    <x v="11"/>
    <x v="11"/>
    <s v="No"/>
    <s v="No"/>
    <n v="23"/>
    <s v="Unkown"/>
    <x v="5"/>
    <x v="2"/>
    <n v="562"/>
    <x v="135"/>
    <x v="1"/>
    <s v="Pass"/>
    <x v="1"/>
    <s v="A"/>
    <x v="1"/>
    <s v="70-85"/>
    <x v="1"/>
    <x v="79"/>
    <x v="1"/>
    <x v="1"/>
    <x v="1"/>
    <x v="2"/>
    <x v="3"/>
    <x v="1"/>
    <s v="March"/>
  </r>
  <r>
    <s v="2.20345E+11"/>
    <n v="220103622"/>
    <m/>
    <m/>
    <s v="Unknown"/>
    <m/>
    <n v="0"/>
    <n v="0"/>
    <x v="2"/>
    <x v="11"/>
    <x v="11"/>
    <s v="No"/>
    <s v="No"/>
    <n v="23"/>
    <s v="Unkown"/>
    <x v="5"/>
    <x v="2"/>
    <n v="483"/>
    <x v="104"/>
    <x v="1"/>
    <s v="Pass"/>
    <x v="1"/>
    <s v="C"/>
    <x v="1"/>
    <s v="60-70"/>
    <x v="1"/>
    <x v="83"/>
    <x v="1"/>
    <x v="1"/>
    <x v="1"/>
    <x v="2"/>
    <x v="3"/>
    <x v="1"/>
    <s v="March"/>
  </r>
  <r>
    <s v="2.20345E+11"/>
    <n v="211207755"/>
    <m/>
    <m/>
    <s v="Unknown"/>
    <m/>
    <n v="0"/>
    <n v="0"/>
    <x v="2"/>
    <x v="11"/>
    <x v="11"/>
    <s v="No"/>
    <s v="No"/>
    <n v="23"/>
    <s v="Unkown"/>
    <x v="5"/>
    <x v="2"/>
    <n v="408"/>
    <x v="49"/>
    <x v="4"/>
    <s v="Fail"/>
    <x v="4"/>
    <s v="D"/>
    <x v="1"/>
    <s v="50-60"/>
    <x v="0"/>
    <x v="0"/>
    <x v="0"/>
    <x v="0"/>
    <x v="1"/>
    <x v="2"/>
    <x v="3"/>
    <x v="1"/>
    <s v="March"/>
  </r>
  <r>
    <s v="2.20345E+11"/>
    <n v="220101509"/>
    <d v="2022-02-23T00:00:00"/>
    <s v="12:14:21.892Z"/>
    <n v="3123"/>
    <d v="1997-04-07T00:00:00"/>
    <n v="77"/>
    <n v="55.69"/>
    <x v="47"/>
    <x v="163"/>
    <x v="207"/>
    <s v="No"/>
    <s v="No"/>
    <n v="24"/>
    <s v="60-75"/>
    <x v="4"/>
    <x v="5"/>
    <n v="379"/>
    <x v="189"/>
    <x v="0"/>
    <s v="Fail"/>
    <x v="0"/>
    <s v="D"/>
    <x v="1"/>
    <s v="40-50"/>
    <x v="0"/>
    <x v="0"/>
    <x v="0"/>
    <x v="0"/>
    <x v="1"/>
    <x v="4"/>
    <x v="0"/>
    <x v="1"/>
    <s v="March"/>
  </r>
  <r>
    <s v="2.20345E+11"/>
    <n v="211200829"/>
    <d v="2022-02-22T00:00:00"/>
    <s v="21:03:00.545Z"/>
    <n v="2983"/>
    <d v="1997-11-17T00:00:00"/>
    <n v="82.73"/>
    <s v="Other"/>
    <x v="48"/>
    <x v="75"/>
    <x v="208"/>
    <s v="No"/>
    <s v="No"/>
    <n v="24"/>
    <s v="60-75"/>
    <x v="4"/>
    <x v="5"/>
    <n v="530"/>
    <x v="175"/>
    <x v="1"/>
    <s v="Pass"/>
    <x v="1"/>
    <s v="B"/>
    <x v="1"/>
    <s v="60-70"/>
    <x v="1"/>
    <x v="24"/>
    <x v="1"/>
    <x v="1"/>
    <x v="1"/>
    <x v="0"/>
    <x v="0"/>
    <x v="1"/>
    <s v="March"/>
  </r>
  <r>
    <s v="2.20345E+11"/>
    <n v="211200935"/>
    <d v="2022-02-23T00:00:00"/>
    <s v="11:48:21.291Z"/>
    <n v="3121"/>
    <d v="1999-08-13T00:00:00"/>
    <n v="75"/>
    <n v="53"/>
    <x v="0"/>
    <x v="45"/>
    <x v="209"/>
    <s v="No"/>
    <s v="No"/>
    <n v="22"/>
    <s v="100-75"/>
    <x v="5"/>
    <x v="0"/>
    <n v="414"/>
    <x v="190"/>
    <x v="4"/>
    <s v="Fail"/>
    <x v="4"/>
    <s v="D"/>
    <x v="1"/>
    <s v="50-60"/>
    <x v="0"/>
    <x v="0"/>
    <x v="0"/>
    <x v="0"/>
    <x v="1"/>
    <x v="4"/>
    <x v="2"/>
    <x v="1"/>
    <s v="March"/>
  </r>
  <r>
    <s v="2.20345E+11"/>
    <n v="211202556"/>
    <d v="2022-02-23T00:00:00"/>
    <s v="11:24:11.441Z"/>
    <n v="2781"/>
    <d v="1998-09-03T00:00:00"/>
    <n v="80.599999999999994"/>
    <n v="59.23"/>
    <x v="0"/>
    <x v="178"/>
    <x v="210"/>
    <s v="No"/>
    <s v="No"/>
    <n v="23"/>
    <s v="60-75"/>
    <x v="1"/>
    <x v="1"/>
    <n v="541"/>
    <x v="191"/>
    <x v="2"/>
    <s v="Pass"/>
    <x v="2"/>
    <s v="A"/>
    <x v="1"/>
    <s v="60-70"/>
    <x v="0"/>
    <x v="0"/>
    <x v="0"/>
    <x v="0"/>
    <x v="1"/>
    <x v="0"/>
    <x v="0"/>
    <x v="1"/>
    <s v="March"/>
  </r>
  <r>
    <s v="2.20345E+11"/>
    <n v="211206773"/>
    <d v="2022-02-23T00:00:00"/>
    <s v="11:12:32.055Z"/>
    <n v="2750"/>
    <d v="1997-10-26T00:00:00"/>
    <n v="85.45"/>
    <n v="73.540000000000006"/>
    <x v="0"/>
    <x v="155"/>
    <x v="211"/>
    <s v="No"/>
    <s v="No"/>
    <n v="24"/>
    <s v="60-75"/>
    <x v="5"/>
    <x v="5"/>
    <n v="550"/>
    <x v="80"/>
    <x v="0"/>
    <s v="Pass"/>
    <x v="0"/>
    <s v="C"/>
    <x v="1"/>
    <s v="60-70"/>
    <x v="1"/>
    <x v="24"/>
    <x v="1"/>
    <x v="1"/>
    <x v="1"/>
    <x v="0"/>
    <x v="0"/>
    <x v="1"/>
    <s v="March"/>
  </r>
  <r>
    <s v="2.20345E+11"/>
    <n v="211201501"/>
    <m/>
    <m/>
    <s v="Unknown"/>
    <m/>
    <n v="0"/>
    <n v="0"/>
    <x v="2"/>
    <x v="11"/>
    <x v="11"/>
    <s v="No"/>
    <s v="No"/>
    <n v="23"/>
    <s v="Unkown"/>
    <x v="5"/>
    <x v="2"/>
    <n v="419"/>
    <x v="22"/>
    <x v="0"/>
    <s v="Fail"/>
    <x v="0"/>
    <s v="B"/>
    <x v="1"/>
    <s v="50-60"/>
    <x v="0"/>
    <x v="0"/>
    <x v="0"/>
    <x v="0"/>
    <x v="1"/>
    <x v="2"/>
    <x v="3"/>
    <x v="1"/>
    <s v="March"/>
  </r>
  <r>
    <s v="2.20345E+11"/>
    <n v="211203361"/>
    <m/>
    <m/>
    <s v="Unknown"/>
    <m/>
    <n v="0"/>
    <n v="0"/>
    <x v="2"/>
    <x v="11"/>
    <x v="11"/>
    <s v="No"/>
    <s v="No"/>
    <n v="23"/>
    <s v="Unkown"/>
    <x v="5"/>
    <x v="2"/>
    <n v="547"/>
    <x v="51"/>
    <x v="1"/>
    <s v="Pass"/>
    <x v="1"/>
    <s v="A"/>
    <x v="1"/>
    <s v="60-70"/>
    <x v="0"/>
    <x v="0"/>
    <x v="0"/>
    <x v="0"/>
    <x v="1"/>
    <x v="2"/>
    <x v="3"/>
    <x v="1"/>
    <s v="March"/>
  </r>
  <r>
    <s v="2.20345E+11"/>
    <n v="220107248"/>
    <m/>
    <m/>
    <s v="Unknown"/>
    <m/>
    <n v="0"/>
    <n v="0"/>
    <x v="2"/>
    <x v="11"/>
    <x v="11"/>
    <s v="No"/>
    <s v="No"/>
    <n v="23"/>
    <s v="Unkown"/>
    <x v="5"/>
    <x v="2"/>
    <n v="395"/>
    <x v="192"/>
    <x v="0"/>
    <s v="Fail"/>
    <x v="0"/>
    <s v="D"/>
    <x v="1"/>
    <s v="40-50"/>
    <x v="0"/>
    <x v="0"/>
    <x v="0"/>
    <x v="0"/>
    <x v="1"/>
    <x v="2"/>
    <x v="3"/>
    <x v="1"/>
    <s v="March"/>
  </r>
  <r>
    <s v="2.20345E+11"/>
    <n v="211207045"/>
    <m/>
    <m/>
    <s v="Unknown"/>
    <m/>
    <n v="0"/>
    <n v="0"/>
    <x v="2"/>
    <x v="11"/>
    <x v="11"/>
    <s v="No"/>
    <s v="No"/>
    <n v="23"/>
    <s v="Unkown"/>
    <x v="5"/>
    <x v="2"/>
    <n v="453"/>
    <x v="4"/>
    <x v="2"/>
    <s v="Pass"/>
    <x v="2"/>
    <s v="C"/>
    <x v="1"/>
    <s v="50-60"/>
    <x v="2"/>
    <x v="3"/>
    <x v="1"/>
    <x v="1"/>
    <x v="1"/>
    <x v="2"/>
    <x v="3"/>
    <x v="1"/>
    <s v="March"/>
  </r>
  <r>
    <s v="2.10545E+11"/>
    <n v="210302728"/>
    <d v="2021-04-29T00:00:00"/>
    <s v="22:39:29.919Z"/>
    <n v="1123"/>
    <d v="1996-11-10T00:00:00"/>
    <n v="90.91"/>
    <n v="85.54"/>
    <x v="0"/>
    <x v="179"/>
    <x v="212"/>
    <s v="No"/>
    <s v="No"/>
    <n v="24"/>
    <s v="60-75"/>
    <x v="5"/>
    <x v="0"/>
    <n v="447"/>
    <x v="193"/>
    <x v="2"/>
    <s v="Pass"/>
    <x v="2"/>
    <s v="A"/>
    <x v="0"/>
    <s v="70-85"/>
    <x v="1"/>
    <x v="84"/>
    <x v="1"/>
    <x v="1"/>
    <x v="2"/>
    <x v="1"/>
    <x v="0"/>
    <x v="2"/>
    <s v="March"/>
  </r>
  <r>
    <s v="2.10545E+11"/>
    <n v="210301775"/>
    <d v="2021-04-29T00:00:00"/>
    <s v="20:18:39.550Z"/>
    <n v="1520"/>
    <d v="1996-07-30T00:00:00"/>
    <n v="88.18"/>
    <n v="78"/>
    <x v="0"/>
    <x v="180"/>
    <x v="213"/>
    <s v="No"/>
    <s v="No"/>
    <n v="24"/>
    <s v="60-75"/>
    <x v="1"/>
    <x v="0"/>
    <n v="433"/>
    <x v="194"/>
    <x v="2"/>
    <s v="Pass"/>
    <x v="2"/>
    <s v="A"/>
    <x v="0"/>
    <s v="70-85"/>
    <x v="1"/>
    <x v="85"/>
    <x v="1"/>
    <x v="1"/>
    <x v="2"/>
    <x v="1"/>
    <x v="0"/>
    <x v="2"/>
    <s v="March"/>
  </r>
  <r>
    <s v="2.10545E+11"/>
    <n v="210305660"/>
    <d v="2021-04-30T00:00:00"/>
    <s v="08:50:49.905Z"/>
    <n v="1416"/>
    <d v="1996-08-30T00:00:00"/>
    <n v="82.55"/>
    <n v="69.36"/>
    <x v="0"/>
    <x v="181"/>
    <x v="214"/>
    <s v="No"/>
    <s v="Yes"/>
    <n v="24"/>
    <s v="60-75"/>
    <x v="2"/>
    <x v="5"/>
    <n v="434"/>
    <x v="195"/>
    <x v="2"/>
    <s v="Pass"/>
    <x v="2"/>
    <s v="A"/>
    <x v="0"/>
    <s v="70-85"/>
    <x v="1"/>
    <x v="86"/>
    <x v="1"/>
    <x v="1"/>
    <x v="2"/>
    <x v="1"/>
    <x v="0"/>
    <x v="2"/>
    <s v="March"/>
  </r>
  <r>
    <s v="2.10545E+11"/>
    <n v="210302268"/>
    <d v="2021-04-29T00:00:00"/>
    <s v="20:34:28.998Z"/>
    <n v="834"/>
    <d v="1997-12-02T00:00:00"/>
    <n v="85.5"/>
    <n v="80.8"/>
    <x v="0"/>
    <x v="182"/>
    <x v="215"/>
    <s v="No"/>
    <s v="No"/>
    <n v="23"/>
    <s v="60-75"/>
    <x v="5"/>
    <x v="1"/>
    <n v="274"/>
    <x v="196"/>
    <x v="2"/>
    <s v="Pass"/>
    <x v="2"/>
    <s v="C"/>
    <x v="0"/>
    <s v="40-50"/>
    <x v="1"/>
    <x v="87"/>
    <x v="1"/>
    <x v="1"/>
    <x v="2"/>
    <x v="3"/>
    <x v="0"/>
    <x v="2"/>
    <s v="March"/>
  </r>
  <r>
    <s v="2.10545E+11"/>
    <n v="210302759"/>
    <d v="2021-04-29T00:00:00"/>
    <s v="21:44:20.178Z"/>
    <n v="905"/>
    <d v="1998-07-20T00:00:00"/>
    <n v="90"/>
    <n v="67.08"/>
    <x v="0"/>
    <x v="152"/>
    <x v="216"/>
    <s v="No"/>
    <s v="No"/>
    <n v="22"/>
    <s v="60-75"/>
    <x v="5"/>
    <x v="5"/>
    <n v="436"/>
    <x v="197"/>
    <x v="1"/>
    <s v="Pass"/>
    <x v="1"/>
    <s v="A"/>
    <x v="0"/>
    <s v="70-85"/>
    <x v="1"/>
    <x v="88"/>
    <x v="1"/>
    <x v="1"/>
    <x v="2"/>
    <x v="3"/>
    <x v="2"/>
    <x v="2"/>
    <s v="March"/>
  </r>
  <r>
    <s v="2.10545E+11"/>
    <n v="210307767"/>
    <d v="2021-04-30T00:00:00"/>
    <s v="08:28:22.953Z"/>
    <n v="1547"/>
    <d v="1996-08-05T00:00:00"/>
    <n v="72.55"/>
    <s v="Other"/>
    <x v="49"/>
    <x v="183"/>
    <x v="217"/>
    <s v="No"/>
    <s v="No"/>
    <n v="24"/>
    <s v="45-60"/>
    <x v="4"/>
    <x v="0"/>
    <n v="380"/>
    <x v="198"/>
    <x v="2"/>
    <s v="Pass"/>
    <x v="2"/>
    <s v="B"/>
    <x v="0"/>
    <s v="60-70"/>
    <x v="1"/>
    <x v="87"/>
    <x v="1"/>
    <x v="1"/>
    <x v="2"/>
    <x v="1"/>
    <x v="0"/>
    <x v="2"/>
    <s v="March"/>
  </r>
  <r>
    <s v="2.10545E+11"/>
    <n v="210301363"/>
    <m/>
    <m/>
    <s v="Unknown"/>
    <m/>
    <n v="0"/>
    <n v="0"/>
    <x v="2"/>
    <x v="11"/>
    <x v="11"/>
    <s v="No"/>
    <s v="No"/>
    <n v="23"/>
    <s v="Unkown"/>
    <x v="5"/>
    <x v="2"/>
    <n v="404"/>
    <x v="199"/>
    <x v="2"/>
    <s v="Pass"/>
    <x v="2"/>
    <s v="B"/>
    <x v="0"/>
    <s v="60-70"/>
    <x v="1"/>
    <x v="89"/>
    <x v="1"/>
    <x v="1"/>
    <x v="2"/>
    <x v="2"/>
    <x v="3"/>
    <x v="2"/>
    <s v="March"/>
  </r>
  <r>
    <s v="2.10545E+11"/>
    <n v="210304467"/>
    <d v="2021-04-30T00:00:00"/>
    <s v="08:54:26.613Z"/>
    <n v="987"/>
    <d v="1994-11-18T00:00:00"/>
    <n v="95.27"/>
    <n v="64"/>
    <x v="0"/>
    <x v="178"/>
    <x v="176"/>
    <s v="No"/>
    <s v="No"/>
    <n v="26"/>
    <s v="60-75"/>
    <x v="5"/>
    <x v="0"/>
    <n v="450"/>
    <x v="29"/>
    <x v="1"/>
    <s v="Pass"/>
    <x v="1"/>
    <s v="A"/>
    <x v="0"/>
    <s v="70-85"/>
    <x v="1"/>
    <x v="84"/>
    <x v="1"/>
    <x v="1"/>
    <x v="2"/>
    <x v="3"/>
    <x v="1"/>
    <x v="2"/>
    <s v="March"/>
  </r>
  <r>
    <s v="2.10545E+11"/>
    <n v="210301727"/>
    <d v="2021-04-29T00:00:00"/>
    <s v="22:05:17.581Z"/>
    <n v="1482"/>
    <d v="1997-02-04T00:00:00"/>
    <n v="79.27"/>
    <n v="57.34"/>
    <x v="0"/>
    <x v="184"/>
    <x v="218"/>
    <s v="No"/>
    <s v="No"/>
    <n v="24"/>
    <s v="45-60"/>
    <x v="5"/>
    <x v="5"/>
    <n v="411"/>
    <x v="47"/>
    <x v="2"/>
    <s v="Pass"/>
    <x v="2"/>
    <s v="B"/>
    <x v="0"/>
    <s v="60-70"/>
    <x v="1"/>
    <x v="90"/>
    <x v="1"/>
    <x v="1"/>
    <x v="2"/>
    <x v="1"/>
    <x v="0"/>
    <x v="2"/>
    <s v="March"/>
  </r>
  <r>
    <s v="2.10545E+11"/>
    <n v="210302539"/>
    <d v="2021-04-29T00:00:00"/>
    <s v="20:50:57.650Z"/>
    <n v="1489"/>
    <d v="1995-08-11T00:00:00"/>
    <n v="71.09"/>
    <n v="63.33"/>
    <x v="0"/>
    <x v="185"/>
    <x v="219"/>
    <s v="No"/>
    <s v="No"/>
    <n v="25"/>
    <s v="60-75"/>
    <x v="4"/>
    <x v="5"/>
    <n v="396"/>
    <x v="14"/>
    <x v="2"/>
    <s v="Pass"/>
    <x v="2"/>
    <s v="A"/>
    <x v="0"/>
    <s v="60-70"/>
    <x v="1"/>
    <x v="89"/>
    <x v="1"/>
    <x v="1"/>
    <x v="2"/>
    <x v="1"/>
    <x v="0"/>
    <x v="2"/>
    <s v="March"/>
  </r>
  <r>
    <s v="2.10545E+11"/>
    <n v="210300164"/>
    <d v="2021-04-29T00:00:00"/>
    <s v="21:22:20.330Z"/>
    <n v="1472"/>
    <d v="1998-04-28T00:00:00"/>
    <n v="85"/>
    <n v="69.69"/>
    <x v="0"/>
    <x v="186"/>
    <x v="220"/>
    <s v="No"/>
    <s v="No"/>
    <n v="23"/>
    <s v="0-35"/>
    <x v="2"/>
    <x v="0"/>
    <n v="448"/>
    <x v="200"/>
    <x v="2"/>
    <s v="Pass"/>
    <x v="2"/>
    <s v="B"/>
    <x v="0"/>
    <s v="70-85"/>
    <x v="1"/>
    <x v="24"/>
    <x v="1"/>
    <x v="1"/>
    <x v="2"/>
    <x v="1"/>
    <x v="0"/>
    <x v="2"/>
    <s v="March"/>
  </r>
  <r>
    <s v="2.10545E+11"/>
    <n v="210301175"/>
    <d v="2021-04-30T00:00:00"/>
    <s v="19:19:51.649Z"/>
    <n v="1151"/>
    <d v="1998-07-04T00:00:00"/>
    <n v="90.2"/>
    <n v="68.459999999999994"/>
    <x v="0"/>
    <x v="187"/>
    <x v="221"/>
    <s v="No"/>
    <s v="Yes"/>
    <n v="22"/>
    <s v="100-75"/>
    <x v="5"/>
    <x v="0"/>
    <n v="424"/>
    <x v="201"/>
    <x v="1"/>
    <s v="Pass"/>
    <x v="1"/>
    <s v="A"/>
    <x v="0"/>
    <s v="70-85"/>
    <x v="1"/>
    <x v="91"/>
    <x v="1"/>
    <x v="1"/>
    <x v="2"/>
    <x v="1"/>
    <x v="2"/>
    <x v="2"/>
    <s v="March"/>
  </r>
  <r>
    <s v="2.10545E+11"/>
    <n v="210303600"/>
    <d v="2021-04-30T00:00:00"/>
    <s v="12:23:13.130Z"/>
    <n v="1273"/>
    <d v="1996-01-14T00:00:00"/>
    <n v="91.09"/>
    <s v="Other"/>
    <x v="50"/>
    <x v="157"/>
    <x v="222"/>
    <s v="No"/>
    <s v="No"/>
    <n v="25"/>
    <s v="45-60"/>
    <x v="0"/>
    <x v="5"/>
    <n v="459"/>
    <x v="202"/>
    <x v="1"/>
    <s v="Pass"/>
    <x v="1"/>
    <s v="A"/>
    <x v="0"/>
    <s v="70-85"/>
    <x v="1"/>
    <x v="44"/>
    <x v="1"/>
    <x v="1"/>
    <x v="2"/>
    <x v="1"/>
    <x v="0"/>
    <x v="2"/>
    <s v="March"/>
  </r>
  <r>
    <s v="2.10545E+11"/>
    <n v="210302672"/>
    <d v="2021-04-29T00:00:00"/>
    <s v="22:42:42.063Z"/>
    <n v="1514"/>
    <d v="1993-11-19T00:00:00"/>
    <n v="72.150000000000006"/>
    <n v="47.33"/>
    <x v="51"/>
    <x v="188"/>
    <x v="223"/>
    <s v="No"/>
    <s v="No"/>
    <n v="27"/>
    <s v="60-75"/>
    <x v="4"/>
    <x v="0"/>
    <n v="388"/>
    <x v="203"/>
    <x v="2"/>
    <s v="Pass"/>
    <x v="2"/>
    <s v="C"/>
    <x v="0"/>
    <s v="60-70"/>
    <x v="1"/>
    <x v="92"/>
    <x v="1"/>
    <x v="1"/>
    <x v="2"/>
    <x v="1"/>
    <x v="1"/>
    <x v="2"/>
    <s v="March"/>
  </r>
  <r>
    <s v="2.10545E+11"/>
    <n v="210300983"/>
    <d v="2021-04-30T00:00:00"/>
    <s v="01:48:01.422Z"/>
    <n v="825"/>
    <d v="1998-04-10T00:00:00"/>
    <n v="86.4"/>
    <n v="71.540000000000006"/>
    <x v="0"/>
    <x v="189"/>
    <x v="224"/>
    <s v="No"/>
    <s v="Yes"/>
    <n v="23"/>
    <s v="0-35"/>
    <x v="5"/>
    <x v="0"/>
    <n v="448"/>
    <x v="200"/>
    <x v="2"/>
    <s v="Pass"/>
    <x v="2"/>
    <s v="B"/>
    <x v="0"/>
    <s v="70-85"/>
    <x v="1"/>
    <x v="24"/>
    <x v="1"/>
    <x v="1"/>
    <x v="2"/>
    <x v="3"/>
    <x v="0"/>
    <x v="2"/>
    <s v="March"/>
  </r>
  <r>
    <s v="2.10545E+11"/>
    <n v="210305308"/>
    <d v="2021-04-30T00:00:00"/>
    <s v="11:47:17.076Z"/>
    <n v="1021"/>
    <d v="1996-05-22T00:00:00"/>
    <n v="88.3"/>
    <n v="88.2"/>
    <x v="0"/>
    <x v="190"/>
    <x v="225"/>
    <s v="No"/>
    <s v="No"/>
    <n v="24"/>
    <s v="0-35"/>
    <x v="5"/>
    <x v="0"/>
    <n v="387"/>
    <x v="204"/>
    <x v="2"/>
    <s v="Pass"/>
    <x v="2"/>
    <s v="B"/>
    <x v="0"/>
    <s v="60-70"/>
    <x v="1"/>
    <x v="87"/>
    <x v="1"/>
    <x v="1"/>
    <x v="2"/>
    <x v="1"/>
    <x v="0"/>
    <x v="2"/>
    <s v="March"/>
  </r>
  <r>
    <s v="2.10545E+11"/>
    <n v="210300155"/>
    <d v="2021-04-29T00:00:00"/>
    <s v="23:01:18.446Z"/>
    <n v="1462"/>
    <d v="1998-11-03T00:00:00"/>
    <n v="82.2"/>
    <s v="Other"/>
    <x v="52"/>
    <x v="191"/>
    <x v="226"/>
    <s v="No"/>
    <s v="No"/>
    <n v="22"/>
    <s v="60-75"/>
    <x v="5"/>
    <x v="0"/>
    <n v="451"/>
    <x v="205"/>
    <x v="2"/>
    <s v="Pass"/>
    <x v="2"/>
    <s v="A"/>
    <x v="0"/>
    <s v="70-85"/>
    <x v="1"/>
    <x v="93"/>
    <x v="1"/>
    <x v="1"/>
    <x v="2"/>
    <x v="1"/>
    <x v="2"/>
    <x v="2"/>
    <s v="March"/>
  </r>
  <r>
    <s v="2.10545E+11"/>
    <n v="210303627"/>
    <d v="2021-04-29T00:00:00"/>
    <s v="22:43:44.934Z"/>
    <n v="608"/>
    <d v="1991-11-07T00:00:00"/>
    <n v="72.459999999999994"/>
    <n v="70.33"/>
    <x v="0"/>
    <x v="192"/>
    <x v="227"/>
    <s v="No"/>
    <s v="No"/>
    <n v="29"/>
    <s v="60-75"/>
    <x v="4"/>
    <x v="0"/>
    <n v="415"/>
    <x v="206"/>
    <x v="1"/>
    <s v="Pass"/>
    <x v="1"/>
    <s v="A"/>
    <x v="0"/>
    <s v="60-70"/>
    <x v="1"/>
    <x v="38"/>
    <x v="1"/>
    <x v="1"/>
    <x v="2"/>
    <x v="3"/>
    <x v="4"/>
    <x v="2"/>
    <s v="March"/>
  </r>
  <r>
    <s v="2.10545E+11"/>
    <n v="210304896"/>
    <d v="2021-05-03T00:00:00"/>
    <s v="16:09:07.782Z"/>
    <n v="871"/>
    <d v="1998-10-18T00:00:00"/>
    <n v="87.2"/>
    <s v="Other"/>
    <x v="53"/>
    <x v="193"/>
    <x v="228"/>
    <s v="No"/>
    <s v="No"/>
    <n v="22"/>
    <s v="100-75"/>
    <x v="6"/>
    <x v="0"/>
    <n v="404"/>
    <x v="199"/>
    <x v="1"/>
    <s v="Pass"/>
    <x v="1"/>
    <s v="A"/>
    <x v="0"/>
    <s v="60-70"/>
    <x v="1"/>
    <x v="12"/>
    <x v="1"/>
    <x v="1"/>
    <x v="2"/>
    <x v="3"/>
    <x v="2"/>
    <x v="2"/>
    <s v="March"/>
  </r>
  <r>
    <s v="2.10545E+11"/>
    <n v="210304088"/>
    <d v="2021-04-29T00:00:00"/>
    <s v="20:32:38.653Z"/>
    <n v="1248"/>
    <d v="1997-01-13T00:00:00"/>
    <n v="74.599999999999994"/>
    <s v="Other"/>
    <x v="54"/>
    <x v="194"/>
    <x v="229"/>
    <s v="No"/>
    <s v="Yes"/>
    <n v="24"/>
    <s v="45-60"/>
    <x v="4"/>
    <x v="0"/>
    <n v="461"/>
    <x v="207"/>
    <x v="1"/>
    <s v="Pass"/>
    <x v="1"/>
    <s v="B"/>
    <x v="0"/>
    <s v="70-85"/>
    <x v="1"/>
    <x v="43"/>
    <x v="1"/>
    <x v="1"/>
    <x v="2"/>
    <x v="1"/>
    <x v="0"/>
    <x v="2"/>
    <s v="March"/>
  </r>
  <r>
    <s v="2.10545E+11"/>
    <n v="210305221"/>
    <d v="2021-05-03T00:00:00"/>
    <s v="22:55:03.236Z"/>
    <n v="1472"/>
    <d v="1997-04-17T00:00:00"/>
    <n v="82.72"/>
    <s v="Other"/>
    <x v="55"/>
    <x v="138"/>
    <x v="230"/>
    <s v="No"/>
    <s v="No"/>
    <n v="24"/>
    <s v="45-60"/>
    <x v="0"/>
    <x v="5"/>
    <n v="322"/>
    <x v="208"/>
    <x v="2"/>
    <s v="Pass"/>
    <x v="2"/>
    <s v="B"/>
    <x v="0"/>
    <s v="50-60"/>
    <x v="1"/>
    <x v="94"/>
    <x v="1"/>
    <x v="1"/>
    <x v="2"/>
    <x v="1"/>
    <x v="0"/>
    <x v="2"/>
    <s v="March"/>
  </r>
  <r>
    <s v="2.10545E+11"/>
    <n v="210304146"/>
    <d v="2021-04-29T00:00:00"/>
    <s v="21:26:49.355Z"/>
    <n v="1332"/>
    <d v="1996-06-26T00:00:00"/>
    <n v="69.64"/>
    <n v="55.67"/>
    <x v="0"/>
    <x v="195"/>
    <x v="231"/>
    <s v="No"/>
    <s v="No"/>
    <n v="24"/>
    <s v="45-60"/>
    <x v="0"/>
    <x v="0"/>
    <n v="414"/>
    <x v="209"/>
    <x v="1"/>
    <s v="Pass"/>
    <x v="1"/>
    <s v="B"/>
    <x v="0"/>
    <s v="60-70"/>
    <x v="1"/>
    <x v="57"/>
    <x v="1"/>
    <x v="1"/>
    <x v="2"/>
    <x v="1"/>
    <x v="0"/>
    <x v="2"/>
    <s v="March"/>
  </r>
  <r>
    <s v="2.10545E+11"/>
    <n v="210307975"/>
    <d v="2021-04-29T00:00:00"/>
    <s v="23:24:38.457Z"/>
    <n v="787"/>
    <d v="1995-10-25T00:00:00"/>
    <n v="86.18"/>
    <s v="Other"/>
    <x v="56"/>
    <x v="196"/>
    <x v="232"/>
    <s v="No"/>
    <s v="Yes"/>
    <n v="25"/>
    <s v="60-75"/>
    <x v="5"/>
    <x v="0"/>
    <n v="429"/>
    <x v="174"/>
    <x v="1"/>
    <s v="Pass"/>
    <x v="1"/>
    <s v="A"/>
    <x v="0"/>
    <s v="70-85"/>
    <x v="1"/>
    <x v="26"/>
    <x v="1"/>
    <x v="1"/>
    <x v="2"/>
    <x v="3"/>
    <x v="0"/>
    <x v="2"/>
    <s v="March"/>
  </r>
  <r>
    <s v="2.10545E+11"/>
    <n v="210305353"/>
    <d v="2021-04-30T00:00:00"/>
    <s v="08:52:51.553Z"/>
    <n v="871"/>
    <d v="1995-09-09T00:00:00"/>
    <n v="73.8"/>
    <s v="Other"/>
    <x v="57"/>
    <x v="197"/>
    <x v="233"/>
    <s v="No"/>
    <s v="No"/>
    <n v="25"/>
    <s v="60-75"/>
    <x v="5"/>
    <x v="0"/>
    <n v="425"/>
    <x v="210"/>
    <x v="2"/>
    <s v="Pass"/>
    <x v="2"/>
    <s v="C"/>
    <x v="0"/>
    <s v="70-85"/>
    <x v="1"/>
    <x v="39"/>
    <x v="1"/>
    <x v="1"/>
    <x v="2"/>
    <x v="3"/>
    <x v="0"/>
    <x v="2"/>
    <s v="March"/>
  </r>
  <r>
    <s v="2.10545E+11"/>
    <n v="210304928"/>
    <d v="2021-05-03T00:00:00"/>
    <s v="17:50:49.327Z"/>
    <n v="1472"/>
    <d v="1996-08-15T00:00:00"/>
    <n v="87.09"/>
    <s v="Other"/>
    <x v="58"/>
    <x v="198"/>
    <x v="234"/>
    <s v="No"/>
    <s v="No"/>
    <n v="24"/>
    <s v="45-60"/>
    <x v="1"/>
    <x v="0"/>
    <n v="355"/>
    <x v="211"/>
    <x v="2"/>
    <s v="Pass"/>
    <x v="2"/>
    <s v="C"/>
    <x v="0"/>
    <s v="50-60"/>
    <x v="1"/>
    <x v="92"/>
    <x v="1"/>
    <x v="1"/>
    <x v="2"/>
    <x v="1"/>
    <x v="0"/>
    <x v="2"/>
    <s v="March"/>
  </r>
  <r>
    <s v="2.10545E+11"/>
    <n v="210305982"/>
    <d v="2021-04-29T00:00:00"/>
    <s v="21:31:18.802Z"/>
    <n v="1535"/>
    <d v="1995-11-01T00:00:00"/>
    <n v="91.45"/>
    <n v="70.459999999999994"/>
    <x v="0"/>
    <x v="41"/>
    <x v="235"/>
    <s v="No"/>
    <s v="No"/>
    <n v="25"/>
    <s v="60-75"/>
    <x v="5"/>
    <x v="5"/>
    <n v="290"/>
    <x v="212"/>
    <x v="1"/>
    <s v="Fail"/>
    <x v="1"/>
    <s v="Fail"/>
    <x v="0"/>
    <s v="40-50"/>
    <x v="0"/>
    <x v="0"/>
    <x v="0"/>
    <x v="0"/>
    <x v="2"/>
    <x v="1"/>
    <x v="0"/>
    <x v="2"/>
    <s v="March"/>
  </r>
  <r>
    <s v="2.10545E+11"/>
    <n v="210302224"/>
    <d v="2021-05-03T00:00:00"/>
    <s v="17:54:45.199Z"/>
    <n v="1472"/>
    <d v="1996-03-27T00:00:00"/>
    <n v="96.18"/>
    <n v="69.849999999999994"/>
    <x v="0"/>
    <x v="185"/>
    <x v="208"/>
    <s v="No"/>
    <s v="No"/>
    <n v="25"/>
    <s v="60-75"/>
    <x v="3"/>
    <x v="0"/>
    <n v="448"/>
    <x v="200"/>
    <x v="1"/>
    <s v="Pass"/>
    <x v="1"/>
    <s v="A"/>
    <x v="0"/>
    <s v="70-85"/>
    <x v="1"/>
    <x v="57"/>
    <x v="1"/>
    <x v="1"/>
    <x v="2"/>
    <x v="1"/>
    <x v="0"/>
    <x v="2"/>
    <s v="March"/>
  </r>
  <r>
    <s v="2.10545E+11"/>
    <n v="210300250"/>
    <d v="2021-04-29T00:00:00"/>
    <s v="22:07:13.240Z"/>
    <n v="1047"/>
    <d v="1998-12-17T00:00:00"/>
    <n v="79.2"/>
    <n v="58.46"/>
    <x v="0"/>
    <x v="199"/>
    <x v="236"/>
    <s v="No"/>
    <s v="No"/>
    <n v="22"/>
    <s v="0-35"/>
    <x v="5"/>
    <x v="0"/>
    <n v="392"/>
    <x v="213"/>
    <x v="1"/>
    <s v="Pass"/>
    <x v="1"/>
    <s v="C"/>
    <x v="0"/>
    <s v="60-70"/>
    <x v="1"/>
    <x v="12"/>
    <x v="1"/>
    <x v="1"/>
    <x v="2"/>
    <x v="1"/>
    <x v="2"/>
    <x v="2"/>
    <s v="March"/>
  </r>
  <r>
    <s v="2.10545E+11"/>
    <n v="210300911"/>
    <d v="2021-04-29T00:00:00"/>
    <s v="23:13:16.680Z"/>
    <n v="1135"/>
    <d v="1998-01-07T00:00:00"/>
    <n v="86"/>
    <n v="78.77"/>
    <x v="0"/>
    <x v="200"/>
    <x v="237"/>
    <s v="No"/>
    <s v="Yes"/>
    <n v="23"/>
    <s v="0-35"/>
    <x v="5"/>
    <x v="0"/>
    <n v="445"/>
    <x v="214"/>
    <x v="2"/>
    <s v="Pass"/>
    <x v="2"/>
    <s v="A"/>
    <x v="0"/>
    <s v="70-85"/>
    <x v="1"/>
    <x v="84"/>
    <x v="1"/>
    <x v="1"/>
    <x v="2"/>
    <x v="1"/>
    <x v="0"/>
    <x v="2"/>
    <s v="March"/>
  </r>
  <r>
    <s v="2.10545E+11"/>
    <n v="210302144"/>
    <d v="2021-04-29T00:00:00"/>
    <s v="23:33:59.862Z"/>
    <n v="859"/>
    <d v="1997-12-01T00:00:00"/>
    <n v="77.27"/>
    <s v="Other"/>
    <x v="59"/>
    <x v="201"/>
    <x v="238"/>
    <s v="No"/>
    <s v="No"/>
    <n v="23"/>
    <s v="60-75"/>
    <x v="4"/>
    <x v="0"/>
    <n v="466"/>
    <x v="215"/>
    <x v="2"/>
    <s v="Pass"/>
    <x v="2"/>
    <s v="A"/>
    <x v="0"/>
    <s v="70-85"/>
    <x v="1"/>
    <x v="24"/>
    <x v="1"/>
    <x v="1"/>
    <x v="2"/>
    <x v="3"/>
    <x v="0"/>
    <x v="2"/>
    <s v="March"/>
  </r>
  <r>
    <s v="2.10545E+11"/>
    <n v="210300682"/>
    <d v="2021-04-30T00:00:00"/>
    <s v="08:19:25.099Z"/>
    <n v="1489"/>
    <d v="1995-04-17T00:00:00"/>
    <n v="92.73"/>
    <n v="85"/>
    <x v="0"/>
    <x v="202"/>
    <x v="239"/>
    <s v="No"/>
    <s v="No"/>
    <n v="26"/>
    <s v="60-75"/>
    <x v="4"/>
    <x v="0"/>
    <n v="461"/>
    <x v="207"/>
    <x v="1"/>
    <s v="Pass"/>
    <x v="1"/>
    <s v="B"/>
    <x v="0"/>
    <s v="70-85"/>
    <x v="1"/>
    <x v="95"/>
    <x v="1"/>
    <x v="1"/>
    <x v="2"/>
    <x v="1"/>
    <x v="1"/>
    <x v="2"/>
    <s v="March"/>
  </r>
  <r>
    <s v="2.10545E+11"/>
    <n v="210301418"/>
    <d v="2021-04-29T00:00:00"/>
    <s v="22:33:45.919Z"/>
    <n v="224"/>
    <d v="1998-07-18T00:00:00"/>
    <n v="94"/>
    <n v="86.31"/>
    <x v="0"/>
    <x v="203"/>
    <x v="240"/>
    <s v="No"/>
    <s v="No"/>
    <n v="22"/>
    <s v="60-75"/>
    <x v="3"/>
    <x v="0"/>
    <n v="501"/>
    <x v="150"/>
    <x v="1"/>
    <s v="Pass"/>
    <x v="1"/>
    <s v="A"/>
    <x v="0"/>
    <s v="70-85"/>
    <x v="1"/>
    <x v="91"/>
    <x v="1"/>
    <x v="1"/>
    <x v="2"/>
    <x v="3"/>
    <x v="2"/>
    <x v="2"/>
    <s v="March"/>
  </r>
  <r>
    <s v="2.10545E+11"/>
    <n v="210302284"/>
    <d v="2021-04-29T00:00:00"/>
    <s v="20:37:06.507Z"/>
    <n v="1320"/>
    <d v="1996-10-27T00:00:00"/>
    <n v="80.91"/>
    <n v="62.92"/>
    <x v="0"/>
    <x v="204"/>
    <x v="241"/>
    <s v="No"/>
    <s v="Yes"/>
    <n v="24"/>
    <s v="45-60"/>
    <x v="4"/>
    <x v="0"/>
    <n v="429"/>
    <x v="174"/>
    <x v="1"/>
    <s v="Pass"/>
    <x v="1"/>
    <s v="A"/>
    <x v="0"/>
    <s v="70-85"/>
    <x v="1"/>
    <x v="38"/>
    <x v="1"/>
    <x v="1"/>
    <x v="2"/>
    <x v="1"/>
    <x v="0"/>
    <x v="2"/>
    <s v="March"/>
  </r>
  <r>
    <s v="2.10545E+11"/>
    <n v="210305619"/>
    <d v="2021-04-29T00:00:00"/>
    <s v="21:07:19.218Z"/>
    <n v="1070"/>
    <d v="1996-12-28T00:00:00"/>
    <n v="77.819999999999993"/>
    <n v="67.849999999999994"/>
    <x v="0"/>
    <x v="205"/>
    <x v="242"/>
    <s v="No"/>
    <s v="No"/>
    <n v="24"/>
    <s v="60-75"/>
    <x v="4"/>
    <x v="0"/>
    <n v="458"/>
    <x v="216"/>
    <x v="1"/>
    <s v="Pass"/>
    <x v="1"/>
    <s v="C"/>
    <x v="0"/>
    <s v="70-85"/>
    <x v="1"/>
    <x v="24"/>
    <x v="1"/>
    <x v="1"/>
    <x v="2"/>
    <x v="1"/>
    <x v="0"/>
    <x v="2"/>
    <s v="March"/>
  </r>
  <r>
    <s v="2.10545E+11"/>
    <n v="210301142"/>
    <d v="2021-04-29T00:00:00"/>
    <s v="21:25:13.697Z"/>
    <n v="22"/>
    <d v="1996-04-17T00:00:00"/>
    <n v="85.64"/>
    <s v="Other"/>
    <x v="54"/>
    <x v="206"/>
    <x v="243"/>
    <s v="No"/>
    <s v="Yes"/>
    <n v="25"/>
    <s v="60-75"/>
    <x v="5"/>
    <x v="0"/>
    <n v="507"/>
    <x v="217"/>
    <x v="2"/>
    <s v="Pass"/>
    <x v="2"/>
    <s v="A"/>
    <x v="0"/>
    <s v="70-85"/>
    <x v="1"/>
    <x v="95"/>
    <x v="1"/>
    <x v="1"/>
    <x v="2"/>
    <x v="3"/>
    <x v="0"/>
    <x v="2"/>
    <s v="March"/>
  </r>
  <r>
    <s v="2.10545E+11"/>
    <n v="210303073"/>
    <d v="2021-05-03T00:00:00"/>
    <s v="19:01:43.417Z"/>
    <n v="855"/>
    <d v="1994-07-29T00:00:00"/>
    <n v="83.27"/>
    <n v="77"/>
    <x v="0"/>
    <x v="207"/>
    <x v="244"/>
    <s v="No"/>
    <s v="No"/>
    <n v="26"/>
    <s v="45-60"/>
    <x v="5"/>
    <x v="0"/>
    <n v="460"/>
    <x v="218"/>
    <x v="2"/>
    <s v="Pass"/>
    <x v="2"/>
    <s v="B"/>
    <x v="0"/>
    <s v="70-85"/>
    <x v="1"/>
    <x v="96"/>
    <x v="1"/>
    <x v="1"/>
    <x v="2"/>
    <x v="3"/>
    <x v="1"/>
    <x v="2"/>
    <s v="March"/>
  </r>
  <r>
    <s v="2.10545E+11"/>
    <n v="210300810"/>
    <d v="2021-04-29T00:00:00"/>
    <s v="23:12:07.382Z"/>
    <n v="978"/>
    <d v="1998-01-20T00:00:00"/>
    <n v="79.09"/>
    <n v="52.35"/>
    <x v="60"/>
    <x v="208"/>
    <x v="245"/>
    <s v="No"/>
    <s v="No"/>
    <n v="23"/>
    <s v="60-75"/>
    <x v="0"/>
    <x v="0"/>
    <n v="395"/>
    <x v="219"/>
    <x v="1"/>
    <s v="Pass"/>
    <x v="1"/>
    <s v="A"/>
    <x v="0"/>
    <s v="60-70"/>
    <x v="1"/>
    <x v="89"/>
    <x v="1"/>
    <x v="1"/>
    <x v="2"/>
    <x v="3"/>
    <x v="0"/>
    <x v="2"/>
    <s v="March"/>
  </r>
  <r>
    <s v="2.10545E+11"/>
    <n v="210301606"/>
    <d v="2021-04-30T00:00:00"/>
    <s v="00:50:47.575Z"/>
    <n v="905"/>
    <d v="1997-06-28T00:00:00"/>
    <n v="95"/>
    <n v="92.8"/>
    <x v="0"/>
    <x v="175"/>
    <x v="246"/>
    <s v="No"/>
    <s v="No"/>
    <n v="23"/>
    <s v="60-75"/>
    <x v="3"/>
    <x v="1"/>
    <n v="539"/>
    <x v="220"/>
    <x v="1"/>
    <s v="Pass"/>
    <x v="1"/>
    <s v="A"/>
    <x v="0"/>
    <s v="85-100"/>
    <x v="1"/>
    <x v="84"/>
    <x v="1"/>
    <x v="1"/>
    <x v="2"/>
    <x v="3"/>
    <x v="0"/>
    <x v="2"/>
    <s v="March"/>
  </r>
  <r>
    <s v="2.10545E+11"/>
    <n v="210301876"/>
    <d v="2021-04-29T00:00:00"/>
    <s v="22:42:10.409Z"/>
    <n v="1428"/>
    <d v="1998-10-02T00:00:00"/>
    <n v="85.6"/>
    <n v="73.849999999999994"/>
    <x v="0"/>
    <x v="133"/>
    <x v="247"/>
    <s v="No"/>
    <s v="No"/>
    <n v="22"/>
    <s v="60-75"/>
    <x v="5"/>
    <x v="0"/>
    <n v="387"/>
    <x v="204"/>
    <x v="2"/>
    <s v="Pass"/>
    <x v="2"/>
    <s v="A"/>
    <x v="0"/>
    <s v="60-70"/>
    <x v="1"/>
    <x v="87"/>
    <x v="1"/>
    <x v="1"/>
    <x v="2"/>
    <x v="1"/>
    <x v="2"/>
    <x v="2"/>
    <s v="March"/>
  </r>
  <r>
    <s v="2.10545E+11"/>
    <n v="210304538"/>
    <d v="2021-05-03T00:00:00"/>
    <s v="17:45:32.574Z"/>
    <n v="1047"/>
    <d v="1994-04-19T00:00:00"/>
    <n v="92.73"/>
    <s v="Other"/>
    <x v="61"/>
    <x v="209"/>
    <x v="248"/>
    <s v="No"/>
    <s v="No"/>
    <n v="27"/>
    <s v="60-75"/>
    <x v="6"/>
    <x v="0"/>
    <n v="389"/>
    <x v="221"/>
    <x v="0"/>
    <s v="Pass"/>
    <x v="0"/>
    <s v="B"/>
    <x v="0"/>
    <s v="60-70"/>
    <x v="1"/>
    <x v="26"/>
    <x v="1"/>
    <x v="1"/>
    <x v="2"/>
    <x v="1"/>
    <x v="1"/>
    <x v="2"/>
    <s v="March"/>
  </r>
  <r>
    <s v="2.10545E+11"/>
    <n v="210303737"/>
    <m/>
    <m/>
    <s v="Unknown"/>
    <m/>
    <n v="0"/>
    <n v="0"/>
    <x v="2"/>
    <x v="11"/>
    <x v="11"/>
    <s v="No"/>
    <s v="No"/>
    <n v="23"/>
    <s v="Unkown"/>
    <x v="5"/>
    <x v="2"/>
    <n v="452"/>
    <x v="222"/>
    <x v="2"/>
    <s v="Pass"/>
    <x v="2"/>
    <s v="B"/>
    <x v="0"/>
    <s v="70-85"/>
    <x v="1"/>
    <x v="29"/>
    <x v="1"/>
    <x v="1"/>
    <x v="2"/>
    <x v="2"/>
    <x v="3"/>
    <x v="2"/>
    <s v="March"/>
  </r>
  <r>
    <s v="2.10545E+11"/>
    <n v="210304969"/>
    <d v="2021-04-30T00:00:00"/>
    <s v="02:47:34.502Z"/>
    <n v="1366"/>
    <d v="1995-11-11T00:00:00"/>
    <n v="66"/>
    <n v="55.85"/>
    <x v="0"/>
    <x v="11"/>
    <x v="249"/>
    <s v="No"/>
    <s v="No"/>
    <n v="25"/>
    <s v="0-35"/>
    <x v="6"/>
    <x v="0"/>
    <n v="368"/>
    <x v="223"/>
    <x v="0"/>
    <s v="Pass"/>
    <x v="0"/>
    <s v="B"/>
    <x v="0"/>
    <s v="60-70"/>
    <x v="1"/>
    <x v="96"/>
    <x v="1"/>
    <x v="1"/>
    <x v="2"/>
    <x v="1"/>
    <x v="0"/>
    <x v="2"/>
    <s v="March"/>
  </r>
  <r>
    <s v="2.10545E+11"/>
    <n v="210304900"/>
    <d v="2021-04-29T00:00:00"/>
    <s v="21:11:40.990Z"/>
    <n v="1505"/>
    <d v="1997-11-23T00:00:00"/>
    <n v="82"/>
    <n v="64.92"/>
    <x v="0"/>
    <x v="210"/>
    <x v="250"/>
    <s v="No"/>
    <s v="No"/>
    <n v="23"/>
    <s v="45-60"/>
    <x v="5"/>
    <x v="5"/>
    <n v="445"/>
    <x v="214"/>
    <x v="1"/>
    <s v="Pass"/>
    <x v="1"/>
    <s v="B"/>
    <x v="0"/>
    <s v="70-85"/>
    <x v="1"/>
    <x v="20"/>
    <x v="1"/>
    <x v="1"/>
    <x v="2"/>
    <x v="1"/>
    <x v="0"/>
    <x v="2"/>
    <s v="March"/>
  </r>
  <r>
    <s v="2.10545E+11"/>
    <n v="210301182"/>
    <d v="2021-04-29T00:00:00"/>
    <s v="23:25:21.093Z"/>
    <n v="171"/>
    <d v="1998-10-08T00:00:00"/>
    <n v="85.6"/>
    <n v="64.150000000000006"/>
    <x v="0"/>
    <x v="211"/>
    <x v="251"/>
    <s v="No"/>
    <s v="No"/>
    <n v="22"/>
    <s v="100-75"/>
    <x v="5"/>
    <x v="0"/>
    <n v="466"/>
    <x v="215"/>
    <x v="1"/>
    <s v="Pass"/>
    <x v="1"/>
    <s v="A"/>
    <x v="0"/>
    <s v="70-85"/>
    <x v="1"/>
    <x v="43"/>
    <x v="1"/>
    <x v="1"/>
    <x v="2"/>
    <x v="3"/>
    <x v="2"/>
    <x v="2"/>
    <s v="March"/>
  </r>
  <r>
    <s v="2.10545E+11"/>
    <n v="210301965"/>
    <d v="2021-04-29T00:00:00"/>
    <s v="22:56:00.319Z"/>
    <n v="1489"/>
    <d v="1993-11-11T00:00:00"/>
    <n v="88.76"/>
    <n v="70"/>
    <x v="0"/>
    <x v="212"/>
    <x v="252"/>
    <s v="Yes"/>
    <s v="No"/>
    <n v="27"/>
    <s v="60-75"/>
    <x v="4"/>
    <x v="0"/>
    <n v="484"/>
    <x v="224"/>
    <x v="1"/>
    <s v="Pass"/>
    <x v="1"/>
    <s v="B"/>
    <x v="0"/>
    <s v="70-85"/>
    <x v="1"/>
    <x v="95"/>
    <x v="1"/>
    <x v="1"/>
    <x v="2"/>
    <x v="1"/>
    <x v="1"/>
    <x v="2"/>
    <s v="March"/>
  </r>
  <r>
    <s v="2.10545E+11"/>
    <n v="210300696"/>
    <d v="2021-04-29T00:00:00"/>
    <s v="22:00:51.016Z"/>
    <n v="1190"/>
    <d v="1991-11-09T00:00:00"/>
    <n v="76.92"/>
    <n v="62.5"/>
    <x v="0"/>
    <x v="213"/>
    <x v="253"/>
    <s v="No"/>
    <s v="No"/>
    <n v="29"/>
    <s v="60-75"/>
    <x v="3"/>
    <x v="0"/>
    <n v="395"/>
    <x v="219"/>
    <x v="2"/>
    <s v="Pass"/>
    <x v="2"/>
    <s v="B"/>
    <x v="0"/>
    <s v="60-70"/>
    <x v="1"/>
    <x v="97"/>
    <x v="1"/>
    <x v="1"/>
    <x v="2"/>
    <x v="1"/>
    <x v="4"/>
    <x v="2"/>
    <s v="March"/>
  </r>
  <r>
    <s v="2.10545E+11"/>
    <n v="210304584"/>
    <d v="2021-04-29T00:00:00"/>
    <s v="20:10:07.894Z"/>
    <n v="1514"/>
    <d v="1996-04-29T00:00:00"/>
    <n v="89.64"/>
    <s v="Other"/>
    <x v="25"/>
    <x v="143"/>
    <x v="254"/>
    <s v="No"/>
    <s v="Yes"/>
    <n v="25"/>
    <s v="60-75"/>
    <x v="5"/>
    <x v="0"/>
    <n v="400"/>
    <x v="225"/>
    <x v="2"/>
    <s v="Pass"/>
    <x v="2"/>
    <s v="B"/>
    <x v="0"/>
    <s v="60-70"/>
    <x v="1"/>
    <x v="38"/>
    <x v="1"/>
    <x v="1"/>
    <x v="2"/>
    <x v="1"/>
    <x v="0"/>
    <x v="2"/>
    <s v="March"/>
  </r>
  <r>
    <s v="2.10545E+11"/>
    <n v="210304783"/>
    <d v="2021-04-30T00:00:00"/>
    <s v="05:23:03.180Z"/>
    <n v="814"/>
    <d v="1996-01-21T00:00:00"/>
    <n v="86"/>
    <n v="68"/>
    <x v="0"/>
    <x v="214"/>
    <x v="255"/>
    <s v="Yes"/>
    <s v="No"/>
    <n v="25"/>
    <s v="0-35"/>
    <x v="1"/>
    <x v="0"/>
    <n v="478"/>
    <x v="226"/>
    <x v="1"/>
    <s v="Pass"/>
    <x v="1"/>
    <s v="A"/>
    <x v="0"/>
    <s v="70-85"/>
    <x v="1"/>
    <x v="98"/>
    <x v="1"/>
    <x v="1"/>
    <x v="2"/>
    <x v="3"/>
    <x v="0"/>
    <x v="2"/>
    <s v="March"/>
  </r>
  <r>
    <s v="2.10545E+11"/>
    <n v="210305687"/>
    <d v="2021-04-29T00:00:00"/>
    <s v="22:30:33.483Z"/>
    <n v="414"/>
    <d v="1996-08-18T00:00:00"/>
    <n v="87.4"/>
    <n v="65"/>
    <x v="0"/>
    <x v="215"/>
    <x v="256"/>
    <s v="No"/>
    <s v="No"/>
    <n v="24"/>
    <s v="45-60"/>
    <x v="2"/>
    <x v="0"/>
    <n v="422"/>
    <x v="227"/>
    <x v="1"/>
    <s v="Pass"/>
    <x v="1"/>
    <s v="B"/>
    <x v="0"/>
    <s v="70-85"/>
    <x v="1"/>
    <x v="99"/>
    <x v="1"/>
    <x v="1"/>
    <x v="2"/>
    <x v="3"/>
    <x v="0"/>
    <x v="2"/>
    <s v="March"/>
  </r>
  <r>
    <s v="2.10545E+11"/>
    <n v="210300010"/>
    <d v="2021-04-29T00:00:00"/>
    <s v="22:31:09.918Z"/>
    <n v="1458"/>
    <d v="1998-04-16T00:00:00"/>
    <n v="93.8"/>
    <n v="65.69"/>
    <x v="0"/>
    <x v="216"/>
    <x v="257"/>
    <s v="No"/>
    <s v="Yes"/>
    <n v="23"/>
    <s v="60-75"/>
    <x v="5"/>
    <x v="0"/>
    <n v="350"/>
    <x v="228"/>
    <x v="2"/>
    <s v="Pass"/>
    <x v="2"/>
    <s v="B"/>
    <x v="0"/>
    <s v="50-60"/>
    <x v="1"/>
    <x v="92"/>
    <x v="1"/>
    <x v="1"/>
    <x v="2"/>
    <x v="1"/>
    <x v="0"/>
    <x v="2"/>
    <s v="March"/>
  </r>
  <r>
    <s v="2.10545E+11"/>
    <n v="210306438"/>
    <d v="2021-04-29T00:00:00"/>
    <s v="23:19:31.497Z"/>
    <n v="1547"/>
    <d v="1995-09-09T00:00:00"/>
    <n v="91.27"/>
    <n v="65.17"/>
    <x v="0"/>
    <x v="217"/>
    <x v="258"/>
    <s v="Yes"/>
    <s v="No"/>
    <n v="25"/>
    <s v="45-60"/>
    <x v="4"/>
    <x v="0"/>
    <n v="440"/>
    <x v="229"/>
    <x v="1"/>
    <s v="Pass"/>
    <x v="1"/>
    <s v="A"/>
    <x v="0"/>
    <s v="70-85"/>
    <x v="1"/>
    <x v="12"/>
    <x v="1"/>
    <x v="1"/>
    <x v="2"/>
    <x v="1"/>
    <x v="0"/>
    <x v="2"/>
    <s v="March"/>
  </r>
  <r>
    <s v="2.10545E+11"/>
    <n v="210300440"/>
    <d v="2021-04-29T00:00:00"/>
    <s v="20:40:34.283Z"/>
    <n v="1078"/>
    <d v="1996-10-24T00:00:00"/>
    <n v="77.64"/>
    <n v="57.38"/>
    <x v="0"/>
    <x v="77"/>
    <x v="259"/>
    <s v="No"/>
    <s v="Yes"/>
    <n v="24"/>
    <s v="60-75"/>
    <x v="6"/>
    <x v="0"/>
    <n v="453"/>
    <x v="124"/>
    <x v="1"/>
    <s v="Pass"/>
    <x v="1"/>
    <s v="A"/>
    <x v="0"/>
    <s v="70-85"/>
    <x v="1"/>
    <x v="57"/>
    <x v="1"/>
    <x v="1"/>
    <x v="2"/>
    <x v="1"/>
    <x v="0"/>
    <x v="2"/>
    <s v="March"/>
  </r>
  <r>
    <s v="2.10545E+11"/>
    <n v="210300009"/>
    <d v="2021-04-30T00:00:00"/>
    <s v="08:55:01.470Z"/>
    <n v="392"/>
    <d v="1998-03-12T00:00:00"/>
    <n v="93.4"/>
    <n v="64.62"/>
    <x v="0"/>
    <x v="218"/>
    <x v="260"/>
    <s v="No"/>
    <s v="No"/>
    <n v="23"/>
    <s v="0-35"/>
    <x v="6"/>
    <x v="0"/>
    <n v="476"/>
    <x v="230"/>
    <x v="1"/>
    <s v="Pass"/>
    <x v="1"/>
    <s v="A"/>
    <x v="0"/>
    <s v="70-85"/>
    <x v="1"/>
    <x v="29"/>
    <x v="1"/>
    <x v="1"/>
    <x v="2"/>
    <x v="3"/>
    <x v="0"/>
    <x v="2"/>
    <s v="March"/>
  </r>
  <r>
    <s v="2.10545E+11"/>
    <n v="210300129"/>
    <d v="2021-04-29T00:00:00"/>
    <s v="19:34:08.462Z"/>
    <n v="1520"/>
    <d v="1997-12-13T00:00:00"/>
    <n v="78.2"/>
    <n v="58.92"/>
    <x v="0"/>
    <x v="219"/>
    <x v="261"/>
    <s v="No"/>
    <s v="No"/>
    <n v="23"/>
    <s v="100-75"/>
    <x v="1"/>
    <x v="0"/>
    <n v="396"/>
    <x v="14"/>
    <x v="2"/>
    <s v="Pass"/>
    <x v="2"/>
    <s v="C"/>
    <x v="0"/>
    <s v="60-70"/>
    <x v="1"/>
    <x v="92"/>
    <x v="1"/>
    <x v="1"/>
    <x v="2"/>
    <x v="1"/>
    <x v="0"/>
    <x v="2"/>
    <s v="March"/>
  </r>
  <r>
    <s v="2.10545E+11"/>
    <n v="210302346"/>
    <d v="2021-04-29T00:00:00"/>
    <s v="20:16:06.300Z"/>
    <n v="1209"/>
    <d v="1997-09-03T00:00:00"/>
    <n v="81"/>
    <n v="62"/>
    <x v="0"/>
    <x v="220"/>
    <x v="262"/>
    <s v="No"/>
    <s v="Yes"/>
    <n v="23"/>
    <s v="0-35"/>
    <x v="5"/>
    <x v="0"/>
    <n v="356"/>
    <x v="231"/>
    <x v="2"/>
    <s v="Pass"/>
    <x v="2"/>
    <s v="B"/>
    <x v="0"/>
    <s v="50-60"/>
    <x v="1"/>
    <x v="38"/>
    <x v="1"/>
    <x v="1"/>
    <x v="2"/>
    <x v="1"/>
    <x v="0"/>
    <x v="2"/>
    <s v="March"/>
  </r>
  <r>
    <s v="2.10545E+11"/>
    <n v="210305271"/>
    <d v="2021-04-29T00:00:00"/>
    <s v="23:02:50.791Z"/>
    <n v="854"/>
    <d v="1997-07-11T00:00:00"/>
    <n v="87.4"/>
    <n v="76"/>
    <x v="0"/>
    <x v="221"/>
    <x v="263"/>
    <s v="No"/>
    <s v="No"/>
    <n v="23"/>
    <s v="60-75"/>
    <x v="5"/>
    <x v="1"/>
    <n v="183"/>
    <x v="232"/>
    <x v="2"/>
    <s v="Fail"/>
    <x v="2"/>
    <s v="Fail"/>
    <x v="0"/>
    <s v="Fail"/>
    <x v="0"/>
    <x v="0"/>
    <x v="0"/>
    <x v="0"/>
    <x v="2"/>
    <x v="3"/>
    <x v="0"/>
    <x v="2"/>
    <s v="March"/>
  </r>
  <r>
    <s v="2.10545E+11"/>
    <n v="210302626"/>
    <d v="2021-04-29T00:00:00"/>
    <s v="21:59:24.327Z"/>
    <n v="1288"/>
    <d v="1997-04-21T00:00:00"/>
    <n v="81.400000000000006"/>
    <n v="72.77"/>
    <x v="0"/>
    <x v="222"/>
    <x v="264"/>
    <s v="No"/>
    <s v="Yes"/>
    <n v="24"/>
    <s v="45-60"/>
    <x v="4"/>
    <x v="0"/>
    <n v="400"/>
    <x v="225"/>
    <x v="2"/>
    <s v="Pass"/>
    <x v="2"/>
    <s v="B"/>
    <x v="0"/>
    <s v="60-70"/>
    <x v="1"/>
    <x v="87"/>
    <x v="1"/>
    <x v="1"/>
    <x v="2"/>
    <x v="1"/>
    <x v="0"/>
    <x v="2"/>
    <s v="March"/>
  </r>
  <r>
    <s v="2.10545E+11"/>
    <n v="210301346"/>
    <d v="2021-04-30T00:00:00"/>
    <s v="12:15:28.741Z"/>
    <n v="871"/>
    <d v="1995-12-23T00:00:00"/>
    <n v="65.27"/>
    <s v="Other"/>
    <x v="62"/>
    <x v="223"/>
    <x v="265"/>
    <s v="No"/>
    <s v="No"/>
    <n v="25"/>
    <s v="60-75"/>
    <x v="5"/>
    <x v="0"/>
    <n v="432"/>
    <x v="125"/>
    <x v="2"/>
    <s v="Pass"/>
    <x v="2"/>
    <s v="B"/>
    <x v="0"/>
    <s v="70-85"/>
    <x v="1"/>
    <x v="57"/>
    <x v="1"/>
    <x v="1"/>
    <x v="2"/>
    <x v="3"/>
    <x v="0"/>
    <x v="2"/>
    <s v="March"/>
  </r>
  <r>
    <s v="2.10545E+11"/>
    <n v="210305898"/>
    <d v="2021-04-29T00:00:00"/>
    <s v="22:25:46.768Z"/>
    <n v="1242"/>
    <d v="1997-11-16T00:00:00"/>
    <n v="74.400000000000006"/>
    <n v="56"/>
    <x v="0"/>
    <x v="224"/>
    <x v="266"/>
    <s v="No"/>
    <s v="No"/>
    <n v="23"/>
    <s v="60-75"/>
    <x v="6"/>
    <x v="0"/>
    <n v="349"/>
    <x v="233"/>
    <x v="1"/>
    <s v="Pass"/>
    <x v="1"/>
    <s v="B"/>
    <x v="0"/>
    <s v="50-60"/>
    <x v="1"/>
    <x v="100"/>
    <x v="1"/>
    <x v="1"/>
    <x v="2"/>
    <x v="1"/>
    <x v="0"/>
    <x v="2"/>
    <s v="March"/>
  </r>
  <r>
    <s v="2.10545E+11"/>
    <n v="210304011"/>
    <d v="2021-04-29T00:00:00"/>
    <s v="19:58:34.432Z"/>
    <n v="747"/>
    <d v="1996-04-20T00:00:00"/>
    <n v="71.400000000000006"/>
    <s v="Other"/>
    <x v="63"/>
    <x v="157"/>
    <x v="267"/>
    <s v="No"/>
    <s v="No"/>
    <n v="25"/>
    <s v="45-60"/>
    <x v="5"/>
    <x v="0"/>
    <n v="424"/>
    <x v="201"/>
    <x v="1"/>
    <s v="Pass"/>
    <x v="1"/>
    <s v="B"/>
    <x v="0"/>
    <s v="70-85"/>
    <x v="1"/>
    <x v="38"/>
    <x v="1"/>
    <x v="1"/>
    <x v="2"/>
    <x v="3"/>
    <x v="0"/>
    <x v="2"/>
    <s v="March"/>
  </r>
  <r>
    <s v="2.10545E+11"/>
    <n v="210306974"/>
    <d v="2021-04-29T00:00:00"/>
    <s v="20:25:04.843Z"/>
    <n v="1505"/>
    <d v="2021-08-15T00:00:00"/>
    <n v="96.73"/>
    <n v="68.5"/>
    <x v="0"/>
    <x v="225"/>
    <x v="268"/>
    <s v="No"/>
    <s v="No"/>
    <n v="-1"/>
    <s v="60-75"/>
    <x v="4"/>
    <x v="0"/>
    <n v="389"/>
    <x v="221"/>
    <x v="1"/>
    <s v="Pass"/>
    <x v="1"/>
    <s v="A"/>
    <x v="0"/>
    <s v="60-70"/>
    <x v="1"/>
    <x v="88"/>
    <x v="1"/>
    <x v="1"/>
    <x v="2"/>
    <x v="1"/>
    <x v="4"/>
    <x v="2"/>
    <s v="March"/>
  </r>
  <r>
    <s v="2.10545E+11"/>
    <n v="191103469"/>
    <m/>
    <m/>
    <s v="Unknown"/>
    <m/>
    <n v="0"/>
    <n v="0"/>
    <x v="2"/>
    <x v="11"/>
    <x v="11"/>
    <s v="No"/>
    <s v="No"/>
    <n v="23"/>
    <s v="Unkown"/>
    <x v="5"/>
    <x v="2"/>
    <n v="459"/>
    <x v="202"/>
    <x v="1"/>
    <s v="Pass"/>
    <x v="1"/>
    <s v="B"/>
    <x v="0"/>
    <s v="70-85"/>
    <x v="1"/>
    <x v="101"/>
    <x v="1"/>
    <x v="1"/>
    <x v="2"/>
    <x v="2"/>
    <x v="3"/>
    <x v="2"/>
    <s v="March"/>
  </r>
  <r>
    <s v="2.10545E+11"/>
    <n v="191000118"/>
    <m/>
    <m/>
    <s v="Unknown"/>
    <m/>
    <n v="0"/>
    <n v="0"/>
    <x v="2"/>
    <x v="11"/>
    <x v="11"/>
    <s v="No"/>
    <s v="No"/>
    <n v="23"/>
    <s v="Unkown"/>
    <x v="5"/>
    <x v="2"/>
    <n v="483"/>
    <x v="234"/>
    <x v="1"/>
    <s v="Pass"/>
    <x v="1"/>
    <s v="A"/>
    <x v="0"/>
    <s v="70-85"/>
    <x v="1"/>
    <x v="95"/>
    <x v="1"/>
    <x v="1"/>
    <x v="2"/>
    <x v="2"/>
    <x v="3"/>
    <x v="2"/>
    <s v="March"/>
  </r>
  <r>
    <s v="2.10545E+11"/>
    <n v="210300220"/>
    <d v="2021-04-29T00:00:00"/>
    <s v="20:03:59.752Z"/>
    <n v="1366"/>
    <d v="1993-08-29T00:00:00"/>
    <n v="70"/>
    <n v="54"/>
    <x v="64"/>
    <x v="33"/>
    <x v="269"/>
    <s v="No"/>
    <s v="No"/>
    <n v="27"/>
    <s v="45-60"/>
    <x v="5"/>
    <x v="0"/>
    <n v="431"/>
    <x v="235"/>
    <x v="1"/>
    <s v="Pass"/>
    <x v="1"/>
    <s v="B"/>
    <x v="0"/>
    <s v="70-85"/>
    <x v="1"/>
    <x v="24"/>
    <x v="1"/>
    <x v="1"/>
    <x v="2"/>
    <x v="1"/>
    <x v="1"/>
    <x v="2"/>
    <s v="March"/>
  </r>
  <r>
    <s v="2.10545E+11"/>
    <n v="210305856"/>
    <d v="2021-05-02T00:00:00"/>
    <s v="11:08:48.595Z"/>
    <n v="1500"/>
    <d v="1998-06-07T00:00:00"/>
    <n v="86.4"/>
    <s v="Other"/>
    <x v="65"/>
    <x v="226"/>
    <x v="270"/>
    <s v="No"/>
    <s v="No"/>
    <n v="22"/>
    <s v="100-75"/>
    <x v="4"/>
    <x v="0"/>
    <n v="419"/>
    <x v="236"/>
    <x v="1"/>
    <s v="Pass"/>
    <x v="1"/>
    <s v="B"/>
    <x v="0"/>
    <s v="60-70"/>
    <x v="1"/>
    <x v="101"/>
    <x v="1"/>
    <x v="1"/>
    <x v="2"/>
    <x v="1"/>
    <x v="2"/>
    <x v="2"/>
    <s v="March"/>
  </r>
  <r>
    <s v="2.10545E+11"/>
    <n v="210300697"/>
    <d v="2021-04-29T00:00:00"/>
    <s v="20:40:52.528Z"/>
    <n v="1507"/>
    <d v="1994-10-13T00:00:00"/>
    <n v="87.88"/>
    <n v="55.67"/>
    <x v="0"/>
    <x v="52"/>
    <x v="271"/>
    <s v="Yes"/>
    <s v="Yes"/>
    <n v="26"/>
    <s v="60-75"/>
    <x v="1"/>
    <x v="0"/>
    <n v="72"/>
    <x v="237"/>
    <x v="2"/>
    <s v="Fail"/>
    <x v="2"/>
    <s v="Fail"/>
    <x v="0"/>
    <s v="Fail"/>
    <x v="0"/>
    <x v="0"/>
    <x v="0"/>
    <x v="0"/>
    <x v="2"/>
    <x v="1"/>
    <x v="1"/>
    <x v="2"/>
    <s v="March"/>
  </r>
  <r>
    <s v="2.10545E+11"/>
    <n v="210305725"/>
    <d v="2021-04-29T00:00:00"/>
    <s v="23:19:49.819Z"/>
    <n v="133"/>
    <d v="1999-06-10T00:00:00"/>
    <n v="93.6"/>
    <n v="77.540000000000006"/>
    <x v="0"/>
    <x v="227"/>
    <x v="272"/>
    <s v="No"/>
    <s v="No"/>
    <n v="21"/>
    <s v="60-75"/>
    <x v="0"/>
    <x v="0"/>
    <n v="508"/>
    <x v="238"/>
    <x v="1"/>
    <s v="Pass"/>
    <x v="1"/>
    <s v="A"/>
    <x v="0"/>
    <s v="70-85"/>
    <x v="1"/>
    <x v="91"/>
    <x v="1"/>
    <x v="1"/>
    <x v="2"/>
    <x v="3"/>
    <x v="2"/>
    <x v="2"/>
    <s v="March"/>
  </r>
  <r>
    <s v="2.10545E+11"/>
    <n v="210300339"/>
    <d v="2021-05-03T00:00:00"/>
    <s v="20:02:03.580Z"/>
    <n v="1482"/>
    <d v="1999-07-27T00:00:00"/>
    <n v="83"/>
    <n v="65.56"/>
    <x v="0"/>
    <x v="11"/>
    <x v="273"/>
    <s v="No"/>
    <s v="Yes"/>
    <n v="21"/>
    <s v="0-35"/>
    <x v="5"/>
    <x v="5"/>
    <n v="340"/>
    <x v="239"/>
    <x v="2"/>
    <s v="Pass"/>
    <x v="2"/>
    <s v="C"/>
    <x v="0"/>
    <s v="50-60"/>
    <x v="1"/>
    <x v="102"/>
    <x v="1"/>
    <x v="1"/>
    <x v="2"/>
    <x v="1"/>
    <x v="2"/>
    <x v="2"/>
    <s v="March"/>
  </r>
  <r>
    <s v="2.10545E+11"/>
    <n v="210303756"/>
    <d v="2021-04-29T00:00:00"/>
    <s v="23:15:48.784Z"/>
    <n v="1408"/>
    <d v="1998-05-16T00:00:00"/>
    <n v="82.04"/>
    <n v="56.28"/>
    <x v="0"/>
    <x v="174"/>
    <x v="274"/>
    <s v="No"/>
    <s v="No"/>
    <n v="22"/>
    <s v="0-35"/>
    <x v="3"/>
    <x v="0"/>
    <n v="359"/>
    <x v="240"/>
    <x v="2"/>
    <s v="Pass"/>
    <x v="2"/>
    <s v="C"/>
    <x v="0"/>
    <s v="50-60"/>
    <x v="1"/>
    <x v="24"/>
    <x v="1"/>
    <x v="1"/>
    <x v="2"/>
    <x v="1"/>
    <x v="2"/>
    <x v="2"/>
    <s v="March"/>
  </r>
  <r>
    <s v="2.10545E+11"/>
    <n v="210302258"/>
    <d v="2021-04-29T00:00:00"/>
    <s v="22:08:33.446Z"/>
    <n v="1500"/>
    <d v="1998-12-20T00:00:00"/>
    <n v="81"/>
    <s v="Other"/>
    <x v="66"/>
    <x v="228"/>
    <x v="275"/>
    <s v="No"/>
    <s v="No"/>
    <n v="22"/>
    <s v="60-75"/>
    <x v="4"/>
    <x v="5"/>
    <n v="404"/>
    <x v="199"/>
    <x v="2"/>
    <s v="Pass"/>
    <x v="2"/>
    <s v="B"/>
    <x v="0"/>
    <s v="60-70"/>
    <x v="1"/>
    <x v="24"/>
    <x v="1"/>
    <x v="1"/>
    <x v="2"/>
    <x v="1"/>
    <x v="2"/>
    <x v="2"/>
    <s v="March"/>
  </r>
  <r>
    <s v="2.10545E+11"/>
    <n v="210301146"/>
    <d v="2021-04-30T00:00:00"/>
    <s v="11:26:26.865Z"/>
    <n v="438"/>
    <d v="1994-06-06T00:00:00"/>
    <n v="85.64"/>
    <n v="70.5"/>
    <x v="0"/>
    <x v="229"/>
    <x v="276"/>
    <s v="No"/>
    <s v="Yes"/>
    <n v="26"/>
    <s v="45-60"/>
    <x v="3"/>
    <x v="0"/>
    <n v="467"/>
    <x v="241"/>
    <x v="1"/>
    <s v="Pass"/>
    <x v="1"/>
    <s v="A"/>
    <x v="0"/>
    <s v="70-85"/>
    <x v="1"/>
    <x v="57"/>
    <x v="1"/>
    <x v="1"/>
    <x v="2"/>
    <x v="3"/>
    <x v="1"/>
    <x v="2"/>
    <s v="March"/>
  </r>
  <r>
    <s v="2.10545E+11"/>
    <n v="210300506"/>
    <d v="2021-04-29T00:00:00"/>
    <s v="21:12:12.738Z"/>
    <n v="527"/>
    <d v="1999-02-20T00:00:00"/>
    <n v="83.6"/>
    <n v="65.23"/>
    <x v="0"/>
    <x v="230"/>
    <x v="277"/>
    <s v="No"/>
    <s v="Yes"/>
    <n v="22"/>
    <s v="60-75"/>
    <x v="3"/>
    <x v="0"/>
    <n v="380"/>
    <x v="198"/>
    <x v="1"/>
    <s v="Pass"/>
    <x v="1"/>
    <s v="C"/>
    <x v="0"/>
    <s v="60-70"/>
    <x v="1"/>
    <x v="91"/>
    <x v="1"/>
    <x v="1"/>
    <x v="2"/>
    <x v="3"/>
    <x v="2"/>
    <x v="2"/>
    <s v="March"/>
  </r>
  <r>
    <s v="2.10545E+11"/>
    <n v="210304528"/>
    <d v="2021-05-04T00:00:00"/>
    <s v="19:24:21.644Z"/>
    <n v="1466"/>
    <d v="1996-11-29T00:00:00"/>
    <n v="79.64"/>
    <n v="66"/>
    <x v="0"/>
    <x v="206"/>
    <x v="278"/>
    <s v="No"/>
    <s v="No"/>
    <n v="24"/>
    <s v="60-75"/>
    <x v="4"/>
    <x v="0"/>
    <n v="411"/>
    <x v="47"/>
    <x v="1"/>
    <s v="Pass"/>
    <x v="1"/>
    <s v="A"/>
    <x v="0"/>
    <s v="60-70"/>
    <x v="1"/>
    <x v="26"/>
    <x v="1"/>
    <x v="1"/>
    <x v="2"/>
    <x v="1"/>
    <x v="0"/>
    <x v="2"/>
    <s v="March"/>
  </r>
  <r>
    <s v="2.10545E+11"/>
    <n v="210301001"/>
    <d v="2021-04-29T00:00:00"/>
    <s v="22:50:17.862Z"/>
    <n v="788"/>
    <d v="1996-09-21T00:00:00"/>
    <n v="87.09"/>
    <n v="60"/>
    <x v="0"/>
    <x v="231"/>
    <x v="279"/>
    <s v="No"/>
    <s v="No"/>
    <n v="24"/>
    <s v="45-60"/>
    <x v="5"/>
    <x v="0"/>
    <n v="449"/>
    <x v="242"/>
    <x v="2"/>
    <s v="Pass"/>
    <x v="2"/>
    <s v="A"/>
    <x v="0"/>
    <s v="70-85"/>
    <x v="1"/>
    <x v="24"/>
    <x v="1"/>
    <x v="1"/>
    <x v="2"/>
    <x v="3"/>
    <x v="0"/>
    <x v="2"/>
    <s v="March"/>
  </r>
  <r>
    <s v="2.10545E+11"/>
    <n v="210306672"/>
    <d v="2021-04-29T00:00:00"/>
    <s v="21:58:59.151Z"/>
    <n v="1472"/>
    <d v="1997-08-01T00:00:00"/>
    <n v="76.180000000000007"/>
    <n v="60.92"/>
    <x v="0"/>
    <x v="232"/>
    <x v="280"/>
    <s v="No"/>
    <s v="Yes"/>
    <n v="23"/>
    <s v="45-60"/>
    <x v="4"/>
    <x v="0"/>
    <n v="400"/>
    <x v="225"/>
    <x v="0"/>
    <s v="Pass"/>
    <x v="0"/>
    <s v="B"/>
    <x v="0"/>
    <s v="60-70"/>
    <x v="1"/>
    <x v="87"/>
    <x v="1"/>
    <x v="1"/>
    <x v="2"/>
    <x v="1"/>
    <x v="0"/>
    <x v="2"/>
    <s v="March"/>
  </r>
  <r>
    <s v="2.10545E+11"/>
    <n v="210300773"/>
    <d v="2021-04-29T00:00:00"/>
    <s v="20:16:19.105Z"/>
    <n v="1428"/>
    <d v="1999-06-29T00:00:00"/>
    <n v="88"/>
    <n v="70.45"/>
    <x v="0"/>
    <x v="233"/>
    <x v="281"/>
    <s v="No"/>
    <s v="Yes"/>
    <n v="21"/>
    <s v="0-35"/>
    <x v="5"/>
    <x v="1"/>
    <n v="428"/>
    <x v="243"/>
    <x v="2"/>
    <s v="Pass"/>
    <x v="2"/>
    <s v="B"/>
    <x v="0"/>
    <s v="70-85"/>
    <x v="1"/>
    <x v="24"/>
    <x v="1"/>
    <x v="1"/>
    <x v="2"/>
    <x v="1"/>
    <x v="2"/>
    <x v="2"/>
    <s v="March"/>
  </r>
  <r>
    <s v="2.10545E+11"/>
    <n v="210301169"/>
    <d v="2021-05-03T00:00:00"/>
    <s v="17:45:42.086Z"/>
    <n v="1139"/>
    <d v="1999-05-21T00:00:00"/>
    <n v="87.6"/>
    <n v="69.849999999999994"/>
    <x v="0"/>
    <x v="11"/>
    <x v="282"/>
    <s v="No"/>
    <s v="Yes"/>
    <n v="21"/>
    <s v="0-35"/>
    <x v="5"/>
    <x v="1"/>
    <n v="423"/>
    <x v="244"/>
    <x v="2"/>
    <s v="Pass"/>
    <x v="2"/>
    <s v="A"/>
    <x v="0"/>
    <s v="70-85"/>
    <x v="1"/>
    <x v="29"/>
    <x v="1"/>
    <x v="1"/>
    <x v="2"/>
    <x v="1"/>
    <x v="2"/>
    <x v="2"/>
    <s v="March"/>
  </r>
  <r>
    <s v="2.10545E+11"/>
    <n v="210300176"/>
    <d v="2021-04-29T00:00:00"/>
    <s v="20:31:40.795Z"/>
    <n v="1436"/>
    <d v="1996-09-20T00:00:00"/>
    <n v="78"/>
    <n v="73"/>
    <x v="0"/>
    <x v="234"/>
    <x v="283"/>
    <s v="No"/>
    <s v="No"/>
    <n v="24"/>
    <s v="60-75"/>
    <x v="4"/>
    <x v="0"/>
    <n v="327"/>
    <x v="10"/>
    <x v="0"/>
    <s v="Pass"/>
    <x v="0"/>
    <s v="C"/>
    <x v="0"/>
    <s v="50-60"/>
    <x v="1"/>
    <x v="103"/>
    <x v="1"/>
    <x v="1"/>
    <x v="2"/>
    <x v="1"/>
    <x v="0"/>
    <x v="2"/>
    <s v="March"/>
  </r>
  <r>
    <s v="2.10545E+11"/>
    <n v="210303928"/>
    <d v="2021-04-29T00:00:00"/>
    <s v="21:17:28.674Z"/>
    <n v="795"/>
    <d v="1998-09-21T00:00:00"/>
    <n v="84.2"/>
    <n v="68.31"/>
    <x v="0"/>
    <x v="235"/>
    <x v="284"/>
    <s v="No"/>
    <s v="Yes"/>
    <n v="22"/>
    <s v="60-75"/>
    <x v="5"/>
    <x v="0"/>
    <n v="397"/>
    <x v="245"/>
    <x v="2"/>
    <s v="Pass"/>
    <x v="2"/>
    <s v="A"/>
    <x v="0"/>
    <s v="60-70"/>
    <x v="1"/>
    <x v="101"/>
    <x v="1"/>
    <x v="1"/>
    <x v="2"/>
    <x v="3"/>
    <x v="2"/>
    <x v="2"/>
    <s v="March"/>
  </r>
  <r>
    <s v="2.10545E+11"/>
    <n v="210302285"/>
    <d v="2021-04-29T00:00:00"/>
    <s v="20:33:04.758Z"/>
    <n v="909"/>
    <d v="1997-03-12T00:00:00"/>
    <n v="83.45"/>
    <n v="56.46"/>
    <x v="0"/>
    <x v="236"/>
    <x v="285"/>
    <s v="No"/>
    <s v="No"/>
    <n v="24"/>
    <s v="60-75"/>
    <x v="4"/>
    <x v="0"/>
    <n v="403"/>
    <x v="246"/>
    <x v="2"/>
    <s v="Pass"/>
    <x v="2"/>
    <s v="B"/>
    <x v="0"/>
    <s v="60-70"/>
    <x v="1"/>
    <x v="96"/>
    <x v="1"/>
    <x v="1"/>
    <x v="2"/>
    <x v="3"/>
    <x v="0"/>
    <x v="2"/>
    <s v="March"/>
  </r>
  <r>
    <s v="2.10545E+11"/>
    <n v="210306121"/>
    <d v="2021-04-29T00:00:00"/>
    <s v="20:01:05.941Z"/>
    <n v="895"/>
    <d v="1998-04-18T00:00:00"/>
    <n v="78"/>
    <n v="58"/>
    <x v="0"/>
    <x v="166"/>
    <x v="40"/>
    <s v="No"/>
    <s v="No"/>
    <n v="23"/>
    <s v="60-75"/>
    <x v="6"/>
    <x v="0"/>
    <n v="457"/>
    <x v="247"/>
    <x v="2"/>
    <s v="Pass"/>
    <x v="2"/>
    <s v="B"/>
    <x v="0"/>
    <s v="70-85"/>
    <x v="1"/>
    <x v="12"/>
    <x v="1"/>
    <x v="1"/>
    <x v="2"/>
    <x v="3"/>
    <x v="0"/>
    <x v="2"/>
    <s v="March"/>
  </r>
  <r>
    <s v="2.10545E+11"/>
    <n v="210302725"/>
    <d v="2021-04-29T00:00:00"/>
    <s v="21:41:43.325Z"/>
    <n v="1507"/>
    <d v="1996-09-15T00:00:00"/>
    <n v="74.180000000000007"/>
    <s v="Other"/>
    <x v="67"/>
    <x v="237"/>
    <x v="286"/>
    <s v="No"/>
    <s v="Yes"/>
    <n v="24"/>
    <s v="60-75"/>
    <x v="4"/>
    <x v="5"/>
    <n v="401"/>
    <x v="248"/>
    <x v="2"/>
    <s v="Pass"/>
    <x v="2"/>
    <s v="A"/>
    <x v="0"/>
    <s v="60-70"/>
    <x v="1"/>
    <x v="24"/>
    <x v="1"/>
    <x v="1"/>
    <x v="2"/>
    <x v="1"/>
    <x v="0"/>
    <x v="2"/>
    <s v="March"/>
  </r>
  <r>
    <s v="2.10545E+11"/>
    <n v="210301378"/>
    <d v="2021-04-30T00:00:00"/>
    <s v="08:06:27.703Z"/>
    <n v="1390"/>
    <d v="1996-06-17T00:00:00"/>
    <n v="82.91"/>
    <n v="64.31"/>
    <x v="0"/>
    <x v="238"/>
    <x v="287"/>
    <s v="No"/>
    <s v="No"/>
    <n v="24"/>
    <s v="60-75"/>
    <x v="6"/>
    <x v="0"/>
    <n v="370"/>
    <x v="249"/>
    <x v="0"/>
    <s v="Pass"/>
    <x v="0"/>
    <s v="B"/>
    <x v="0"/>
    <s v="60-70"/>
    <x v="1"/>
    <x v="24"/>
    <x v="1"/>
    <x v="1"/>
    <x v="2"/>
    <x v="1"/>
    <x v="0"/>
    <x v="2"/>
    <s v="March"/>
  </r>
  <r>
    <s v="2.10545E+11"/>
    <n v="210302286"/>
    <d v="2021-04-29T00:00:00"/>
    <s v="20:36:08.428Z"/>
    <n v="760"/>
    <d v="1997-02-18T00:00:00"/>
    <n v="89.45"/>
    <n v="67.23"/>
    <x v="0"/>
    <x v="236"/>
    <x v="288"/>
    <s v="No"/>
    <s v="Yes"/>
    <n v="24"/>
    <s v="60-75"/>
    <x v="4"/>
    <x v="0"/>
    <n v="470"/>
    <x v="250"/>
    <x v="2"/>
    <s v="Pass"/>
    <x v="2"/>
    <s v="A"/>
    <x v="0"/>
    <s v="70-85"/>
    <x v="1"/>
    <x v="12"/>
    <x v="1"/>
    <x v="1"/>
    <x v="2"/>
    <x v="3"/>
    <x v="0"/>
    <x v="2"/>
    <s v="March"/>
  </r>
  <r>
    <s v="2.10545E+11"/>
    <n v="210307431"/>
    <d v="2021-04-29T00:00:00"/>
    <s v="21:17:08.787Z"/>
    <n v="1428"/>
    <d v="1995-12-27T00:00:00"/>
    <n v="67.2"/>
    <n v="48.5"/>
    <x v="0"/>
    <x v="239"/>
    <x v="289"/>
    <s v="No"/>
    <s v="Yes"/>
    <n v="25"/>
    <s v="0-35"/>
    <x v="3"/>
    <x v="0"/>
    <n v="371"/>
    <x v="251"/>
    <x v="2"/>
    <s v="Pass"/>
    <x v="2"/>
    <s v="B"/>
    <x v="0"/>
    <s v="60-70"/>
    <x v="1"/>
    <x v="8"/>
    <x v="1"/>
    <x v="1"/>
    <x v="2"/>
    <x v="1"/>
    <x v="0"/>
    <x v="2"/>
    <s v="March"/>
  </r>
  <r>
    <s v="2.10545E+11"/>
    <n v="210304997"/>
    <d v="2021-04-29T00:00:00"/>
    <s v="23:07:15.904Z"/>
    <n v="1326"/>
    <d v="1997-09-11T00:00:00"/>
    <n v="85.45"/>
    <n v="75.23"/>
    <x v="0"/>
    <x v="240"/>
    <x v="290"/>
    <s v="No"/>
    <s v="Yes"/>
    <n v="23"/>
    <s v="60-75"/>
    <x v="4"/>
    <x v="0"/>
    <n v="345"/>
    <x v="252"/>
    <x v="0"/>
    <s v="Pass"/>
    <x v="0"/>
    <s v="C"/>
    <x v="0"/>
    <s v="50-60"/>
    <x v="1"/>
    <x v="104"/>
    <x v="1"/>
    <x v="1"/>
    <x v="2"/>
    <x v="1"/>
    <x v="0"/>
    <x v="2"/>
    <s v="March"/>
  </r>
  <r>
    <s v="2.10545E+11"/>
    <n v="210303297"/>
    <d v="2021-05-03T00:00:00"/>
    <s v="20:19:38.614Z"/>
    <n v="1320"/>
    <d v="1994-10-24T00:00:00"/>
    <n v="90.73"/>
    <n v="65"/>
    <x v="0"/>
    <x v="241"/>
    <x v="291"/>
    <s v="No"/>
    <s v="No"/>
    <n v="26"/>
    <s v="45-60"/>
    <x v="2"/>
    <x v="5"/>
    <n v="275"/>
    <x v="253"/>
    <x v="2"/>
    <s v="Fail"/>
    <x v="2"/>
    <s v="Fail"/>
    <x v="0"/>
    <s v="40-50"/>
    <x v="0"/>
    <x v="0"/>
    <x v="0"/>
    <x v="0"/>
    <x v="2"/>
    <x v="1"/>
    <x v="1"/>
    <x v="2"/>
    <s v="March"/>
  </r>
  <r>
    <s v="2.10545E+11"/>
    <n v="210301291"/>
    <d v="2021-04-29T00:00:00"/>
    <s v="20:05:37.697Z"/>
    <n v="1171"/>
    <d v="1998-05-17T00:00:00"/>
    <n v="77.8"/>
    <n v="65.08"/>
    <x v="0"/>
    <x v="242"/>
    <x v="292"/>
    <s v="No"/>
    <s v="Yes"/>
    <n v="22"/>
    <s v="0-35"/>
    <x v="5"/>
    <x v="5"/>
    <n v="416"/>
    <x v="254"/>
    <x v="1"/>
    <s v="Pass"/>
    <x v="1"/>
    <s v="A"/>
    <x v="0"/>
    <s v="60-70"/>
    <x v="1"/>
    <x v="43"/>
    <x v="1"/>
    <x v="1"/>
    <x v="2"/>
    <x v="1"/>
    <x v="2"/>
    <x v="2"/>
    <s v="March"/>
  </r>
  <r>
    <s v="2.10545E+11"/>
    <n v="210302998"/>
    <d v="2021-04-29T00:00:00"/>
    <s v="20:27:51.787Z"/>
    <n v="1526"/>
    <d v="1997-02-22T00:00:00"/>
    <n v="77.8"/>
    <n v="65.08"/>
    <x v="68"/>
    <x v="243"/>
    <x v="293"/>
    <s v="No"/>
    <s v="No"/>
    <n v="24"/>
    <s v="60-75"/>
    <x v="5"/>
    <x v="0"/>
    <n v="423"/>
    <x v="244"/>
    <x v="2"/>
    <s v="Pass"/>
    <x v="2"/>
    <s v="B"/>
    <x v="0"/>
    <s v="70-85"/>
    <x v="1"/>
    <x v="87"/>
    <x v="1"/>
    <x v="1"/>
    <x v="2"/>
    <x v="1"/>
    <x v="0"/>
    <x v="2"/>
    <s v="March"/>
  </r>
  <r>
    <s v="2.10545E+11"/>
    <n v="210304985"/>
    <d v="2021-04-29T00:00:00"/>
    <s v="23:45:28.774Z"/>
    <n v="1443"/>
    <d v="1997-08-06T00:00:00"/>
    <n v="79.819999999999993"/>
    <s v="Other"/>
    <x v="69"/>
    <x v="244"/>
    <x v="294"/>
    <s v="No"/>
    <s v="No"/>
    <n v="23"/>
    <s v="0-35"/>
    <x v="5"/>
    <x v="0"/>
    <n v="323"/>
    <x v="255"/>
    <x v="2"/>
    <s v="Pass"/>
    <x v="2"/>
    <s v="B"/>
    <x v="0"/>
    <s v="50-60"/>
    <x v="1"/>
    <x v="92"/>
    <x v="1"/>
    <x v="1"/>
    <x v="2"/>
    <x v="1"/>
    <x v="0"/>
    <x v="2"/>
    <s v="March"/>
  </r>
  <r>
    <s v="2.10545E+11"/>
    <n v="210304669"/>
    <d v="2021-04-30T00:00:00"/>
    <s v="08:02:47.308Z"/>
    <n v="1458"/>
    <d v="1998-09-23T00:00:00"/>
    <n v="79.8"/>
    <s v="Other"/>
    <x v="70"/>
    <x v="142"/>
    <x v="295"/>
    <s v="No"/>
    <s v="Yes"/>
    <n v="22"/>
    <s v="45-60"/>
    <x v="4"/>
    <x v="0"/>
    <n v="389"/>
    <x v="221"/>
    <x v="2"/>
    <s v="Pass"/>
    <x v="2"/>
    <s v="B"/>
    <x v="0"/>
    <s v="60-70"/>
    <x v="1"/>
    <x v="89"/>
    <x v="1"/>
    <x v="1"/>
    <x v="2"/>
    <x v="1"/>
    <x v="2"/>
    <x v="2"/>
    <s v="March"/>
  </r>
  <r>
    <s v="2.10545E+11"/>
    <n v="210303288"/>
    <d v="2021-04-30T00:00:00"/>
    <s v="09:30:07.597Z"/>
    <n v="1482"/>
    <d v="1996-10-15T00:00:00"/>
    <n v="71"/>
    <n v="62"/>
    <x v="0"/>
    <x v="245"/>
    <x v="296"/>
    <s v="No"/>
    <s v="No"/>
    <n v="24"/>
    <s v="60-75"/>
    <x v="5"/>
    <x v="5"/>
    <n v="408"/>
    <x v="256"/>
    <x v="1"/>
    <s v="Pass"/>
    <x v="1"/>
    <s v="B"/>
    <x v="0"/>
    <s v="60-70"/>
    <x v="1"/>
    <x v="84"/>
    <x v="1"/>
    <x v="1"/>
    <x v="2"/>
    <x v="1"/>
    <x v="0"/>
    <x v="2"/>
    <s v="March"/>
  </r>
  <r>
    <s v="2.10545E+11"/>
    <n v="191100800"/>
    <m/>
    <m/>
    <s v="Unknown"/>
    <m/>
    <n v="0"/>
    <n v="0"/>
    <x v="2"/>
    <x v="11"/>
    <x v="11"/>
    <s v="No"/>
    <s v="No"/>
    <n v="23"/>
    <s v="Unkown"/>
    <x v="5"/>
    <x v="2"/>
    <n v="448"/>
    <x v="200"/>
    <x v="1"/>
    <s v="Pass"/>
    <x v="1"/>
    <s v="A"/>
    <x v="0"/>
    <s v="70-85"/>
    <x v="1"/>
    <x v="57"/>
    <x v="1"/>
    <x v="1"/>
    <x v="2"/>
    <x v="2"/>
    <x v="3"/>
    <x v="2"/>
    <s v="March"/>
  </r>
  <r>
    <s v="2.10545E+11"/>
    <n v="191000936"/>
    <m/>
    <m/>
    <s v="Unknown"/>
    <m/>
    <n v="0"/>
    <n v="0"/>
    <x v="2"/>
    <x v="11"/>
    <x v="11"/>
    <s v="No"/>
    <s v="No"/>
    <n v="23"/>
    <s v="Unkown"/>
    <x v="5"/>
    <x v="2"/>
    <n v="423"/>
    <x v="244"/>
    <x v="1"/>
    <s v="Pass"/>
    <x v="1"/>
    <s v="A"/>
    <x v="0"/>
    <s v="70-85"/>
    <x v="1"/>
    <x v="38"/>
    <x v="1"/>
    <x v="1"/>
    <x v="2"/>
    <x v="2"/>
    <x v="3"/>
    <x v="2"/>
    <s v="March"/>
  </r>
  <r>
    <s v="2.10545E+11"/>
    <n v="191103882"/>
    <d v="2021-05-01T00:00:00"/>
    <s v="16:49:40.377Z"/>
    <n v="1610"/>
    <d v="1997-08-24T00:00:00"/>
    <n v="68.36"/>
    <n v="54.77"/>
    <x v="0"/>
    <x v="246"/>
    <x v="297"/>
    <s v="No"/>
    <s v="Yes"/>
    <n v="23"/>
    <s v="45-60"/>
    <x v="6"/>
    <x v="0"/>
    <n v="434"/>
    <x v="195"/>
    <x v="2"/>
    <s v="Pass"/>
    <x v="2"/>
    <s v="B"/>
    <x v="0"/>
    <s v="70-85"/>
    <x v="1"/>
    <x v="95"/>
    <x v="1"/>
    <x v="1"/>
    <x v="2"/>
    <x v="1"/>
    <x v="0"/>
    <x v="2"/>
    <s v="March"/>
  </r>
  <r>
    <s v="2.10545E+11"/>
    <n v="210303178"/>
    <d v="2021-04-29T00:00:00"/>
    <s v="22:21:32.432Z"/>
    <n v="1553"/>
    <d v="1995-01-19T00:00:00"/>
    <n v="82"/>
    <n v="45.83"/>
    <x v="71"/>
    <x v="247"/>
    <x v="298"/>
    <s v="No"/>
    <s v="No"/>
    <n v="26"/>
    <s v="45-60"/>
    <x v="5"/>
    <x v="5"/>
    <n v="258"/>
    <x v="257"/>
    <x v="2"/>
    <s v="Fail"/>
    <x v="2"/>
    <s v="Fail"/>
    <x v="0"/>
    <s v="40-50"/>
    <x v="0"/>
    <x v="0"/>
    <x v="0"/>
    <x v="0"/>
    <x v="2"/>
    <x v="1"/>
    <x v="1"/>
    <x v="2"/>
    <s v="March"/>
  </r>
  <r>
    <s v="2.10545E+11"/>
    <n v="210303348"/>
    <d v="2021-04-30T00:00:00"/>
    <s v="09:12:48.965Z"/>
    <n v="1335"/>
    <d v="1991-12-16T00:00:00"/>
    <n v="66"/>
    <s v="Other"/>
    <x v="72"/>
    <x v="248"/>
    <x v="299"/>
    <s v="No"/>
    <s v="No"/>
    <n v="29"/>
    <s v="0-35"/>
    <x v="0"/>
    <x v="0"/>
    <n v="286"/>
    <x v="258"/>
    <x v="2"/>
    <s v="Pass"/>
    <x v="2"/>
    <s v="B"/>
    <x v="0"/>
    <s v="40-50"/>
    <x v="1"/>
    <x v="104"/>
    <x v="1"/>
    <x v="1"/>
    <x v="2"/>
    <x v="1"/>
    <x v="4"/>
    <x v="2"/>
    <s v="March"/>
  </r>
  <r>
    <s v="2.10545E+11"/>
    <n v="210300234"/>
    <d v="2021-04-29T00:00:00"/>
    <s v="21:38:30.841Z"/>
    <n v="1296"/>
    <d v="1995-11-07T00:00:00"/>
    <n v="74.73"/>
    <n v="52.33"/>
    <x v="0"/>
    <x v="249"/>
    <x v="300"/>
    <s v="No"/>
    <s v="No"/>
    <n v="25"/>
    <s v="60-75"/>
    <x v="0"/>
    <x v="0"/>
    <n v="434"/>
    <x v="195"/>
    <x v="1"/>
    <s v="Pass"/>
    <x v="1"/>
    <s v="A"/>
    <x v="0"/>
    <s v="70-85"/>
    <x v="1"/>
    <x v="57"/>
    <x v="1"/>
    <x v="1"/>
    <x v="2"/>
    <x v="1"/>
    <x v="0"/>
    <x v="2"/>
    <s v="March"/>
  </r>
  <r>
    <s v="2.10545E+11"/>
    <n v="210300466"/>
    <d v="2021-04-29T00:00:00"/>
    <s v="22:18:30.567Z"/>
    <n v="1260"/>
    <d v="1995-10-15T00:00:00"/>
    <n v="77.599999999999994"/>
    <n v="72"/>
    <x v="0"/>
    <x v="250"/>
    <x v="301"/>
    <s v="No"/>
    <s v="Yes"/>
    <n v="25"/>
    <s v="60-75"/>
    <x v="5"/>
    <x v="0"/>
    <n v="490"/>
    <x v="259"/>
    <x v="2"/>
    <s v="Pass"/>
    <x v="2"/>
    <s v="A"/>
    <x v="0"/>
    <s v="70-85"/>
    <x v="1"/>
    <x v="24"/>
    <x v="1"/>
    <x v="1"/>
    <x v="2"/>
    <x v="1"/>
    <x v="0"/>
    <x v="2"/>
    <s v="March"/>
  </r>
  <r>
    <s v="2.10545E+11"/>
    <n v="210302786"/>
    <d v="2021-04-29T00:00:00"/>
    <s v="20:00:59.060Z"/>
    <n v="1454"/>
    <d v="1997-02-09T00:00:00"/>
    <n v="73.64"/>
    <n v="61"/>
    <x v="0"/>
    <x v="251"/>
    <x v="302"/>
    <s v="No"/>
    <s v="Yes"/>
    <n v="24"/>
    <s v="0-35"/>
    <x v="4"/>
    <x v="0"/>
    <n v="387"/>
    <x v="204"/>
    <x v="2"/>
    <s v="Pass"/>
    <x v="2"/>
    <s v="C"/>
    <x v="0"/>
    <s v="60-70"/>
    <x v="1"/>
    <x v="96"/>
    <x v="1"/>
    <x v="1"/>
    <x v="2"/>
    <x v="1"/>
    <x v="0"/>
    <x v="2"/>
    <s v="March"/>
  </r>
  <r>
    <s v="2.10545E+11"/>
    <n v="210301525"/>
    <d v="2021-04-30T00:00:00"/>
    <s v="00:07:57.855Z"/>
    <n v="1295"/>
    <d v="1999-04-24T00:00:00"/>
    <n v="86.2"/>
    <s v="Other"/>
    <x v="73"/>
    <x v="238"/>
    <x v="303"/>
    <s v="No"/>
    <s v="No"/>
    <n v="22"/>
    <s v="60-75"/>
    <x v="6"/>
    <x v="0"/>
    <n v="420"/>
    <x v="63"/>
    <x v="1"/>
    <s v="Pass"/>
    <x v="1"/>
    <s v="A"/>
    <x v="0"/>
    <s v="70-85"/>
    <x v="1"/>
    <x v="44"/>
    <x v="1"/>
    <x v="1"/>
    <x v="2"/>
    <x v="1"/>
    <x v="2"/>
    <x v="2"/>
    <s v="March"/>
  </r>
  <r>
    <s v="2.10545E+11"/>
    <n v="210303181"/>
    <d v="2021-04-29T00:00:00"/>
    <s v="19:53:49.331Z"/>
    <n v="1547"/>
    <d v="1993-02-15T00:00:00"/>
    <n v="81.84"/>
    <n v="61.17"/>
    <x v="0"/>
    <x v="252"/>
    <x v="304"/>
    <s v="No"/>
    <s v="No"/>
    <n v="28"/>
    <s v="45-60"/>
    <x v="6"/>
    <x v="0"/>
    <n v="451"/>
    <x v="205"/>
    <x v="1"/>
    <s v="Pass"/>
    <x v="1"/>
    <s v="B"/>
    <x v="0"/>
    <s v="70-85"/>
    <x v="1"/>
    <x v="24"/>
    <x v="1"/>
    <x v="1"/>
    <x v="2"/>
    <x v="1"/>
    <x v="1"/>
    <x v="2"/>
    <s v="March"/>
  </r>
  <r>
    <s v="2.10545E+11"/>
    <n v="210302149"/>
    <d v="2021-04-29T00:00:00"/>
    <s v="23:52:57.571Z"/>
    <n v="314"/>
    <d v="1996-10-05T00:00:00"/>
    <n v="91.2"/>
    <s v="Other"/>
    <x v="74"/>
    <x v="253"/>
    <x v="305"/>
    <s v="No"/>
    <s v="Yes"/>
    <n v="24"/>
    <s v="60-75"/>
    <x v="5"/>
    <x v="1"/>
    <n v="442"/>
    <x v="260"/>
    <x v="1"/>
    <s v="Pass"/>
    <x v="1"/>
    <s v="A"/>
    <x v="0"/>
    <s v="70-85"/>
    <x v="1"/>
    <x v="12"/>
    <x v="1"/>
    <x v="1"/>
    <x v="2"/>
    <x v="3"/>
    <x v="0"/>
    <x v="2"/>
    <s v="March"/>
  </r>
  <r>
    <s v="2.10545E+11"/>
    <n v="210300398"/>
    <d v="2021-04-30T00:00:00"/>
    <s v="00:00:11.330Z"/>
    <n v="1500"/>
    <d v="1999-07-25T00:00:00"/>
    <n v="73"/>
    <s v="Other"/>
    <x v="41"/>
    <x v="254"/>
    <x v="306"/>
    <s v="No"/>
    <s v="Yes"/>
    <n v="21"/>
    <s v="60-75"/>
    <x v="4"/>
    <x v="0"/>
    <n v="345"/>
    <x v="252"/>
    <x v="2"/>
    <s v="Pass"/>
    <x v="2"/>
    <s v="A"/>
    <x v="0"/>
    <s v="50-60"/>
    <x v="1"/>
    <x v="87"/>
    <x v="1"/>
    <x v="1"/>
    <x v="2"/>
    <x v="1"/>
    <x v="2"/>
    <x v="2"/>
    <s v="March"/>
  </r>
  <r>
    <s v="2.10545E+11"/>
    <n v="210300183"/>
    <d v="2021-04-29T00:00:00"/>
    <s v="22:38:47.065Z"/>
    <n v="1520"/>
    <d v="1997-09-20T00:00:00"/>
    <n v="88.55"/>
    <s v="Other"/>
    <x v="75"/>
    <x v="179"/>
    <x v="307"/>
    <s v="No"/>
    <s v="No"/>
    <n v="23"/>
    <s v="60-75"/>
    <x v="5"/>
    <x v="0"/>
    <n v="414"/>
    <x v="209"/>
    <x v="1"/>
    <s v="Pass"/>
    <x v="1"/>
    <s v="A"/>
    <x v="0"/>
    <s v="60-70"/>
    <x v="1"/>
    <x v="24"/>
    <x v="1"/>
    <x v="1"/>
    <x v="2"/>
    <x v="1"/>
    <x v="0"/>
    <x v="2"/>
    <s v="March"/>
  </r>
  <r>
    <s v="2.10545E+11"/>
    <n v="210301834"/>
    <d v="2021-04-29T00:00:00"/>
    <s v="20:11:32.788Z"/>
    <n v="278"/>
    <d v="1996-07-18T00:00:00"/>
    <n v="89.84"/>
    <n v="74.150000000000006"/>
    <x v="0"/>
    <x v="255"/>
    <x v="308"/>
    <s v="No"/>
    <s v="No"/>
    <n v="24"/>
    <s v="60-75"/>
    <x v="4"/>
    <x v="0"/>
    <n v="454"/>
    <x v="261"/>
    <x v="1"/>
    <s v="Pass"/>
    <x v="1"/>
    <s v="B"/>
    <x v="0"/>
    <s v="70-85"/>
    <x v="1"/>
    <x v="26"/>
    <x v="1"/>
    <x v="1"/>
    <x v="2"/>
    <x v="3"/>
    <x v="0"/>
    <x v="2"/>
    <s v="March"/>
  </r>
  <r>
    <s v="2.10545E+11"/>
    <n v="210301503"/>
    <d v="2021-04-29T00:00:00"/>
    <s v="20:20:48.883Z"/>
    <n v="1339"/>
    <d v="1996-09-12T00:00:00"/>
    <n v="77.45"/>
    <s v="Other"/>
    <x v="76"/>
    <x v="138"/>
    <x v="309"/>
    <s v="No"/>
    <s v="No"/>
    <n v="24"/>
    <s v="45-60"/>
    <x v="6"/>
    <x v="0"/>
    <n v="398"/>
    <x v="262"/>
    <x v="2"/>
    <s v="Pass"/>
    <x v="2"/>
    <s v="B"/>
    <x v="0"/>
    <s v="60-70"/>
    <x v="1"/>
    <x v="89"/>
    <x v="1"/>
    <x v="1"/>
    <x v="2"/>
    <x v="1"/>
    <x v="0"/>
    <x v="2"/>
    <s v="March"/>
  </r>
  <r>
    <s v="2.10545E+11"/>
    <n v="210303859"/>
    <d v="2021-04-30T00:00:00"/>
    <s v="12:54:21.316Z"/>
    <n v="1458"/>
    <d v="1998-06-10T00:00:00"/>
    <n v="84.8"/>
    <s v="Other"/>
    <x v="77"/>
    <x v="256"/>
    <x v="310"/>
    <s v="No"/>
    <s v="No"/>
    <n v="22"/>
    <s v="60-75"/>
    <x v="5"/>
    <x v="0"/>
    <n v="398"/>
    <x v="262"/>
    <x v="2"/>
    <s v="Pass"/>
    <x v="2"/>
    <s v="B"/>
    <x v="0"/>
    <s v="60-70"/>
    <x v="1"/>
    <x v="96"/>
    <x v="1"/>
    <x v="1"/>
    <x v="2"/>
    <x v="1"/>
    <x v="2"/>
    <x v="2"/>
    <s v="March"/>
  </r>
  <r>
    <s v="2.10545E+11"/>
    <n v="210306360"/>
    <d v="2021-05-03T00:00:00"/>
    <s v="19:31:02.181Z"/>
    <n v="1443"/>
    <d v="1996-04-13T00:00:00"/>
    <n v="79.400000000000006"/>
    <n v="65.2"/>
    <x v="0"/>
    <x v="257"/>
    <x v="311"/>
    <s v="No"/>
    <s v="No"/>
    <n v="25"/>
    <s v="60-75"/>
    <x v="6"/>
    <x v="1"/>
    <n v="327"/>
    <x v="10"/>
    <x v="0"/>
    <s v="Pass"/>
    <x v="0"/>
    <s v="B"/>
    <x v="0"/>
    <s v="50-60"/>
    <x v="1"/>
    <x v="8"/>
    <x v="1"/>
    <x v="1"/>
    <x v="2"/>
    <x v="1"/>
    <x v="0"/>
    <x v="2"/>
    <s v="March"/>
  </r>
  <r>
    <s v="2.10545E+11"/>
    <n v="210301858"/>
    <d v="2021-05-02T00:00:00"/>
    <s v="16:49:09.766Z"/>
    <n v="1472"/>
    <d v="1997-05-19T00:00:00"/>
    <n v="70.36"/>
    <n v="60.15"/>
    <x v="0"/>
    <x v="258"/>
    <x v="312"/>
    <s v="No"/>
    <s v="No"/>
    <n v="23"/>
    <s v="0-35"/>
    <x v="5"/>
    <x v="0"/>
    <n v="256"/>
    <x v="263"/>
    <x v="0"/>
    <s v="Fail"/>
    <x v="0"/>
    <s v="Fail"/>
    <x v="0"/>
    <s v="40-50"/>
    <x v="0"/>
    <x v="0"/>
    <x v="0"/>
    <x v="0"/>
    <x v="2"/>
    <x v="1"/>
    <x v="0"/>
    <x v="2"/>
    <s v="March"/>
  </r>
  <r>
    <s v="2.10545E+11"/>
    <n v="210300079"/>
    <d v="2021-04-30T00:00:00"/>
    <s v="08:33:37.869Z"/>
    <n v="1489"/>
    <d v="1997-06-16T00:00:00"/>
    <n v="92.55"/>
    <n v="61.38"/>
    <x v="0"/>
    <x v="259"/>
    <x v="313"/>
    <s v="No"/>
    <s v="Yes"/>
    <n v="23"/>
    <s v="45-60"/>
    <x v="6"/>
    <x v="5"/>
    <n v="469"/>
    <x v="264"/>
    <x v="2"/>
    <s v="Pass"/>
    <x v="2"/>
    <s v="B"/>
    <x v="0"/>
    <s v="70-85"/>
    <x v="1"/>
    <x v="95"/>
    <x v="1"/>
    <x v="1"/>
    <x v="2"/>
    <x v="1"/>
    <x v="0"/>
    <x v="2"/>
    <s v="March"/>
  </r>
  <r>
    <s v="2.10545E+11"/>
    <n v="210301918"/>
    <d v="2021-04-29T00:00:00"/>
    <s v="22:19:06.947Z"/>
    <n v="942"/>
    <d v="1997-10-01T00:00:00"/>
    <n v="80"/>
    <n v="52.42"/>
    <x v="0"/>
    <x v="157"/>
    <x v="314"/>
    <s v="No"/>
    <s v="No"/>
    <n v="23"/>
    <s v="45-60"/>
    <x v="5"/>
    <x v="0"/>
    <n v="383"/>
    <x v="265"/>
    <x v="2"/>
    <s v="Pass"/>
    <x v="2"/>
    <s v="B"/>
    <x v="0"/>
    <s v="60-70"/>
    <x v="1"/>
    <x v="104"/>
    <x v="1"/>
    <x v="1"/>
    <x v="2"/>
    <x v="3"/>
    <x v="0"/>
    <x v="2"/>
    <s v="March"/>
  </r>
  <r>
    <s v="2.10545E+11"/>
    <n v="210302944"/>
    <d v="2021-05-03T00:00:00"/>
    <s v="22:11:28.963Z"/>
    <n v="1482"/>
    <d v="1995-10-22T00:00:00"/>
    <n v="75.819999999999993"/>
    <s v="Other"/>
    <x v="78"/>
    <x v="140"/>
    <x v="315"/>
    <s v="No"/>
    <s v="No"/>
    <n v="25"/>
    <s v="60-75"/>
    <x v="5"/>
    <x v="5"/>
    <n v="365"/>
    <x v="266"/>
    <x v="2"/>
    <s v="Pass"/>
    <x v="2"/>
    <s v="C"/>
    <x v="0"/>
    <s v="60-70"/>
    <x v="1"/>
    <x v="67"/>
    <x v="1"/>
    <x v="1"/>
    <x v="2"/>
    <x v="1"/>
    <x v="0"/>
    <x v="2"/>
    <s v="March"/>
  </r>
  <r>
    <s v="2.10545E+11"/>
    <n v="210307563"/>
    <d v="2021-04-29T00:00:00"/>
    <s v="23:16:21.281Z"/>
    <n v="1466"/>
    <d v="1994-10-06T00:00:00"/>
    <n v="87.09"/>
    <n v="63.5"/>
    <x v="0"/>
    <x v="260"/>
    <x v="316"/>
    <s v="No"/>
    <s v="Yes"/>
    <n v="26"/>
    <s v="60-75"/>
    <x v="1"/>
    <x v="0"/>
    <n v="404"/>
    <x v="199"/>
    <x v="2"/>
    <s v="Pass"/>
    <x v="2"/>
    <s v="B"/>
    <x v="0"/>
    <s v="60-70"/>
    <x v="1"/>
    <x v="104"/>
    <x v="1"/>
    <x v="1"/>
    <x v="2"/>
    <x v="1"/>
    <x v="1"/>
    <x v="2"/>
    <s v="March"/>
  </r>
  <r>
    <s v="2.10545E+11"/>
    <n v="210300654"/>
    <d v="2021-04-29T00:00:00"/>
    <s v="20:16:53.910Z"/>
    <n v="1139"/>
    <d v="1998-12-15T00:00:00"/>
    <n v="86.8"/>
    <n v="66"/>
    <x v="0"/>
    <x v="236"/>
    <x v="317"/>
    <s v="No"/>
    <s v="Yes"/>
    <n v="22"/>
    <s v="60-75"/>
    <x v="5"/>
    <x v="1"/>
    <n v="441"/>
    <x v="116"/>
    <x v="1"/>
    <s v="Pass"/>
    <x v="1"/>
    <s v="A"/>
    <x v="0"/>
    <s v="70-85"/>
    <x v="1"/>
    <x v="84"/>
    <x v="1"/>
    <x v="1"/>
    <x v="2"/>
    <x v="1"/>
    <x v="2"/>
    <x v="2"/>
    <s v="March"/>
  </r>
  <r>
    <s v="2.10545E+11"/>
    <n v="210301602"/>
    <d v="2021-04-29T00:00:00"/>
    <s v="21:21:04.022Z"/>
    <n v="1500"/>
    <d v="1999-05-11T00:00:00"/>
    <n v="80"/>
    <n v="65.23"/>
    <x v="0"/>
    <x v="1"/>
    <x v="318"/>
    <s v="No"/>
    <s v="No"/>
    <n v="21"/>
    <s v="60-75"/>
    <x v="4"/>
    <x v="5"/>
    <n v="475"/>
    <x v="267"/>
    <x v="2"/>
    <s v="Pass"/>
    <x v="2"/>
    <s v="A"/>
    <x v="0"/>
    <s v="70-85"/>
    <x v="1"/>
    <x v="26"/>
    <x v="1"/>
    <x v="1"/>
    <x v="2"/>
    <x v="1"/>
    <x v="2"/>
    <x v="2"/>
    <s v="March"/>
  </r>
  <r>
    <s v="2.10545E+11"/>
    <n v="210304197"/>
    <d v="2021-04-30T00:00:00"/>
    <s v="00:04:09.119Z"/>
    <n v="1443"/>
    <d v="1996-12-08T00:00:00"/>
    <n v="91.2"/>
    <n v="68.31"/>
    <x v="0"/>
    <x v="261"/>
    <x v="319"/>
    <s v="No"/>
    <s v="No"/>
    <n v="24"/>
    <s v="60-75"/>
    <x v="4"/>
    <x v="0"/>
    <n v="419"/>
    <x v="236"/>
    <x v="1"/>
    <s v="Pass"/>
    <x v="1"/>
    <s v="C"/>
    <x v="0"/>
    <s v="60-70"/>
    <x v="1"/>
    <x v="24"/>
    <x v="1"/>
    <x v="1"/>
    <x v="2"/>
    <x v="1"/>
    <x v="0"/>
    <x v="2"/>
    <s v="March"/>
  </r>
  <r>
    <s v="2.10545E+11"/>
    <n v="210300090"/>
    <d v="2021-04-30T00:00:00"/>
    <s v="10:45:25.096Z"/>
    <n v="1281"/>
    <d v="1998-03-05T00:00:00"/>
    <n v="88.8"/>
    <n v="82.62"/>
    <x v="0"/>
    <x v="262"/>
    <x v="320"/>
    <s v="No"/>
    <s v="No"/>
    <n v="23"/>
    <s v="0-35"/>
    <x v="3"/>
    <x v="0"/>
    <n v="379"/>
    <x v="268"/>
    <x v="1"/>
    <s v="Pass"/>
    <x v="1"/>
    <s v="B"/>
    <x v="0"/>
    <s v="60-70"/>
    <x v="1"/>
    <x v="57"/>
    <x v="1"/>
    <x v="1"/>
    <x v="2"/>
    <x v="1"/>
    <x v="0"/>
    <x v="2"/>
    <s v="March"/>
  </r>
  <r>
    <s v="2.10545E+11"/>
    <n v="210306949"/>
    <d v="2021-04-30T00:00:00"/>
    <s v="15:07:20.934Z"/>
    <n v="1007"/>
    <d v="1995-09-07T00:00:00"/>
    <n v="82.36"/>
    <n v="47.83"/>
    <x v="0"/>
    <x v="263"/>
    <x v="321"/>
    <s v="No"/>
    <s v="Yes"/>
    <n v="25"/>
    <s v="0-35"/>
    <x v="4"/>
    <x v="0"/>
    <n v="385"/>
    <x v="269"/>
    <x v="0"/>
    <s v="Pass"/>
    <x v="0"/>
    <s v="A"/>
    <x v="0"/>
    <s v="60-70"/>
    <x v="1"/>
    <x v="103"/>
    <x v="1"/>
    <x v="1"/>
    <x v="2"/>
    <x v="1"/>
    <x v="0"/>
    <x v="2"/>
    <s v="March"/>
  </r>
  <r>
    <s v="2.10545E+11"/>
    <n v="210302641"/>
    <d v="2021-04-29T00:00:00"/>
    <s v="22:38:54.473Z"/>
    <n v="1339"/>
    <d v="1996-12-17T00:00:00"/>
    <n v="90.55"/>
    <n v="78"/>
    <x v="0"/>
    <x v="264"/>
    <x v="322"/>
    <s v="No"/>
    <s v="No"/>
    <n v="24"/>
    <s v="60-75"/>
    <x v="1"/>
    <x v="0"/>
    <n v="409"/>
    <x v="270"/>
    <x v="2"/>
    <s v="Pass"/>
    <x v="2"/>
    <s v="B"/>
    <x v="0"/>
    <s v="60-70"/>
    <x v="1"/>
    <x v="87"/>
    <x v="1"/>
    <x v="1"/>
    <x v="2"/>
    <x v="1"/>
    <x v="0"/>
    <x v="2"/>
    <s v="March"/>
  </r>
  <r>
    <s v="2.10545E+11"/>
    <n v="191104841"/>
    <m/>
    <m/>
    <s v="Unknown"/>
    <m/>
    <n v="0"/>
    <n v="0"/>
    <x v="2"/>
    <x v="11"/>
    <x v="11"/>
    <s v="No"/>
    <s v="No"/>
    <n v="23"/>
    <s v="Unkown"/>
    <x v="5"/>
    <x v="2"/>
    <n v="423"/>
    <x v="244"/>
    <x v="2"/>
    <s v="Pass"/>
    <x v="2"/>
    <s v="B"/>
    <x v="0"/>
    <s v="70-85"/>
    <x v="1"/>
    <x v="105"/>
    <x v="1"/>
    <x v="1"/>
    <x v="2"/>
    <x v="2"/>
    <x v="3"/>
    <x v="2"/>
    <s v="March"/>
  </r>
  <r>
    <s v="2.10545E+11"/>
    <n v="210307115"/>
    <d v="2021-04-29T00:00:00"/>
    <s v="21:14:26.675Z"/>
    <n v="3312"/>
    <d v="1997-12-12T00:00:00"/>
    <n v="74"/>
    <n v="66"/>
    <x v="0"/>
    <x v="41"/>
    <x v="323"/>
    <s v="No"/>
    <s v="No"/>
    <n v="23"/>
    <s v="60-75"/>
    <x v="1"/>
    <x v="0"/>
    <n v="421"/>
    <x v="271"/>
    <x v="1"/>
    <s v="Pass"/>
    <x v="1"/>
    <s v="B"/>
    <x v="1"/>
    <s v="70-85"/>
    <x v="1"/>
    <x v="87"/>
    <x v="1"/>
    <x v="1"/>
    <x v="2"/>
    <x v="4"/>
    <x v="0"/>
    <x v="2"/>
    <s v="March"/>
  </r>
  <r>
    <s v="2.10545E+11"/>
    <n v="210307661"/>
    <d v="2021-04-29T00:00:00"/>
    <s v="22:57:15.721Z"/>
    <n v="1602"/>
    <d v="1995-07-30T00:00:00"/>
    <n v="73.45"/>
    <n v="55.33"/>
    <x v="0"/>
    <x v="265"/>
    <x v="324"/>
    <s v="Yes"/>
    <s v="No"/>
    <n v="25"/>
    <s v="45-60"/>
    <x v="5"/>
    <x v="0"/>
    <n v="500"/>
    <x v="272"/>
    <x v="1"/>
    <s v="Pass"/>
    <x v="1"/>
    <s v="A"/>
    <x v="1"/>
    <s v="70-85"/>
    <x v="1"/>
    <x v="106"/>
    <x v="1"/>
    <x v="1"/>
    <x v="2"/>
    <x v="1"/>
    <x v="0"/>
    <x v="2"/>
    <s v="March"/>
  </r>
  <r>
    <s v="2.10545E+11"/>
    <n v="210303374"/>
    <d v="2021-05-03T00:00:00"/>
    <s v="19:34:18.398Z"/>
    <n v="179"/>
    <d v="1996-04-28T00:00:00"/>
    <n v="90.36"/>
    <n v="66.33"/>
    <x v="0"/>
    <x v="266"/>
    <x v="325"/>
    <s v="No"/>
    <s v="No"/>
    <n v="25"/>
    <s v="60-75"/>
    <x v="6"/>
    <x v="1"/>
    <n v="488"/>
    <x v="273"/>
    <x v="1"/>
    <s v="Pass"/>
    <x v="1"/>
    <s v="C"/>
    <x v="1"/>
    <s v="70-85"/>
    <x v="1"/>
    <x v="107"/>
    <x v="1"/>
    <x v="1"/>
    <x v="2"/>
    <x v="3"/>
    <x v="0"/>
    <x v="2"/>
    <s v="March"/>
  </r>
  <r>
    <s v="2.10545E+11"/>
    <n v="210300369"/>
    <d v="2021-04-29T00:00:00"/>
    <s v="22:33:07.979Z"/>
    <n v="4037"/>
    <d v="1993-06-04T00:00:00"/>
    <n v="75.069999999999993"/>
    <n v="52.83"/>
    <x v="0"/>
    <x v="267"/>
    <x v="326"/>
    <s v="No"/>
    <s v="No"/>
    <n v="27"/>
    <s v="60-75"/>
    <x v="5"/>
    <x v="0"/>
    <n v="340"/>
    <x v="239"/>
    <x v="1"/>
    <s v="Pass"/>
    <x v="1"/>
    <s v="B"/>
    <x v="1"/>
    <s v="50-60"/>
    <x v="1"/>
    <x v="80"/>
    <x v="1"/>
    <x v="1"/>
    <x v="2"/>
    <x v="5"/>
    <x v="1"/>
    <x v="2"/>
    <s v="March"/>
  </r>
  <r>
    <s v="2.10545E+11"/>
    <n v="210303957"/>
    <d v="2021-04-29T00:00:00"/>
    <s v="23:19:49.804Z"/>
    <n v="3293"/>
    <d v="1998-11-16T00:00:00"/>
    <n v="71"/>
    <s v="Other"/>
    <x v="0"/>
    <x v="166"/>
    <x v="327"/>
    <s v="No"/>
    <s v="No"/>
    <n v="22"/>
    <s v="60-75"/>
    <x v="5"/>
    <x v="5"/>
    <n v="388"/>
    <x v="203"/>
    <x v="1"/>
    <s v="Pass"/>
    <x v="1"/>
    <s v="A"/>
    <x v="1"/>
    <s v="60-70"/>
    <x v="1"/>
    <x v="108"/>
    <x v="1"/>
    <x v="1"/>
    <x v="2"/>
    <x v="4"/>
    <x v="2"/>
    <x v="2"/>
    <s v="March"/>
  </r>
  <r>
    <s v="2.10545E+11"/>
    <n v="210301946"/>
    <d v="2021-05-03T00:00:00"/>
    <s v="14:26:33.705Z"/>
    <n v="4159"/>
    <d v="1995-08-08T00:00:00"/>
    <n v="72"/>
    <s v="Other"/>
    <x v="79"/>
    <x v="268"/>
    <x v="328"/>
    <s v="No"/>
    <s v="No"/>
    <n v="25"/>
    <s v="45-60"/>
    <x v="5"/>
    <x v="0"/>
    <n v="352"/>
    <x v="274"/>
    <x v="1"/>
    <s v="Pass"/>
    <x v="1"/>
    <s v="A"/>
    <x v="1"/>
    <s v="50-60"/>
    <x v="1"/>
    <x v="109"/>
    <x v="1"/>
    <x v="1"/>
    <x v="2"/>
    <x v="5"/>
    <x v="0"/>
    <x v="2"/>
    <s v="March"/>
  </r>
  <r>
    <s v="2.10545E+11"/>
    <n v="210303573"/>
    <d v="2021-04-29T00:00:00"/>
    <s v="22:38:50.306Z"/>
    <n v="4321"/>
    <d v="1997-02-23T00:00:00"/>
    <n v="70"/>
    <n v="60"/>
    <x v="0"/>
    <x v="269"/>
    <x v="329"/>
    <s v="No"/>
    <s v="No"/>
    <n v="24"/>
    <s v="0-35"/>
    <x v="5"/>
    <x v="0"/>
    <n v="276"/>
    <x v="275"/>
    <x v="0"/>
    <s v="Fail"/>
    <x v="0"/>
    <s v="D"/>
    <x v="1"/>
    <s v="40-50"/>
    <x v="0"/>
    <x v="0"/>
    <x v="0"/>
    <x v="0"/>
    <x v="2"/>
    <x v="5"/>
    <x v="0"/>
    <x v="2"/>
    <s v="March"/>
  </r>
  <r>
    <s v="2.10545E+11"/>
    <n v="210301787"/>
    <d v="2021-05-05T00:00:00"/>
    <s v="17:35:42.507Z"/>
    <n v="3843"/>
    <d v="1994-07-06T00:00:00"/>
    <n v="80.180000000000007"/>
    <n v="64.67"/>
    <x v="0"/>
    <x v="270"/>
    <x v="330"/>
    <s v="No"/>
    <s v="Yes"/>
    <n v="26"/>
    <s v="45-60"/>
    <x v="3"/>
    <x v="0"/>
    <n v="315"/>
    <x v="276"/>
    <x v="2"/>
    <s v="Pass"/>
    <x v="2"/>
    <s v="B"/>
    <x v="1"/>
    <s v="50-60"/>
    <x v="1"/>
    <x v="106"/>
    <x v="1"/>
    <x v="1"/>
    <x v="2"/>
    <x v="4"/>
    <x v="1"/>
    <x v="2"/>
    <s v="March"/>
  </r>
  <r>
    <s v="2.10545E+11"/>
    <n v="210307535"/>
    <d v="2021-04-29T00:00:00"/>
    <s v="22:38:33.980Z"/>
    <n v="2173"/>
    <d v="1984-10-08T00:00:00"/>
    <n v="78"/>
    <n v="76.67"/>
    <x v="0"/>
    <x v="271"/>
    <x v="331"/>
    <s v="Yes"/>
    <s v="No"/>
    <n v="36"/>
    <s v="100-75"/>
    <x v="6"/>
    <x v="0"/>
    <n v="389"/>
    <x v="221"/>
    <x v="2"/>
    <s v="Pass"/>
    <x v="2"/>
    <s v="C"/>
    <x v="1"/>
    <s v="60-70"/>
    <x v="1"/>
    <x v="100"/>
    <x v="1"/>
    <x v="1"/>
    <x v="2"/>
    <x v="0"/>
    <x v="4"/>
    <x v="2"/>
    <s v="March"/>
  </r>
  <r>
    <s v="2.10545E+11"/>
    <n v="210301313"/>
    <d v="2021-04-29T00:00:00"/>
    <s v="20:59:59.422Z"/>
    <n v="3578"/>
    <d v="1996-01-22T00:00:00"/>
    <n v="70.3"/>
    <n v="60.8"/>
    <x v="0"/>
    <x v="272"/>
    <x v="332"/>
    <s v="No"/>
    <s v="Yes"/>
    <n v="25"/>
    <s v="0-35"/>
    <x v="3"/>
    <x v="1"/>
    <n v="369"/>
    <x v="277"/>
    <x v="1"/>
    <s v="Pass"/>
    <x v="1"/>
    <s v="A"/>
    <x v="1"/>
    <s v="60-70"/>
    <x v="1"/>
    <x v="106"/>
    <x v="1"/>
    <x v="1"/>
    <x v="2"/>
    <x v="4"/>
    <x v="0"/>
    <x v="2"/>
    <s v="March"/>
  </r>
  <r>
    <s v="2.10545E+11"/>
    <n v="210305195"/>
    <d v="2021-04-29T00:00:00"/>
    <s v="23:20:41.165Z"/>
    <n v="3850"/>
    <d v="1992-01-27T00:00:00"/>
    <n v="49.84"/>
    <n v="59"/>
    <x v="80"/>
    <x v="273"/>
    <x v="333"/>
    <s v="No"/>
    <s v="No"/>
    <n v="29"/>
    <s v="60-75"/>
    <x v="6"/>
    <x v="0"/>
    <n v="331"/>
    <x v="278"/>
    <x v="0"/>
    <s v="Pass"/>
    <x v="0"/>
    <s v="B"/>
    <x v="1"/>
    <s v="50-60"/>
    <x v="1"/>
    <x v="89"/>
    <x v="1"/>
    <x v="1"/>
    <x v="2"/>
    <x v="4"/>
    <x v="4"/>
    <x v="2"/>
    <s v="March"/>
  </r>
  <r>
    <s v="2.10545E+11"/>
    <n v="210305853"/>
    <d v="2021-04-29T00:00:00"/>
    <s v="22:08:04.973Z"/>
    <n v="4071"/>
    <d v="1995-12-14T00:00:00"/>
    <n v="69.64"/>
    <s v="Other"/>
    <x v="81"/>
    <x v="274"/>
    <x v="334"/>
    <s v="No"/>
    <s v="No"/>
    <n v="25"/>
    <s v="60-75"/>
    <x v="6"/>
    <x v="0"/>
    <n v="288"/>
    <x v="279"/>
    <x v="2"/>
    <s v="Fail"/>
    <x v="2"/>
    <s v="Fail"/>
    <x v="1"/>
    <s v="40-50"/>
    <x v="0"/>
    <x v="0"/>
    <x v="0"/>
    <x v="0"/>
    <x v="2"/>
    <x v="5"/>
    <x v="0"/>
    <x v="2"/>
    <s v="March"/>
  </r>
  <r>
    <s v="2.10545E+11"/>
    <n v="210303503"/>
    <d v="2021-05-03T00:00:00"/>
    <s v="18:44:33.117Z"/>
    <n v="3369"/>
    <d v="1997-06-01T00:00:00"/>
    <n v="71.599999999999994"/>
    <n v="53.08"/>
    <x v="0"/>
    <x v="11"/>
    <x v="335"/>
    <s v="No"/>
    <s v="No"/>
    <n v="23"/>
    <s v="0-35"/>
    <x v="3"/>
    <x v="5"/>
    <n v="224"/>
    <x v="280"/>
    <x v="0"/>
    <s v="Fail"/>
    <x v="0"/>
    <s v="Fail"/>
    <x v="1"/>
    <s v="Fail"/>
    <x v="0"/>
    <x v="0"/>
    <x v="0"/>
    <x v="0"/>
    <x v="2"/>
    <x v="4"/>
    <x v="0"/>
    <x v="2"/>
    <s v="March"/>
  </r>
  <r>
    <s v="2.10545E+11"/>
    <n v="210304029"/>
    <d v="2021-04-30T00:00:00"/>
    <s v="07:28:26.865Z"/>
    <n v="970"/>
    <d v="1996-08-12T00:00:00"/>
    <n v="88.91"/>
    <n v="78.31"/>
    <x v="0"/>
    <x v="275"/>
    <x v="336"/>
    <s v="Yes"/>
    <s v="No"/>
    <n v="24"/>
    <s v="100-75"/>
    <x v="3"/>
    <x v="3"/>
    <n v="412"/>
    <x v="281"/>
    <x v="1"/>
    <s v="Pass"/>
    <x v="1"/>
    <s v="A"/>
    <x v="1"/>
    <s v="60-70"/>
    <x v="1"/>
    <x v="107"/>
    <x v="1"/>
    <x v="1"/>
    <x v="2"/>
    <x v="3"/>
    <x v="0"/>
    <x v="2"/>
    <s v="March"/>
  </r>
  <r>
    <s v="2.10545E+11"/>
    <n v="210303255"/>
    <d v="2021-04-30T00:00:00"/>
    <s v="18:50:18.889Z"/>
    <n v="3350"/>
    <d v="1998-10-11T00:00:00"/>
    <n v="71.599999999999994"/>
    <n v="50.77"/>
    <x v="0"/>
    <x v="276"/>
    <x v="337"/>
    <s v="No"/>
    <s v="Yes"/>
    <n v="22"/>
    <s v="60-75"/>
    <x v="0"/>
    <x v="0"/>
    <n v="291"/>
    <x v="118"/>
    <x v="2"/>
    <s v="Pass"/>
    <x v="2"/>
    <s v="B"/>
    <x v="1"/>
    <s v="40-50"/>
    <x v="1"/>
    <x v="107"/>
    <x v="1"/>
    <x v="1"/>
    <x v="2"/>
    <x v="4"/>
    <x v="2"/>
    <x v="2"/>
    <s v="March"/>
  </r>
  <r>
    <s v="2.10545E+11"/>
    <n v="210301373"/>
    <d v="2021-04-29T00:00:00"/>
    <s v="19:23:21.519Z"/>
    <n v="2118"/>
    <d v="1998-01-12T00:00:00"/>
    <n v="81.8"/>
    <s v="Other"/>
    <x v="82"/>
    <x v="13"/>
    <x v="338"/>
    <s v="No"/>
    <s v="Yes"/>
    <n v="23"/>
    <s v="60-75"/>
    <x v="3"/>
    <x v="0"/>
    <n v="448"/>
    <x v="200"/>
    <x v="2"/>
    <s v="Pass"/>
    <x v="2"/>
    <s v="C"/>
    <x v="1"/>
    <s v="70-85"/>
    <x v="1"/>
    <x v="107"/>
    <x v="1"/>
    <x v="1"/>
    <x v="2"/>
    <x v="0"/>
    <x v="0"/>
    <x v="2"/>
    <s v="March"/>
  </r>
  <r>
    <s v="2.10545E+11"/>
    <n v="210302692"/>
    <d v="2021-04-30T00:00:00"/>
    <s v="10:09:50.546Z"/>
    <n v="2660"/>
    <d v="1998-10-27T00:00:00"/>
    <n v="83.6"/>
    <n v="70"/>
    <x v="0"/>
    <x v="277"/>
    <x v="339"/>
    <s v="No"/>
    <s v="No"/>
    <n v="22"/>
    <s v="60-75"/>
    <x v="5"/>
    <x v="0"/>
    <n v="381"/>
    <x v="152"/>
    <x v="2"/>
    <s v="Pass"/>
    <x v="2"/>
    <s v="B"/>
    <x v="1"/>
    <s v="60-70"/>
    <x v="1"/>
    <x v="110"/>
    <x v="1"/>
    <x v="1"/>
    <x v="2"/>
    <x v="0"/>
    <x v="2"/>
    <x v="2"/>
    <s v="March"/>
  </r>
  <r>
    <s v="2.10545E+11"/>
    <n v="210300632"/>
    <d v="2021-04-30T00:00:00"/>
    <s v="15:01:55.510Z"/>
    <n v="2532"/>
    <d v="1997-04-12T00:00:00"/>
    <n v="72"/>
    <s v="Other"/>
    <x v="83"/>
    <x v="45"/>
    <x v="340"/>
    <s v="No"/>
    <s v="No"/>
    <n v="24"/>
    <s v="100-75"/>
    <x v="5"/>
    <x v="0"/>
    <n v="374"/>
    <x v="282"/>
    <x v="1"/>
    <s v="Pass"/>
    <x v="1"/>
    <s v="C"/>
    <x v="1"/>
    <s v="60-70"/>
    <x v="1"/>
    <x v="87"/>
    <x v="1"/>
    <x v="1"/>
    <x v="2"/>
    <x v="0"/>
    <x v="0"/>
    <x v="2"/>
    <s v="March"/>
  </r>
  <r>
    <s v="2.10545E+11"/>
    <n v="210301521"/>
    <d v="2021-04-29T00:00:00"/>
    <s v="19:58:50.443Z"/>
    <n v="3099"/>
    <d v="1995-11-14T00:00:00"/>
    <n v="74.099999999999994"/>
    <n v="68.8"/>
    <x v="0"/>
    <x v="278"/>
    <x v="341"/>
    <s v="No"/>
    <s v="No"/>
    <n v="25"/>
    <s v="60-75"/>
    <x v="5"/>
    <x v="0"/>
    <n v="344"/>
    <x v="283"/>
    <x v="2"/>
    <s v="Pass"/>
    <x v="2"/>
    <s v="B"/>
    <x v="1"/>
    <s v="50-60"/>
    <x v="1"/>
    <x v="87"/>
    <x v="1"/>
    <x v="1"/>
    <x v="2"/>
    <x v="4"/>
    <x v="0"/>
    <x v="2"/>
    <s v="March"/>
  </r>
  <r>
    <s v="2.10545E+11"/>
    <n v="210303341"/>
    <m/>
    <m/>
    <s v="Unknown"/>
    <m/>
    <n v="0"/>
    <n v="0"/>
    <x v="2"/>
    <x v="11"/>
    <x v="11"/>
    <s v="No"/>
    <s v="No"/>
    <n v="23"/>
    <s v="Unkown"/>
    <x v="5"/>
    <x v="2"/>
    <n v="392"/>
    <x v="213"/>
    <x v="2"/>
    <s v="Pass"/>
    <x v="2"/>
    <s v="B"/>
    <x v="1"/>
    <s v="60-70"/>
    <x v="1"/>
    <x v="109"/>
    <x v="1"/>
    <x v="1"/>
    <x v="2"/>
    <x v="2"/>
    <x v="3"/>
    <x v="2"/>
    <s v="March"/>
  </r>
  <r>
    <s v="2.10545E+11"/>
    <n v="210304159"/>
    <m/>
    <m/>
    <s v="Unknown"/>
    <m/>
    <n v="0"/>
    <n v="0"/>
    <x v="2"/>
    <x v="11"/>
    <x v="11"/>
    <s v="No"/>
    <s v="No"/>
    <n v="23"/>
    <s v="Unkown"/>
    <x v="5"/>
    <x v="2"/>
    <n v="432"/>
    <x v="125"/>
    <x v="1"/>
    <s v="Pass"/>
    <x v="1"/>
    <s v="C"/>
    <x v="1"/>
    <s v="70-85"/>
    <x v="1"/>
    <x v="89"/>
    <x v="1"/>
    <x v="1"/>
    <x v="2"/>
    <x v="2"/>
    <x v="3"/>
    <x v="2"/>
    <s v="March"/>
  </r>
  <r>
    <s v="2.10545E+11"/>
    <n v="210302036"/>
    <d v="2021-04-30T00:00:00"/>
    <s v="07:51:55.698Z"/>
    <n v="2399"/>
    <d v="1997-05-13T00:00:00"/>
    <n v="90.73"/>
    <s v="Other"/>
    <x v="0"/>
    <x v="279"/>
    <x v="342"/>
    <s v="No"/>
    <s v="No"/>
    <n v="23"/>
    <s v="45-60"/>
    <x v="5"/>
    <x v="5"/>
    <n v="387"/>
    <x v="204"/>
    <x v="2"/>
    <s v="Pass"/>
    <x v="2"/>
    <s v="C"/>
    <x v="1"/>
    <s v="60-70"/>
    <x v="1"/>
    <x v="89"/>
    <x v="1"/>
    <x v="1"/>
    <x v="2"/>
    <x v="0"/>
    <x v="0"/>
    <x v="2"/>
    <s v="March"/>
  </r>
  <r>
    <s v="2.10545E+11"/>
    <n v="210302616"/>
    <d v="2021-05-03T00:00:00"/>
    <s v="16:56:49.238Z"/>
    <n v="4047"/>
    <d v="1997-11-20T00:00:00"/>
    <n v="74.8"/>
    <n v="56.15"/>
    <x v="84"/>
    <x v="1"/>
    <x v="343"/>
    <s v="No"/>
    <s v="No"/>
    <n v="23"/>
    <s v="60-75"/>
    <x v="5"/>
    <x v="0"/>
    <n v="394"/>
    <x v="284"/>
    <x v="2"/>
    <s v="Pass"/>
    <x v="2"/>
    <s v="B"/>
    <x v="1"/>
    <s v="60-70"/>
    <x v="1"/>
    <x v="110"/>
    <x v="1"/>
    <x v="1"/>
    <x v="2"/>
    <x v="5"/>
    <x v="0"/>
    <x v="2"/>
    <s v="March"/>
  </r>
  <r>
    <s v="2.10545E+11"/>
    <n v="210304031"/>
    <d v="2021-04-30T00:00:00"/>
    <s v="14:15:14.166Z"/>
    <n v="2436"/>
    <d v="1996-02-07T00:00:00"/>
    <n v="92.18"/>
    <s v="Other"/>
    <x v="85"/>
    <x v="166"/>
    <x v="344"/>
    <s v="No"/>
    <s v="No"/>
    <n v="25"/>
    <s v="60-75"/>
    <x v="5"/>
    <x v="0"/>
    <n v="52"/>
    <x v="285"/>
    <x v="0"/>
    <s v="Fail"/>
    <x v="0"/>
    <s v="Fail"/>
    <x v="1"/>
    <s v="Fail"/>
    <x v="0"/>
    <x v="0"/>
    <x v="0"/>
    <x v="0"/>
    <x v="2"/>
    <x v="0"/>
    <x v="0"/>
    <x v="2"/>
    <s v="March"/>
  </r>
  <r>
    <s v="2.10545E+11"/>
    <n v="210306071"/>
    <m/>
    <m/>
    <s v="Unknown"/>
    <m/>
    <n v="0"/>
    <n v="0"/>
    <x v="2"/>
    <x v="11"/>
    <x v="11"/>
    <s v="No"/>
    <s v="No"/>
    <n v="23"/>
    <s v="Unkown"/>
    <x v="5"/>
    <x v="2"/>
    <n v="319"/>
    <x v="286"/>
    <x v="2"/>
    <s v="Pass"/>
    <x v="2"/>
    <s v="D"/>
    <x v="1"/>
    <s v="50-60"/>
    <x v="1"/>
    <x v="100"/>
    <x v="1"/>
    <x v="1"/>
    <x v="2"/>
    <x v="2"/>
    <x v="3"/>
    <x v="2"/>
    <s v="March"/>
  </r>
  <r>
    <s v="2.10545E+11"/>
    <n v="191107783"/>
    <m/>
    <m/>
    <s v="Unknown"/>
    <m/>
    <n v="0"/>
    <n v="0"/>
    <x v="2"/>
    <x v="11"/>
    <x v="11"/>
    <s v="No"/>
    <s v="No"/>
    <n v="23"/>
    <s v="Unkown"/>
    <x v="5"/>
    <x v="2"/>
    <n v="392"/>
    <x v="213"/>
    <x v="1"/>
    <s v="Pass"/>
    <x v="1"/>
    <s v="B"/>
    <x v="1"/>
    <s v="60-70"/>
    <x v="1"/>
    <x v="99"/>
    <x v="1"/>
    <x v="1"/>
    <x v="2"/>
    <x v="2"/>
    <x v="3"/>
    <x v="2"/>
    <s v="March"/>
  </r>
  <r>
    <s v="2.10545E+11"/>
    <n v="210307566"/>
    <m/>
    <m/>
    <s v="Unknown"/>
    <m/>
    <n v="0"/>
    <n v="0"/>
    <x v="2"/>
    <x v="11"/>
    <x v="11"/>
    <s v="No"/>
    <s v="No"/>
    <n v="23"/>
    <s v="Unkown"/>
    <x v="5"/>
    <x v="2"/>
    <n v="324"/>
    <x v="8"/>
    <x v="0"/>
    <s v="Fail"/>
    <x v="0"/>
    <s v="Fail"/>
    <x v="1"/>
    <s v="50-60"/>
    <x v="0"/>
    <x v="0"/>
    <x v="0"/>
    <x v="0"/>
    <x v="2"/>
    <x v="2"/>
    <x v="3"/>
    <x v="2"/>
    <s v="March"/>
  </r>
  <r>
    <s v="2.10545E+11"/>
    <n v="210303549"/>
    <d v="2021-05-03T00:00:00"/>
    <s v="19:49:31.512Z"/>
    <n v="3713"/>
    <d v="1999-01-31T00:00:00"/>
    <n v="80.400000000000006"/>
    <s v="Other"/>
    <x v="86"/>
    <x v="280"/>
    <x v="345"/>
    <s v="No"/>
    <s v="Yes"/>
    <n v="22"/>
    <s v="60-75"/>
    <x v="5"/>
    <x v="0"/>
    <n v="412"/>
    <x v="281"/>
    <x v="1"/>
    <s v="Pass"/>
    <x v="1"/>
    <s v="A"/>
    <x v="1"/>
    <s v="60-70"/>
    <x v="1"/>
    <x v="67"/>
    <x v="1"/>
    <x v="1"/>
    <x v="2"/>
    <x v="4"/>
    <x v="2"/>
    <x v="2"/>
    <s v="March"/>
  </r>
  <r>
    <s v="2.10545E+11"/>
    <n v="210303942"/>
    <d v="2021-04-30T00:00:00"/>
    <s v="08:27:50.182Z"/>
    <n v="3751"/>
    <d v="1997-07-26T00:00:00"/>
    <n v="70.8"/>
    <n v="51.69"/>
    <x v="0"/>
    <x v="1"/>
    <x v="346"/>
    <s v="No"/>
    <s v="No"/>
    <n v="23"/>
    <s v="60-75"/>
    <x v="5"/>
    <x v="0"/>
    <n v="379"/>
    <x v="268"/>
    <x v="1"/>
    <s v="Pass"/>
    <x v="1"/>
    <s v="B"/>
    <x v="1"/>
    <s v="60-70"/>
    <x v="1"/>
    <x v="111"/>
    <x v="1"/>
    <x v="1"/>
    <x v="2"/>
    <x v="4"/>
    <x v="0"/>
    <x v="2"/>
    <s v="March"/>
  </r>
  <r>
    <s v="2.10545E+11"/>
    <n v="210300375"/>
    <d v="2021-04-29T00:00:00"/>
    <s v="23:21:28.687Z"/>
    <n v="3964"/>
    <d v="1995-11-06T00:00:00"/>
    <n v="79.239999999999995"/>
    <s v="Other"/>
    <x v="87"/>
    <x v="281"/>
    <x v="347"/>
    <s v="No"/>
    <s v="No"/>
    <n v="25"/>
    <s v="60-75"/>
    <x v="5"/>
    <x v="0"/>
    <n v="323"/>
    <x v="255"/>
    <x v="2"/>
    <s v="Pass"/>
    <x v="2"/>
    <s v="B"/>
    <x v="1"/>
    <s v="50-60"/>
    <x v="1"/>
    <x v="100"/>
    <x v="1"/>
    <x v="1"/>
    <x v="2"/>
    <x v="4"/>
    <x v="0"/>
    <x v="2"/>
    <s v="March"/>
  </r>
  <r>
    <s v="2.10545E+11"/>
    <n v="210300075"/>
    <m/>
    <m/>
    <s v="Unknown"/>
    <m/>
    <n v="0"/>
    <n v="0"/>
    <x v="2"/>
    <x v="11"/>
    <x v="11"/>
    <s v="No"/>
    <s v="No"/>
    <n v="23"/>
    <s v="Unkown"/>
    <x v="5"/>
    <x v="2"/>
    <n v="410"/>
    <x v="287"/>
    <x v="2"/>
    <s v="Pass"/>
    <x v="2"/>
    <s v="A"/>
    <x v="1"/>
    <s v="60-70"/>
    <x v="1"/>
    <x v="89"/>
    <x v="1"/>
    <x v="1"/>
    <x v="2"/>
    <x v="2"/>
    <x v="3"/>
    <x v="2"/>
    <s v="March"/>
  </r>
  <r>
    <s v="2.10545E+11"/>
    <n v="210305374"/>
    <d v="2021-04-29T00:00:00"/>
    <s v="22:39:29.874Z"/>
    <n v="3411"/>
    <d v="1995-08-05T00:00:00"/>
    <n v="79.09"/>
    <n v="60"/>
    <x v="0"/>
    <x v="41"/>
    <x v="348"/>
    <s v="No"/>
    <s v="No"/>
    <n v="25"/>
    <s v="60-75"/>
    <x v="0"/>
    <x v="0"/>
    <n v="435"/>
    <x v="103"/>
    <x v="1"/>
    <s v="Pass"/>
    <x v="1"/>
    <s v="A"/>
    <x v="1"/>
    <s v="70-85"/>
    <x v="1"/>
    <x v="67"/>
    <x v="1"/>
    <x v="1"/>
    <x v="2"/>
    <x v="4"/>
    <x v="0"/>
    <x v="2"/>
    <s v="March"/>
  </r>
  <r>
    <s v="2.10545E+11"/>
    <n v="210301188"/>
    <d v="2021-04-30T00:00:00"/>
    <s v="01:49:34.585Z"/>
    <n v="3421"/>
    <d v="1998-01-23T00:00:00"/>
    <n v="70.2"/>
    <s v="Other"/>
    <x v="54"/>
    <x v="282"/>
    <x v="349"/>
    <s v="No"/>
    <s v="No"/>
    <n v="23"/>
    <s v="0-35"/>
    <x v="5"/>
    <x v="1"/>
    <n v="250"/>
    <x v="288"/>
    <x v="2"/>
    <s v="Fail"/>
    <x v="2"/>
    <s v="Fail"/>
    <x v="1"/>
    <s v="40-50"/>
    <x v="0"/>
    <x v="0"/>
    <x v="0"/>
    <x v="0"/>
    <x v="2"/>
    <x v="4"/>
    <x v="0"/>
    <x v="2"/>
    <s v="March"/>
  </r>
  <r>
    <s v="2.10545E+11"/>
    <n v="210303710"/>
    <d v="2021-04-30T00:00:00"/>
    <s v="01:41:09.504Z"/>
    <n v="2798"/>
    <d v="1997-11-03T00:00:00"/>
    <n v="70.180000000000007"/>
    <s v="Other"/>
    <x v="88"/>
    <x v="283"/>
    <x v="350"/>
    <s v="No"/>
    <s v="Yes"/>
    <n v="23"/>
    <s v="45-60"/>
    <x v="5"/>
    <x v="0"/>
    <n v="378"/>
    <x v="181"/>
    <x v="2"/>
    <s v="Pass"/>
    <x v="2"/>
    <s v="C"/>
    <x v="1"/>
    <s v="60-70"/>
    <x v="1"/>
    <x v="67"/>
    <x v="1"/>
    <x v="1"/>
    <x v="2"/>
    <x v="0"/>
    <x v="0"/>
    <x v="2"/>
    <s v="March"/>
  </r>
  <r>
    <s v="2.10545E+11"/>
    <n v="210302332"/>
    <d v="2021-05-03T00:00:00"/>
    <s v="19:46:21.164Z"/>
    <n v="4159"/>
    <d v="1997-01-19T00:00:00"/>
    <n v="76.73"/>
    <s v="Other"/>
    <x v="89"/>
    <x v="33"/>
    <x v="351"/>
    <s v="No"/>
    <s v="No"/>
    <n v="24"/>
    <s v="45-60"/>
    <x v="6"/>
    <x v="5"/>
    <n v="344"/>
    <x v="283"/>
    <x v="2"/>
    <s v="Pass"/>
    <x v="2"/>
    <s v="C"/>
    <x v="1"/>
    <s v="50-60"/>
    <x v="1"/>
    <x v="100"/>
    <x v="1"/>
    <x v="1"/>
    <x v="2"/>
    <x v="5"/>
    <x v="0"/>
    <x v="2"/>
    <s v="March"/>
  </r>
  <r>
    <s v="2.10545E+11"/>
    <n v="210300189"/>
    <d v="2021-04-30T00:00:00"/>
    <s v="09:19:23.148Z"/>
    <n v="2562"/>
    <d v="1996-06-02T00:00:00"/>
    <n v="57.45"/>
    <n v="53.38"/>
    <x v="0"/>
    <x v="11"/>
    <x v="352"/>
    <s v="No"/>
    <s v="No"/>
    <n v="24"/>
    <s v="0-35"/>
    <x v="6"/>
    <x v="0"/>
    <n v="339"/>
    <x v="109"/>
    <x v="2"/>
    <s v="Pass"/>
    <x v="2"/>
    <s v="C"/>
    <x v="1"/>
    <s v="50-60"/>
    <x v="1"/>
    <x v="87"/>
    <x v="1"/>
    <x v="1"/>
    <x v="2"/>
    <x v="0"/>
    <x v="0"/>
    <x v="2"/>
    <s v="March"/>
  </r>
  <r>
    <s v="2.10545E+11"/>
    <n v="210307972"/>
    <d v="2021-04-30T00:00:00"/>
    <s v="08:15:06.631Z"/>
    <n v="3820"/>
    <d v="1994-08-25T00:00:00"/>
    <n v="88.2"/>
    <n v="54"/>
    <x v="0"/>
    <x v="11"/>
    <x v="353"/>
    <s v="No"/>
    <s v="No"/>
    <n v="26"/>
    <s v="0-35"/>
    <x v="0"/>
    <x v="5"/>
    <n v="331"/>
    <x v="278"/>
    <x v="2"/>
    <s v="Pass"/>
    <x v="2"/>
    <s v="C"/>
    <x v="1"/>
    <s v="50-60"/>
    <x v="1"/>
    <x v="107"/>
    <x v="1"/>
    <x v="1"/>
    <x v="2"/>
    <x v="4"/>
    <x v="1"/>
    <x v="2"/>
    <s v="March"/>
  </r>
  <r>
    <s v="2.10545E+11"/>
    <n v="210305258"/>
    <d v="2021-04-29T00:00:00"/>
    <s v="20:26:10.837Z"/>
    <n v="2420"/>
    <d v="1998-04-22T00:00:00"/>
    <n v="82.4"/>
    <s v="Other"/>
    <x v="90"/>
    <x v="62"/>
    <x v="354"/>
    <s v="No"/>
    <s v="No"/>
    <n v="23"/>
    <s v="100-75"/>
    <x v="6"/>
    <x v="0"/>
    <n v="393"/>
    <x v="289"/>
    <x v="2"/>
    <s v="Pass"/>
    <x v="2"/>
    <s v="C"/>
    <x v="1"/>
    <s v="60-70"/>
    <x v="1"/>
    <x v="67"/>
    <x v="1"/>
    <x v="1"/>
    <x v="2"/>
    <x v="0"/>
    <x v="0"/>
    <x v="2"/>
    <s v="March"/>
  </r>
  <r>
    <s v="2.10545E+11"/>
    <n v="210302634"/>
    <d v="2021-04-29T00:00:00"/>
    <s v="22:39:54.111Z"/>
    <n v="1168"/>
    <d v="1998-06-11T00:00:00"/>
    <n v="90"/>
    <n v="86.9"/>
    <x v="0"/>
    <x v="284"/>
    <x v="355"/>
    <s v="No"/>
    <s v="No"/>
    <n v="22"/>
    <s v="60-75"/>
    <x v="5"/>
    <x v="1"/>
    <n v="236"/>
    <x v="290"/>
    <x v="0"/>
    <s v="Fail"/>
    <x v="0"/>
    <s v="Fail"/>
    <x v="1"/>
    <s v="Fail"/>
    <x v="0"/>
    <x v="0"/>
    <x v="0"/>
    <x v="0"/>
    <x v="2"/>
    <x v="1"/>
    <x v="2"/>
    <x v="2"/>
    <s v="March"/>
  </r>
  <r>
    <s v="2.10545E+11"/>
    <n v="210306394"/>
    <d v="2021-05-03T00:00:00"/>
    <s v="13:22:52.099Z"/>
    <n v="4076"/>
    <d v="1999-04-19T00:00:00"/>
    <n v="89"/>
    <n v="67.38"/>
    <x v="0"/>
    <x v="285"/>
    <x v="356"/>
    <s v="No"/>
    <s v="No"/>
    <n v="22"/>
    <s v="100-75"/>
    <x v="6"/>
    <x v="5"/>
    <n v="384"/>
    <x v="33"/>
    <x v="2"/>
    <s v="Pass"/>
    <x v="2"/>
    <s v="C"/>
    <x v="1"/>
    <s v="60-70"/>
    <x v="1"/>
    <x v="107"/>
    <x v="1"/>
    <x v="1"/>
    <x v="2"/>
    <x v="5"/>
    <x v="2"/>
    <x v="2"/>
    <s v="March"/>
  </r>
  <r>
    <s v="2.10545E+11"/>
    <n v="210306075"/>
    <d v="2021-04-30T00:00:00"/>
    <s v="21:43:54.806Z"/>
    <n v="3661"/>
    <d v="1998-06-15T00:00:00"/>
    <n v="58.36"/>
    <n v="57.08"/>
    <x v="0"/>
    <x v="286"/>
    <x v="357"/>
    <s v="No"/>
    <s v="No"/>
    <n v="22"/>
    <s v="60-75"/>
    <x v="4"/>
    <x v="0"/>
    <n v="333"/>
    <x v="291"/>
    <x v="2"/>
    <s v="Pass"/>
    <x v="2"/>
    <s v="C"/>
    <x v="1"/>
    <s v="50-60"/>
    <x v="0"/>
    <x v="0"/>
    <x v="0"/>
    <x v="0"/>
    <x v="2"/>
    <x v="4"/>
    <x v="2"/>
    <x v="2"/>
    <s v="March"/>
  </r>
  <r>
    <s v="2.10545E+11"/>
    <n v="210306782"/>
    <d v="2021-04-30T00:00:00"/>
    <s v="16:08:43.366Z"/>
    <n v="2927"/>
    <d v="1995-05-01T00:00:00"/>
    <n v="69.819999999999993"/>
    <n v="55"/>
    <x v="0"/>
    <x v="287"/>
    <x v="358"/>
    <s v="No"/>
    <s v="No"/>
    <n v="25"/>
    <s v="0-35"/>
    <x v="3"/>
    <x v="0"/>
    <n v="318"/>
    <x v="26"/>
    <x v="0"/>
    <s v="Pass"/>
    <x v="0"/>
    <s v="C"/>
    <x v="1"/>
    <s v="50-60"/>
    <x v="1"/>
    <x v="112"/>
    <x v="1"/>
    <x v="1"/>
    <x v="2"/>
    <x v="0"/>
    <x v="0"/>
    <x v="2"/>
    <s v="March"/>
  </r>
  <r>
    <s v="2.10545E+11"/>
    <n v="210302366"/>
    <d v="2021-05-03T00:00:00"/>
    <s v="16:01:41.274Z"/>
    <n v="2005"/>
    <d v="1998-12-12T00:00:00"/>
    <n v="73"/>
    <s v="Other"/>
    <x v="69"/>
    <x v="288"/>
    <x v="359"/>
    <s v="No"/>
    <s v="No"/>
    <n v="22"/>
    <s v="0-35"/>
    <x v="5"/>
    <x v="5"/>
    <n v="430"/>
    <x v="292"/>
    <x v="1"/>
    <s v="Pass"/>
    <x v="1"/>
    <s v="A"/>
    <x v="1"/>
    <s v="70-85"/>
    <x v="1"/>
    <x v="87"/>
    <x v="1"/>
    <x v="1"/>
    <x v="2"/>
    <x v="0"/>
    <x v="2"/>
    <x v="2"/>
    <s v="March"/>
  </r>
  <r>
    <s v="2.10545E+11"/>
    <n v="210300197"/>
    <d v="2021-05-03T00:00:00"/>
    <s v="18:28:28.133Z"/>
    <n v="4050"/>
    <d v="1996-01-18T00:00:00"/>
    <n v="52.91"/>
    <n v="60"/>
    <x v="91"/>
    <x v="140"/>
    <x v="360"/>
    <s v="No"/>
    <s v="Yes"/>
    <n v="25"/>
    <s v="60-75"/>
    <x v="6"/>
    <x v="5"/>
    <n v="260"/>
    <x v="293"/>
    <x v="0"/>
    <s v="Fail"/>
    <x v="0"/>
    <s v="Fail"/>
    <x v="1"/>
    <s v="40-50"/>
    <x v="0"/>
    <x v="0"/>
    <x v="0"/>
    <x v="0"/>
    <x v="2"/>
    <x v="5"/>
    <x v="0"/>
    <x v="2"/>
    <s v="March"/>
  </r>
  <r>
    <s v="2.10545E+11"/>
    <n v="191112144"/>
    <m/>
    <m/>
    <s v="Unknown"/>
    <m/>
    <n v="0"/>
    <n v="0"/>
    <x v="2"/>
    <x v="11"/>
    <x v="11"/>
    <s v="No"/>
    <s v="No"/>
    <n v="23"/>
    <s v="Unkown"/>
    <x v="5"/>
    <x v="2"/>
    <n v="376"/>
    <x v="294"/>
    <x v="1"/>
    <s v="Pass"/>
    <x v="1"/>
    <s v="A"/>
    <x v="1"/>
    <s v="60-70"/>
    <x v="1"/>
    <x v="100"/>
    <x v="1"/>
    <x v="1"/>
    <x v="2"/>
    <x v="2"/>
    <x v="3"/>
    <x v="2"/>
    <s v="March"/>
  </r>
  <r>
    <s v="2.10545E+11"/>
    <n v="210303952"/>
    <d v="2021-04-29T00:00:00"/>
    <s v="20:56:06.558Z"/>
    <n v="4228"/>
    <d v="1999-08-01T00:00:00"/>
    <n v="80"/>
    <s v="Other"/>
    <x v="92"/>
    <x v="289"/>
    <x v="361"/>
    <s v="No"/>
    <s v="No"/>
    <n v="21"/>
    <s v="60-75"/>
    <x v="5"/>
    <x v="0"/>
    <n v="359"/>
    <x v="240"/>
    <x v="2"/>
    <s v="Pass"/>
    <x v="2"/>
    <s v="C"/>
    <x v="1"/>
    <s v="50-60"/>
    <x v="1"/>
    <x v="107"/>
    <x v="1"/>
    <x v="1"/>
    <x v="2"/>
    <x v="5"/>
    <x v="2"/>
    <x v="2"/>
    <s v="March"/>
  </r>
  <r>
    <s v="2.10545E+11"/>
    <n v="210304041"/>
    <d v="2021-04-29T00:00:00"/>
    <s v="23:09:10.571Z"/>
    <n v="3971"/>
    <d v="1996-09-14T00:00:00"/>
    <n v="72.400000000000006"/>
    <n v="54.77"/>
    <x v="93"/>
    <x v="290"/>
    <x v="362"/>
    <s v="No"/>
    <s v="Yes"/>
    <n v="24"/>
    <s v="0-35"/>
    <x v="3"/>
    <x v="5"/>
    <n v="326"/>
    <x v="295"/>
    <x v="0"/>
    <s v="Pass"/>
    <x v="0"/>
    <s v="D"/>
    <x v="1"/>
    <s v="50-60"/>
    <x v="1"/>
    <x v="113"/>
    <x v="1"/>
    <x v="1"/>
    <x v="2"/>
    <x v="4"/>
    <x v="0"/>
    <x v="2"/>
    <s v="March"/>
  </r>
  <r>
    <s v="2.10545E+11"/>
    <n v="210301186"/>
    <d v="2021-04-29T00:00:00"/>
    <s v="21:45:25.171Z"/>
    <n v="4267"/>
    <d v="1993-12-15T00:00:00"/>
    <n v="82.61"/>
    <n v="58.33"/>
    <x v="0"/>
    <x v="10"/>
    <x v="363"/>
    <s v="Yes"/>
    <s v="No"/>
    <n v="27"/>
    <s v="60-75"/>
    <x v="5"/>
    <x v="5"/>
    <n v="365"/>
    <x v="266"/>
    <x v="2"/>
    <s v="Pass"/>
    <x v="2"/>
    <s v="C"/>
    <x v="1"/>
    <s v="60-70"/>
    <x v="1"/>
    <x v="80"/>
    <x v="1"/>
    <x v="1"/>
    <x v="2"/>
    <x v="5"/>
    <x v="1"/>
    <x v="2"/>
    <s v="March"/>
  </r>
  <r>
    <s v="2.10545E+11"/>
    <n v="210301662"/>
    <d v="2021-04-30T00:00:00"/>
    <s v="03:20:02.831Z"/>
    <n v="1776"/>
    <d v="1998-07-22T00:00:00"/>
    <n v="86.4"/>
    <n v="63.54"/>
    <x v="0"/>
    <x v="291"/>
    <x v="364"/>
    <s v="No"/>
    <s v="Yes"/>
    <n v="22"/>
    <s v="0-35"/>
    <x v="6"/>
    <x v="0"/>
    <n v="449"/>
    <x v="242"/>
    <x v="2"/>
    <s v="Pass"/>
    <x v="2"/>
    <s v="A"/>
    <x v="1"/>
    <s v="70-85"/>
    <x v="1"/>
    <x v="26"/>
    <x v="1"/>
    <x v="1"/>
    <x v="2"/>
    <x v="1"/>
    <x v="2"/>
    <x v="2"/>
    <s v="March"/>
  </r>
  <r>
    <s v="2.10545E+11"/>
    <n v="210302878"/>
    <d v="2021-04-30T00:00:00"/>
    <s v="09:00:20.993Z"/>
    <n v="1699"/>
    <d v="1998-04-09T00:00:00"/>
    <n v="76.36"/>
    <s v="Other"/>
    <x v="94"/>
    <x v="292"/>
    <x v="365"/>
    <s v="No"/>
    <s v="No"/>
    <n v="23"/>
    <s v="45-60"/>
    <x v="5"/>
    <x v="0"/>
    <n v="400"/>
    <x v="225"/>
    <x v="1"/>
    <s v="Pass"/>
    <x v="1"/>
    <s v="A"/>
    <x v="1"/>
    <s v="60-70"/>
    <x v="1"/>
    <x v="100"/>
    <x v="1"/>
    <x v="1"/>
    <x v="2"/>
    <x v="1"/>
    <x v="0"/>
    <x v="2"/>
    <s v="March"/>
  </r>
  <r>
    <s v="2.10545E+11"/>
    <n v="210302533"/>
    <d v="2021-04-30T00:00:00"/>
    <s v="09:24:05.593Z"/>
    <n v="1085"/>
    <d v="1998-02-19T00:00:00"/>
    <n v="81.5"/>
    <n v="51.23"/>
    <x v="0"/>
    <x v="293"/>
    <x v="366"/>
    <s v="No"/>
    <s v="No"/>
    <n v="23"/>
    <s v="60-75"/>
    <x v="6"/>
    <x v="0"/>
    <n v="435"/>
    <x v="103"/>
    <x v="1"/>
    <s v="Pass"/>
    <x v="1"/>
    <s v="B"/>
    <x v="1"/>
    <s v="70-85"/>
    <x v="1"/>
    <x v="100"/>
    <x v="1"/>
    <x v="1"/>
    <x v="2"/>
    <x v="1"/>
    <x v="0"/>
    <x v="2"/>
    <s v="March"/>
  </r>
  <r>
    <s v="2.10545E+11"/>
    <n v="210300482"/>
    <d v="2021-04-30T00:00:00"/>
    <s v="01:20:47.338Z"/>
    <n v="3941"/>
    <d v="1997-06-18T00:00:00"/>
    <n v="63.2"/>
    <n v="62.15"/>
    <x v="0"/>
    <x v="294"/>
    <x v="367"/>
    <s v="No"/>
    <s v="No"/>
    <n v="23"/>
    <s v="60-75"/>
    <x v="3"/>
    <x v="0"/>
    <n v="362"/>
    <x v="296"/>
    <x v="2"/>
    <s v="Pass"/>
    <x v="2"/>
    <s v="D"/>
    <x v="1"/>
    <s v="60-70"/>
    <x v="1"/>
    <x v="67"/>
    <x v="1"/>
    <x v="1"/>
    <x v="2"/>
    <x v="4"/>
    <x v="0"/>
    <x v="2"/>
    <s v="March"/>
  </r>
  <r>
    <s v="2.10545E+11"/>
    <n v="210303085"/>
    <d v="2021-04-29T00:00:00"/>
    <s v="21:31:23.978Z"/>
    <n v="3771"/>
    <d v="1997-06-24T00:00:00"/>
    <n v="84.2"/>
    <s v="Other"/>
    <x v="95"/>
    <x v="295"/>
    <x v="368"/>
    <s v="No"/>
    <s v="No"/>
    <n v="23"/>
    <s v="60-75"/>
    <x v="5"/>
    <x v="0"/>
    <n v="358"/>
    <x v="297"/>
    <x v="1"/>
    <s v="Pass"/>
    <x v="1"/>
    <s v="B"/>
    <x v="1"/>
    <s v="50-60"/>
    <x v="1"/>
    <x v="107"/>
    <x v="1"/>
    <x v="1"/>
    <x v="2"/>
    <x v="4"/>
    <x v="0"/>
    <x v="2"/>
    <s v="March"/>
  </r>
  <r>
    <s v="2.10545E+11"/>
    <n v="210300589"/>
    <d v="2021-04-30T00:00:00"/>
    <s v="13:27:09.729Z"/>
    <n v="3305"/>
    <d v="1993-07-11T00:00:00"/>
    <n v="87.38"/>
    <n v="58"/>
    <x v="0"/>
    <x v="234"/>
    <x v="369"/>
    <s v="No"/>
    <s v="No"/>
    <n v="27"/>
    <s v="60-75"/>
    <x v="5"/>
    <x v="5"/>
    <n v="363"/>
    <x v="298"/>
    <x v="2"/>
    <s v="Pass"/>
    <x v="2"/>
    <s v="C"/>
    <x v="1"/>
    <s v="60-70"/>
    <x v="1"/>
    <x v="114"/>
    <x v="1"/>
    <x v="1"/>
    <x v="2"/>
    <x v="4"/>
    <x v="1"/>
    <x v="2"/>
    <s v="March"/>
  </r>
  <r>
    <s v="2.10545E+11"/>
    <n v="210301294"/>
    <d v="2021-04-29T00:00:00"/>
    <s v="20:26:20.954Z"/>
    <n v="4292"/>
    <d v="1997-07-18T00:00:00"/>
    <n v="84.91"/>
    <n v="51.38"/>
    <x v="0"/>
    <x v="296"/>
    <x v="370"/>
    <s v="Yes"/>
    <s v="No"/>
    <n v="23"/>
    <s v="0-35"/>
    <x v="5"/>
    <x v="3"/>
    <n v="403"/>
    <x v="246"/>
    <x v="2"/>
    <s v="Pass"/>
    <x v="2"/>
    <s v="A"/>
    <x v="1"/>
    <s v="60-70"/>
    <x v="1"/>
    <x v="106"/>
    <x v="1"/>
    <x v="1"/>
    <x v="2"/>
    <x v="5"/>
    <x v="0"/>
    <x v="2"/>
    <s v="March"/>
  </r>
  <r>
    <s v="2.10545E+11"/>
    <n v="210303539"/>
    <d v="2021-04-29T00:00:00"/>
    <s v="21:22:23.236Z"/>
    <n v="3636"/>
    <d v="1997-07-12T00:00:00"/>
    <n v="82"/>
    <n v="59"/>
    <x v="0"/>
    <x v="297"/>
    <x v="371"/>
    <s v="No"/>
    <s v="No"/>
    <n v="23"/>
    <s v="100-75"/>
    <x v="3"/>
    <x v="1"/>
    <n v="431"/>
    <x v="235"/>
    <x v="1"/>
    <s v="Pass"/>
    <x v="1"/>
    <s v="B"/>
    <x v="1"/>
    <s v="70-85"/>
    <x v="1"/>
    <x v="107"/>
    <x v="1"/>
    <x v="1"/>
    <x v="2"/>
    <x v="4"/>
    <x v="0"/>
    <x v="2"/>
    <s v="March"/>
  </r>
  <r>
    <s v="2.10545E+11"/>
    <n v="210301222"/>
    <d v="2021-04-30T00:00:00"/>
    <s v="08:45:05.273Z"/>
    <n v="3756"/>
    <d v="1996-04-04T00:00:00"/>
    <n v="88.4"/>
    <n v="57.34"/>
    <x v="0"/>
    <x v="298"/>
    <x v="372"/>
    <s v="Yes"/>
    <s v="No"/>
    <n v="25"/>
    <s v="60-75"/>
    <x v="5"/>
    <x v="3"/>
    <n v="333"/>
    <x v="291"/>
    <x v="2"/>
    <s v="Pass"/>
    <x v="2"/>
    <s v="C"/>
    <x v="1"/>
    <s v="50-60"/>
    <x v="1"/>
    <x v="67"/>
    <x v="1"/>
    <x v="1"/>
    <x v="2"/>
    <x v="4"/>
    <x v="0"/>
    <x v="2"/>
    <s v="March"/>
  </r>
  <r>
    <s v="2.10545E+11"/>
    <n v="210302899"/>
    <d v="2021-04-30T00:00:00"/>
    <s v="00:31:13.929Z"/>
    <n v="3167"/>
    <d v="1997-09-17T00:00:00"/>
    <n v="78.2"/>
    <n v="61.85"/>
    <x v="0"/>
    <x v="299"/>
    <x v="373"/>
    <s v="No"/>
    <s v="No"/>
    <n v="23"/>
    <s v="0-35"/>
    <x v="6"/>
    <x v="0"/>
    <n v="397"/>
    <x v="245"/>
    <x v="1"/>
    <s v="Pass"/>
    <x v="1"/>
    <s v="C"/>
    <x v="1"/>
    <s v="60-70"/>
    <x v="1"/>
    <x v="87"/>
    <x v="1"/>
    <x v="1"/>
    <x v="2"/>
    <x v="4"/>
    <x v="0"/>
    <x v="2"/>
    <s v="March"/>
  </r>
  <r>
    <s v="2.10545E+11"/>
    <n v="210301202"/>
    <d v="2021-04-29T00:00:00"/>
    <s v="21:37:49.276Z"/>
    <n v="2550"/>
    <d v="1996-01-30T00:00:00"/>
    <n v="60.36"/>
    <n v="46.67"/>
    <x v="96"/>
    <x v="300"/>
    <x v="374"/>
    <s v="No"/>
    <s v="No"/>
    <n v="25"/>
    <s v="45-60"/>
    <x v="5"/>
    <x v="0"/>
    <n v="338"/>
    <x v="299"/>
    <x v="2"/>
    <s v="Fail"/>
    <x v="2"/>
    <s v="Fail"/>
    <x v="1"/>
    <s v="50-60"/>
    <x v="0"/>
    <x v="0"/>
    <x v="0"/>
    <x v="0"/>
    <x v="2"/>
    <x v="0"/>
    <x v="0"/>
    <x v="2"/>
    <s v="March"/>
  </r>
  <r>
    <s v="2.10545E+11"/>
    <n v="210307155"/>
    <d v="2021-04-29T00:00:00"/>
    <s v="19:23:24.774Z"/>
    <n v="2393"/>
    <d v="1996-08-08T00:00:00"/>
    <n v="81.16"/>
    <n v="77"/>
    <x v="0"/>
    <x v="11"/>
    <x v="375"/>
    <s v="No"/>
    <s v="No"/>
    <n v="24"/>
    <s v="0-35"/>
    <x v="5"/>
    <x v="1"/>
    <n v="351"/>
    <x v="300"/>
    <x v="1"/>
    <s v="Pass"/>
    <x v="1"/>
    <s v="B"/>
    <x v="1"/>
    <s v="50-60"/>
    <x v="1"/>
    <x v="87"/>
    <x v="1"/>
    <x v="1"/>
    <x v="2"/>
    <x v="0"/>
    <x v="0"/>
    <x v="2"/>
    <s v="March"/>
  </r>
  <r>
    <s v="2.10545E+11"/>
    <n v="210306398"/>
    <d v="2021-04-30T00:00:00"/>
    <s v="12:04:07.838Z"/>
    <n v="2631"/>
    <d v="1998-02-24T00:00:00"/>
    <n v="81.400000000000006"/>
    <s v="Other"/>
    <x v="97"/>
    <x v="141"/>
    <x v="376"/>
    <s v="No"/>
    <s v="No"/>
    <n v="23"/>
    <s v="100-75"/>
    <x v="3"/>
    <x v="0"/>
    <n v="363"/>
    <x v="298"/>
    <x v="2"/>
    <s v="Pass"/>
    <x v="2"/>
    <s v="C"/>
    <x v="1"/>
    <s v="60-70"/>
    <x v="1"/>
    <x v="107"/>
    <x v="1"/>
    <x v="1"/>
    <x v="2"/>
    <x v="0"/>
    <x v="0"/>
    <x v="2"/>
    <s v="March"/>
  </r>
  <r>
    <s v="2.10545E+11"/>
    <n v="210301880"/>
    <d v="2021-04-29T00:00:00"/>
    <s v="23:58:50.978Z"/>
    <n v="2937"/>
    <d v="1996-09-28T00:00:00"/>
    <n v="84.6"/>
    <n v="67.08"/>
    <x v="0"/>
    <x v="99"/>
    <x v="377"/>
    <s v="No"/>
    <s v="No"/>
    <n v="24"/>
    <s v="60-75"/>
    <x v="3"/>
    <x v="0"/>
    <n v="324"/>
    <x v="8"/>
    <x v="0"/>
    <s v="Fail"/>
    <x v="0"/>
    <s v="Fail"/>
    <x v="1"/>
    <s v="50-60"/>
    <x v="0"/>
    <x v="0"/>
    <x v="0"/>
    <x v="0"/>
    <x v="2"/>
    <x v="0"/>
    <x v="0"/>
    <x v="2"/>
    <s v="March"/>
  </r>
  <r>
    <s v="2.10545E+11"/>
    <n v="191102567"/>
    <m/>
    <m/>
    <s v="Unknown"/>
    <m/>
    <n v="0"/>
    <n v="0"/>
    <x v="2"/>
    <x v="11"/>
    <x v="11"/>
    <s v="No"/>
    <s v="No"/>
    <n v="23"/>
    <s v="Unkown"/>
    <x v="5"/>
    <x v="2"/>
    <n v="364"/>
    <x v="301"/>
    <x v="2"/>
    <s v="Pass"/>
    <x v="2"/>
    <s v="B"/>
    <x v="1"/>
    <s v="60-70"/>
    <x v="1"/>
    <x v="107"/>
    <x v="1"/>
    <x v="1"/>
    <x v="2"/>
    <x v="2"/>
    <x v="3"/>
    <x v="2"/>
    <s v="March"/>
  </r>
  <r>
    <s v="2.10545E+11"/>
    <n v="191107416"/>
    <m/>
    <m/>
    <s v="Unknown"/>
    <m/>
    <n v="0"/>
    <n v="0"/>
    <x v="2"/>
    <x v="11"/>
    <x v="11"/>
    <s v="No"/>
    <s v="No"/>
    <n v="23"/>
    <s v="Unkown"/>
    <x v="5"/>
    <x v="2"/>
    <n v="322"/>
    <x v="208"/>
    <x v="2"/>
    <s v="Pass"/>
    <x v="2"/>
    <s v="B"/>
    <x v="1"/>
    <s v="50-60"/>
    <x v="1"/>
    <x v="89"/>
    <x v="1"/>
    <x v="1"/>
    <x v="2"/>
    <x v="2"/>
    <x v="3"/>
    <x v="2"/>
    <s v="March"/>
  </r>
  <r>
    <s v="2.30345E+11"/>
    <n v="221201217"/>
    <d v="2023-03-10T00:00:00"/>
    <s v="14:46:50.278Z"/>
    <n v="1596"/>
    <d v="1998-05-09T00:00:00"/>
    <n v="85"/>
    <n v="58"/>
    <x v="0"/>
    <x v="138"/>
    <x v="378"/>
    <s v="No"/>
    <s v="No"/>
    <n v="24"/>
    <s v="45-60"/>
    <x v="1"/>
    <x v="0"/>
    <n v="541"/>
    <x v="191"/>
    <x v="0"/>
    <s v="Pass"/>
    <x v="0"/>
    <s v="B"/>
    <x v="0"/>
    <s v="60-70"/>
    <x v="0"/>
    <x v="0"/>
    <x v="0"/>
    <x v="0"/>
    <x v="3"/>
    <x v="1"/>
    <x v="0"/>
    <x v="0"/>
    <s v="March"/>
  </r>
  <r>
    <s v="2.30345E+11"/>
    <n v="230100171"/>
    <d v="2023-03-11T00:00:00"/>
    <s v="19:37:51.519Z"/>
    <n v="1720"/>
    <d v="1991-12-19T00:00:00"/>
    <n v="76.83"/>
    <n v="53.23"/>
    <x v="0"/>
    <x v="301"/>
    <x v="219"/>
    <s v="Yes"/>
    <s v="Yes"/>
    <n v="31"/>
    <s v="60-75"/>
    <x v="1"/>
    <x v="1"/>
    <n v="443"/>
    <x v="302"/>
    <x v="0"/>
    <s v="Pass"/>
    <x v="0"/>
    <s v="B"/>
    <x v="0"/>
    <s v="50-60"/>
    <x v="0"/>
    <x v="0"/>
    <x v="0"/>
    <x v="0"/>
    <x v="3"/>
    <x v="1"/>
    <x v="4"/>
    <x v="0"/>
    <s v="March"/>
  </r>
  <r>
    <s v="2.30345E+11"/>
    <n v="230110548"/>
    <d v="2023-03-16T00:00:00"/>
    <s v="15:20:57.175Z"/>
    <n v="1792"/>
    <d v="1998-12-08T00:00:00"/>
    <n v="73.8"/>
    <s v="Other"/>
    <x v="98"/>
    <x v="302"/>
    <x v="379"/>
    <s v="No"/>
    <s v="Yes"/>
    <n v="24"/>
    <s v="60-75"/>
    <x v="4"/>
    <x v="0"/>
    <n v="334"/>
    <x v="303"/>
    <x v="0"/>
    <s v="Fail"/>
    <x v="0"/>
    <s v="Fail"/>
    <x v="0"/>
    <s v="40-50"/>
    <x v="0"/>
    <x v="0"/>
    <x v="0"/>
    <x v="0"/>
    <x v="3"/>
    <x v="1"/>
    <x v="0"/>
    <x v="0"/>
    <s v="March"/>
  </r>
  <r>
    <s v="2.30345E+11"/>
    <n v="221202017"/>
    <d v="2023-03-13T00:00:00"/>
    <s v="09:50:33.658Z"/>
    <n v="601"/>
    <d v="1994-10-20T00:00:00"/>
    <n v="90.55"/>
    <n v="58.17"/>
    <x v="0"/>
    <x v="303"/>
    <x v="380"/>
    <s v="No"/>
    <s v="Yes"/>
    <n v="28"/>
    <s v="45-60"/>
    <x v="4"/>
    <x v="0"/>
    <n v="657"/>
    <x v="304"/>
    <x v="1"/>
    <s v="Pass"/>
    <x v="1"/>
    <s v="A"/>
    <x v="0"/>
    <s v="70-85"/>
    <x v="1"/>
    <x v="98"/>
    <x v="1"/>
    <x v="1"/>
    <x v="3"/>
    <x v="3"/>
    <x v="1"/>
    <x v="0"/>
    <s v="March"/>
  </r>
  <r>
    <s v="2.30345E+11"/>
    <n v="230108671"/>
    <d v="2023-03-14T00:00:00"/>
    <s v="22:56:12.295Z"/>
    <n v="1419"/>
    <d v="1998-02-22T00:00:00"/>
    <n v="74"/>
    <n v="65.540000000000006"/>
    <x v="0"/>
    <x v="304"/>
    <x v="381"/>
    <s v="No"/>
    <s v="No"/>
    <n v="25"/>
    <s v="60-75"/>
    <x v="4"/>
    <x v="0"/>
    <n v="547"/>
    <x v="51"/>
    <x v="1"/>
    <s v="Pass"/>
    <x v="1"/>
    <s v="B"/>
    <x v="0"/>
    <s v="60-70"/>
    <x v="1"/>
    <x v="115"/>
    <x v="1"/>
    <x v="1"/>
    <x v="3"/>
    <x v="1"/>
    <x v="0"/>
    <x v="0"/>
    <s v="March"/>
  </r>
  <r>
    <s v="2.30345E+11"/>
    <n v="230106421"/>
    <d v="2023-03-12T00:00:00"/>
    <s v="18:24:02.178Z"/>
    <n v="1658"/>
    <d v="2001-07-05T00:00:00"/>
    <n v="70.2"/>
    <s v="Other"/>
    <x v="9"/>
    <x v="122"/>
    <x v="382"/>
    <s v="No"/>
    <s v="No"/>
    <n v="21"/>
    <s v="100-75"/>
    <x v="4"/>
    <x v="0"/>
    <n v="385"/>
    <x v="305"/>
    <x v="0"/>
    <s v="Pass"/>
    <x v="0"/>
    <s v="C"/>
    <x v="0"/>
    <s v="40-50"/>
    <x v="0"/>
    <x v="0"/>
    <x v="0"/>
    <x v="0"/>
    <x v="3"/>
    <x v="1"/>
    <x v="2"/>
    <x v="0"/>
    <s v="March"/>
  </r>
  <r>
    <s v="2.30345E+11"/>
    <n v="230101590"/>
    <d v="2023-03-10T00:00:00"/>
    <s v="16:10:18.918Z"/>
    <n v="1772"/>
    <d v="1993-02-02T00:00:00"/>
    <n v="79.23"/>
    <n v="66"/>
    <x v="0"/>
    <x v="305"/>
    <x v="383"/>
    <s v="No"/>
    <s v="No"/>
    <n v="30"/>
    <s v="60-75"/>
    <x v="2"/>
    <x v="0"/>
    <n v="422"/>
    <x v="306"/>
    <x v="0"/>
    <s v="Pass"/>
    <x v="0"/>
    <s v="B"/>
    <x v="0"/>
    <s v="50-60"/>
    <x v="2"/>
    <x v="3"/>
    <x v="1"/>
    <x v="1"/>
    <x v="3"/>
    <x v="1"/>
    <x v="4"/>
    <x v="0"/>
    <s v="March"/>
  </r>
  <r>
    <s v="2.30345E+11"/>
    <n v="230101598"/>
    <d v="2023-03-08T00:00:00"/>
    <s v="21:22:27.172Z"/>
    <n v="1049"/>
    <d v="2000-02-16T00:00:00"/>
    <n v="91.8"/>
    <n v="82.31"/>
    <x v="0"/>
    <x v="306"/>
    <x v="384"/>
    <s v="No"/>
    <s v="Yes"/>
    <n v="23"/>
    <s v="60-75"/>
    <x v="4"/>
    <x v="1"/>
    <n v="516"/>
    <x v="204"/>
    <x v="2"/>
    <s v="Pass"/>
    <x v="2"/>
    <s v="B"/>
    <x v="0"/>
    <s v="60-70"/>
    <x v="0"/>
    <x v="0"/>
    <x v="0"/>
    <x v="0"/>
    <x v="3"/>
    <x v="1"/>
    <x v="0"/>
    <x v="0"/>
    <s v="March"/>
  </r>
  <r>
    <s v="2.30345E+11"/>
    <n v="221201267"/>
    <d v="2023-03-12T00:00:00"/>
    <s v="11:42:36.903Z"/>
    <n v="1799"/>
    <d v="1999-02-17T00:00:00"/>
    <n v="85.8"/>
    <n v="59.08"/>
    <x v="0"/>
    <x v="49"/>
    <x v="385"/>
    <s v="No"/>
    <s v="No"/>
    <n v="24"/>
    <s v="60-75"/>
    <x v="2"/>
    <x v="1"/>
    <n v="398"/>
    <x v="307"/>
    <x v="2"/>
    <s v="Pass"/>
    <x v="2"/>
    <s v="B"/>
    <x v="0"/>
    <s v="40-50"/>
    <x v="0"/>
    <x v="0"/>
    <x v="0"/>
    <x v="0"/>
    <x v="3"/>
    <x v="1"/>
    <x v="0"/>
    <x v="0"/>
    <s v="March"/>
  </r>
  <r>
    <s v="2.30345E+11"/>
    <n v="230100227"/>
    <d v="2023-03-13T00:00:00"/>
    <s v="22:37:19.839Z"/>
    <n v="919"/>
    <d v="1998-02-05T00:00:00"/>
    <n v="89.6"/>
    <n v="74.150000000000006"/>
    <x v="0"/>
    <x v="307"/>
    <x v="386"/>
    <s v="No"/>
    <s v="Yes"/>
    <n v="25"/>
    <s v="60-75"/>
    <x v="4"/>
    <x v="0"/>
    <n v="601"/>
    <x v="308"/>
    <x v="2"/>
    <s v="Pass"/>
    <x v="2"/>
    <s v="A"/>
    <x v="0"/>
    <s v="70-85"/>
    <x v="1"/>
    <x v="116"/>
    <x v="1"/>
    <x v="1"/>
    <x v="3"/>
    <x v="3"/>
    <x v="0"/>
    <x v="0"/>
    <s v="March"/>
  </r>
  <r>
    <s v="2.30345E+11"/>
    <n v="221204262"/>
    <d v="2023-03-10T00:00:00"/>
    <s v="15:33:12.533Z"/>
    <n v="1765"/>
    <d v="1999-12-04T00:00:00"/>
    <n v="88.2"/>
    <n v="64.31"/>
    <x v="0"/>
    <x v="308"/>
    <x v="387"/>
    <s v="No"/>
    <s v="Yes"/>
    <n v="23"/>
    <s v="60-75"/>
    <x v="4"/>
    <x v="0"/>
    <n v="547"/>
    <x v="51"/>
    <x v="1"/>
    <s v="Pass"/>
    <x v="1"/>
    <s v="B"/>
    <x v="0"/>
    <s v="60-70"/>
    <x v="1"/>
    <x v="40"/>
    <x v="1"/>
    <x v="1"/>
    <x v="3"/>
    <x v="1"/>
    <x v="0"/>
    <x v="0"/>
    <s v="March"/>
  </r>
  <r>
    <s v="2.30345E+11"/>
    <n v="221202765"/>
    <d v="2023-03-10T00:00:00"/>
    <s v="22:52:15.966Z"/>
    <n v="970"/>
    <d v="2000-12-06T00:00:00"/>
    <n v="81.2"/>
    <s v="Other"/>
    <x v="99"/>
    <x v="309"/>
    <x v="388"/>
    <s v="No"/>
    <s v="Yes"/>
    <n v="22"/>
    <s v="100-75"/>
    <x v="1"/>
    <x v="0"/>
    <n v="556"/>
    <x v="138"/>
    <x v="1"/>
    <s v="Pass"/>
    <x v="1"/>
    <s v="A"/>
    <x v="0"/>
    <s v="60-70"/>
    <x v="1"/>
    <x v="9"/>
    <x v="1"/>
    <x v="1"/>
    <x v="3"/>
    <x v="3"/>
    <x v="2"/>
    <x v="0"/>
    <s v="March"/>
  </r>
  <r>
    <s v="2.30345E+11"/>
    <n v="221202791"/>
    <d v="2023-03-12T00:00:00"/>
    <s v="19:25:59.029Z"/>
    <n v="1328"/>
    <d v="2000-10-18T00:00:00"/>
    <n v="88.2"/>
    <n v="76.150000000000006"/>
    <x v="0"/>
    <x v="310"/>
    <x v="389"/>
    <s v="No"/>
    <s v="No"/>
    <n v="22"/>
    <s v="60-75"/>
    <x v="4"/>
    <x v="0"/>
    <n v="518"/>
    <x v="28"/>
    <x v="2"/>
    <s v="Pass"/>
    <x v="2"/>
    <s v="B"/>
    <x v="0"/>
    <s v="60-70"/>
    <x v="2"/>
    <x v="3"/>
    <x v="1"/>
    <x v="1"/>
    <x v="3"/>
    <x v="1"/>
    <x v="2"/>
    <x v="0"/>
    <s v="March"/>
  </r>
  <r>
    <s v="2.30345E+11"/>
    <n v="230103925"/>
    <d v="2023-03-09T00:00:00"/>
    <s v="14:56:25.548Z"/>
    <n v="1782"/>
    <d v="1997-04-25T00:00:00"/>
    <n v="92.2"/>
    <n v="70.150000000000006"/>
    <x v="0"/>
    <x v="311"/>
    <x v="390"/>
    <s v="Yes"/>
    <s v="Yes"/>
    <n v="25"/>
    <s v="60-75"/>
    <x v="4"/>
    <x v="0"/>
    <n v="461"/>
    <x v="139"/>
    <x v="1"/>
    <s v="Pass"/>
    <x v="1"/>
    <s v="B"/>
    <x v="0"/>
    <s v="50-60"/>
    <x v="0"/>
    <x v="0"/>
    <x v="0"/>
    <x v="0"/>
    <x v="3"/>
    <x v="1"/>
    <x v="0"/>
    <x v="0"/>
    <s v="March"/>
  </r>
  <r>
    <s v="2.30345E+11"/>
    <n v="221205035"/>
    <d v="2023-03-10T00:00:00"/>
    <s v="14:52:20.422Z"/>
    <n v="1851"/>
    <d v="1997-02-12T00:00:00"/>
    <n v="68.849999999999994"/>
    <n v="61.8"/>
    <x v="0"/>
    <x v="312"/>
    <x v="391"/>
    <s v="No"/>
    <s v="No"/>
    <n v="26"/>
    <s v="60-75"/>
    <x v="2"/>
    <x v="1"/>
    <n v="632"/>
    <x v="309"/>
    <x v="1"/>
    <s v="Pass"/>
    <x v="1"/>
    <s v="A"/>
    <x v="0"/>
    <s v="70-85"/>
    <x v="1"/>
    <x v="117"/>
    <x v="1"/>
    <x v="1"/>
    <x v="3"/>
    <x v="1"/>
    <x v="1"/>
    <x v="0"/>
    <s v="March"/>
  </r>
  <r>
    <s v="2.30345E+11"/>
    <n v="221203683"/>
    <d v="2023-03-13T00:00:00"/>
    <s v="00:11:11.032Z"/>
    <n v="1002"/>
    <d v="1996-05-25T00:00:00"/>
    <n v="92"/>
    <n v="63.08"/>
    <x v="0"/>
    <x v="313"/>
    <x v="392"/>
    <s v="No"/>
    <s v="Yes"/>
    <n v="26"/>
    <s v="60-75"/>
    <x v="3"/>
    <x v="0"/>
    <n v="587"/>
    <x v="73"/>
    <x v="1"/>
    <s v="Pass"/>
    <x v="1"/>
    <s v="A"/>
    <x v="0"/>
    <s v="70-85"/>
    <x v="1"/>
    <x v="118"/>
    <x v="1"/>
    <x v="1"/>
    <x v="3"/>
    <x v="1"/>
    <x v="1"/>
    <x v="0"/>
    <s v="March"/>
  </r>
  <r>
    <s v="2.30345E+11"/>
    <n v="221200314"/>
    <d v="2023-03-11T00:00:00"/>
    <s v="12:29:37.487Z"/>
    <n v="306"/>
    <d v="1996-08-25T00:00:00"/>
    <n v="80.67"/>
    <n v="81.2"/>
    <x v="0"/>
    <x v="314"/>
    <x v="393"/>
    <s v="No"/>
    <s v="Yes"/>
    <n v="26"/>
    <s v="100-75"/>
    <x v="3"/>
    <x v="0"/>
    <n v="499"/>
    <x v="180"/>
    <x v="2"/>
    <s v="Pass"/>
    <x v="2"/>
    <s v="C"/>
    <x v="0"/>
    <s v="60-70"/>
    <x v="1"/>
    <x v="11"/>
    <x v="1"/>
    <x v="1"/>
    <x v="3"/>
    <x v="3"/>
    <x v="1"/>
    <x v="0"/>
    <s v="March"/>
  </r>
  <r>
    <s v="2.30345E+11"/>
    <n v="230101657"/>
    <d v="2023-03-12T00:00:00"/>
    <s v="11:57:46.465Z"/>
    <n v="1752"/>
    <d v="2000-07-31T00:00:00"/>
    <n v="87.8"/>
    <n v="75.38"/>
    <x v="0"/>
    <x v="315"/>
    <x v="394"/>
    <s v="No"/>
    <s v="No"/>
    <n v="22"/>
    <s v="60-75"/>
    <x v="4"/>
    <x v="0"/>
    <n v="588"/>
    <x v="116"/>
    <x v="1"/>
    <s v="Pass"/>
    <x v="1"/>
    <s v="A"/>
    <x v="0"/>
    <s v="70-85"/>
    <x v="1"/>
    <x v="47"/>
    <x v="1"/>
    <x v="1"/>
    <x v="3"/>
    <x v="1"/>
    <x v="2"/>
    <x v="0"/>
    <s v="March"/>
  </r>
  <r>
    <s v="2.30345E+11"/>
    <n v="221202800"/>
    <d v="2023-03-13T00:00:00"/>
    <s v="14:55:36.524Z"/>
    <n v="1769"/>
    <d v="1999-07-18T00:00:00"/>
    <n v="86.4"/>
    <n v="60.77"/>
    <x v="0"/>
    <x v="316"/>
    <x v="395"/>
    <s v="No"/>
    <s v="Yes"/>
    <n v="23"/>
    <s v="60-75"/>
    <x v="4"/>
    <x v="0"/>
    <n v="465"/>
    <x v="13"/>
    <x v="0"/>
    <s v="Pass"/>
    <x v="0"/>
    <s v="C"/>
    <x v="0"/>
    <s v="50-60"/>
    <x v="0"/>
    <x v="0"/>
    <x v="0"/>
    <x v="0"/>
    <x v="3"/>
    <x v="1"/>
    <x v="0"/>
    <x v="0"/>
    <s v="March"/>
  </r>
  <r>
    <s v="2.30345E+11"/>
    <n v="230102985"/>
    <d v="2023-03-09T00:00:00"/>
    <s v="15:43:39.131Z"/>
    <n v="285"/>
    <d v="1999-08-29T00:00:00"/>
    <n v="82"/>
    <n v="66.62"/>
    <x v="0"/>
    <x v="317"/>
    <x v="396"/>
    <s v="No"/>
    <s v="No"/>
    <n v="23"/>
    <s v="60-75"/>
    <x v="3"/>
    <x v="1"/>
    <n v="393"/>
    <x v="60"/>
    <x v="2"/>
    <s v="Pass"/>
    <x v="2"/>
    <s v="C"/>
    <x v="0"/>
    <s v="40-50"/>
    <x v="0"/>
    <x v="0"/>
    <x v="0"/>
    <x v="0"/>
    <x v="3"/>
    <x v="3"/>
    <x v="0"/>
    <x v="0"/>
    <s v="March"/>
  </r>
  <r>
    <s v="2.30345E+11"/>
    <n v="221201964"/>
    <d v="2023-03-13T00:00:00"/>
    <s v="11:28:05.191Z"/>
    <n v="1654"/>
    <d v="1997-01-11T00:00:00"/>
    <n v="84"/>
    <n v="62.62"/>
    <x v="0"/>
    <x v="179"/>
    <x v="278"/>
    <s v="No"/>
    <s v="Yes"/>
    <n v="26"/>
    <s v="60-75"/>
    <x v="4"/>
    <x v="0"/>
    <n v="540"/>
    <x v="310"/>
    <x v="2"/>
    <s v="Pass"/>
    <x v="2"/>
    <s v="B"/>
    <x v="0"/>
    <s v="60-70"/>
    <x v="1"/>
    <x v="117"/>
    <x v="1"/>
    <x v="1"/>
    <x v="3"/>
    <x v="1"/>
    <x v="1"/>
    <x v="0"/>
    <s v="March"/>
  </r>
  <r>
    <s v="2.30345E+11"/>
    <n v="230102645"/>
    <d v="2023-03-11T00:00:00"/>
    <s v="21:02:29.865Z"/>
    <n v="1349"/>
    <d v="1995-07-05T00:00:00"/>
    <n v="77.900000000000006"/>
    <n v="62"/>
    <x v="0"/>
    <x v="318"/>
    <x v="397"/>
    <s v="Yes"/>
    <s v="No"/>
    <n v="27"/>
    <s v="60-75"/>
    <x v="5"/>
    <x v="3"/>
    <n v="459"/>
    <x v="311"/>
    <x v="1"/>
    <s v="Pass"/>
    <x v="1"/>
    <s v="C"/>
    <x v="0"/>
    <s v="50-60"/>
    <x v="0"/>
    <x v="0"/>
    <x v="0"/>
    <x v="0"/>
    <x v="3"/>
    <x v="1"/>
    <x v="1"/>
    <x v="0"/>
    <s v="March"/>
  </r>
  <r>
    <s v="2.30345E+11"/>
    <n v="230107397"/>
    <d v="2023-03-14T00:00:00"/>
    <s v="15:21:16.778Z"/>
    <n v="413"/>
    <d v="1995-09-28T00:00:00"/>
    <n v="88.91"/>
    <n v="55.67"/>
    <x v="0"/>
    <x v="319"/>
    <x v="398"/>
    <s v="No"/>
    <s v="Yes"/>
    <n v="27"/>
    <s v="60-75"/>
    <x v="2"/>
    <x v="0"/>
    <n v="532"/>
    <x v="65"/>
    <x v="1"/>
    <s v="Pass"/>
    <x v="1"/>
    <s v="A"/>
    <x v="0"/>
    <s v="60-70"/>
    <x v="0"/>
    <x v="0"/>
    <x v="0"/>
    <x v="0"/>
    <x v="3"/>
    <x v="3"/>
    <x v="1"/>
    <x v="0"/>
    <s v="March"/>
  </r>
  <r>
    <s v="2.30345E+11"/>
    <n v="221200824"/>
    <d v="2023-03-10T00:00:00"/>
    <s v="18:51:48.997Z"/>
    <n v="1225"/>
    <d v="2000-08-22T00:00:00"/>
    <n v="82.4"/>
    <s v="Other"/>
    <x v="100"/>
    <x v="67"/>
    <x v="399"/>
    <s v="No"/>
    <s v="Yes"/>
    <n v="22"/>
    <s v="100-75"/>
    <x v="4"/>
    <x v="0"/>
    <n v="530"/>
    <x v="175"/>
    <x v="1"/>
    <s v="Pass"/>
    <x v="1"/>
    <s v="B"/>
    <x v="0"/>
    <s v="60-70"/>
    <x v="2"/>
    <x v="3"/>
    <x v="1"/>
    <x v="1"/>
    <x v="3"/>
    <x v="1"/>
    <x v="2"/>
    <x v="0"/>
    <s v="March"/>
  </r>
  <r>
    <s v="2.30345E+11"/>
    <n v="221202919"/>
    <d v="2023-03-08T00:00:00"/>
    <s v="21:21:56.343Z"/>
    <n v="1565"/>
    <d v="1996-07-01T00:00:00"/>
    <n v="77.709999999999994"/>
    <n v="73.3"/>
    <x v="0"/>
    <x v="320"/>
    <x v="400"/>
    <s v="No"/>
    <s v="Yes"/>
    <n v="26"/>
    <s v="60-75"/>
    <x v="4"/>
    <x v="0"/>
    <n v="549"/>
    <x v="113"/>
    <x v="1"/>
    <s v="Pass"/>
    <x v="1"/>
    <s v="A"/>
    <x v="0"/>
    <s v="60-70"/>
    <x v="1"/>
    <x v="115"/>
    <x v="1"/>
    <x v="1"/>
    <x v="3"/>
    <x v="1"/>
    <x v="1"/>
    <x v="0"/>
    <s v="March"/>
  </r>
  <r>
    <s v="2.30345E+11"/>
    <n v="230101192"/>
    <d v="2023-03-10T00:00:00"/>
    <s v="15:17:38.814Z"/>
    <n v="1468"/>
    <d v="1997-06-26T00:00:00"/>
    <n v="84.4"/>
    <n v="63"/>
    <x v="0"/>
    <x v="321"/>
    <x v="401"/>
    <s v="No"/>
    <s v="No"/>
    <n v="25"/>
    <s v="100-75"/>
    <x v="1"/>
    <x v="0"/>
    <n v="585"/>
    <x v="126"/>
    <x v="2"/>
    <s v="Pass"/>
    <x v="2"/>
    <s v="A"/>
    <x v="0"/>
    <s v="70-85"/>
    <x v="1"/>
    <x v="9"/>
    <x v="1"/>
    <x v="1"/>
    <x v="3"/>
    <x v="1"/>
    <x v="0"/>
    <x v="0"/>
    <s v="March"/>
  </r>
  <r>
    <s v="2.30345E+11"/>
    <n v="221207584"/>
    <d v="2023-03-10T00:00:00"/>
    <s v="16:02:12.025Z"/>
    <n v="1496"/>
    <d v="2000-08-13T00:00:00"/>
    <n v="92.04"/>
    <n v="71.23"/>
    <x v="0"/>
    <x v="322"/>
    <x v="32"/>
    <s v="No"/>
    <s v="No"/>
    <n v="22"/>
    <s v="100-75"/>
    <x v="3"/>
    <x v="1"/>
    <n v="490"/>
    <x v="312"/>
    <x v="1"/>
    <s v="Pass"/>
    <x v="1"/>
    <s v="C"/>
    <x v="0"/>
    <s v="60-70"/>
    <x v="1"/>
    <x v="54"/>
    <x v="1"/>
    <x v="1"/>
    <x v="3"/>
    <x v="1"/>
    <x v="2"/>
    <x v="0"/>
    <s v="March"/>
  </r>
  <r>
    <s v="2.30345E+11"/>
    <n v="221204981"/>
    <d v="2023-03-10T00:00:00"/>
    <s v="13:40:13.780Z"/>
    <n v="1560"/>
    <d v="1997-12-01T00:00:00"/>
    <n v="64"/>
    <n v="60"/>
    <x v="101"/>
    <x v="323"/>
    <x v="402"/>
    <s v="No"/>
    <s v="No"/>
    <n v="25"/>
    <s v="60-75"/>
    <x v="3"/>
    <x v="0"/>
    <n v="483"/>
    <x v="104"/>
    <x v="1"/>
    <s v="Pass"/>
    <x v="1"/>
    <s v="A"/>
    <x v="0"/>
    <s v="60-70"/>
    <x v="0"/>
    <x v="0"/>
    <x v="0"/>
    <x v="0"/>
    <x v="3"/>
    <x v="1"/>
    <x v="0"/>
    <x v="0"/>
    <s v="March"/>
  </r>
  <r>
    <s v="2.30345E+11"/>
    <n v="221200875"/>
    <d v="2023-03-13T00:00:00"/>
    <s v="15:16:13.459Z"/>
    <n v="1663"/>
    <d v="1997-06-06T00:00:00"/>
    <n v="73.819999999999993"/>
    <n v="65.23"/>
    <x v="0"/>
    <x v="324"/>
    <x v="403"/>
    <s v="No"/>
    <s v="Yes"/>
    <n v="25"/>
    <s v="60-75"/>
    <x v="2"/>
    <x v="0"/>
    <n v="479"/>
    <x v="313"/>
    <x v="2"/>
    <s v="Pass"/>
    <x v="2"/>
    <s v="B"/>
    <x v="0"/>
    <s v="50-60"/>
    <x v="1"/>
    <x v="16"/>
    <x v="1"/>
    <x v="1"/>
    <x v="3"/>
    <x v="1"/>
    <x v="0"/>
    <x v="0"/>
    <s v="March"/>
  </r>
  <r>
    <s v="2.30345E+11"/>
    <n v="221200365"/>
    <d v="2023-03-10T00:00:00"/>
    <s v="22:14:05.268Z"/>
    <n v="1261"/>
    <d v="2000-06-17T00:00:00"/>
    <n v="95.2"/>
    <n v="77.540000000000006"/>
    <x v="0"/>
    <x v="325"/>
    <x v="404"/>
    <s v="No"/>
    <s v="Yes"/>
    <n v="22"/>
    <s v="100-75"/>
    <x v="3"/>
    <x v="0"/>
    <n v="592"/>
    <x v="5"/>
    <x v="1"/>
    <s v="Pass"/>
    <x v="1"/>
    <s v="A"/>
    <x v="0"/>
    <s v="70-85"/>
    <x v="1"/>
    <x v="98"/>
    <x v="1"/>
    <x v="1"/>
    <x v="3"/>
    <x v="1"/>
    <x v="2"/>
    <x v="0"/>
    <s v="March"/>
  </r>
  <r>
    <s v="2.30345E+11"/>
    <n v="221206417"/>
    <d v="2023-03-14T00:00:00"/>
    <s v="23:10:41.450Z"/>
    <n v="1803"/>
    <d v="1997-04-07T00:00:00"/>
    <n v="75.400000000000006"/>
    <n v="58.92"/>
    <x v="0"/>
    <x v="326"/>
    <x v="405"/>
    <s v="No"/>
    <s v="Yes"/>
    <n v="25"/>
    <s v="60-75"/>
    <x v="1"/>
    <x v="1"/>
    <n v="239"/>
    <x v="314"/>
    <x v="0"/>
    <s v="Fail"/>
    <x v="0"/>
    <s v="Fail"/>
    <x v="0"/>
    <s v="Fail"/>
    <x v="0"/>
    <x v="0"/>
    <x v="0"/>
    <x v="0"/>
    <x v="3"/>
    <x v="1"/>
    <x v="0"/>
    <x v="0"/>
    <s v="March"/>
  </r>
  <r>
    <s v="2.30345E+11"/>
    <n v="221202140"/>
    <d v="2023-03-09T00:00:00"/>
    <s v="23:02:29.301Z"/>
    <n v="1707"/>
    <d v="2000-11-17T00:00:00"/>
    <n v="92.4"/>
    <n v="70.77"/>
    <x v="0"/>
    <x v="166"/>
    <x v="406"/>
    <s v="No"/>
    <s v="No"/>
    <n v="22"/>
    <s v="60-75"/>
    <x v="6"/>
    <x v="0"/>
    <n v="400"/>
    <x v="114"/>
    <x v="2"/>
    <s v="Pass"/>
    <x v="2"/>
    <s v="C"/>
    <x v="0"/>
    <s v="50-60"/>
    <x v="0"/>
    <x v="0"/>
    <x v="0"/>
    <x v="0"/>
    <x v="3"/>
    <x v="1"/>
    <x v="2"/>
    <x v="0"/>
    <s v="March"/>
  </r>
  <r>
    <s v="2.30345E+11"/>
    <n v="221206564"/>
    <d v="2023-03-10T00:00:00"/>
    <s v="22:23:48.449Z"/>
    <n v="1572"/>
    <d v="2001-05-17T00:00:00"/>
    <n v="86.6"/>
    <n v="84.15"/>
    <x v="0"/>
    <x v="327"/>
    <x v="407"/>
    <s v="No"/>
    <s v="Yes"/>
    <n v="21"/>
    <s v="60-75"/>
    <x v="3"/>
    <x v="0"/>
    <n v="461"/>
    <x v="139"/>
    <x v="0"/>
    <s v="Pass"/>
    <x v="0"/>
    <s v="C"/>
    <x v="0"/>
    <s v="50-60"/>
    <x v="0"/>
    <x v="0"/>
    <x v="0"/>
    <x v="0"/>
    <x v="3"/>
    <x v="1"/>
    <x v="2"/>
    <x v="0"/>
    <s v="March"/>
  </r>
  <r>
    <s v="2.30345E+11"/>
    <n v="230104130"/>
    <d v="2023-03-11T00:00:00"/>
    <s v="21:51:03.656Z"/>
    <n v="265"/>
    <d v="1999-03-01T00:00:00"/>
    <n v="72.3"/>
    <n v="80"/>
    <x v="0"/>
    <x v="103"/>
    <x v="408"/>
    <s v="No"/>
    <s v="Yes"/>
    <n v="24"/>
    <s v="100-75"/>
    <x v="1"/>
    <x v="1"/>
    <n v="467"/>
    <x v="143"/>
    <x v="0"/>
    <s v="Pass"/>
    <x v="0"/>
    <s v="C"/>
    <x v="0"/>
    <s v="50-60"/>
    <x v="0"/>
    <x v="0"/>
    <x v="0"/>
    <x v="0"/>
    <x v="3"/>
    <x v="3"/>
    <x v="0"/>
    <x v="0"/>
    <s v="March"/>
  </r>
  <r>
    <s v="2.30345E+11"/>
    <n v="221201532"/>
    <d v="2023-03-15T00:00:00"/>
    <s v="20:46:26.720Z"/>
    <n v="1043"/>
    <d v="1999-09-14T00:00:00"/>
    <n v="78"/>
    <s v="Other"/>
    <x v="102"/>
    <x v="328"/>
    <x v="409"/>
    <s v="No"/>
    <s v="No"/>
    <n v="23"/>
    <s v="100-75"/>
    <x v="6"/>
    <x v="0"/>
    <n v="540"/>
    <x v="310"/>
    <x v="0"/>
    <s v="Pass"/>
    <x v="0"/>
    <s v="B"/>
    <x v="0"/>
    <s v="60-70"/>
    <x v="1"/>
    <x v="9"/>
    <x v="1"/>
    <x v="1"/>
    <x v="3"/>
    <x v="1"/>
    <x v="0"/>
    <x v="0"/>
    <s v="March"/>
  </r>
  <r>
    <s v="2.30345E+11"/>
    <n v="230106293"/>
    <d v="2023-03-11T00:00:00"/>
    <s v="00:50:46.734Z"/>
    <n v="1299"/>
    <d v="1997-10-16T00:00:00"/>
    <n v="74"/>
    <n v="54.31"/>
    <x v="0"/>
    <x v="10"/>
    <x v="410"/>
    <s v="No"/>
    <s v="No"/>
    <n v="25"/>
    <s v="60-75"/>
    <x v="4"/>
    <x v="0"/>
    <n v="308"/>
    <x v="315"/>
    <x v="0"/>
    <s v="Fail"/>
    <x v="0"/>
    <s v="Fail"/>
    <x v="0"/>
    <s v="Fail"/>
    <x v="0"/>
    <x v="0"/>
    <x v="0"/>
    <x v="0"/>
    <x v="3"/>
    <x v="1"/>
    <x v="0"/>
    <x v="0"/>
    <s v="March"/>
  </r>
  <r>
    <s v="2.30345E+11"/>
    <n v="221201191"/>
    <d v="2023-03-12T00:00:00"/>
    <s v="12:57:51.300Z"/>
    <n v="1681"/>
    <d v="1997-04-13T00:00:00"/>
    <n v="70"/>
    <n v="53.4"/>
    <x v="0"/>
    <x v="329"/>
    <x v="411"/>
    <s v="No"/>
    <s v="No"/>
    <n v="25"/>
    <s v="60-75"/>
    <x v="4"/>
    <x v="1"/>
    <n v="385"/>
    <x v="305"/>
    <x v="1"/>
    <s v="Pass"/>
    <x v="1"/>
    <s v="B"/>
    <x v="0"/>
    <s v="40-50"/>
    <x v="0"/>
    <x v="0"/>
    <x v="0"/>
    <x v="0"/>
    <x v="3"/>
    <x v="1"/>
    <x v="0"/>
    <x v="0"/>
    <s v="March"/>
  </r>
  <r>
    <s v="2.30345E+11"/>
    <n v="230106526"/>
    <d v="2023-03-10T00:00:00"/>
    <s v="15:36:14.623Z"/>
    <n v="1192"/>
    <d v="1998-09-26T00:00:00"/>
    <n v="83.4"/>
    <s v="Other"/>
    <x v="103"/>
    <x v="330"/>
    <x v="412"/>
    <s v="No"/>
    <s v="Yes"/>
    <n v="24"/>
    <s v="0-35"/>
    <x v="4"/>
    <x v="0"/>
    <n v="497"/>
    <x v="74"/>
    <x v="2"/>
    <s v="Pass"/>
    <x v="2"/>
    <s v="B"/>
    <x v="0"/>
    <s v="60-70"/>
    <x v="1"/>
    <x v="67"/>
    <x v="1"/>
    <x v="1"/>
    <x v="3"/>
    <x v="1"/>
    <x v="0"/>
    <x v="0"/>
    <s v="March"/>
  </r>
  <r>
    <s v="2.30345E+11"/>
    <n v="221200649"/>
    <d v="2023-03-10T00:00:00"/>
    <s v="15:42:08.592Z"/>
    <n v="1586"/>
    <d v="1995-12-17T00:00:00"/>
    <n v="70.3"/>
    <n v="68.599999999999994"/>
    <x v="0"/>
    <x v="324"/>
    <x v="413"/>
    <s v="No"/>
    <s v="No"/>
    <n v="27"/>
    <s v="60-75"/>
    <x v="3"/>
    <x v="0"/>
    <n v="397"/>
    <x v="316"/>
    <x v="0"/>
    <s v="Pass"/>
    <x v="0"/>
    <s v="B"/>
    <x v="0"/>
    <s v="40-50"/>
    <x v="0"/>
    <x v="0"/>
    <x v="0"/>
    <x v="0"/>
    <x v="3"/>
    <x v="1"/>
    <x v="1"/>
    <x v="0"/>
    <s v="March"/>
  </r>
  <r>
    <s v="2.30345E+11"/>
    <n v="230107759"/>
    <d v="2023-03-10T00:00:00"/>
    <s v="15:11:01.552Z"/>
    <n v="1639"/>
    <d v="1998-04-07T00:00:00"/>
    <n v="86.2"/>
    <s v="Other"/>
    <x v="104"/>
    <x v="331"/>
    <x v="414"/>
    <s v="No"/>
    <s v="No"/>
    <n v="24"/>
    <s v="100-75"/>
    <x v="1"/>
    <x v="0"/>
    <n v="555"/>
    <x v="38"/>
    <x v="1"/>
    <s v="Pass"/>
    <x v="1"/>
    <s v="B"/>
    <x v="0"/>
    <s v="60-70"/>
    <x v="1"/>
    <x v="47"/>
    <x v="1"/>
    <x v="1"/>
    <x v="3"/>
    <x v="1"/>
    <x v="0"/>
    <x v="0"/>
    <s v="March"/>
  </r>
  <r>
    <s v="2.30345E+11"/>
    <n v="221203196"/>
    <d v="2023-03-10T00:00:00"/>
    <s v="23:21:33.952Z"/>
    <n v="1651"/>
    <d v="1997-05-05T00:00:00"/>
    <n v="84.6"/>
    <n v="69.23"/>
    <x v="105"/>
    <x v="332"/>
    <x v="415"/>
    <s v="No"/>
    <s v="Yes"/>
    <n v="25"/>
    <s v="60-75"/>
    <x v="4"/>
    <x v="0"/>
    <n v="537"/>
    <x v="169"/>
    <x v="0"/>
    <s v="Pass"/>
    <x v="0"/>
    <s v="C"/>
    <x v="0"/>
    <s v="60-70"/>
    <x v="0"/>
    <x v="0"/>
    <x v="0"/>
    <x v="0"/>
    <x v="3"/>
    <x v="1"/>
    <x v="0"/>
    <x v="0"/>
    <s v="March"/>
  </r>
  <r>
    <s v="2.30345E+11"/>
    <n v="230101923"/>
    <d v="2023-03-10T00:00:00"/>
    <s v="21:59:59.107Z"/>
    <n v="1621"/>
    <d v="2000-05-22T00:00:00"/>
    <n v="93.4"/>
    <s v="Other"/>
    <x v="106"/>
    <x v="333"/>
    <x v="416"/>
    <s v="No"/>
    <s v="Yes"/>
    <n v="22"/>
    <s v="100-75"/>
    <x v="4"/>
    <x v="0"/>
    <n v="499"/>
    <x v="180"/>
    <x v="2"/>
    <s v="Pass"/>
    <x v="2"/>
    <s v="B"/>
    <x v="0"/>
    <s v="60-70"/>
    <x v="0"/>
    <x v="0"/>
    <x v="0"/>
    <x v="0"/>
    <x v="3"/>
    <x v="1"/>
    <x v="2"/>
    <x v="0"/>
    <s v="March"/>
  </r>
  <r>
    <s v="2.30345E+11"/>
    <n v="221204123"/>
    <d v="2023-03-10T00:00:00"/>
    <s v="15:17:06.585Z"/>
    <n v="1429"/>
    <d v="1999-05-22T00:00:00"/>
    <n v="88.6"/>
    <n v="71.23"/>
    <x v="0"/>
    <x v="334"/>
    <x v="417"/>
    <s v="No"/>
    <s v="No"/>
    <n v="23"/>
    <s v="60-75"/>
    <x v="2"/>
    <x v="0"/>
    <n v="585"/>
    <x v="126"/>
    <x v="1"/>
    <s v="Pass"/>
    <x v="1"/>
    <s v="A"/>
    <x v="0"/>
    <s v="70-85"/>
    <x v="1"/>
    <x v="119"/>
    <x v="1"/>
    <x v="1"/>
    <x v="3"/>
    <x v="1"/>
    <x v="0"/>
    <x v="0"/>
    <s v="March"/>
  </r>
  <r>
    <s v="2.30345E+11"/>
    <n v="221203308"/>
    <d v="2023-03-10T00:00:00"/>
    <s v="20:17:13.997Z"/>
    <n v="698"/>
    <d v="1998-06-16T00:00:00"/>
    <n v="90.2"/>
    <n v="73.08"/>
    <x v="0"/>
    <x v="335"/>
    <x v="418"/>
    <s v="No"/>
    <s v="No"/>
    <n v="24"/>
    <s v="100-75"/>
    <x v="4"/>
    <x v="0"/>
    <n v="570"/>
    <x v="178"/>
    <x v="2"/>
    <s v="Pass"/>
    <x v="2"/>
    <s v="C"/>
    <x v="0"/>
    <s v="70-85"/>
    <x v="1"/>
    <x v="120"/>
    <x v="1"/>
    <x v="1"/>
    <x v="3"/>
    <x v="3"/>
    <x v="0"/>
    <x v="0"/>
    <s v="March"/>
  </r>
  <r>
    <s v="2.30345E+11"/>
    <n v="230106188"/>
    <d v="2023-03-10T00:00:00"/>
    <s v="20:44:57.178Z"/>
    <n v="1531"/>
    <d v="2000-04-22T00:00:00"/>
    <n v="84"/>
    <n v="66.62"/>
    <x v="0"/>
    <x v="336"/>
    <x v="419"/>
    <s v="No"/>
    <s v="No"/>
    <n v="22"/>
    <s v="60-75"/>
    <x v="4"/>
    <x v="1"/>
    <n v="319"/>
    <x v="11"/>
    <x v="0"/>
    <s v="Fail"/>
    <x v="0"/>
    <s v="Fail"/>
    <x v="0"/>
    <s v="Fail"/>
    <x v="0"/>
    <x v="0"/>
    <x v="0"/>
    <x v="0"/>
    <x v="3"/>
    <x v="1"/>
    <x v="2"/>
    <x v="0"/>
    <s v="March"/>
  </r>
  <r>
    <s v="2.30345E+11"/>
    <n v="221204946"/>
    <d v="2023-03-12T00:00:00"/>
    <s v="19:41:41.131Z"/>
    <n v="541"/>
    <d v="2001-06-01T00:00:00"/>
    <n v="87.4"/>
    <s v="Other"/>
    <x v="107"/>
    <x v="337"/>
    <x v="420"/>
    <s v="No"/>
    <s v="No"/>
    <n v="21"/>
    <s v="100-75"/>
    <x v="1"/>
    <x v="0"/>
    <n v="615"/>
    <x v="147"/>
    <x v="2"/>
    <s v="Pass"/>
    <x v="2"/>
    <s v="A"/>
    <x v="0"/>
    <s v="70-85"/>
    <x v="1"/>
    <x v="47"/>
    <x v="1"/>
    <x v="1"/>
    <x v="3"/>
    <x v="3"/>
    <x v="2"/>
    <x v="0"/>
    <s v="March"/>
  </r>
  <r>
    <s v="2.30345E+11"/>
    <n v="221202295"/>
    <d v="2023-03-10T00:00:00"/>
    <s v="19:54:51.184Z"/>
    <n v="1853"/>
    <d v="1998-06-08T00:00:00"/>
    <n v="82.2"/>
    <s v="Other"/>
    <x v="108"/>
    <x v="180"/>
    <x v="421"/>
    <s v="No"/>
    <s v="Yes"/>
    <n v="24"/>
    <s v="60-75"/>
    <x v="0"/>
    <x v="0"/>
    <n v="370"/>
    <x v="317"/>
    <x v="2"/>
    <s v="Pass"/>
    <x v="2"/>
    <s v="C"/>
    <x v="0"/>
    <s v="40-50"/>
    <x v="0"/>
    <x v="0"/>
    <x v="0"/>
    <x v="0"/>
    <x v="3"/>
    <x v="1"/>
    <x v="0"/>
    <x v="0"/>
    <s v="March"/>
  </r>
  <r>
    <s v="2.30345E+11"/>
    <n v="221206405"/>
    <d v="2023-03-13T00:00:00"/>
    <s v="14:12:38.335Z"/>
    <n v="1217"/>
    <d v="1997-09-30T00:00:00"/>
    <n v="89.09"/>
    <s v="Other"/>
    <x v="109"/>
    <x v="254"/>
    <x v="422"/>
    <s v="No"/>
    <s v="No"/>
    <n v="25"/>
    <s v="60-75"/>
    <x v="4"/>
    <x v="0"/>
    <n v="563"/>
    <x v="45"/>
    <x v="1"/>
    <s v="Pass"/>
    <x v="1"/>
    <s v="B"/>
    <x v="0"/>
    <s v="70-85"/>
    <x v="1"/>
    <x v="67"/>
    <x v="1"/>
    <x v="1"/>
    <x v="3"/>
    <x v="1"/>
    <x v="0"/>
    <x v="0"/>
    <s v="March"/>
  </r>
  <r>
    <s v="2.30345E+11"/>
    <n v="221200290"/>
    <d v="2023-03-10T00:00:00"/>
    <s v="20:01:53.074Z"/>
    <n v="1810"/>
    <d v="1997-05-18T00:00:00"/>
    <n v="79"/>
    <n v="60"/>
    <x v="0"/>
    <x v="183"/>
    <x v="423"/>
    <s v="No"/>
    <s v="No"/>
    <n v="25"/>
    <s v="45-60"/>
    <x v="4"/>
    <x v="0"/>
    <n v="454"/>
    <x v="318"/>
    <x v="2"/>
    <s v="Pass"/>
    <x v="2"/>
    <s v="B"/>
    <x v="0"/>
    <s v="50-60"/>
    <x v="1"/>
    <x v="116"/>
    <x v="1"/>
    <x v="1"/>
    <x v="3"/>
    <x v="1"/>
    <x v="0"/>
    <x v="0"/>
    <s v="March"/>
  </r>
  <r>
    <s v="2.30345E+11"/>
    <n v="221200063"/>
    <d v="2023-03-11T00:00:00"/>
    <s v="21:50:23.692Z"/>
    <n v="1847"/>
    <d v="1990-12-10T00:00:00"/>
    <n v="76"/>
    <n v="64"/>
    <x v="0"/>
    <x v="338"/>
    <x v="424"/>
    <s v="Yes"/>
    <s v="Yes"/>
    <n v="32"/>
    <s v="100-75"/>
    <x v="3"/>
    <x v="6"/>
    <n v="562"/>
    <x v="135"/>
    <x v="1"/>
    <s v="Pass"/>
    <x v="1"/>
    <s v="A"/>
    <x v="0"/>
    <s v="70-85"/>
    <x v="1"/>
    <x v="9"/>
    <x v="1"/>
    <x v="1"/>
    <x v="3"/>
    <x v="1"/>
    <x v="4"/>
    <x v="0"/>
    <s v="March"/>
  </r>
  <r>
    <s v="2.30345E+11"/>
    <n v="221201562"/>
    <d v="2023-03-10T00:00:00"/>
    <s v="23:36:33.184Z"/>
    <n v="1665"/>
    <d v="1999-12-05T00:00:00"/>
    <n v="87.4"/>
    <n v="81"/>
    <x v="0"/>
    <x v="339"/>
    <x v="425"/>
    <s v="No"/>
    <s v="No"/>
    <n v="23"/>
    <s v="100-75"/>
    <x v="2"/>
    <x v="1"/>
    <n v="488"/>
    <x v="30"/>
    <x v="1"/>
    <s v="Pass"/>
    <x v="1"/>
    <s v="C"/>
    <x v="0"/>
    <s v="60-70"/>
    <x v="1"/>
    <x v="40"/>
    <x v="1"/>
    <x v="1"/>
    <x v="3"/>
    <x v="1"/>
    <x v="0"/>
    <x v="0"/>
    <s v="March"/>
  </r>
  <r>
    <s v="2.30345E+11"/>
    <n v="230100862"/>
    <d v="2023-03-13T00:00:00"/>
    <s v="09:43:46.039Z"/>
    <n v="1666"/>
    <d v="2000-08-08T00:00:00"/>
    <n v="89.2"/>
    <n v="57.75"/>
    <x v="0"/>
    <x v="340"/>
    <x v="426"/>
    <s v="No"/>
    <s v="No"/>
    <n v="22"/>
    <s v="100-75"/>
    <x v="3"/>
    <x v="1"/>
    <n v="493"/>
    <x v="48"/>
    <x v="0"/>
    <s v="Pass"/>
    <x v="0"/>
    <s v="A"/>
    <x v="0"/>
    <s v="60-70"/>
    <x v="1"/>
    <x v="118"/>
    <x v="1"/>
    <x v="1"/>
    <x v="3"/>
    <x v="1"/>
    <x v="2"/>
    <x v="0"/>
    <s v="March"/>
  </r>
  <r>
    <s v="2.30345E+11"/>
    <n v="230105101"/>
    <d v="2023-03-11T00:00:00"/>
    <s v="17:52:08.197Z"/>
    <n v="1650"/>
    <d v="1998-04-16T00:00:00"/>
    <n v="92.4"/>
    <s v="Other"/>
    <x v="110"/>
    <x v="341"/>
    <x v="427"/>
    <s v="No"/>
    <s v="Yes"/>
    <n v="24"/>
    <s v="100-75"/>
    <x v="4"/>
    <x v="0"/>
    <n v="526"/>
    <x v="61"/>
    <x v="1"/>
    <s v="Pass"/>
    <x v="1"/>
    <s v="B"/>
    <x v="0"/>
    <s v="60-70"/>
    <x v="1"/>
    <x v="47"/>
    <x v="1"/>
    <x v="1"/>
    <x v="3"/>
    <x v="1"/>
    <x v="0"/>
    <x v="0"/>
    <s v="March"/>
  </r>
  <r>
    <s v="2.30345E+11"/>
    <n v="230105461"/>
    <d v="2023-03-08T00:00:00"/>
    <s v="19:45:22.912Z"/>
    <n v="1602"/>
    <d v="1999-08-17T00:00:00"/>
    <n v="90"/>
    <s v="Other"/>
    <x v="111"/>
    <x v="342"/>
    <x v="428"/>
    <s v="No"/>
    <s v="Yes"/>
    <n v="23"/>
    <s v="100-75"/>
    <x v="4"/>
    <x v="0"/>
    <n v="495"/>
    <x v="319"/>
    <x v="0"/>
    <s v="Pass"/>
    <x v="0"/>
    <s v="A"/>
    <x v="0"/>
    <s v="60-70"/>
    <x v="1"/>
    <x v="9"/>
    <x v="1"/>
    <x v="1"/>
    <x v="3"/>
    <x v="1"/>
    <x v="0"/>
    <x v="0"/>
    <s v="March"/>
  </r>
  <r>
    <s v="2.30345E+11"/>
    <n v="221200528"/>
    <m/>
    <m/>
    <s v="Unknown"/>
    <m/>
    <n v="0"/>
    <n v="0"/>
    <x v="2"/>
    <x v="11"/>
    <x v="11"/>
    <s v="No"/>
    <s v="No"/>
    <n v="23"/>
    <s v="Unkown"/>
    <x v="5"/>
    <x v="2"/>
    <n v="634"/>
    <x v="127"/>
    <x v="1"/>
    <s v="Pass"/>
    <x v="1"/>
    <s v="A"/>
    <x v="0"/>
    <s v="70-85"/>
    <x v="1"/>
    <x v="121"/>
    <x v="1"/>
    <x v="1"/>
    <x v="3"/>
    <x v="2"/>
    <x v="3"/>
    <x v="0"/>
    <s v="March"/>
  </r>
  <r>
    <s v="2.30345E+11"/>
    <n v="230109644"/>
    <d v="2023-03-11T00:00:00"/>
    <s v="14:59:36.705Z"/>
    <n v="1789"/>
    <d v="1997-07-06T00:00:00"/>
    <n v="80.36"/>
    <n v="73.69"/>
    <x v="0"/>
    <x v="343"/>
    <x v="429"/>
    <s v="No"/>
    <s v="No"/>
    <n v="25"/>
    <s v="60-75"/>
    <x v="2"/>
    <x v="1"/>
    <n v="445"/>
    <x v="121"/>
    <x v="0"/>
    <s v="Pass"/>
    <x v="0"/>
    <s v="B"/>
    <x v="0"/>
    <s v="50-60"/>
    <x v="0"/>
    <x v="0"/>
    <x v="0"/>
    <x v="0"/>
    <x v="3"/>
    <x v="1"/>
    <x v="0"/>
    <x v="0"/>
    <s v="March"/>
  </r>
  <r>
    <s v="2.30345E+11"/>
    <n v="221204353"/>
    <d v="2023-03-12T00:00:00"/>
    <s v="11:01:47.039Z"/>
    <n v="1727"/>
    <d v="1998-04-18T00:00:00"/>
    <n v="91.6"/>
    <n v="64.77"/>
    <x v="0"/>
    <x v="344"/>
    <x v="430"/>
    <s v="No"/>
    <s v="Yes"/>
    <n v="24"/>
    <s v="60-75"/>
    <x v="5"/>
    <x v="1"/>
    <n v="424"/>
    <x v="26"/>
    <x v="2"/>
    <s v="Pass"/>
    <x v="2"/>
    <s v="B"/>
    <x v="0"/>
    <s v="50-60"/>
    <x v="0"/>
    <x v="0"/>
    <x v="0"/>
    <x v="0"/>
    <x v="3"/>
    <x v="1"/>
    <x v="0"/>
    <x v="0"/>
    <s v="March"/>
  </r>
  <r>
    <s v="2.30345E+11"/>
    <n v="221203761"/>
    <d v="2023-03-14T00:00:00"/>
    <s v="12:16:23.314Z"/>
    <n v="1178"/>
    <d v="1997-04-08T00:00:00"/>
    <n v="88.73"/>
    <n v="72.92"/>
    <x v="0"/>
    <x v="345"/>
    <x v="431"/>
    <s v="No"/>
    <s v="Yes"/>
    <n v="25"/>
    <s v="60-75"/>
    <x v="4"/>
    <x v="0"/>
    <n v="476"/>
    <x v="184"/>
    <x v="1"/>
    <s v="Pass"/>
    <x v="1"/>
    <s v="B"/>
    <x v="0"/>
    <s v="50-60"/>
    <x v="0"/>
    <x v="0"/>
    <x v="0"/>
    <x v="0"/>
    <x v="3"/>
    <x v="1"/>
    <x v="0"/>
    <x v="0"/>
    <s v="March"/>
  </r>
  <r>
    <s v="2.30345E+11"/>
    <n v="221203342"/>
    <d v="2023-03-10T00:00:00"/>
    <s v="22:50:56.794Z"/>
    <n v="445"/>
    <d v="1997-07-18T00:00:00"/>
    <n v="81"/>
    <n v="63.38"/>
    <x v="0"/>
    <x v="346"/>
    <x v="432"/>
    <s v="No"/>
    <s v="No"/>
    <n v="25"/>
    <s v="45-60"/>
    <x v="4"/>
    <x v="0"/>
    <n v="473"/>
    <x v="149"/>
    <x v="2"/>
    <s v="Pass"/>
    <x v="2"/>
    <s v="C"/>
    <x v="0"/>
    <s v="50-60"/>
    <x v="0"/>
    <x v="0"/>
    <x v="0"/>
    <x v="0"/>
    <x v="3"/>
    <x v="3"/>
    <x v="0"/>
    <x v="0"/>
    <s v="March"/>
  </r>
  <r>
    <s v="2.30345E+11"/>
    <n v="221203020"/>
    <d v="2023-03-13T00:00:00"/>
    <s v="05:35:21.359Z"/>
    <n v="1592"/>
    <d v="1997-02-25T00:00:00"/>
    <n v="86.73"/>
    <n v="71.540000000000006"/>
    <x v="0"/>
    <x v="10"/>
    <x v="433"/>
    <s v="No"/>
    <s v="No"/>
    <n v="26"/>
    <s v="60-75"/>
    <x v="3"/>
    <x v="0"/>
    <n v="613"/>
    <x v="27"/>
    <x v="1"/>
    <s v="Pass"/>
    <x v="1"/>
    <s v="A"/>
    <x v="0"/>
    <s v="70-85"/>
    <x v="1"/>
    <x v="121"/>
    <x v="1"/>
    <x v="1"/>
    <x v="3"/>
    <x v="1"/>
    <x v="1"/>
    <x v="0"/>
    <s v="March"/>
  </r>
  <r>
    <s v="2.30345E+11"/>
    <n v="230107910"/>
    <d v="2023-03-08T00:00:00"/>
    <s v="21:46:52.683Z"/>
    <n v="594"/>
    <d v="1997-02-15T00:00:00"/>
    <n v="78.180000000000007"/>
    <n v="62.46"/>
    <x v="0"/>
    <x v="347"/>
    <x v="434"/>
    <s v="No"/>
    <s v="Yes"/>
    <n v="26"/>
    <s v="45-60"/>
    <x v="2"/>
    <x v="0"/>
    <n v="689"/>
    <x v="320"/>
    <x v="1"/>
    <s v="Pass"/>
    <x v="1"/>
    <s v="A"/>
    <x v="0"/>
    <s v="85-100"/>
    <x v="1"/>
    <x v="59"/>
    <x v="1"/>
    <x v="1"/>
    <x v="3"/>
    <x v="3"/>
    <x v="1"/>
    <x v="0"/>
    <s v="March"/>
  </r>
  <r>
    <s v="2.30345E+11"/>
    <n v="221204029"/>
    <d v="2023-03-09T00:00:00"/>
    <s v="12:47:21.342Z"/>
    <n v="1711"/>
    <d v="1996-05-14T00:00:00"/>
    <n v="91.45"/>
    <n v="56.5"/>
    <x v="0"/>
    <x v="348"/>
    <x v="435"/>
    <s v="No"/>
    <s v="No"/>
    <n v="26"/>
    <s v="45-60"/>
    <x v="0"/>
    <x v="0"/>
    <n v="484"/>
    <x v="298"/>
    <x v="1"/>
    <s v="Pass"/>
    <x v="1"/>
    <s v="B"/>
    <x v="0"/>
    <s v="60-70"/>
    <x v="1"/>
    <x v="95"/>
    <x v="1"/>
    <x v="1"/>
    <x v="3"/>
    <x v="1"/>
    <x v="1"/>
    <x v="0"/>
    <s v="March"/>
  </r>
  <r>
    <s v="2.30345E+11"/>
    <n v="221203043"/>
    <d v="2023-03-10T00:00:00"/>
    <s v="23:17:29.626Z"/>
    <n v="391"/>
    <d v="2000-12-24T00:00:00"/>
    <n v="88.2"/>
    <n v="72.77"/>
    <x v="0"/>
    <x v="349"/>
    <x v="436"/>
    <s v="No"/>
    <s v="No"/>
    <n v="22"/>
    <s v="0-35"/>
    <x v="6"/>
    <x v="0"/>
    <n v="485"/>
    <x v="24"/>
    <x v="1"/>
    <s v="Pass"/>
    <x v="1"/>
    <s v="B"/>
    <x v="0"/>
    <s v="60-70"/>
    <x v="1"/>
    <x v="72"/>
    <x v="1"/>
    <x v="1"/>
    <x v="3"/>
    <x v="3"/>
    <x v="2"/>
    <x v="0"/>
    <s v="March"/>
  </r>
  <r>
    <s v="2.30345E+11"/>
    <n v="230101308"/>
    <d v="2023-03-10T00:00:00"/>
    <s v="13:28:58.341Z"/>
    <n v="1200"/>
    <d v="1997-12-09T00:00:00"/>
    <n v="75.819999999999993"/>
    <s v="Other"/>
    <x v="112"/>
    <x v="86"/>
    <x v="16"/>
    <s v="No"/>
    <s v="Yes"/>
    <n v="25"/>
    <s v="60-75"/>
    <x v="4"/>
    <x v="0"/>
    <n v="525"/>
    <x v="148"/>
    <x v="0"/>
    <s v="Pass"/>
    <x v="0"/>
    <s v="A"/>
    <x v="0"/>
    <s v="60-70"/>
    <x v="1"/>
    <x v="4"/>
    <x v="1"/>
    <x v="1"/>
    <x v="3"/>
    <x v="1"/>
    <x v="0"/>
    <x v="0"/>
    <s v="March"/>
  </r>
  <r>
    <s v="2.30345E+11"/>
    <n v="221204118"/>
    <d v="2023-03-10T00:00:00"/>
    <s v="15:27:54.768Z"/>
    <n v="1790"/>
    <d v="1993-11-17T00:00:00"/>
    <n v="76.8"/>
    <n v="71"/>
    <x v="0"/>
    <x v="8"/>
    <x v="437"/>
    <s v="Yes"/>
    <s v="No"/>
    <n v="29"/>
    <s v="0-35"/>
    <x v="6"/>
    <x v="1"/>
    <n v="486"/>
    <x v="94"/>
    <x v="1"/>
    <s v="Pass"/>
    <x v="1"/>
    <s v="B"/>
    <x v="0"/>
    <s v="60-70"/>
    <x v="0"/>
    <x v="0"/>
    <x v="0"/>
    <x v="0"/>
    <x v="3"/>
    <x v="1"/>
    <x v="4"/>
    <x v="0"/>
    <s v="March"/>
  </r>
  <r>
    <s v="2.30345E+11"/>
    <n v="221204661"/>
    <d v="2023-03-14T00:00:00"/>
    <s v="10:23:03.520Z"/>
    <n v="1602"/>
    <d v="2000-07-02T00:00:00"/>
    <n v="83.4"/>
    <n v="64"/>
    <x v="0"/>
    <x v="350"/>
    <x v="438"/>
    <s v="No"/>
    <s v="Yes"/>
    <n v="22"/>
    <s v="100-75"/>
    <x v="4"/>
    <x v="1"/>
    <n v="598"/>
    <x v="115"/>
    <x v="1"/>
    <s v="Pass"/>
    <x v="1"/>
    <s v="A"/>
    <x v="0"/>
    <s v="70-85"/>
    <x v="0"/>
    <x v="0"/>
    <x v="0"/>
    <x v="0"/>
    <x v="3"/>
    <x v="1"/>
    <x v="2"/>
    <x v="0"/>
    <s v="March"/>
  </r>
  <r>
    <s v="2.30345E+11"/>
    <n v="221205423"/>
    <d v="2023-03-10T00:00:00"/>
    <s v="22:30:02.746Z"/>
    <n v="1229"/>
    <d v="1994-09-29T00:00:00"/>
    <n v="90"/>
    <n v="75"/>
    <x v="0"/>
    <x v="152"/>
    <x v="439"/>
    <s v="No"/>
    <s v="No"/>
    <n v="28"/>
    <s v="60-75"/>
    <x v="4"/>
    <x v="0"/>
    <n v="482"/>
    <x v="108"/>
    <x v="2"/>
    <s v="Pass"/>
    <x v="2"/>
    <s v="C"/>
    <x v="0"/>
    <s v="60-70"/>
    <x v="1"/>
    <x v="26"/>
    <x v="1"/>
    <x v="1"/>
    <x v="3"/>
    <x v="1"/>
    <x v="1"/>
    <x v="0"/>
    <s v="March"/>
  </r>
  <r>
    <s v="2.30345E+11"/>
    <n v="221204386"/>
    <d v="2023-03-10T00:00:00"/>
    <s v="19:50:56.667Z"/>
    <n v="492"/>
    <d v="1998-06-19T00:00:00"/>
    <n v="66.66"/>
    <s v="Other"/>
    <x v="113"/>
    <x v="271"/>
    <x v="440"/>
    <s v="No"/>
    <s v="No"/>
    <n v="24"/>
    <s v="100-75"/>
    <x v="6"/>
    <x v="0"/>
    <n v="469"/>
    <x v="111"/>
    <x v="0"/>
    <s v="Pass"/>
    <x v="0"/>
    <s v="B"/>
    <x v="0"/>
    <s v="50-60"/>
    <x v="1"/>
    <x v="9"/>
    <x v="1"/>
    <x v="1"/>
    <x v="3"/>
    <x v="3"/>
    <x v="0"/>
    <x v="0"/>
    <s v="March"/>
  </r>
  <r>
    <s v="2.30345E+11"/>
    <n v="221207009"/>
    <d v="2023-03-10T00:00:00"/>
    <s v="14:06:31.728Z"/>
    <n v="419"/>
    <d v="1998-09-01T00:00:00"/>
    <n v="76.2"/>
    <s v="Other"/>
    <x v="114"/>
    <x v="41"/>
    <x v="441"/>
    <s v="No"/>
    <s v="Yes"/>
    <n v="24"/>
    <s v="60-75"/>
    <x v="4"/>
    <x v="0"/>
    <n v="579"/>
    <x v="151"/>
    <x v="1"/>
    <s v="Pass"/>
    <x v="1"/>
    <s v="A"/>
    <x v="0"/>
    <s v="70-85"/>
    <x v="1"/>
    <x v="67"/>
    <x v="1"/>
    <x v="1"/>
    <x v="3"/>
    <x v="3"/>
    <x v="0"/>
    <x v="0"/>
    <s v="March"/>
  </r>
  <r>
    <s v="2.30345E+11"/>
    <n v="221207546"/>
    <d v="2023-03-10T00:00:00"/>
    <s v="23:03:30.465Z"/>
    <n v="1674"/>
    <d v="1996-10-15T00:00:00"/>
    <n v="96"/>
    <n v="79"/>
    <x v="0"/>
    <x v="10"/>
    <x v="442"/>
    <s v="No"/>
    <s v="No"/>
    <n v="26"/>
    <s v="60-75"/>
    <x v="3"/>
    <x v="0"/>
    <n v="558"/>
    <x v="23"/>
    <x v="1"/>
    <s v="Pass"/>
    <x v="1"/>
    <s v="A"/>
    <x v="0"/>
    <s v="60-70"/>
    <x v="1"/>
    <x v="63"/>
    <x v="1"/>
    <x v="1"/>
    <x v="3"/>
    <x v="1"/>
    <x v="1"/>
    <x v="0"/>
    <s v="March"/>
  </r>
  <r>
    <s v="2.30345E+11"/>
    <n v="221206953"/>
    <d v="2023-03-14T00:00:00"/>
    <s v="21:40:14.454Z"/>
    <n v="1461"/>
    <d v="1999-08-18T00:00:00"/>
    <n v="92.5"/>
    <n v="87.6"/>
    <x v="0"/>
    <x v="351"/>
    <x v="443"/>
    <s v="No"/>
    <s v="No"/>
    <n v="23"/>
    <s v="60-75"/>
    <x v="4"/>
    <x v="0"/>
    <n v="562"/>
    <x v="135"/>
    <x v="1"/>
    <s v="Pass"/>
    <x v="1"/>
    <s v="A"/>
    <x v="0"/>
    <s v="70-85"/>
    <x v="1"/>
    <x v="117"/>
    <x v="1"/>
    <x v="1"/>
    <x v="3"/>
    <x v="1"/>
    <x v="0"/>
    <x v="0"/>
    <s v="March"/>
  </r>
  <r>
    <s v="2.30345E+11"/>
    <n v="221201770"/>
    <d v="2023-03-13T00:00:00"/>
    <s v="14:29:50.074Z"/>
    <n v="1604"/>
    <d v="1998-05-29T00:00:00"/>
    <n v="79.8"/>
    <n v="70"/>
    <x v="0"/>
    <x v="352"/>
    <x v="444"/>
    <s v="No"/>
    <s v="Yes"/>
    <n v="24"/>
    <s v="60-75"/>
    <x v="2"/>
    <x v="0"/>
    <n v="603"/>
    <x v="321"/>
    <x v="1"/>
    <s v="Pass"/>
    <x v="1"/>
    <s v="A"/>
    <x v="0"/>
    <s v="70-85"/>
    <x v="1"/>
    <x v="117"/>
    <x v="1"/>
    <x v="1"/>
    <x v="3"/>
    <x v="1"/>
    <x v="0"/>
    <x v="0"/>
    <s v="March"/>
  </r>
  <r>
    <s v="2.30345E+11"/>
    <n v="230106344"/>
    <d v="2023-03-13T00:00:00"/>
    <s v="12:30:22.836Z"/>
    <n v="1646"/>
    <d v="1999-02-24T00:00:00"/>
    <n v="72.41"/>
    <n v="60.15"/>
    <x v="0"/>
    <x v="32"/>
    <x v="445"/>
    <s v="Yes"/>
    <s v="No"/>
    <n v="24"/>
    <s v="100-75"/>
    <x v="3"/>
    <x v="3"/>
    <n v="618"/>
    <x v="168"/>
    <x v="1"/>
    <s v="Pass"/>
    <x v="1"/>
    <s v="A"/>
    <x v="0"/>
    <s v="70-85"/>
    <x v="1"/>
    <x v="121"/>
    <x v="1"/>
    <x v="1"/>
    <x v="3"/>
    <x v="1"/>
    <x v="0"/>
    <x v="0"/>
    <s v="March"/>
  </r>
  <r>
    <s v="2.30345E+11"/>
    <n v="221200727"/>
    <d v="2023-03-11T00:00:00"/>
    <s v="23:00:28.110Z"/>
    <n v="1600"/>
    <d v="1999-07-12T00:00:00"/>
    <n v="77.2"/>
    <s v="Other"/>
    <x v="115"/>
    <x v="353"/>
    <x v="446"/>
    <s v="No"/>
    <s v="No"/>
    <n v="23"/>
    <s v="100-75"/>
    <x v="4"/>
    <x v="0"/>
    <n v="468"/>
    <x v="300"/>
    <x v="2"/>
    <s v="Pass"/>
    <x v="2"/>
    <s v="A"/>
    <x v="0"/>
    <s v="50-60"/>
    <x v="2"/>
    <x v="3"/>
    <x v="1"/>
    <x v="1"/>
    <x v="3"/>
    <x v="1"/>
    <x v="0"/>
    <x v="0"/>
    <s v="March"/>
  </r>
  <r>
    <s v="2.30345E+11"/>
    <n v="221202042"/>
    <d v="2023-03-12T00:00:00"/>
    <s v="10:21:39.171Z"/>
    <n v="591"/>
    <d v="1995-11-01T00:00:00"/>
    <n v="86.91"/>
    <n v="58"/>
    <x v="0"/>
    <x v="354"/>
    <x v="447"/>
    <s v="No"/>
    <s v="Yes"/>
    <n v="27"/>
    <s v="45-60"/>
    <x v="0"/>
    <x v="0"/>
    <n v="566"/>
    <x v="322"/>
    <x v="1"/>
    <s v="Pass"/>
    <x v="1"/>
    <s v="A"/>
    <x v="0"/>
    <s v="70-85"/>
    <x v="1"/>
    <x v="117"/>
    <x v="1"/>
    <x v="1"/>
    <x v="3"/>
    <x v="3"/>
    <x v="1"/>
    <x v="0"/>
    <s v="March"/>
  </r>
  <r>
    <s v="2.30345E+11"/>
    <n v="221204947"/>
    <d v="2023-03-12T00:00:00"/>
    <s v="19:53:31.836Z"/>
    <n v="939"/>
    <d v="2000-08-29T00:00:00"/>
    <n v="78.2"/>
    <n v="68.459999999999994"/>
    <x v="0"/>
    <x v="355"/>
    <x v="448"/>
    <s v="No"/>
    <s v="No"/>
    <n v="22"/>
    <s v="60-75"/>
    <x v="4"/>
    <x v="0"/>
    <n v="495"/>
    <x v="319"/>
    <x v="0"/>
    <s v="Pass"/>
    <x v="0"/>
    <s v="B"/>
    <x v="0"/>
    <s v="60-70"/>
    <x v="1"/>
    <x v="4"/>
    <x v="1"/>
    <x v="1"/>
    <x v="3"/>
    <x v="3"/>
    <x v="2"/>
    <x v="0"/>
    <s v="March"/>
  </r>
  <r>
    <s v="2.30345E+11"/>
    <n v="230104710"/>
    <d v="2023-03-14T00:00:00"/>
    <s v="22:13:14.758Z"/>
    <n v="1862"/>
    <d v="2000-02-15T00:00:00"/>
    <n v="62.8"/>
    <s v="Other"/>
    <x v="116"/>
    <x v="356"/>
    <x v="449"/>
    <s v="No"/>
    <s v="Yes"/>
    <n v="23"/>
    <s v="100-75"/>
    <x v="1"/>
    <x v="0"/>
    <n v="411"/>
    <x v="46"/>
    <x v="2"/>
    <s v="Pass"/>
    <x v="2"/>
    <s v="B"/>
    <x v="0"/>
    <s v="50-60"/>
    <x v="0"/>
    <x v="0"/>
    <x v="0"/>
    <x v="0"/>
    <x v="3"/>
    <x v="1"/>
    <x v="0"/>
    <x v="0"/>
    <s v="March"/>
  </r>
  <r>
    <s v="2.30345E+11"/>
    <n v="221207152"/>
    <d v="2023-03-14T00:00:00"/>
    <s v="08:41:25.407Z"/>
    <n v="1757"/>
    <d v="1999-10-26T00:00:00"/>
    <n v="86.4"/>
    <n v="60.31"/>
    <x v="0"/>
    <x v="357"/>
    <x v="450"/>
    <s v="No"/>
    <s v="Yes"/>
    <n v="23"/>
    <s v="60-75"/>
    <x v="4"/>
    <x v="0"/>
    <n v="526"/>
    <x v="61"/>
    <x v="2"/>
    <s v="Pass"/>
    <x v="2"/>
    <s v="B"/>
    <x v="0"/>
    <s v="60-70"/>
    <x v="1"/>
    <x v="9"/>
    <x v="1"/>
    <x v="1"/>
    <x v="3"/>
    <x v="1"/>
    <x v="0"/>
    <x v="0"/>
    <s v="March"/>
  </r>
  <r>
    <s v="2.30345E+11"/>
    <n v="221200047"/>
    <d v="2023-03-13T00:00:00"/>
    <s v="11:00:47.461Z"/>
    <n v="932"/>
    <d v="1994-08-10T00:00:00"/>
    <n v="60.6"/>
    <n v="45"/>
    <x v="117"/>
    <x v="292"/>
    <x v="451"/>
    <s v="No"/>
    <s v="Yes"/>
    <n v="28"/>
    <s v="45-60"/>
    <x v="5"/>
    <x v="0"/>
    <n v="542"/>
    <x v="3"/>
    <x v="1"/>
    <s v="Pass"/>
    <x v="1"/>
    <s v="B"/>
    <x v="0"/>
    <s v="60-70"/>
    <x v="1"/>
    <x v="67"/>
    <x v="1"/>
    <x v="1"/>
    <x v="3"/>
    <x v="3"/>
    <x v="1"/>
    <x v="0"/>
    <s v="March"/>
  </r>
  <r>
    <s v="2.30345E+11"/>
    <n v="221205845"/>
    <d v="2023-03-15T00:00:00"/>
    <s v="23:35:50.366Z"/>
    <n v="1637"/>
    <d v="1999-12-20T00:00:00"/>
    <n v="84.14"/>
    <n v="80"/>
    <x v="0"/>
    <x v="358"/>
    <x v="452"/>
    <s v="No"/>
    <s v="Yes"/>
    <n v="23"/>
    <s v="60-75"/>
    <x v="4"/>
    <x v="1"/>
    <n v="550"/>
    <x v="80"/>
    <x v="1"/>
    <s v="Pass"/>
    <x v="1"/>
    <s v="A"/>
    <x v="0"/>
    <s v="60-70"/>
    <x v="1"/>
    <x v="67"/>
    <x v="1"/>
    <x v="1"/>
    <x v="3"/>
    <x v="1"/>
    <x v="0"/>
    <x v="0"/>
    <s v="March"/>
  </r>
  <r>
    <s v="2.30345E+11"/>
    <n v="221202799"/>
    <d v="2023-03-17T00:00:00"/>
    <s v="13:23:49.978Z"/>
    <n v="1008"/>
    <d v="1997-01-25T00:00:00"/>
    <n v="68.2"/>
    <n v="69.38"/>
    <x v="118"/>
    <x v="20"/>
    <x v="453"/>
    <s v="No"/>
    <s v="Yes"/>
    <n v="26"/>
    <s v="100-75"/>
    <x v="4"/>
    <x v="0"/>
    <n v="385"/>
    <x v="305"/>
    <x v="0"/>
    <s v="Pass"/>
    <x v="0"/>
    <s v="C"/>
    <x v="0"/>
    <s v="40-50"/>
    <x v="0"/>
    <x v="0"/>
    <x v="0"/>
    <x v="0"/>
    <x v="3"/>
    <x v="1"/>
    <x v="1"/>
    <x v="0"/>
    <s v="March"/>
  </r>
  <r>
    <s v="2.30345E+11"/>
    <n v="221202445"/>
    <d v="2023-03-10T00:00:00"/>
    <s v="17:11:47.852Z"/>
    <n v="318"/>
    <d v="1999-05-01T00:00:00"/>
    <n v="79.599999999999994"/>
    <s v="Other"/>
    <x v="119"/>
    <x v="359"/>
    <x v="303"/>
    <s v="No"/>
    <s v="No"/>
    <n v="23"/>
    <s v="100-75"/>
    <x v="2"/>
    <x v="0"/>
    <n v="590"/>
    <x v="323"/>
    <x v="1"/>
    <s v="Pass"/>
    <x v="1"/>
    <s v="A"/>
    <x v="0"/>
    <s v="70-85"/>
    <x v="1"/>
    <x v="63"/>
    <x v="1"/>
    <x v="1"/>
    <x v="3"/>
    <x v="3"/>
    <x v="0"/>
    <x v="0"/>
    <s v="March"/>
  </r>
  <r>
    <s v="2.30345E+11"/>
    <n v="230107148"/>
    <m/>
    <m/>
    <s v="Unknown"/>
    <m/>
    <n v="0"/>
    <n v="0"/>
    <x v="2"/>
    <x v="11"/>
    <x v="11"/>
    <s v="No"/>
    <s v="No"/>
    <n v="23"/>
    <s v="Unkown"/>
    <x v="5"/>
    <x v="2"/>
    <n v="498"/>
    <x v="75"/>
    <x v="0"/>
    <s v="Pass"/>
    <x v="0"/>
    <s v="C"/>
    <x v="0"/>
    <s v="60-70"/>
    <x v="0"/>
    <x v="0"/>
    <x v="0"/>
    <x v="0"/>
    <x v="3"/>
    <x v="2"/>
    <x v="3"/>
    <x v="0"/>
    <s v="March"/>
  </r>
  <r>
    <s v="2.30345E+11"/>
    <n v="230106262"/>
    <d v="2023-03-13T00:00:00"/>
    <s v="10:42:21.955Z"/>
    <n v="1074"/>
    <d v="1995-12-21T00:00:00"/>
    <n v="88.91"/>
    <n v="62.33"/>
    <x v="0"/>
    <x v="360"/>
    <x v="454"/>
    <s v="No"/>
    <s v="Yes"/>
    <n v="27"/>
    <s v="60-75"/>
    <x v="4"/>
    <x v="0"/>
    <n v="428"/>
    <x v="324"/>
    <x v="2"/>
    <s v="Pass"/>
    <x v="2"/>
    <s v="B"/>
    <x v="0"/>
    <s v="50-60"/>
    <x v="0"/>
    <x v="0"/>
    <x v="0"/>
    <x v="0"/>
    <x v="3"/>
    <x v="1"/>
    <x v="1"/>
    <x v="0"/>
    <s v="March"/>
  </r>
  <r>
    <s v="2.30345E+11"/>
    <n v="221200090"/>
    <d v="2023-03-10T00:00:00"/>
    <s v="20:16:33.179Z"/>
    <n v="1365"/>
    <d v="1994-08-06T00:00:00"/>
    <n v="91.45"/>
    <n v="74"/>
    <x v="0"/>
    <x v="202"/>
    <x v="455"/>
    <s v="No"/>
    <s v="Yes"/>
    <n v="28"/>
    <s v="60-75"/>
    <x v="6"/>
    <x v="0"/>
    <n v="519"/>
    <x v="325"/>
    <x v="2"/>
    <s v="Pass"/>
    <x v="2"/>
    <s v="B"/>
    <x v="0"/>
    <s v="60-70"/>
    <x v="0"/>
    <x v="0"/>
    <x v="0"/>
    <x v="0"/>
    <x v="3"/>
    <x v="1"/>
    <x v="1"/>
    <x v="0"/>
    <s v="March"/>
  </r>
  <r>
    <s v="2.30345E+11"/>
    <n v="221206415"/>
    <d v="2023-03-11T00:00:00"/>
    <s v="12:47:18.843Z"/>
    <n v="1812"/>
    <d v="2000-07-09T00:00:00"/>
    <n v="72.599999999999994"/>
    <s v="Other"/>
    <x v="120"/>
    <x v="361"/>
    <x v="456"/>
    <s v="No"/>
    <s v="Yes"/>
    <n v="22"/>
    <s v="0-35"/>
    <x v="5"/>
    <x v="1"/>
    <n v="364"/>
    <x v="326"/>
    <x v="2"/>
    <s v="Pass"/>
    <x v="2"/>
    <s v="C"/>
    <x v="0"/>
    <s v="40-50"/>
    <x v="0"/>
    <x v="0"/>
    <x v="0"/>
    <x v="0"/>
    <x v="3"/>
    <x v="1"/>
    <x v="2"/>
    <x v="0"/>
    <s v="March"/>
  </r>
  <r>
    <s v="2.30345E+11"/>
    <n v="230100253"/>
    <d v="2023-03-11T00:00:00"/>
    <s v="10:51:22.367Z"/>
    <n v="1833"/>
    <d v="2000-11-14T00:00:00"/>
    <n v="70.8"/>
    <s v="Other"/>
    <x v="121"/>
    <x v="362"/>
    <x v="457"/>
    <s v="No"/>
    <s v="Yes"/>
    <n v="22"/>
    <s v="60-75"/>
    <x v="6"/>
    <x v="0"/>
    <n v="358"/>
    <x v="327"/>
    <x v="2"/>
    <s v="Pass"/>
    <x v="2"/>
    <s v="C"/>
    <x v="0"/>
    <s v="40-50"/>
    <x v="1"/>
    <x v="122"/>
    <x v="1"/>
    <x v="1"/>
    <x v="3"/>
    <x v="1"/>
    <x v="2"/>
    <x v="0"/>
    <s v="March"/>
  </r>
  <r>
    <s v="2.30345E+11"/>
    <n v="221207374"/>
    <d v="2023-03-10T00:00:00"/>
    <s v="22:58:18.121Z"/>
    <n v="1369"/>
    <d v="2000-01-01T00:00:00"/>
    <n v="75.2"/>
    <n v="57.69"/>
    <x v="0"/>
    <x v="13"/>
    <x v="458"/>
    <s v="No"/>
    <s v="No"/>
    <n v="23"/>
    <s v="60-75"/>
    <x v="3"/>
    <x v="1"/>
    <n v="439"/>
    <x v="328"/>
    <x v="2"/>
    <s v="Pass"/>
    <x v="2"/>
    <s v="C"/>
    <x v="0"/>
    <s v="50-60"/>
    <x v="1"/>
    <x v="118"/>
    <x v="1"/>
    <x v="1"/>
    <x v="3"/>
    <x v="1"/>
    <x v="0"/>
    <x v="0"/>
    <s v="March"/>
  </r>
  <r>
    <s v="2.30345E+11"/>
    <n v="221200276"/>
    <d v="2023-03-11T00:00:00"/>
    <s v="00:14:26.289Z"/>
    <n v="1796"/>
    <d v="2000-06-12T00:00:00"/>
    <n v="82.4"/>
    <n v="60"/>
    <x v="0"/>
    <x v="363"/>
    <x v="459"/>
    <s v="No"/>
    <s v="Yes"/>
    <n v="22"/>
    <s v="60-75"/>
    <x v="2"/>
    <x v="0"/>
    <n v="246"/>
    <x v="329"/>
    <x v="0"/>
    <s v="Fail"/>
    <x v="0"/>
    <s v="Fail"/>
    <x v="0"/>
    <s v="Fail"/>
    <x v="0"/>
    <x v="0"/>
    <x v="0"/>
    <x v="0"/>
    <x v="3"/>
    <x v="1"/>
    <x v="2"/>
    <x v="0"/>
    <s v="March"/>
  </r>
  <r>
    <s v="2.30345E+11"/>
    <n v="221202266"/>
    <d v="2023-03-11T00:00:00"/>
    <s v="01:00:39.248Z"/>
    <n v="1732"/>
    <d v="2000-04-12T00:00:00"/>
    <n v="81.2"/>
    <s v="Other"/>
    <x v="122"/>
    <x v="364"/>
    <x v="460"/>
    <s v="No"/>
    <s v="Yes"/>
    <n v="22"/>
    <s v="100-75"/>
    <x v="4"/>
    <x v="1"/>
    <n v="499"/>
    <x v="180"/>
    <x v="1"/>
    <s v="Pass"/>
    <x v="1"/>
    <s v="B"/>
    <x v="0"/>
    <s v="60-70"/>
    <x v="1"/>
    <x v="9"/>
    <x v="1"/>
    <x v="1"/>
    <x v="3"/>
    <x v="1"/>
    <x v="2"/>
    <x v="0"/>
    <s v="March"/>
  </r>
  <r>
    <s v="2.30345E+11"/>
    <n v="230100624"/>
    <d v="2023-03-10T00:00:00"/>
    <s v="20:51:13.328Z"/>
    <n v="1583"/>
    <d v="1996-02-10T00:00:00"/>
    <n v="93.1"/>
    <n v="85.4"/>
    <x v="123"/>
    <x v="44"/>
    <x v="461"/>
    <s v="No"/>
    <s v="No"/>
    <n v="27"/>
    <s v="60-75"/>
    <x v="1"/>
    <x v="1"/>
    <n v="500"/>
    <x v="156"/>
    <x v="1"/>
    <s v="Pass"/>
    <x v="1"/>
    <s v="B"/>
    <x v="0"/>
    <s v="60-70"/>
    <x v="1"/>
    <x v="9"/>
    <x v="1"/>
    <x v="1"/>
    <x v="3"/>
    <x v="1"/>
    <x v="1"/>
    <x v="0"/>
    <s v="March"/>
  </r>
  <r>
    <s v="2.30345E+11"/>
    <n v="221207774"/>
    <d v="2023-03-14T00:00:00"/>
    <s v="06:32:20.816Z"/>
    <n v="1749"/>
    <d v="2001-08-18T00:00:00"/>
    <n v="90.17"/>
    <n v="84.4"/>
    <x v="0"/>
    <x v="36"/>
    <x v="462"/>
    <s v="No"/>
    <s v="No"/>
    <n v="21"/>
    <s v="0-35"/>
    <x v="4"/>
    <x v="1"/>
    <n v="565"/>
    <x v="330"/>
    <x v="1"/>
    <s v="Pass"/>
    <x v="1"/>
    <s v="A"/>
    <x v="0"/>
    <s v="70-85"/>
    <x v="1"/>
    <x v="121"/>
    <x v="1"/>
    <x v="1"/>
    <x v="3"/>
    <x v="1"/>
    <x v="2"/>
    <x v="0"/>
    <s v="March"/>
  </r>
  <r>
    <s v="2.30345E+11"/>
    <n v="221201862"/>
    <d v="2023-03-13T00:00:00"/>
    <s v="12:48:40.172Z"/>
    <n v="1672"/>
    <d v="1998-10-06T00:00:00"/>
    <n v="75"/>
    <n v="65.849999999999994"/>
    <x v="0"/>
    <x v="365"/>
    <x v="463"/>
    <s v="No"/>
    <s v="Yes"/>
    <n v="24"/>
    <s v="45-60"/>
    <x v="4"/>
    <x v="0"/>
    <n v="438"/>
    <x v="331"/>
    <x v="2"/>
    <s v="Pass"/>
    <x v="2"/>
    <s v="B"/>
    <x v="0"/>
    <s v="50-60"/>
    <x v="1"/>
    <x v="123"/>
    <x v="1"/>
    <x v="1"/>
    <x v="3"/>
    <x v="1"/>
    <x v="0"/>
    <x v="0"/>
    <s v="March"/>
  </r>
  <r>
    <s v="2.30345E+11"/>
    <n v="221202707"/>
    <d v="2023-03-13T00:00:00"/>
    <s v="23:51:22.237Z"/>
    <n v="1634"/>
    <d v="1996-11-27T00:00:00"/>
    <n v="74.099999999999994"/>
    <n v="77"/>
    <x v="0"/>
    <x v="366"/>
    <x v="464"/>
    <s v="No"/>
    <s v="No"/>
    <n v="26"/>
    <s v="60-75"/>
    <x v="2"/>
    <x v="1"/>
    <n v="524"/>
    <x v="289"/>
    <x v="1"/>
    <s v="Pass"/>
    <x v="1"/>
    <s v="B"/>
    <x v="0"/>
    <s v="60-70"/>
    <x v="0"/>
    <x v="0"/>
    <x v="0"/>
    <x v="0"/>
    <x v="3"/>
    <x v="1"/>
    <x v="1"/>
    <x v="0"/>
    <s v="March"/>
  </r>
  <r>
    <s v="2.30345E+11"/>
    <n v="221201228"/>
    <d v="2023-03-13T00:00:00"/>
    <s v="22:29:28.683Z"/>
    <n v="1264"/>
    <d v="2001-01-19T00:00:00"/>
    <n v="86.2"/>
    <n v="78.62"/>
    <x v="0"/>
    <x v="367"/>
    <x v="465"/>
    <s v="No"/>
    <s v="No"/>
    <n v="22"/>
    <s v="100-75"/>
    <x v="2"/>
    <x v="0"/>
    <n v="583"/>
    <x v="164"/>
    <x v="1"/>
    <s v="Pass"/>
    <x v="1"/>
    <s v="B"/>
    <x v="0"/>
    <s v="70-85"/>
    <x v="1"/>
    <x v="120"/>
    <x v="1"/>
    <x v="1"/>
    <x v="3"/>
    <x v="1"/>
    <x v="2"/>
    <x v="0"/>
    <s v="March"/>
  </r>
  <r>
    <s v="2.30345E+11"/>
    <n v="230106233"/>
    <d v="2023-03-15T00:00:00"/>
    <s v="23:25:56.495Z"/>
    <n v="1785"/>
    <d v="1996-09-22T00:00:00"/>
    <n v="89.27"/>
    <s v="Other"/>
    <x v="124"/>
    <x v="6"/>
    <x v="466"/>
    <s v="No"/>
    <s v="No"/>
    <n v="26"/>
    <s v="100-75"/>
    <x v="4"/>
    <x v="1"/>
    <n v="536"/>
    <x v="110"/>
    <x v="1"/>
    <s v="Pass"/>
    <x v="1"/>
    <s v="B"/>
    <x v="0"/>
    <s v="60-70"/>
    <x v="2"/>
    <x v="3"/>
    <x v="1"/>
    <x v="1"/>
    <x v="3"/>
    <x v="1"/>
    <x v="1"/>
    <x v="0"/>
    <s v="March"/>
  </r>
  <r>
    <s v="2.30345E+11"/>
    <n v="230100101"/>
    <d v="2023-03-10T00:00:00"/>
    <s v="15:54:46.424Z"/>
    <n v="1580"/>
    <d v="1996-06-11T00:00:00"/>
    <n v="83.82"/>
    <n v="65.17"/>
    <x v="0"/>
    <x v="86"/>
    <x v="467"/>
    <s v="No"/>
    <s v="No"/>
    <n v="26"/>
    <s v="60-75"/>
    <x v="6"/>
    <x v="0"/>
    <n v="525"/>
    <x v="148"/>
    <x v="1"/>
    <s v="Pass"/>
    <x v="1"/>
    <s v="A"/>
    <x v="0"/>
    <s v="60-70"/>
    <x v="0"/>
    <x v="0"/>
    <x v="0"/>
    <x v="0"/>
    <x v="3"/>
    <x v="1"/>
    <x v="1"/>
    <x v="0"/>
    <s v="March"/>
  </r>
  <r>
    <s v="2.30345E+11"/>
    <n v="230105338"/>
    <d v="2023-03-11T00:00:00"/>
    <s v="22:57:05.572Z"/>
    <n v="449"/>
    <d v="1999-12-07T00:00:00"/>
    <n v="84"/>
    <s v="Other"/>
    <x v="125"/>
    <x v="368"/>
    <x v="468"/>
    <s v="No"/>
    <s v="Yes"/>
    <n v="23"/>
    <s v="100-75"/>
    <x v="4"/>
    <x v="0"/>
    <n v="545"/>
    <x v="166"/>
    <x v="2"/>
    <s v="Pass"/>
    <x v="2"/>
    <s v="B"/>
    <x v="0"/>
    <s v="60-70"/>
    <x v="1"/>
    <x v="116"/>
    <x v="1"/>
    <x v="1"/>
    <x v="3"/>
    <x v="3"/>
    <x v="0"/>
    <x v="0"/>
    <s v="March"/>
  </r>
  <r>
    <s v="2.30345E+11"/>
    <n v="230106695"/>
    <d v="2023-03-13T00:00:00"/>
    <s v="13:31:38.608Z"/>
    <n v="139"/>
    <d v="2001-01-27T00:00:00"/>
    <n v="94"/>
    <s v="Other"/>
    <x v="126"/>
    <x v="369"/>
    <x v="469"/>
    <s v="No"/>
    <s v="No"/>
    <n v="22"/>
    <s v="100-75"/>
    <x v="4"/>
    <x v="0"/>
    <n v="600"/>
    <x v="29"/>
    <x v="1"/>
    <s v="Pass"/>
    <x v="1"/>
    <s v="C"/>
    <x v="0"/>
    <s v="70-85"/>
    <x v="1"/>
    <x v="98"/>
    <x v="1"/>
    <x v="1"/>
    <x v="3"/>
    <x v="3"/>
    <x v="2"/>
    <x v="0"/>
    <s v="March"/>
  </r>
  <r>
    <s v="2.30345E+11"/>
    <n v="221203704"/>
    <d v="2023-03-14T00:00:00"/>
    <s v="19:07:25.563Z"/>
    <n v="1194"/>
    <d v="2000-10-01T00:00:00"/>
    <n v="76"/>
    <n v="77.2"/>
    <x v="0"/>
    <x v="171"/>
    <x v="470"/>
    <s v="No"/>
    <s v="No"/>
    <n v="22"/>
    <s v="60-75"/>
    <x v="4"/>
    <x v="1"/>
    <n v="551"/>
    <x v="332"/>
    <x v="1"/>
    <s v="Pass"/>
    <x v="1"/>
    <s v="B"/>
    <x v="0"/>
    <s v="60-70"/>
    <x v="0"/>
    <x v="0"/>
    <x v="0"/>
    <x v="0"/>
    <x v="3"/>
    <x v="1"/>
    <x v="2"/>
    <x v="0"/>
    <s v="March"/>
  </r>
  <r>
    <s v="2.30345E+11"/>
    <n v="230106694"/>
    <d v="2023-03-13T00:00:00"/>
    <s v="13:41:24.720Z"/>
    <n v="555"/>
    <d v="1999-06-17T00:00:00"/>
    <n v="81"/>
    <s v="Other"/>
    <x v="127"/>
    <x v="255"/>
    <x v="471"/>
    <s v="No"/>
    <s v="No"/>
    <n v="23"/>
    <s v="60-75"/>
    <x v="4"/>
    <x v="0"/>
    <n v="438"/>
    <x v="331"/>
    <x v="2"/>
    <s v="Pass"/>
    <x v="2"/>
    <s v="B"/>
    <x v="0"/>
    <s v="50-60"/>
    <x v="2"/>
    <x v="3"/>
    <x v="1"/>
    <x v="1"/>
    <x v="3"/>
    <x v="3"/>
    <x v="0"/>
    <x v="0"/>
    <s v="March"/>
  </r>
  <r>
    <s v="2.30345E+11"/>
    <n v="230104551"/>
    <d v="2023-03-11T00:00:00"/>
    <s v="00:10:08.147Z"/>
    <n v="757"/>
    <d v="1997-01-23T00:00:00"/>
    <n v="79"/>
    <n v="76"/>
    <x v="128"/>
    <x v="370"/>
    <x v="472"/>
    <s v="No"/>
    <s v="No"/>
    <n v="26"/>
    <s v="60-75"/>
    <x v="4"/>
    <x v="0"/>
    <n v="475"/>
    <x v="36"/>
    <x v="1"/>
    <s v="Pass"/>
    <x v="1"/>
    <s v="B"/>
    <x v="0"/>
    <s v="50-60"/>
    <x v="0"/>
    <x v="0"/>
    <x v="0"/>
    <x v="0"/>
    <x v="3"/>
    <x v="3"/>
    <x v="1"/>
    <x v="0"/>
    <s v="March"/>
  </r>
  <r>
    <s v="2.30345E+11"/>
    <n v="230110648"/>
    <d v="2023-03-10T00:00:00"/>
    <s v="17:46:55.508Z"/>
    <n v="1627"/>
    <d v="1998-01-29T00:00:00"/>
    <n v="80.400000000000006"/>
    <s v="Other"/>
    <x v="129"/>
    <x v="83"/>
    <x v="473"/>
    <s v="No"/>
    <s v="Yes"/>
    <n v="25"/>
    <s v="60-75"/>
    <x v="4"/>
    <x v="1"/>
    <n v="462"/>
    <x v="179"/>
    <x v="1"/>
    <s v="Pass"/>
    <x v="1"/>
    <s v="A"/>
    <x v="0"/>
    <s v="50-60"/>
    <x v="0"/>
    <x v="0"/>
    <x v="0"/>
    <x v="0"/>
    <x v="3"/>
    <x v="1"/>
    <x v="0"/>
    <x v="0"/>
    <s v="March"/>
  </r>
  <r>
    <s v="2.30345E+11"/>
    <n v="221206134"/>
    <d v="2023-03-17T00:00:00"/>
    <s v="11:46:13.858Z"/>
    <n v="1778"/>
    <d v="2001-08-30T00:00:00"/>
    <n v="74.099999999999994"/>
    <n v="72"/>
    <x v="0"/>
    <x v="371"/>
    <x v="474"/>
    <s v="No"/>
    <s v="Yes"/>
    <n v="21"/>
    <s v="0-35"/>
    <x v="3"/>
    <x v="1"/>
    <n v="528"/>
    <x v="14"/>
    <x v="1"/>
    <s v="Pass"/>
    <x v="1"/>
    <s v="B"/>
    <x v="0"/>
    <s v="60-70"/>
    <x v="1"/>
    <x v="9"/>
    <x v="1"/>
    <x v="1"/>
    <x v="3"/>
    <x v="1"/>
    <x v="2"/>
    <x v="0"/>
    <s v="March"/>
  </r>
  <r>
    <s v="2.30345E+11"/>
    <n v="221200619"/>
    <d v="2023-03-11T00:00:00"/>
    <s v="00:08:56.222Z"/>
    <n v="999"/>
    <d v="1998-11-25T00:00:00"/>
    <n v="80.8"/>
    <n v="55.85"/>
    <x v="0"/>
    <x v="372"/>
    <x v="475"/>
    <s v="No"/>
    <s v="Yes"/>
    <n v="24"/>
    <s v="60-75"/>
    <x v="3"/>
    <x v="0"/>
    <n v="520"/>
    <x v="93"/>
    <x v="2"/>
    <s v="Pass"/>
    <x v="2"/>
    <s v="B"/>
    <x v="0"/>
    <s v="60-70"/>
    <x v="1"/>
    <x v="124"/>
    <x v="1"/>
    <x v="1"/>
    <x v="3"/>
    <x v="3"/>
    <x v="0"/>
    <x v="0"/>
    <s v="March"/>
  </r>
  <r>
    <s v="2.30345E+11"/>
    <n v="230104709"/>
    <d v="2023-03-13T00:00:00"/>
    <s v="13:12:09.437Z"/>
    <n v="1362"/>
    <d v="1999-05-12T00:00:00"/>
    <n v="93.4"/>
    <n v="75.849999999999994"/>
    <x v="0"/>
    <x v="373"/>
    <x v="476"/>
    <s v="No"/>
    <s v="No"/>
    <n v="23"/>
    <s v="100-75"/>
    <x v="4"/>
    <x v="0"/>
    <n v="579"/>
    <x v="151"/>
    <x v="2"/>
    <s v="Pass"/>
    <x v="2"/>
    <s v="C"/>
    <x v="0"/>
    <s v="70-85"/>
    <x v="1"/>
    <x v="47"/>
    <x v="1"/>
    <x v="1"/>
    <x v="3"/>
    <x v="1"/>
    <x v="0"/>
    <x v="0"/>
    <s v="March"/>
  </r>
  <r>
    <s v="2.30345E+11"/>
    <n v="221203899"/>
    <d v="2023-03-12T00:00:00"/>
    <s v="00:37:22.935Z"/>
    <n v="1589"/>
    <d v="2000-03-14T00:00:00"/>
    <n v="75"/>
    <n v="58.31"/>
    <x v="0"/>
    <x v="374"/>
    <x v="477"/>
    <s v="No"/>
    <s v="No"/>
    <n v="22"/>
    <s v="60-75"/>
    <x v="3"/>
    <x v="1"/>
    <n v="384"/>
    <x v="279"/>
    <x v="0"/>
    <s v="Pass"/>
    <x v="0"/>
    <s v="C"/>
    <x v="0"/>
    <s v="40-50"/>
    <x v="2"/>
    <x v="3"/>
    <x v="1"/>
    <x v="1"/>
    <x v="3"/>
    <x v="1"/>
    <x v="2"/>
    <x v="0"/>
    <s v="March"/>
  </r>
  <r>
    <s v="2.30345E+11"/>
    <n v="230108543"/>
    <d v="2023-03-16T00:00:00"/>
    <s v="12:18:40.079Z"/>
    <n v="1628"/>
    <d v="2000-07-05T00:00:00"/>
    <n v="69.400000000000006"/>
    <n v="50"/>
    <x v="0"/>
    <x v="375"/>
    <x v="478"/>
    <s v="No"/>
    <s v="Yes"/>
    <n v="22"/>
    <s v="100-75"/>
    <x v="2"/>
    <x v="0"/>
    <n v="290"/>
    <x v="333"/>
    <x v="0"/>
    <s v="Fail"/>
    <x v="0"/>
    <s v="Fail"/>
    <x v="0"/>
    <s v="Fail"/>
    <x v="0"/>
    <x v="0"/>
    <x v="0"/>
    <x v="0"/>
    <x v="3"/>
    <x v="1"/>
    <x v="2"/>
    <x v="0"/>
    <s v="March"/>
  </r>
  <r>
    <s v="2.30345E+11"/>
    <n v="221204115"/>
    <d v="2023-03-10T00:00:00"/>
    <s v="23:00:50.965Z"/>
    <n v="1143"/>
    <d v="1999-09-30T00:00:00"/>
    <n v="87.8"/>
    <s v="Other"/>
    <x v="130"/>
    <x v="376"/>
    <x v="479"/>
    <s v="No"/>
    <s v="Yes"/>
    <n v="23"/>
    <s v="100-75"/>
    <x v="5"/>
    <x v="1"/>
    <n v="443"/>
    <x v="302"/>
    <x v="1"/>
    <s v="Pass"/>
    <x v="1"/>
    <s v="C"/>
    <x v="0"/>
    <s v="50-60"/>
    <x v="1"/>
    <x v="9"/>
    <x v="1"/>
    <x v="1"/>
    <x v="3"/>
    <x v="1"/>
    <x v="0"/>
    <x v="0"/>
    <s v="March"/>
  </r>
  <r>
    <s v="2.30345E+11"/>
    <n v="230109218"/>
    <d v="2023-03-11T00:00:00"/>
    <s v="10:15:20.709Z"/>
    <n v="1805"/>
    <d v="1997-12-13T00:00:00"/>
    <n v="74"/>
    <n v="75.23"/>
    <x v="0"/>
    <x v="377"/>
    <x v="480"/>
    <s v="No"/>
    <s v="Yes"/>
    <n v="25"/>
    <s v="60-75"/>
    <x v="2"/>
    <x v="0"/>
    <n v="499"/>
    <x v="180"/>
    <x v="0"/>
    <s v="Pass"/>
    <x v="0"/>
    <s v="B"/>
    <x v="0"/>
    <s v="60-70"/>
    <x v="0"/>
    <x v="0"/>
    <x v="0"/>
    <x v="0"/>
    <x v="3"/>
    <x v="1"/>
    <x v="0"/>
    <x v="0"/>
    <s v="March"/>
  </r>
  <r>
    <s v="2.30345E+11"/>
    <n v="221204101"/>
    <d v="2023-03-10T00:00:00"/>
    <s v="13:37:21.235Z"/>
    <n v="1721"/>
    <d v="1997-08-19T00:00:00"/>
    <n v="93.8"/>
    <n v="80.77"/>
    <x v="0"/>
    <x v="378"/>
    <x v="481"/>
    <s v="No"/>
    <s v="Yes"/>
    <n v="25"/>
    <s v="60-75"/>
    <x v="1"/>
    <x v="0"/>
    <n v="521"/>
    <x v="2"/>
    <x v="1"/>
    <s v="Pass"/>
    <x v="1"/>
    <s v="B"/>
    <x v="0"/>
    <s v="60-70"/>
    <x v="2"/>
    <x v="3"/>
    <x v="1"/>
    <x v="1"/>
    <x v="3"/>
    <x v="1"/>
    <x v="0"/>
    <x v="0"/>
    <s v="March"/>
  </r>
  <r>
    <s v="2.30345E+11"/>
    <n v="230108040"/>
    <d v="2023-03-13T00:00:00"/>
    <s v="23:53:25.645Z"/>
    <n v="1082"/>
    <d v="1999-07-08T00:00:00"/>
    <n v="87.4"/>
    <s v="Other"/>
    <x v="131"/>
    <x v="379"/>
    <x v="482"/>
    <s v="No"/>
    <s v="Yes"/>
    <n v="23"/>
    <s v="60-75"/>
    <x v="2"/>
    <x v="1"/>
    <n v="509"/>
    <x v="334"/>
    <x v="2"/>
    <s v="Pass"/>
    <x v="2"/>
    <s v="B"/>
    <x v="0"/>
    <s v="60-70"/>
    <x v="1"/>
    <x v="9"/>
    <x v="1"/>
    <x v="1"/>
    <x v="3"/>
    <x v="1"/>
    <x v="0"/>
    <x v="0"/>
    <s v="March"/>
  </r>
  <r>
    <s v="2.30345E+11"/>
    <n v="221202347"/>
    <d v="2023-03-10T00:00:00"/>
    <s v="21:55:51.913Z"/>
    <n v="317"/>
    <d v="1996-05-13T00:00:00"/>
    <n v="90.18"/>
    <n v="69.23"/>
    <x v="0"/>
    <x v="380"/>
    <x v="483"/>
    <s v="No"/>
    <s v="Yes"/>
    <n v="26"/>
    <s v="100-75"/>
    <x v="1"/>
    <x v="0"/>
    <n v="584"/>
    <x v="335"/>
    <x v="1"/>
    <s v="Pass"/>
    <x v="1"/>
    <s v="A"/>
    <x v="1"/>
    <s v="70-85"/>
    <x v="1"/>
    <x v="99"/>
    <x v="1"/>
    <x v="1"/>
    <x v="3"/>
    <x v="3"/>
    <x v="1"/>
    <x v="0"/>
    <s v="March"/>
  </r>
  <r>
    <s v="2.30345E+11"/>
    <n v="230102871"/>
    <d v="2023-03-11T00:00:00"/>
    <s v="11:38:05.386Z"/>
    <n v="1117"/>
    <d v="1998-12-22T00:00:00"/>
    <n v="95"/>
    <n v="89.8"/>
    <x v="0"/>
    <x v="381"/>
    <x v="484"/>
    <s v="Yes"/>
    <s v="No"/>
    <n v="24"/>
    <s v="100-75"/>
    <x v="5"/>
    <x v="3"/>
    <n v="488"/>
    <x v="30"/>
    <x v="1"/>
    <s v="Pass"/>
    <x v="1"/>
    <s v="B"/>
    <x v="1"/>
    <s v="60-70"/>
    <x v="2"/>
    <x v="3"/>
    <x v="1"/>
    <x v="1"/>
    <x v="3"/>
    <x v="1"/>
    <x v="0"/>
    <x v="0"/>
    <s v="March"/>
  </r>
  <r>
    <s v="2.30345E+11"/>
    <n v="230106577"/>
    <d v="2023-03-10T00:00:00"/>
    <s v="22:21:26.499Z"/>
    <n v="1992"/>
    <d v="1998-04-04T00:00:00"/>
    <n v="88.4"/>
    <s v="Other"/>
    <x v="132"/>
    <x v="382"/>
    <x v="485"/>
    <s v="No"/>
    <s v="No"/>
    <n v="24"/>
    <s v="100-75"/>
    <x v="1"/>
    <x v="0"/>
    <n v="491"/>
    <x v="336"/>
    <x v="1"/>
    <s v="Pass"/>
    <x v="1"/>
    <s v="B"/>
    <x v="1"/>
    <s v="60-70"/>
    <x v="1"/>
    <x v="28"/>
    <x v="1"/>
    <x v="1"/>
    <x v="3"/>
    <x v="1"/>
    <x v="0"/>
    <x v="0"/>
    <s v="March"/>
  </r>
  <r>
    <s v="2.30345E+11"/>
    <n v="221204317"/>
    <d v="2023-03-08T00:00:00"/>
    <s v="21:33:56.754Z"/>
    <n v="1283"/>
    <d v="1997-03-03T00:00:00"/>
    <n v="69"/>
    <n v="60.2"/>
    <x v="0"/>
    <x v="383"/>
    <x v="486"/>
    <s v="Yes"/>
    <s v="No"/>
    <n v="26"/>
    <s v="60-75"/>
    <x v="2"/>
    <x v="0"/>
    <n v="503"/>
    <x v="64"/>
    <x v="2"/>
    <s v="Pass"/>
    <x v="2"/>
    <s v="B"/>
    <x v="1"/>
    <s v="60-70"/>
    <x v="1"/>
    <x v="28"/>
    <x v="1"/>
    <x v="1"/>
    <x v="3"/>
    <x v="1"/>
    <x v="1"/>
    <x v="0"/>
    <s v="March"/>
  </r>
  <r>
    <s v="2.30345E+11"/>
    <n v="221200661"/>
    <d v="2023-03-10T00:00:00"/>
    <s v="22:42:40.101Z"/>
    <n v="910"/>
    <d v="2000-01-04T00:00:00"/>
    <n v="91.2"/>
    <s v="Other"/>
    <x v="133"/>
    <x v="384"/>
    <x v="487"/>
    <s v="No"/>
    <s v="No"/>
    <n v="23"/>
    <s v="100-75"/>
    <x v="4"/>
    <x v="0"/>
    <n v="556"/>
    <x v="138"/>
    <x v="2"/>
    <s v="Pass"/>
    <x v="2"/>
    <s v="A"/>
    <x v="1"/>
    <s v="60-70"/>
    <x v="1"/>
    <x v="82"/>
    <x v="1"/>
    <x v="1"/>
    <x v="3"/>
    <x v="3"/>
    <x v="0"/>
    <x v="0"/>
    <s v="March"/>
  </r>
  <r>
    <s v="2.30345E+11"/>
    <n v="221207273"/>
    <d v="2023-03-10T00:00:00"/>
    <s v="20:18:53.845Z"/>
    <n v="2422"/>
    <d v="2000-09-26T00:00:00"/>
    <n v="78.2"/>
    <n v="63.85"/>
    <x v="0"/>
    <x v="385"/>
    <x v="313"/>
    <s v="No"/>
    <s v="Yes"/>
    <n v="22"/>
    <s v="60-75"/>
    <x v="5"/>
    <x v="0"/>
    <n v="487"/>
    <x v="122"/>
    <x v="0"/>
    <s v="Pass"/>
    <x v="0"/>
    <s v="B"/>
    <x v="1"/>
    <s v="60-70"/>
    <x v="0"/>
    <x v="0"/>
    <x v="0"/>
    <x v="0"/>
    <x v="3"/>
    <x v="0"/>
    <x v="2"/>
    <x v="0"/>
    <s v="March"/>
  </r>
  <r>
    <s v="2.30345E+11"/>
    <n v="221206677"/>
    <d v="2023-03-14T00:00:00"/>
    <s v="00:21:48.682Z"/>
    <n v="2340"/>
    <d v="1999-12-01T00:00:00"/>
    <n v="89.2"/>
    <n v="73.23"/>
    <x v="0"/>
    <x v="386"/>
    <x v="488"/>
    <s v="Yes"/>
    <s v="Yes"/>
    <n v="23"/>
    <s v="100-75"/>
    <x v="5"/>
    <x v="3"/>
    <n v="528"/>
    <x v="14"/>
    <x v="1"/>
    <s v="Pass"/>
    <x v="1"/>
    <s v="B"/>
    <x v="1"/>
    <s v="60-70"/>
    <x v="0"/>
    <x v="0"/>
    <x v="0"/>
    <x v="0"/>
    <x v="3"/>
    <x v="0"/>
    <x v="0"/>
    <x v="0"/>
    <s v="March"/>
  </r>
  <r>
    <s v="2.30345E+11"/>
    <n v="221205826"/>
    <d v="2023-03-11T00:00:00"/>
    <s v="16:26:48.776Z"/>
    <n v="2372"/>
    <d v="1994-09-15T00:00:00"/>
    <n v="97.27"/>
    <n v="69.83"/>
    <x v="0"/>
    <x v="99"/>
    <x v="489"/>
    <s v="No"/>
    <s v="No"/>
    <n v="28"/>
    <s v="60-75"/>
    <x v="4"/>
    <x v="0"/>
    <n v="510"/>
    <x v="44"/>
    <x v="2"/>
    <s v="Pass"/>
    <x v="2"/>
    <s v="A"/>
    <x v="1"/>
    <s v="60-70"/>
    <x v="1"/>
    <x v="41"/>
    <x v="1"/>
    <x v="1"/>
    <x v="3"/>
    <x v="0"/>
    <x v="1"/>
    <x v="0"/>
    <s v="March"/>
  </r>
  <r>
    <s v="2.30345E+11"/>
    <n v="230107491"/>
    <d v="2023-03-10T00:00:00"/>
    <s v="15:19:44.891Z"/>
    <n v="2035"/>
    <d v="1994-12-15T00:00:00"/>
    <n v="89.09"/>
    <n v="66.5"/>
    <x v="0"/>
    <x v="41"/>
    <x v="490"/>
    <s v="No"/>
    <s v="Yes"/>
    <n v="28"/>
    <s v="60-75"/>
    <x v="2"/>
    <x v="0"/>
    <n v="496"/>
    <x v="185"/>
    <x v="1"/>
    <s v="Pass"/>
    <x v="1"/>
    <s v="C"/>
    <x v="1"/>
    <s v="60-70"/>
    <x v="0"/>
    <x v="0"/>
    <x v="0"/>
    <x v="0"/>
    <x v="3"/>
    <x v="0"/>
    <x v="1"/>
    <x v="0"/>
    <s v="March"/>
  </r>
  <r>
    <s v="2.30345E+11"/>
    <n v="221205236"/>
    <d v="2023-03-10T00:00:00"/>
    <s v="22:18:35.159Z"/>
    <n v="2493"/>
    <d v="1996-11-21T00:00:00"/>
    <n v="78.2"/>
    <n v="71.400000000000006"/>
    <x v="0"/>
    <x v="387"/>
    <x v="13"/>
    <s v="No"/>
    <s v="No"/>
    <n v="26"/>
    <s v="45-60"/>
    <x v="3"/>
    <x v="0"/>
    <n v="558"/>
    <x v="23"/>
    <x v="1"/>
    <s v="Pass"/>
    <x v="1"/>
    <s v="A"/>
    <x v="1"/>
    <s v="60-70"/>
    <x v="1"/>
    <x v="28"/>
    <x v="1"/>
    <x v="1"/>
    <x v="3"/>
    <x v="0"/>
    <x v="1"/>
    <x v="0"/>
    <s v="March"/>
  </r>
  <r>
    <s v="2.30345E+11"/>
    <n v="230108067"/>
    <d v="2023-03-11T00:00:00"/>
    <s v="00:10:08.515Z"/>
    <n v="2657"/>
    <d v="1998-11-26T00:00:00"/>
    <n v="80.8"/>
    <n v="69.09"/>
    <x v="0"/>
    <x v="388"/>
    <x v="491"/>
    <s v="No"/>
    <s v="No"/>
    <n v="24"/>
    <s v="60-75"/>
    <x v="4"/>
    <x v="0"/>
    <n v="407"/>
    <x v="82"/>
    <x v="0"/>
    <s v="Pass"/>
    <x v="0"/>
    <s v="C"/>
    <x v="1"/>
    <s v="50-60"/>
    <x v="1"/>
    <x v="28"/>
    <x v="1"/>
    <x v="1"/>
    <x v="3"/>
    <x v="0"/>
    <x v="0"/>
    <x v="0"/>
    <s v="March"/>
  </r>
  <r>
    <s v="2.30345E+11"/>
    <n v="221204616"/>
    <d v="2023-03-11T00:00:00"/>
    <s v="16:45:41.385Z"/>
    <n v="2367"/>
    <d v="1995-11-16T00:00:00"/>
    <n v="84"/>
    <n v="56"/>
    <x v="0"/>
    <x v="138"/>
    <x v="492"/>
    <s v="No"/>
    <s v="No"/>
    <n v="27"/>
    <s v="45-60"/>
    <x v="2"/>
    <x v="0"/>
    <n v="517"/>
    <x v="92"/>
    <x v="1"/>
    <s v="Pass"/>
    <x v="1"/>
    <s v="B"/>
    <x v="1"/>
    <s v="60-70"/>
    <x v="1"/>
    <x v="125"/>
    <x v="1"/>
    <x v="1"/>
    <x v="3"/>
    <x v="0"/>
    <x v="1"/>
    <x v="0"/>
    <s v="March"/>
  </r>
  <r>
    <s v="2.30345E+11"/>
    <n v="230106330"/>
    <d v="2023-03-10T00:00:00"/>
    <s v="10:13:05.940Z"/>
    <n v="1119"/>
    <d v="1998-08-15T00:00:00"/>
    <n v="87.5"/>
    <n v="81.540000000000006"/>
    <x v="0"/>
    <x v="389"/>
    <x v="493"/>
    <s v="Yes"/>
    <s v="No"/>
    <n v="24"/>
    <s v="100-75"/>
    <x v="3"/>
    <x v="3"/>
    <n v="520"/>
    <x v="93"/>
    <x v="1"/>
    <s v="Pass"/>
    <x v="1"/>
    <s v="B"/>
    <x v="1"/>
    <s v="60-70"/>
    <x v="1"/>
    <x v="126"/>
    <x v="1"/>
    <x v="1"/>
    <x v="3"/>
    <x v="1"/>
    <x v="0"/>
    <x v="0"/>
    <s v="March"/>
  </r>
  <r>
    <s v="2.30345E+11"/>
    <n v="221204167"/>
    <d v="2023-03-13T00:00:00"/>
    <s v="22:55:56.156Z"/>
    <n v="2319"/>
    <d v="1997-01-29T00:00:00"/>
    <n v="70"/>
    <n v="60"/>
    <x v="134"/>
    <x v="152"/>
    <x v="494"/>
    <s v="No"/>
    <s v="Yes"/>
    <n v="26"/>
    <s v="60-75"/>
    <x v="6"/>
    <x v="0"/>
    <n v="467"/>
    <x v="143"/>
    <x v="0"/>
    <s v="Pass"/>
    <x v="0"/>
    <s v="B"/>
    <x v="1"/>
    <s v="50-60"/>
    <x v="0"/>
    <x v="0"/>
    <x v="0"/>
    <x v="0"/>
    <x v="3"/>
    <x v="0"/>
    <x v="1"/>
    <x v="0"/>
    <s v="March"/>
  </r>
  <r>
    <s v="2.30345E+11"/>
    <n v="230100621"/>
    <d v="2023-03-09T00:00:00"/>
    <s v="00:08:45.737Z"/>
    <n v="2082"/>
    <d v="1999-04-07T00:00:00"/>
    <n v="91.2"/>
    <n v="79.23"/>
    <x v="0"/>
    <x v="390"/>
    <x v="495"/>
    <s v="No"/>
    <s v="No"/>
    <n v="23"/>
    <s v="60-75"/>
    <x v="3"/>
    <x v="0"/>
    <n v="533"/>
    <x v="58"/>
    <x v="1"/>
    <s v="Pass"/>
    <x v="1"/>
    <s v="B"/>
    <x v="1"/>
    <s v="60-70"/>
    <x v="1"/>
    <x v="36"/>
    <x v="1"/>
    <x v="1"/>
    <x v="3"/>
    <x v="0"/>
    <x v="0"/>
    <x v="0"/>
    <s v="March"/>
  </r>
  <r>
    <s v="2.30345E+11"/>
    <n v="230104502"/>
    <d v="2023-03-10T00:00:00"/>
    <s v="20:29:30.895Z"/>
    <n v="1462"/>
    <d v="1997-09-04T00:00:00"/>
    <n v="87.45"/>
    <n v="73.38"/>
    <x v="0"/>
    <x v="391"/>
    <x v="496"/>
    <s v="No"/>
    <s v="Yes"/>
    <n v="25"/>
    <s v="60-75"/>
    <x v="4"/>
    <x v="0"/>
    <n v="516"/>
    <x v="204"/>
    <x v="2"/>
    <s v="Pass"/>
    <x v="2"/>
    <s v="C"/>
    <x v="1"/>
    <s v="60-70"/>
    <x v="0"/>
    <x v="0"/>
    <x v="0"/>
    <x v="0"/>
    <x v="3"/>
    <x v="1"/>
    <x v="0"/>
    <x v="0"/>
    <s v="March"/>
  </r>
  <r>
    <s v="2.30345E+11"/>
    <n v="221205120"/>
    <d v="2023-03-10T00:00:00"/>
    <s v="20:00:52.272Z"/>
    <n v="2718"/>
    <d v="1999-03-05T00:00:00"/>
    <n v="85"/>
    <n v="73.540000000000006"/>
    <x v="0"/>
    <x v="392"/>
    <x v="497"/>
    <s v="No"/>
    <s v="Yes"/>
    <n v="24"/>
    <s v="60-75"/>
    <x v="5"/>
    <x v="1"/>
    <n v="524"/>
    <x v="289"/>
    <x v="2"/>
    <s v="Pass"/>
    <x v="2"/>
    <s v="A"/>
    <x v="1"/>
    <s v="60-70"/>
    <x v="0"/>
    <x v="0"/>
    <x v="0"/>
    <x v="0"/>
    <x v="3"/>
    <x v="0"/>
    <x v="0"/>
    <x v="0"/>
    <s v="March"/>
  </r>
  <r>
    <s v="2.30345E+11"/>
    <n v="230107356"/>
    <d v="2023-03-10T00:00:00"/>
    <s v="20:11:58.736Z"/>
    <n v="2503"/>
    <d v="1995-10-26T00:00:00"/>
    <n v="86.36"/>
    <n v="55"/>
    <x v="0"/>
    <x v="393"/>
    <x v="498"/>
    <s v="No"/>
    <s v="Yes"/>
    <n v="27"/>
    <s v="60-75"/>
    <x v="3"/>
    <x v="4"/>
    <n v="457"/>
    <x v="155"/>
    <x v="2"/>
    <s v="Pass"/>
    <x v="2"/>
    <s v="C"/>
    <x v="1"/>
    <s v="50-60"/>
    <x v="0"/>
    <x v="0"/>
    <x v="0"/>
    <x v="0"/>
    <x v="3"/>
    <x v="0"/>
    <x v="1"/>
    <x v="0"/>
    <s v="March"/>
  </r>
  <r>
    <s v="2.30345E+11"/>
    <n v="221203134"/>
    <d v="2023-03-11T00:00:00"/>
    <s v="10:58:34.658Z"/>
    <n v="2542"/>
    <d v="1999-06-05T00:00:00"/>
    <n v="62.4"/>
    <s v="Other"/>
    <x v="135"/>
    <x v="394"/>
    <x v="499"/>
    <s v="No"/>
    <s v="Yes"/>
    <n v="23"/>
    <s v="60-75"/>
    <x v="4"/>
    <x v="0"/>
    <n v="520"/>
    <x v="93"/>
    <x v="0"/>
    <s v="Pass"/>
    <x v="0"/>
    <s v="C"/>
    <x v="1"/>
    <s v="60-70"/>
    <x v="0"/>
    <x v="0"/>
    <x v="0"/>
    <x v="0"/>
    <x v="3"/>
    <x v="0"/>
    <x v="0"/>
    <x v="0"/>
    <s v="March"/>
  </r>
  <r>
    <s v="2.30345E+11"/>
    <n v="221204727"/>
    <d v="2023-03-13T00:00:00"/>
    <s v="13:24:35.448Z"/>
    <n v="2646"/>
    <d v="2000-09-26T00:00:00"/>
    <n v="86.4"/>
    <n v="72.77"/>
    <x v="0"/>
    <x v="395"/>
    <x v="500"/>
    <s v="No"/>
    <s v="Yes"/>
    <n v="22"/>
    <s v="60-75"/>
    <x v="4"/>
    <x v="0"/>
    <n v="526"/>
    <x v="61"/>
    <x v="1"/>
    <s v="Pass"/>
    <x v="1"/>
    <s v="A"/>
    <x v="1"/>
    <s v="60-70"/>
    <x v="0"/>
    <x v="0"/>
    <x v="0"/>
    <x v="0"/>
    <x v="3"/>
    <x v="0"/>
    <x v="2"/>
    <x v="0"/>
    <s v="March"/>
  </r>
  <r>
    <s v="2.30345E+11"/>
    <n v="230102377"/>
    <d v="2023-03-12T00:00:00"/>
    <s v="20:01:13.593Z"/>
    <n v="2678"/>
    <d v="2000-02-12T00:00:00"/>
    <n v="90"/>
    <n v="68.62"/>
    <x v="0"/>
    <x v="396"/>
    <x v="501"/>
    <s v="No"/>
    <s v="No"/>
    <n v="23"/>
    <s v="60-75"/>
    <x v="6"/>
    <x v="0"/>
    <n v="539"/>
    <x v="123"/>
    <x v="2"/>
    <s v="Pass"/>
    <x v="2"/>
    <s v="B"/>
    <x v="1"/>
    <s v="60-70"/>
    <x v="1"/>
    <x v="126"/>
    <x v="1"/>
    <x v="1"/>
    <x v="3"/>
    <x v="0"/>
    <x v="0"/>
    <x v="0"/>
    <s v="March"/>
  </r>
  <r>
    <s v="2.30345E+11"/>
    <n v="221204629"/>
    <d v="2023-03-10T00:00:00"/>
    <s v="14:05:36.727Z"/>
    <n v="1148"/>
    <d v="1998-05-24T00:00:00"/>
    <n v="66"/>
    <n v="53.85"/>
    <x v="0"/>
    <x v="230"/>
    <x v="502"/>
    <s v="No"/>
    <s v="No"/>
    <n v="24"/>
    <s v="60-75"/>
    <x v="4"/>
    <x v="0"/>
    <n v="521"/>
    <x v="2"/>
    <x v="1"/>
    <s v="Pass"/>
    <x v="1"/>
    <s v="B"/>
    <x v="1"/>
    <s v="60-70"/>
    <x v="1"/>
    <x v="127"/>
    <x v="1"/>
    <x v="1"/>
    <x v="3"/>
    <x v="1"/>
    <x v="0"/>
    <x v="0"/>
    <s v="March"/>
  </r>
  <r>
    <s v="2.30345E+11"/>
    <n v="221207382"/>
    <d v="2023-03-10T00:00:00"/>
    <s v="18:48:25.503Z"/>
    <n v="1881"/>
    <d v="2000-10-08T00:00:00"/>
    <n v="93.4"/>
    <n v="77.849999999999994"/>
    <x v="0"/>
    <x v="373"/>
    <x v="503"/>
    <s v="No"/>
    <s v="Yes"/>
    <n v="22"/>
    <s v="100-75"/>
    <x v="1"/>
    <x v="1"/>
    <n v="507"/>
    <x v="153"/>
    <x v="2"/>
    <s v="Pass"/>
    <x v="2"/>
    <s v="C"/>
    <x v="1"/>
    <s v="60-70"/>
    <x v="1"/>
    <x v="128"/>
    <x v="1"/>
    <x v="1"/>
    <x v="3"/>
    <x v="1"/>
    <x v="2"/>
    <x v="0"/>
    <s v="March"/>
  </r>
  <r>
    <s v="2.30345E+11"/>
    <n v="221201874"/>
    <d v="2023-03-10T00:00:00"/>
    <s v="20:20:25.158Z"/>
    <n v="2439"/>
    <d v="1998-10-04T00:00:00"/>
    <n v="90"/>
    <s v="Other"/>
    <x v="136"/>
    <x v="373"/>
    <x v="504"/>
    <s v="No"/>
    <s v="Yes"/>
    <n v="24"/>
    <s v="100-75"/>
    <x v="6"/>
    <x v="1"/>
    <n v="534"/>
    <x v="163"/>
    <x v="0"/>
    <s v="Pass"/>
    <x v="0"/>
    <s v="C"/>
    <x v="1"/>
    <s v="60-70"/>
    <x v="1"/>
    <x v="129"/>
    <x v="1"/>
    <x v="1"/>
    <x v="3"/>
    <x v="0"/>
    <x v="0"/>
    <x v="0"/>
    <s v="March"/>
  </r>
  <r>
    <s v="2.30345E+11"/>
    <n v="221200074"/>
    <d v="2023-03-14T00:00:00"/>
    <s v="10:27:33.262Z"/>
    <n v="2589"/>
    <d v="2001-03-14T00:00:00"/>
    <n v="78.2"/>
    <s v="Other"/>
    <x v="137"/>
    <x v="397"/>
    <x v="505"/>
    <s v="No"/>
    <s v="No"/>
    <n v="22"/>
    <s v="100-75"/>
    <x v="4"/>
    <x v="0"/>
    <n v="590"/>
    <x v="323"/>
    <x v="1"/>
    <s v="Pass"/>
    <x v="1"/>
    <s v="A"/>
    <x v="1"/>
    <s v="70-85"/>
    <x v="1"/>
    <x v="28"/>
    <x v="1"/>
    <x v="1"/>
    <x v="3"/>
    <x v="0"/>
    <x v="2"/>
    <x v="0"/>
    <s v="March"/>
  </r>
  <r>
    <s v="2.30345E+11"/>
    <n v="221205327"/>
    <d v="2023-03-10T00:00:00"/>
    <s v="22:53:34.469Z"/>
    <n v="2491"/>
    <d v="1997-07-08T00:00:00"/>
    <n v="88.8"/>
    <n v="77.69"/>
    <x v="0"/>
    <x v="27"/>
    <x v="206"/>
    <s v="No"/>
    <s v="No"/>
    <n v="25"/>
    <s v="60-75"/>
    <x v="3"/>
    <x v="1"/>
    <n v="505"/>
    <x v="88"/>
    <x v="1"/>
    <s v="Pass"/>
    <x v="1"/>
    <s v="C"/>
    <x v="1"/>
    <s v="60-70"/>
    <x v="1"/>
    <x v="130"/>
    <x v="1"/>
    <x v="1"/>
    <x v="3"/>
    <x v="0"/>
    <x v="0"/>
    <x v="0"/>
    <s v="March"/>
  </r>
  <r>
    <s v="2.30345E+11"/>
    <n v="230107038"/>
    <d v="2023-03-14T00:00:00"/>
    <s v="10:44:18.520Z"/>
    <n v="1447"/>
    <d v="1998-10-27T00:00:00"/>
    <n v="78"/>
    <n v="67.08"/>
    <x v="138"/>
    <x v="398"/>
    <x v="506"/>
    <s v="No"/>
    <s v="No"/>
    <n v="24"/>
    <s v="60-75"/>
    <x v="4"/>
    <x v="0"/>
    <n v="421"/>
    <x v="337"/>
    <x v="2"/>
    <s v="Fail"/>
    <x v="2"/>
    <s v="C"/>
    <x v="1"/>
    <s v="50-60"/>
    <x v="0"/>
    <x v="0"/>
    <x v="0"/>
    <x v="0"/>
    <x v="3"/>
    <x v="1"/>
    <x v="0"/>
    <x v="0"/>
    <s v="March"/>
  </r>
  <r>
    <s v="2.30345E+11"/>
    <n v="230102491"/>
    <d v="2023-03-10T00:00:00"/>
    <s v="21:32:35.378Z"/>
    <n v="1282"/>
    <d v="2001-02-09T00:00:00"/>
    <n v="89.8"/>
    <n v="80.31"/>
    <x v="0"/>
    <x v="399"/>
    <x v="507"/>
    <s v="No"/>
    <s v="No"/>
    <n v="22"/>
    <s v="100-75"/>
    <x v="3"/>
    <x v="0"/>
    <n v="558"/>
    <x v="23"/>
    <x v="2"/>
    <s v="Pass"/>
    <x v="2"/>
    <s v="B"/>
    <x v="1"/>
    <s v="60-70"/>
    <x v="1"/>
    <x v="41"/>
    <x v="1"/>
    <x v="1"/>
    <x v="3"/>
    <x v="1"/>
    <x v="2"/>
    <x v="0"/>
    <s v="March"/>
  </r>
  <r>
    <s v="2.30345E+11"/>
    <n v="230107161"/>
    <d v="2023-03-10T00:00:00"/>
    <s v="19:39:11.835Z"/>
    <n v="814"/>
    <d v="1999-12-17T00:00:00"/>
    <n v="94.8"/>
    <n v="78.62"/>
    <x v="0"/>
    <x v="400"/>
    <x v="508"/>
    <s v="No"/>
    <s v="No"/>
    <n v="23"/>
    <s v="60-75"/>
    <x v="1"/>
    <x v="0"/>
    <n v="660"/>
    <x v="67"/>
    <x v="1"/>
    <s v="Pass"/>
    <x v="1"/>
    <s v="A"/>
    <x v="1"/>
    <s v="70-85"/>
    <x v="1"/>
    <x v="31"/>
    <x v="1"/>
    <x v="1"/>
    <x v="3"/>
    <x v="3"/>
    <x v="0"/>
    <x v="0"/>
    <s v="March"/>
  </r>
  <r>
    <s v="2.30345E+11"/>
    <n v="230103336"/>
    <d v="2023-03-15T00:00:00"/>
    <s v="10:43:44.228Z"/>
    <n v="1996"/>
    <d v="1996-10-10T00:00:00"/>
    <n v="80"/>
    <n v="74.150000000000006"/>
    <x v="0"/>
    <x v="401"/>
    <x v="454"/>
    <s v="No"/>
    <s v="No"/>
    <n v="26"/>
    <s v="60-75"/>
    <x v="4"/>
    <x v="0"/>
    <n v="532"/>
    <x v="65"/>
    <x v="1"/>
    <s v="Pass"/>
    <x v="1"/>
    <s v="C"/>
    <x v="1"/>
    <s v="60-70"/>
    <x v="1"/>
    <x v="125"/>
    <x v="1"/>
    <x v="1"/>
    <x v="3"/>
    <x v="1"/>
    <x v="1"/>
    <x v="0"/>
    <s v="March"/>
  </r>
  <r>
    <s v="2.30345E+11"/>
    <n v="221202200"/>
    <d v="2023-03-10T00:00:00"/>
    <s v="14:07:26.595Z"/>
    <n v="2106"/>
    <d v="1997-05-19T00:00:00"/>
    <n v="90.2"/>
    <n v="73.84"/>
    <x v="0"/>
    <x v="179"/>
    <x v="319"/>
    <s v="No"/>
    <s v="No"/>
    <n v="25"/>
    <s v="60-75"/>
    <x v="4"/>
    <x v="0"/>
    <n v="518"/>
    <x v="28"/>
    <x v="0"/>
    <s v="Pass"/>
    <x v="0"/>
    <s v="B"/>
    <x v="1"/>
    <s v="60-70"/>
    <x v="1"/>
    <x v="123"/>
    <x v="1"/>
    <x v="1"/>
    <x v="3"/>
    <x v="0"/>
    <x v="0"/>
    <x v="0"/>
    <s v="March"/>
  </r>
  <r>
    <s v="2.30345E+11"/>
    <n v="221201427"/>
    <d v="2023-03-13T00:00:00"/>
    <s v="15:47:24.628Z"/>
    <n v="2129"/>
    <d v="1999-05-06T00:00:00"/>
    <n v="74"/>
    <n v="63"/>
    <x v="0"/>
    <x v="402"/>
    <x v="509"/>
    <s v="No"/>
    <s v="No"/>
    <n v="23"/>
    <s v="60-75"/>
    <x v="2"/>
    <x v="1"/>
    <n v="395"/>
    <x v="192"/>
    <x v="1"/>
    <s v="Pass"/>
    <x v="1"/>
    <s v="C"/>
    <x v="1"/>
    <s v="40-50"/>
    <x v="0"/>
    <x v="0"/>
    <x v="0"/>
    <x v="0"/>
    <x v="3"/>
    <x v="0"/>
    <x v="0"/>
    <x v="0"/>
    <s v="March"/>
  </r>
  <r>
    <s v="2.30345E+11"/>
    <n v="230109093"/>
    <d v="2023-03-10T00:00:00"/>
    <s v="23:54:00.391Z"/>
    <n v="2190"/>
    <d v="1997-04-16T00:00:00"/>
    <n v="83.09"/>
    <n v="63.54"/>
    <x v="0"/>
    <x v="403"/>
    <x v="510"/>
    <s v="No"/>
    <s v="Yes"/>
    <n v="25"/>
    <s v="60-75"/>
    <x v="4"/>
    <x v="0"/>
    <n v="474"/>
    <x v="6"/>
    <x v="0"/>
    <s v="Pass"/>
    <x v="0"/>
    <s v="C"/>
    <x v="1"/>
    <s v="50-60"/>
    <x v="1"/>
    <x v="131"/>
    <x v="1"/>
    <x v="1"/>
    <x v="3"/>
    <x v="0"/>
    <x v="0"/>
    <x v="0"/>
    <s v="March"/>
  </r>
  <r>
    <s v="2.30345E+11"/>
    <n v="221206410"/>
    <d v="2023-03-10T00:00:00"/>
    <s v="14:06:26.230Z"/>
    <n v="2577"/>
    <d v="1998-11-22T00:00:00"/>
    <n v="80"/>
    <n v="66.77"/>
    <x v="0"/>
    <x v="404"/>
    <x v="511"/>
    <s v="No"/>
    <s v="No"/>
    <n v="24"/>
    <s v="60-75"/>
    <x v="0"/>
    <x v="0"/>
    <n v="609"/>
    <x v="167"/>
    <x v="1"/>
    <s v="Pass"/>
    <x v="1"/>
    <s v="A"/>
    <x v="1"/>
    <s v="70-85"/>
    <x v="1"/>
    <x v="126"/>
    <x v="1"/>
    <x v="1"/>
    <x v="3"/>
    <x v="0"/>
    <x v="0"/>
    <x v="0"/>
    <s v="March"/>
  </r>
  <r>
    <s v="2.30345E+11"/>
    <n v="230107188"/>
    <d v="2023-03-14T00:00:00"/>
    <s v="22:01:15.566Z"/>
    <n v="1692"/>
    <d v="1998-05-27T00:00:00"/>
    <n v="65.8"/>
    <n v="49.08"/>
    <x v="0"/>
    <x v="405"/>
    <x v="512"/>
    <s v="Yes"/>
    <s v="Yes"/>
    <n v="24"/>
    <s v="60-75"/>
    <x v="3"/>
    <x v="3"/>
    <n v="444"/>
    <x v="291"/>
    <x v="0"/>
    <s v="Pass"/>
    <x v="0"/>
    <s v="B"/>
    <x v="1"/>
    <s v="50-60"/>
    <x v="1"/>
    <x v="125"/>
    <x v="1"/>
    <x v="1"/>
    <x v="3"/>
    <x v="1"/>
    <x v="0"/>
    <x v="0"/>
    <s v="March"/>
  </r>
  <r>
    <s v="2.30345E+11"/>
    <n v="230104532"/>
    <d v="2023-03-10T00:00:00"/>
    <s v="20:28:59.434Z"/>
    <n v="617"/>
    <d v="1998-06-17T00:00:00"/>
    <n v="90.55"/>
    <n v="69.69"/>
    <x v="0"/>
    <x v="10"/>
    <x v="513"/>
    <s v="No"/>
    <s v="No"/>
    <n v="24"/>
    <s v="60-75"/>
    <x v="4"/>
    <x v="0"/>
    <n v="664"/>
    <x v="338"/>
    <x v="1"/>
    <s v="Pass"/>
    <x v="1"/>
    <s v="A"/>
    <x v="1"/>
    <s v="70-85"/>
    <x v="1"/>
    <x v="31"/>
    <x v="1"/>
    <x v="1"/>
    <x v="3"/>
    <x v="3"/>
    <x v="0"/>
    <x v="0"/>
    <s v="March"/>
  </r>
  <r>
    <s v="2.30345E+11"/>
    <n v="221206375"/>
    <d v="2023-03-10T00:00:00"/>
    <s v="14:38:20.424Z"/>
    <n v="2391"/>
    <d v="1995-01-23T00:00:00"/>
    <n v="88"/>
    <s v="Other"/>
    <x v="0"/>
    <x v="168"/>
    <x v="514"/>
    <s v="No"/>
    <s v="No"/>
    <n v="28"/>
    <s v="60-75"/>
    <x v="3"/>
    <x v="0"/>
    <n v="209"/>
    <x v="339"/>
    <x v="5"/>
    <s v="Fail"/>
    <x v="5"/>
    <s v="Absent"/>
    <x v="1"/>
    <s v="Fail"/>
    <x v="0"/>
    <x v="0"/>
    <x v="0"/>
    <x v="0"/>
    <x v="3"/>
    <x v="0"/>
    <x v="1"/>
    <x v="0"/>
    <s v="March"/>
  </r>
  <r>
    <s v="2.30345E+11"/>
    <n v="221201395"/>
    <d v="2023-03-12T00:00:00"/>
    <s v="14:06:19.165Z"/>
    <n v="2594"/>
    <d v="1998-03-18T00:00:00"/>
    <n v="82.8"/>
    <n v="60.15"/>
    <x v="0"/>
    <x v="406"/>
    <x v="515"/>
    <s v="No"/>
    <s v="Yes"/>
    <n v="24"/>
    <s v="100-75"/>
    <x v="4"/>
    <x v="1"/>
    <n v="489"/>
    <x v="69"/>
    <x v="0"/>
    <s v="Pass"/>
    <x v="0"/>
    <s v="A"/>
    <x v="1"/>
    <s v="60-70"/>
    <x v="1"/>
    <x v="125"/>
    <x v="1"/>
    <x v="1"/>
    <x v="3"/>
    <x v="0"/>
    <x v="0"/>
    <x v="0"/>
    <s v="March"/>
  </r>
  <r>
    <s v="2.30345E+11"/>
    <n v="221207871"/>
    <d v="2023-03-10T00:00:00"/>
    <s v="21:53:07.996Z"/>
    <n v="2141"/>
    <d v="1999-08-31T00:00:00"/>
    <n v="86"/>
    <n v="66.62"/>
    <x v="0"/>
    <x v="407"/>
    <x v="516"/>
    <s v="No"/>
    <s v="Yes"/>
    <n v="23"/>
    <s v="60-75"/>
    <x v="5"/>
    <x v="0"/>
    <n v="493"/>
    <x v="48"/>
    <x v="0"/>
    <s v="Pass"/>
    <x v="0"/>
    <s v="B"/>
    <x v="1"/>
    <s v="60-70"/>
    <x v="0"/>
    <x v="0"/>
    <x v="0"/>
    <x v="0"/>
    <x v="3"/>
    <x v="0"/>
    <x v="0"/>
    <x v="0"/>
    <s v="March"/>
  </r>
  <r>
    <s v="2.30345E+11"/>
    <n v="230101111"/>
    <d v="2023-03-10T00:00:00"/>
    <s v="16:41:03.666Z"/>
    <n v="2091"/>
    <d v="2000-12-12T00:00:00"/>
    <n v="94.6"/>
    <n v="83"/>
    <x v="0"/>
    <x v="408"/>
    <x v="517"/>
    <s v="No"/>
    <s v="No"/>
    <n v="22"/>
    <s v="100-75"/>
    <x v="4"/>
    <x v="0"/>
    <n v="519"/>
    <x v="325"/>
    <x v="1"/>
    <s v="Pass"/>
    <x v="1"/>
    <s v="B"/>
    <x v="1"/>
    <s v="60-70"/>
    <x v="1"/>
    <x v="125"/>
    <x v="1"/>
    <x v="1"/>
    <x v="3"/>
    <x v="0"/>
    <x v="2"/>
    <x v="0"/>
    <s v="March"/>
  </r>
  <r>
    <s v="2.30345E+11"/>
    <n v="221204315"/>
    <d v="2023-03-10T00:00:00"/>
    <s v="23:02:57.457Z"/>
    <n v="2480"/>
    <d v="1999-08-30T00:00:00"/>
    <n v="91"/>
    <n v="83.8"/>
    <x v="0"/>
    <x v="122"/>
    <x v="518"/>
    <s v="No"/>
    <s v="No"/>
    <n v="23"/>
    <s v="100-75"/>
    <x v="6"/>
    <x v="1"/>
    <n v="511"/>
    <x v="340"/>
    <x v="1"/>
    <s v="Pass"/>
    <x v="1"/>
    <s v="B"/>
    <x v="1"/>
    <s v="60-70"/>
    <x v="1"/>
    <x v="125"/>
    <x v="1"/>
    <x v="1"/>
    <x v="3"/>
    <x v="0"/>
    <x v="0"/>
    <x v="0"/>
    <s v="March"/>
  </r>
  <r>
    <s v="2.30345E+11"/>
    <n v="221202427"/>
    <d v="2023-03-10T00:00:00"/>
    <s v="08:05:15.290Z"/>
    <n v="1836"/>
    <d v="1999-02-06T00:00:00"/>
    <n v="85.2"/>
    <n v="63.23"/>
    <x v="0"/>
    <x v="409"/>
    <x v="519"/>
    <s v="No"/>
    <s v="No"/>
    <n v="24"/>
    <s v="45-60"/>
    <x v="4"/>
    <x v="1"/>
    <n v="467"/>
    <x v="143"/>
    <x v="1"/>
    <s v="Pass"/>
    <x v="1"/>
    <s v="B"/>
    <x v="1"/>
    <s v="50-60"/>
    <x v="0"/>
    <x v="0"/>
    <x v="0"/>
    <x v="0"/>
    <x v="3"/>
    <x v="1"/>
    <x v="0"/>
    <x v="0"/>
    <s v="March"/>
  </r>
  <r>
    <s v="2.30345E+11"/>
    <n v="221207641"/>
    <d v="2023-03-10T00:00:00"/>
    <s v="21:53:17.217Z"/>
    <n v="2403"/>
    <d v="2000-01-13T00:00:00"/>
    <n v="93"/>
    <n v="79.69"/>
    <x v="0"/>
    <x v="410"/>
    <x v="520"/>
    <s v="No"/>
    <s v="Yes"/>
    <n v="23"/>
    <s v="60-75"/>
    <x v="4"/>
    <x v="0"/>
    <n v="492"/>
    <x v="277"/>
    <x v="2"/>
    <s v="Pass"/>
    <x v="2"/>
    <s v="B"/>
    <x v="1"/>
    <s v="60-70"/>
    <x v="0"/>
    <x v="0"/>
    <x v="0"/>
    <x v="0"/>
    <x v="3"/>
    <x v="0"/>
    <x v="0"/>
    <x v="0"/>
    <s v="March"/>
  </r>
  <r>
    <s v="2.30345E+11"/>
    <n v="230108154"/>
    <d v="2023-03-11T00:00:00"/>
    <s v="11:02:44.319Z"/>
    <n v="1797"/>
    <d v="2001-06-14T00:00:00"/>
    <n v="75.400000000000006"/>
    <n v="58.15"/>
    <x v="0"/>
    <x v="411"/>
    <x v="521"/>
    <s v="No"/>
    <s v="No"/>
    <n v="21"/>
    <s v="0-35"/>
    <x v="3"/>
    <x v="0"/>
    <n v="484"/>
    <x v="298"/>
    <x v="0"/>
    <s v="Pass"/>
    <x v="0"/>
    <s v="B"/>
    <x v="1"/>
    <s v="60-70"/>
    <x v="0"/>
    <x v="0"/>
    <x v="0"/>
    <x v="0"/>
    <x v="3"/>
    <x v="1"/>
    <x v="2"/>
    <x v="0"/>
    <s v="March"/>
  </r>
  <r>
    <s v="2.30345E+11"/>
    <n v="230106203"/>
    <d v="2023-03-11T00:00:00"/>
    <s v="13:42:43.121Z"/>
    <n v="2118"/>
    <d v="1999-03-27T00:00:00"/>
    <n v="79.599999999999994"/>
    <n v="71"/>
    <x v="0"/>
    <x v="412"/>
    <x v="371"/>
    <s v="No"/>
    <s v="No"/>
    <n v="23"/>
    <s v="60-75"/>
    <x v="6"/>
    <x v="1"/>
    <n v="594"/>
    <x v="128"/>
    <x v="2"/>
    <s v="Pass"/>
    <x v="2"/>
    <s v="A"/>
    <x v="1"/>
    <s v="70-85"/>
    <x v="1"/>
    <x v="41"/>
    <x v="1"/>
    <x v="1"/>
    <x v="3"/>
    <x v="0"/>
    <x v="0"/>
    <x v="0"/>
    <s v="March"/>
  </r>
  <r>
    <s v="2.30345E+11"/>
    <n v="221206985"/>
    <d v="2023-03-15T00:00:00"/>
    <s v="18:20:11.884Z"/>
    <n v="2214"/>
    <d v="2000-04-18T00:00:00"/>
    <n v="76.599999999999994"/>
    <s v="Other"/>
    <x v="139"/>
    <x v="413"/>
    <x v="522"/>
    <s v="No"/>
    <s v="No"/>
    <n v="22"/>
    <s v="100-75"/>
    <x v="4"/>
    <x v="1"/>
    <n v="447"/>
    <x v="159"/>
    <x v="0"/>
    <s v="Pass"/>
    <x v="0"/>
    <s v="A"/>
    <x v="1"/>
    <s v="50-60"/>
    <x v="0"/>
    <x v="0"/>
    <x v="0"/>
    <x v="0"/>
    <x v="3"/>
    <x v="0"/>
    <x v="2"/>
    <x v="0"/>
    <s v="March"/>
  </r>
  <r>
    <s v="2.30345E+11"/>
    <n v="221202049"/>
    <d v="2023-03-16T00:00:00"/>
    <s v="18:10:17.086Z"/>
    <n v="2635"/>
    <d v="1997-04-04T00:00:00"/>
    <n v="69.27"/>
    <n v="48.62"/>
    <x v="140"/>
    <x v="414"/>
    <x v="523"/>
    <s v="No"/>
    <s v="Yes"/>
    <n v="25"/>
    <s v="100-75"/>
    <x v="4"/>
    <x v="1"/>
    <n v="435"/>
    <x v="341"/>
    <x v="0"/>
    <s v="Pass"/>
    <x v="0"/>
    <s v="B"/>
    <x v="1"/>
    <s v="50-60"/>
    <x v="0"/>
    <x v="0"/>
    <x v="0"/>
    <x v="0"/>
    <x v="3"/>
    <x v="0"/>
    <x v="0"/>
    <x v="0"/>
    <s v="March"/>
  </r>
  <r>
    <s v="2.30345E+11"/>
    <n v="221202962"/>
    <d v="2023-03-10T00:00:00"/>
    <s v="20:52:03.124Z"/>
    <n v="2472"/>
    <d v="1992-10-09T00:00:00"/>
    <n v="72.92"/>
    <n v="53.33"/>
    <x v="0"/>
    <x v="415"/>
    <x v="524"/>
    <s v="No"/>
    <s v="Yes"/>
    <n v="30"/>
    <s v="45-60"/>
    <x v="1"/>
    <x v="0"/>
    <n v="434"/>
    <x v="176"/>
    <x v="2"/>
    <s v="Pass"/>
    <x v="2"/>
    <s v="C"/>
    <x v="1"/>
    <s v="50-60"/>
    <x v="0"/>
    <x v="0"/>
    <x v="0"/>
    <x v="0"/>
    <x v="3"/>
    <x v="0"/>
    <x v="4"/>
    <x v="0"/>
    <s v="March"/>
  </r>
  <r>
    <s v="2.30345E+11"/>
    <n v="221200410"/>
    <d v="2023-03-10T00:00:00"/>
    <s v="21:46:09.043Z"/>
    <n v="1115"/>
    <d v="2000-03-04T00:00:00"/>
    <n v="93.4"/>
    <n v="80.8"/>
    <x v="0"/>
    <x v="416"/>
    <x v="525"/>
    <s v="Yes"/>
    <s v="No"/>
    <n v="23"/>
    <s v="100-75"/>
    <x v="5"/>
    <x v="3"/>
    <n v="621"/>
    <x v="342"/>
    <x v="1"/>
    <s v="Pass"/>
    <x v="1"/>
    <s v="A"/>
    <x v="1"/>
    <s v="70-85"/>
    <x v="1"/>
    <x v="31"/>
    <x v="1"/>
    <x v="1"/>
    <x v="3"/>
    <x v="1"/>
    <x v="0"/>
    <x v="0"/>
    <s v="March"/>
  </r>
  <r>
    <s v="2.30345E+11"/>
    <n v="221201200"/>
    <d v="2023-03-13T00:00:00"/>
    <s v="06:47:32.648Z"/>
    <n v="1802"/>
    <d v="2000-06-07T00:00:00"/>
    <n v="75"/>
    <s v="Other"/>
    <x v="141"/>
    <x v="417"/>
    <x v="526"/>
    <s v="No"/>
    <s v="Yes"/>
    <n v="22"/>
    <s v="100-75"/>
    <x v="2"/>
    <x v="0"/>
    <n v="430"/>
    <x v="165"/>
    <x v="2"/>
    <s v="Pass"/>
    <x v="2"/>
    <s v="B"/>
    <x v="1"/>
    <s v="50-60"/>
    <x v="0"/>
    <x v="0"/>
    <x v="0"/>
    <x v="0"/>
    <x v="3"/>
    <x v="1"/>
    <x v="2"/>
    <x v="0"/>
    <s v="March"/>
  </r>
  <r>
    <s v="2.30345E+11"/>
    <n v="221201392"/>
    <d v="2023-03-11T00:00:00"/>
    <s v="11:03:28.583Z"/>
    <n v="2064"/>
    <d v="2000-05-28T00:00:00"/>
    <n v="88"/>
    <n v="81"/>
    <x v="0"/>
    <x v="418"/>
    <x v="527"/>
    <s v="No"/>
    <s v="No"/>
    <n v="22"/>
    <s v="100-75"/>
    <x v="0"/>
    <x v="0"/>
    <n v="593"/>
    <x v="343"/>
    <x v="1"/>
    <s v="Pass"/>
    <x v="1"/>
    <s v="A"/>
    <x v="1"/>
    <s v="70-85"/>
    <x v="1"/>
    <x v="71"/>
    <x v="1"/>
    <x v="1"/>
    <x v="3"/>
    <x v="0"/>
    <x v="2"/>
    <x v="0"/>
    <s v="March"/>
  </r>
  <r>
    <s v="2.30345E+11"/>
    <n v="230107830"/>
    <d v="2023-03-10T00:00:00"/>
    <s v="15:36:28.549Z"/>
    <n v="1952"/>
    <d v="1999-03-03T00:00:00"/>
    <n v="80.599999999999994"/>
    <n v="55.23"/>
    <x v="0"/>
    <x v="419"/>
    <x v="528"/>
    <s v="No"/>
    <s v="No"/>
    <n v="24"/>
    <s v="60-75"/>
    <x v="1"/>
    <x v="0"/>
    <n v="573"/>
    <x v="12"/>
    <x v="1"/>
    <s v="Pass"/>
    <x v="1"/>
    <s v="B"/>
    <x v="1"/>
    <s v="70-85"/>
    <x v="1"/>
    <x v="129"/>
    <x v="1"/>
    <x v="1"/>
    <x v="3"/>
    <x v="1"/>
    <x v="0"/>
    <x v="0"/>
    <s v="March"/>
  </r>
  <r>
    <s v="2.30345E+11"/>
    <n v="230105518"/>
    <d v="2023-03-14T00:00:00"/>
    <s v="10:33:11.387Z"/>
    <n v="1758"/>
    <d v="1997-11-22T00:00:00"/>
    <n v="77.599999999999994"/>
    <n v="60.46"/>
    <x v="0"/>
    <x v="420"/>
    <x v="529"/>
    <s v="No"/>
    <s v="Yes"/>
    <n v="25"/>
    <s v="45-60"/>
    <x v="4"/>
    <x v="0"/>
    <n v="538"/>
    <x v="25"/>
    <x v="2"/>
    <s v="Pass"/>
    <x v="2"/>
    <s v="B"/>
    <x v="1"/>
    <s v="60-70"/>
    <x v="1"/>
    <x v="125"/>
    <x v="1"/>
    <x v="1"/>
    <x v="3"/>
    <x v="1"/>
    <x v="0"/>
    <x v="0"/>
    <s v="March"/>
  </r>
  <r>
    <s v="2.30345E+11"/>
    <n v="221200041"/>
    <d v="2023-03-10T00:00:00"/>
    <s v="21:02:27.896Z"/>
    <n v="401"/>
    <d v="2000-06-17T00:00:00"/>
    <n v="91.6"/>
    <n v="79.540000000000006"/>
    <x v="0"/>
    <x v="421"/>
    <x v="530"/>
    <s v="No"/>
    <s v="Yes"/>
    <n v="22"/>
    <s v="100-75"/>
    <x v="4"/>
    <x v="0"/>
    <n v="654"/>
    <x v="344"/>
    <x v="1"/>
    <s v="Pass"/>
    <x v="1"/>
    <s v="A"/>
    <x v="1"/>
    <s v="70-85"/>
    <x v="1"/>
    <x v="31"/>
    <x v="1"/>
    <x v="1"/>
    <x v="3"/>
    <x v="3"/>
    <x v="2"/>
    <x v="0"/>
    <s v="March"/>
  </r>
  <r>
    <s v="2.20945E+11"/>
    <n v="220600924"/>
    <d v="2022-09-10T00:00:00"/>
    <s v="08:21:10.263Z"/>
    <n v="1763"/>
    <d v="1997-01-14T00:00:00"/>
    <n v="75.09"/>
    <s v="Other"/>
    <x v="142"/>
    <x v="422"/>
    <x v="531"/>
    <s v="No"/>
    <s v="Yes"/>
    <n v="25"/>
    <s v="60-75"/>
    <x v="1"/>
    <x v="0"/>
    <n v="424"/>
    <x v="26"/>
    <x v="0"/>
    <s v="Pass"/>
    <x v="0"/>
    <s v="B"/>
    <x v="0"/>
    <s v="50-60"/>
    <x v="0"/>
    <x v="0"/>
    <x v="0"/>
    <x v="0"/>
    <x v="4"/>
    <x v="1"/>
    <x v="0"/>
    <x v="1"/>
    <s v="Sept"/>
  </r>
  <r>
    <s v="2.20945E+11"/>
    <n v="220601233"/>
    <d v="2022-09-12T00:00:00"/>
    <s v="20:57:48.849Z"/>
    <n v="181"/>
    <d v="2000-07-12T00:00:00"/>
    <n v="89.2"/>
    <s v="Other"/>
    <x v="0"/>
    <x v="423"/>
    <x v="532"/>
    <s v="No"/>
    <s v="No"/>
    <n v="22"/>
    <s v="60-75"/>
    <x v="3"/>
    <x v="0"/>
    <n v="659"/>
    <x v="345"/>
    <x v="1"/>
    <s v="Pass"/>
    <x v="1"/>
    <s v="A"/>
    <x v="0"/>
    <s v="70-85"/>
    <x v="1"/>
    <x v="41"/>
    <x v="1"/>
    <x v="1"/>
    <x v="4"/>
    <x v="3"/>
    <x v="2"/>
    <x v="1"/>
    <s v="Sept"/>
  </r>
  <r>
    <s v="2.20945E+11"/>
    <n v="220600790"/>
    <d v="2022-09-09T00:00:00"/>
    <s v="11:17:28.796Z"/>
    <n v="1660"/>
    <d v="1999-06-09T00:00:00"/>
    <n v="89.9"/>
    <n v="61"/>
    <x v="0"/>
    <x v="271"/>
    <x v="533"/>
    <s v="No"/>
    <s v="No"/>
    <n v="23"/>
    <s v="100-75"/>
    <x v="1"/>
    <x v="1"/>
    <n v="490"/>
    <x v="312"/>
    <x v="2"/>
    <s v="Pass"/>
    <x v="2"/>
    <s v="B"/>
    <x v="0"/>
    <s v="60-70"/>
    <x v="0"/>
    <x v="0"/>
    <x v="0"/>
    <x v="0"/>
    <x v="4"/>
    <x v="1"/>
    <x v="0"/>
    <x v="1"/>
    <s v="Sept"/>
  </r>
  <r>
    <s v="2.20945E+11"/>
    <n v="220607126"/>
    <d v="2022-09-12T00:00:00"/>
    <s v="18:51:58.620Z"/>
    <n v="1647"/>
    <d v="1997-03-06T00:00:00"/>
    <n v="76"/>
    <s v="Other"/>
    <x v="0"/>
    <x v="166"/>
    <x v="534"/>
    <s v="No"/>
    <s v="No"/>
    <n v="25"/>
    <s v="60-75"/>
    <x v="2"/>
    <x v="0"/>
    <n v="500"/>
    <x v="156"/>
    <x v="1"/>
    <s v="Pass"/>
    <x v="1"/>
    <s v="B"/>
    <x v="0"/>
    <s v="60-70"/>
    <x v="2"/>
    <x v="3"/>
    <x v="1"/>
    <x v="1"/>
    <x v="4"/>
    <x v="1"/>
    <x v="0"/>
    <x v="1"/>
    <s v="Sept"/>
  </r>
  <r>
    <s v="2.20945E+11"/>
    <n v="220602926"/>
    <d v="2022-09-09T00:00:00"/>
    <s v="18:24:01.014Z"/>
    <n v="1639"/>
    <d v="1996-02-02T00:00:00"/>
    <n v="70.2"/>
    <n v="54.2"/>
    <x v="0"/>
    <x v="424"/>
    <x v="535"/>
    <s v="No"/>
    <s v="Yes"/>
    <n v="26"/>
    <s v="0-35"/>
    <x v="4"/>
    <x v="0"/>
    <n v="454"/>
    <x v="318"/>
    <x v="0"/>
    <s v="Pass"/>
    <x v="0"/>
    <s v="C"/>
    <x v="0"/>
    <s v="50-60"/>
    <x v="0"/>
    <x v="0"/>
    <x v="0"/>
    <x v="0"/>
    <x v="4"/>
    <x v="1"/>
    <x v="1"/>
    <x v="1"/>
    <s v="Sept"/>
  </r>
  <r>
    <s v="2.20945E+11"/>
    <n v="220606332"/>
    <d v="2022-09-10T00:00:00"/>
    <s v="18:38:38.542Z"/>
    <n v="1733"/>
    <d v="1997-02-26T00:00:00"/>
    <n v="69.959999999999994"/>
    <s v="Other"/>
    <x v="143"/>
    <x v="425"/>
    <x v="536"/>
    <s v="No"/>
    <s v="No"/>
    <n v="25"/>
    <s v="60-75"/>
    <x v="5"/>
    <x v="0"/>
    <n v="446"/>
    <x v="1"/>
    <x v="0"/>
    <s v="Pass"/>
    <x v="0"/>
    <s v="B"/>
    <x v="0"/>
    <s v="50-60"/>
    <x v="0"/>
    <x v="0"/>
    <x v="0"/>
    <x v="0"/>
    <x v="4"/>
    <x v="1"/>
    <x v="0"/>
    <x v="1"/>
    <s v="Sept"/>
  </r>
  <r>
    <s v="2.20945E+11"/>
    <n v="220600250"/>
    <d v="2022-09-10T00:00:00"/>
    <s v="21:22:46.047Z"/>
    <n v="343"/>
    <d v="2001-04-07T00:00:00"/>
    <n v="69.400000000000006"/>
    <n v="61.85"/>
    <x v="0"/>
    <x v="426"/>
    <x v="537"/>
    <s v="No"/>
    <s v="No"/>
    <n v="21"/>
    <s v="100-75"/>
    <x v="1"/>
    <x v="0"/>
    <n v="488"/>
    <x v="30"/>
    <x v="1"/>
    <s v="Pass"/>
    <x v="1"/>
    <s v="B"/>
    <x v="0"/>
    <s v="60-70"/>
    <x v="2"/>
    <x v="3"/>
    <x v="1"/>
    <x v="1"/>
    <x v="4"/>
    <x v="3"/>
    <x v="2"/>
    <x v="1"/>
    <s v="Sept"/>
  </r>
  <r>
    <s v="2.20945E+11"/>
    <n v="220711035"/>
    <d v="2022-09-12T00:00:00"/>
    <s v="18:50:44.262Z"/>
    <n v="1628"/>
    <d v="1997-09-24T00:00:00"/>
    <n v="76.180000000000007"/>
    <s v="Other"/>
    <x v="144"/>
    <x v="427"/>
    <x v="538"/>
    <s v="No"/>
    <s v="Yes"/>
    <n v="24"/>
    <s v="60-75"/>
    <x v="4"/>
    <x v="0"/>
    <n v="522"/>
    <x v="43"/>
    <x v="1"/>
    <s v="Pass"/>
    <x v="1"/>
    <s v="B"/>
    <x v="0"/>
    <s v="60-70"/>
    <x v="1"/>
    <x v="132"/>
    <x v="1"/>
    <x v="1"/>
    <x v="4"/>
    <x v="1"/>
    <x v="0"/>
    <x v="1"/>
    <s v="Sept"/>
  </r>
  <r>
    <s v="2.20945E+11"/>
    <n v="220711091"/>
    <d v="2022-09-10T00:00:00"/>
    <s v="23:34:18.703Z"/>
    <n v="474"/>
    <d v="1991-09-08T00:00:00"/>
    <n v="88.76"/>
    <n v="66.33"/>
    <x v="0"/>
    <x v="428"/>
    <x v="539"/>
    <s v="No"/>
    <s v="Yes"/>
    <n v="31"/>
    <s v="45-60"/>
    <x v="4"/>
    <x v="0"/>
    <n v="545"/>
    <x v="166"/>
    <x v="1"/>
    <s v="Pass"/>
    <x v="1"/>
    <s v="B"/>
    <x v="0"/>
    <s v="60-70"/>
    <x v="2"/>
    <x v="3"/>
    <x v="1"/>
    <x v="1"/>
    <x v="4"/>
    <x v="3"/>
    <x v="4"/>
    <x v="1"/>
    <s v="Sept"/>
  </r>
  <r>
    <s v="2.20945E+11"/>
    <n v="220708018"/>
    <d v="2022-09-08T00:00:00"/>
    <s v="20:00:44.195Z"/>
    <n v="1399"/>
    <d v="1998-05-09T00:00:00"/>
    <n v="84"/>
    <n v="77.69"/>
    <x v="0"/>
    <x v="429"/>
    <x v="540"/>
    <s v="No"/>
    <s v="No"/>
    <n v="24"/>
    <s v="60-75"/>
    <x v="4"/>
    <x v="0"/>
    <n v="561"/>
    <x v="154"/>
    <x v="2"/>
    <s v="Pass"/>
    <x v="2"/>
    <s v="B"/>
    <x v="0"/>
    <s v="70-85"/>
    <x v="1"/>
    <x v="133"/>
    <x v="1"/>
    <x v="1"/>
    <x v="4"/>
    <x v="1"/>
    <x v="0"/>
    <x v="1"/>
    <s v="Sept"/>
  </r>
  <r>
    <s v="2.20945E+11"/>
    <n v="220603446"/>
    <d v="2022-09-08T00:00:00"/>
    <s v="23:14:33.122Z"/>
    <n v="910"/>
    <d v="1996-01-01T00:00:00"/>
    <n v="81.819999999999993"/>
    <n v="58.5"/>
    <x v="0"/>
    <x v="430"/>
    <x v="541"/>
    <s v="No"/>
    <s v="Yes"/>
    <n v="26"/>
    <s v="45-60"/>
    <x v="0"/>
    <x v="0"/>
    <n v="496"/>
    <x v="185"/>
    <x v="2"/>
    <s v="Pass"/>
    <x v="2"/>
    <s v="B"/>
    <x v="0"/>
    <s v="60-70"/>
    <x v="2"/>
    <x v="3"/>
    <x v="1"/>
    <x v="1"/>
    <x v="4"/>
    <x v="3"/>
    <x v="1"/>
    <x v="1"/>
    <s v="Sept"/>
  </r>
  <r>
    <s v="2.20945E+11"/>
    <n v="220601232"/>
    <d v="2022-09-12T00:00:00"/>
    <s v="21:42:12.888Z"/>
    <n v="749"/>
    <d v="1998-05-13T00:00:00"/>
    <n v="67.8"/>
    <s v="Other"/>
    <x v="54"/>
    <x v="431"/>
    <x v="542"/>
    <s v="No"/>
    <s v="No"/>
    <n v="24"/>
    <s v="60-75"/>
    <x v="4"/>
    <x v="0"/>
    <n v="606"/>
    <x v="130"/>
    <x v="1"/>
    <s v="Pass"/>
    <x v="1"/>
    <s v="A"/>
    <x v="0"/>
    <s v="70-85"/>
    <x v="1"/>
    <x v="134"/>
    <x v="1"/>
    <x v="1"/>
    <x v="4"/>
    <x v="3"/>
    <x v="0"/>
    <x v="1"/>
    <s v="Sept"/>
  </r>
  <r>
    <s v="2.20945E+11"/>
    <n v="220602804"/>
    <d v="2022-09-09T00:00:00"/>
    <s v="16:58:21.283Z"/>
    <n v="1362"/>
    <d v="1996-06-25T00:00:00"/>
    <n v="76.91"/>
    <s v="Other"/>
    <x v="145"/>
    <x v="432"/>
    <x v="543"/>
    <s v="No"/>
    <s v="No"/>
    <n v="26"/>
    <s v="60-75"/>
    <x v="6"/>
    <x v="0"/>
    <n v="523"/>
    <x v="346"/>
    <x v="2"/>
    <s v="Pass"/>
    <x v="2"/>
    <s v="A"/>
    <x v="0"/>
    <s v="60-70"/>
    <x v="1"/>
    <x v="24"/>
    <x v="1"/>
    <x v="1"/>
    <x v="4"/>
    <x v="1"/>
    <x v="1"/>
    <x v="1"/>
    <s v="Sept"/>
  </r>
  <r>
    <s v="2.20945E+11"/>
    <n v="220702947"/>
    <d v="2022-09-12T00:00:00"/>
    <s v="17:53:50.781Z"/>
    <n v="1582"/>
    <d v="1996-02-24T00:00:00"/>
    <n v="85.27"/>
    <n v="82.33"/>
    <x v="0"/>
    <x v="433"/>
    <x v="544"/>
    <s v="No"/>
    <s v="No"/>
    <n v="26"/>
    <s v="45-60"/>
    <x v="6"/>
    <x v="1"/>
    <n v="557"/>
    <x v="78"/>
    <x v="1"/>
    <s v="Pass"/>
    <x v="1"/>
    <s v="B"/>
    <x v="0"/>
    <s v="60-70"/>
    <x v="0"/>
    <x v="0"/>
    <x v="0"/>
    <x v="0"/>
    <x v="4"/>
    <x v="1"/>
    <x v="1"/>
    <x v="1"/>
    <s v="Sept"/>
  </r>
  <r>
    <s v="2.20945E+11"/>
    <n v="220601526"/>
    <d v="2022-09-11T00:00:00"/>
    <s v="15:07:32.976Z"/>
    <n v="1011"/>
    <d v="1996-01-20T00:00:00"/>
    <n v="63"/>
    <s v="Other"/>
    <x v="146"/>
    <x v="434"/>
    <x v="545"/>
    <s v="No"/>
    <s v="No"/>
    <n v="26"/>
    <s v="45-60"/>
    <x v="3"/>
    <x v="0"/>
    <n v="523"/>
    <x v="346"/>
    <x v="2"/>
    <s v="Pass"/>
    <x v="2"/>
    <s v="B"/>
    <x v="0"/>
    <s v="60-70"/>
    <x v="1"/>
    <x v="41"/>
    <x v="1"/>
    <x v="1"/>
    <x v="4"/>
    <x v="1"/>
    <x v="1"/>
    <x v="1"/>
    <s v="Sept"/>
  </r>
  <r>
    <s v="2.20945E+11"/>
    <n v="220601318"/>
    <d v="2022-09-10T00:00:00"/>
    <s v="21:51:15.265Z"/>
    <n v="298"/>
    <d v="2000-01-01T00:00:00"/>
    <n v="86"/>
    <n v="73.8"/>
    <x v="0"/>
    <x v="435"/>
    <x v="546"/>
    <s v="No"/>
    <s v="No"/>
    <n v="22"/>
    <s v="100-75"/>
    <x v="6"/>
    <x v="0"/>
    <n v="574"/>
    <x v="72"/>
    <x v="1"/>
    <s v="Pass"/>
    <x v="1"/>
    <s v="B"/>
    <x v="0"/>
    <s v="70-85"/>
    <x v="1"/>
    <x v="12"/>
    <x v="1"/>
    <x v="1"/>
    <x v="4"/>
    <x v="3"/>
    <x v="2"/>
    <x v="1"/>
    <s v="Sept"/>
  </r>
  <r>
    <s v="2.20945E+11"/>
    <n v="220702028"/>
    <m/>
    <m/>
    <s v="Unknown"/>
    <m/>
    <n v="0"/>
    <n v="0"/>
    <x v="2"/>
    <x v="11"/>
    <x v="11"/>
    <s v="No"/>
    <s v="No"/>
    <n v="23"/>
    <s v="Unkown"/>
    <x v="5"/>
    <x v="2"/>
    <n v="553"/>
    <x v="161"/>
    <x v="1"/>
    <s v="Pass"/>
    <x v="1"/>
    <s v="B"/>
    <x v="0"/>
    <s v="60-70"/>
    <x v="2"/>
    <x v="3"/>
    <x v="1"/>
    <x v="1"/>
    <x v="4"/>
    <x v="2"/>
    <x v="3"/>
    <x v="1"/>
    <s v="Sept"/>
  </r>
  <r>
    <s v="2.20945E+11"/>
    <n v="220607494"/>
    <d v="2022-09-10T00:00:00"/>
    <s v="18:00:47.163Z"/>
    <n v="1260"/>
    <d v="1993-05-01T00:00:00"/>
    <n v="75.53"/>
    <s v="Other"/>
    <x v="0"/>
    <x v="436"/>
    <x v="547"/>
    <s v="No"/>
    <s v="Yes"/>
    <n v="29"/>
    <s v="60-75"/>
    <x v="4"/>
    <x v="0"/>
    <n v="643"/>
    <x v="347"/>
    <x v="1"/>
    <s v="Pass"/>
    <x v="1"/>
    <s v="A"/>
    <x v="0"/>
    <s v="70-85"/>
    <x v="1"/>
    <x v="98"/>
    <x v="1"/>
    <x v="1"/>
    <x v="4"/>
    <x v="1"/>
    <x v="4"/>
    <x v="1"/>
    <s v="Sept"/>
  </r>
  <r>
    <s v="2.20945E+11"/>
    <n v="220604831"/>
    <d v="2022-09-11T00:00:00"/>
    <s v="12:32:23.630Z"/>
    <n v="1659"/>
    <d v="1998-03-29T00:00:00"/>
    <n v="87.6"/>
    <n v="71.2"/>
    <x v="0"/>
    <x v="437"/>
    <x v="548"/>
    <s v="No"/>
    <s v="No"/>
    <n v="24"/>
    <s v="60-75"/>
    <x v="4"/>
    <x v="0"/>
    <n v="541"/>
    <x v="191"/>
    <x v="1"/>
    <s v="Pass"/>
    <x v="1"/>
    <s v="B"/>
    <x v="0"/>
    <s v="60-70"/>
    <x v="1"/>
    <x v="135"/>
    <x v="1"/>
    <x v="1"/>
    <x v="4"/>
    <x v="1"/>
    <x v="0"/>
    <x v="1"/>
    <s v="Sept"/>
  </r>
  <r>
    <s v="2.20945E+11"/>
    <n v="220600053"/>
    <d v="2022-09-08T00:00:00"/>
    <s v="17:52:41.693Z"/>
    <n v="616"/>
    <d v="2000-03-07T00:00:00"/>
    <n v="90.6"/>
    <n v="80.62"/>
    <x v="0"/>
    <x v="438"/>
    <x v="549"/>
    <s v="No"/>
    <s v="Yes"/>
    <n v="22"/>
    <s v="100-75"/>
    <x v="1"/>
    <x v="0"/>
    <n v="554"/>
    <x v="348"/>
    <x v="1"/>
    <s v="Pass"/>
    <x v="1"/>
    <s v="B"/>
    <x v="0"/>
    <s v="60-70"/>
    <x v="1"/>
    <x v="136"/>
    <x v="1"/>
    <x v="1"/>
    <x v="4"/>
    <x v="3"/>
    <x v="2"/>
    <x v="1"/>
    <s v="Sept"/>
  </r>
  <r>
    <s v="2.20945E+11"/>
    <n v="220607249"/>
    <d v="2022-09-11T00:00:00"/>
    <s v="23:23:01.538Z"/>
    <n v="1504"/>
    <d v="1998-02-24T00:00:00"/>
    <n v="72.2"/>
    <n v="55.2"/>
    <x v="0"/>
    <x v="273"/>
    <x v="550"/>
    <s v="No"/>
    <s v="No"/>
    <n v="24"/>
    <s v="60-75"/>
    <x v="6"/>
    <x v="1"/>
    <n v="533"/>
    <x v="58"/>
    <x v="2"/>
    <s v="Pass"/>
    <x v="2"/>
    <s v="B"/>
    <x v="0"/>
    <s v="60-70"/>
    <x v="2"/>
    <x v="3"/>
    <x v="1"/>
    <x v="1"/>
    <x v="4"/>
    <x v="1"/>
    <x v="0"/>
    <x v="1"/>
    <s v="Sept"/>
  </r>
  <r>
    <s v="2.20945E+11"/>
    <n v="220602220"/>
    <d v="2022-09-11T00:00:00"/>
    <s v="19:30:13.837Z"/>
    <n v="949"/>
    <d v="1995-03-21T00:00:00"/>
    <n v="83.82"/>
    <n v="59.17"/>
    <x v="0"/>
    <x v="387"/>
    <x v="551"/>
    <s v="No"/>
    <s v="Yes"/>
    <n v="27"/>
    <s v="45-60"/>
    <x v="5"/>
    <x v="1"/>
    <n v="422"/>
    <x v="306"/>
    <x v="0"/>
    <s v="Pass"/>
    <x v="0"/>
    <s v="B"/>
    <x v="0"/>
    <s v="50-60"/>
    <x v="0"/>
    <x v="0"/>
    <x v="0"/>
    <x v="0"/>
    <x v="4"/>
    <x v="3"/>
    <x v="1"/>
    <x v="1"/>
    <s v="Sept"/>
  </r>
  <r>
    <s v="2.20945E+11"/>
    <n v="220712048"/>
    <d v="2022-09-09T00:00:00"/>
    <s v="15:11:26.942Z"/>
    <n v="856"/>
    <d v="2000-10-12T00:00:00"/>
    <n v="81"/>
    <s v="Other"/>
    <x v="147"/>
    <x v="439"/>
    <x v="552"/>
    <s v="No"/>
    <s v="No"/>
    <n v="21"/>
    <s v="60-75"/>
    <x v="4"/>
    <x v="0"/>
    <n v="575"/>
    <x v="85"/>
    <x v="2"/>
    <s v="Pass"/>
    <x v="2"/>
    <s v="B"/>
    <x v="0"/>
    <s v="70-85"/>
    <x v="2"/>
    <x v="3"/>
    <x v="1"/>
    <x v="1"/>
    <x v="4"/>
    <x v="3"/>
    <x v="2"/>
    <x v="1"/>
    <s v="Sept"/>
  </r>
  <r>
    <s v="2.20945E+11"/>
    <n v="220608585"/>
    <d v="2022-09-10T00:00:00"/>
    <s v="11:34:30.087Z"/>
    <n v="1505"/>
    <d v="1999-06-30T00:00:00"/>
    <n v="81.5"/>
    <n v="85.6"/>
    <x v="0"/>
    <x v="440"/>
    <x v="553"/>
    <s v="No"/>
    <s v="No"/>
    <n v="23"/>
    <s v="100-75"/>
    <x v="4"/>
    <x v="1"/>
    <n v="544"/>
    <x v="256"/>
    <x v="1"/>
    <s v="Pass"/>
    <x v="1"/>
    <s v="B"/>
    <x v="0"/>
    <s v="60-70"/>
    <x v="1"/>
    <x v="137"/>
    <x v="1"/>
    <x v="1"/>
    <x v="4"/>
    <x v="1"/>
    <x v="0"/>
    <x v="1"/>
    <s v="Sept"/>
  </r>
  <r>
    <s v="2.20945E+11"/>
    <n v="220600207"/>
    <d v="2022-09-11T00:00:00"/>
    <s v="17:31:26.874Z"/>
    <n v="1771"/>
    <d v="1996-04-07T00:00:00"/>
    <n v="74.099999999999994"/>
    <n v="84.2"/>
    <x v="0"/>
    <x v="441"/>
    <x v="554"/>
    <s v="No"/>
    <s v="No"/>
    <n v="26"/>
    <s v="60-75"/>
    <x v="6"/>
    <x v="0"/>
    <n v="619"/>
    <x v="20"/>
    <x v="1"/>
    <s v="Pass"/>
    <x v="1"/>
    <s v="A"/>
    <x v="0"/>
    <s v="70-85"/>
    <x v="1"/>
    <x v="98"/>
    <x v="1"/>
    <x v="1"/>
    <x v="4"/>
    <x v="1"/>
    <x v="1"/>
    <x v="1"/>
    <s v="Sept"/>
  </r>
  <r>
    <s v="2.20945E+11"/>
    <n v="220603912"/>
    <d v="2022-09-09T00:00:00"/>
    <s v="19:30:35.878Z"/>
    <n v="547"/>
    <d v="1998-03-24T00:00:00"/>
    <n v="89"/>
    <n v="77.08"/>
    <x v="0"/>
    <x v="442"/>
    <x v="555"/>
    <s v="No"/>
    <s v="No"/>
    <n v="24"/>
    <s v="60-75"/>
    <x v="4"/>
    <x v="0"/>
    <n v="623"/>
    <x v="9"/>
    <x v="1"/>
    <s v="Pass"/>
    <x v="1"/>
    <s v="B"/>
    <x v="0"/>
    <s v="70-85"/>
    <x v="1"/>
    <x v="41"/>
    <x v="1"/>
    <x v="1"/>
    <x v="4"/>
    <x v="3"/>
    <x v="0"/>
    <x v="1"/>
    <s v="Sept"/>
  </r>
  <r>
    <s v="2.20945E+11"/>
    <n v="220601399"/>
    <d v="2022-09-09T00:00:00"/>
    <s v="17:27:58.454Z"/>
    <n v="1501"/>
    <d v="1998-05-20T00:00:00"/>
    <n v="71.8"/>
    <n v="58.46"/>
    <x v="0"/>
    <x v="197"/>
    <x v="556"/>
    <s v="No"/>
    <s v="No"/>
    <n v="24"/>
    <s v="60-75"/>
    <x v="3"/>
    <x v="0"/>
    <n v="529"/>
    <x v="131"/>
    <x v="2"/>
    <s v="Pass"/>
    <x v="2"/>
    <s v="A"/>
    <x v="0"/>
    <s v="60-70"/>
    <x v="1"/>
    <x v="113"/>
    <x v="1"/>
    <x v="1"/>
    <x v="4"/>
    <x v="1"/>
    <x v="0"/>
    <x v="1"/>
    <s v="Sept"/>
  </r>
  <r>
    <s v="2.20945E+11"/>
    <n v="220608165"/>
    <d v="2022-09-12T00:00:00"/>
    <s v="00:19:04.080Z"/>
    <n v="883"/>
    <d v="1997-11-25T00:00:00"/>
    <n v="77"/>
    <n v="63.38"/>
    <x v="0"/>
    <x v="443"/>
    <x v="557"/>
    <s v="No"/>
    <s v="Yes"/>
    <n v="24"/>
    <s v="45-60"/>
    <x v="4"/>
    <x v="0"/>
    <n v="467"/>
    <x v="143"/>
    <x v="2"/>
    <s v="Pass"/>
    <x v="2"/>
    <s v="B"/>
    <x v="0"/>
    <s v="50-60"/>
    <x v="1"/>
    <x v="2"/>
    <x v="1"/>
    <x v="1"/>
    <x v="4"/>
    <x v="3"/>
    <x v="0"/>
    <x v="1"/>
    <s v="Sept"/>
  </r>
  <r>
    <s v="2.20945E+11"/>
    <n v="220606712"/>
    <d v="2022-09-12T00:00:00"/>
    <s v="19:36:14.925Z"/>
    <n v="1392"/>
    <d v="1997-07-26T00:00:00"/>
    <n v="90.2"/>
    <s v="Other"/>
    <x v="148"/>
    <x v="444"/>
    <x v="558"/>
    <s v="No"/>
    <s v="No"/>
    <n v="25"/>
    <s v="60-75"/>
    <x v="4"/>
    <x v="0"/>
    <n v="633"/>
    <x v="144"/>
    <x v="1"/>
    <s v="Pass"/>
    <x v="1"/>
    <s v="A"/>
    <x v="0"/>
    <s v="70-85"/>
    <x v="1"/>
    <x v="138"/>
    <x v="1"/>
    <x v="1"/>
    <x v="4"/>
    <x v="1"/>
    <x v="0"/>
    <x v="1"/>
    <s v="Sept"/>
  </r>
  <r>
    <s v="2.20945E+11"/>
    <n v="220701622"/>
    <d v="2022-09-10T00:00:00"/>
    <s v="22:51:44.796Z"/>
    <n v="1573"/>
    <d v="1996-11-03T00:00:00"/>
    <n v="92.73"/>
    <n v="89.23"/>
    <x v="0"/>
    <x v="445"/>
    <x v="559"/>
    <s v="No"/>
    <s v="Yes"/>
    <n v="25"/>
    <s v="0-35"/>
    <x v="5"/>
    <x v="0"/>
    <n v="649"/>
    <x v="349"/>
    <x v="1"/>
    <s v="Pass"/>
    <x v="1"/>
    <s v="A"/>
    <x v="0"/>
    <s v="70-85"/>
    <x v="1"/>
    <x v="139"/>
    <x v="1"/>
    <x v="1"/>
    <x v="4"/>
    <x v="1"/>
    <x v="0"/>
    <x v="1"/>
    <s v="Sept"/>
  </r>
  <r>
    <s v="2.20945E+11"/>
    <n v="220711425"/>
    <d v="2022-09-09T00:00:00"/>
    <s v="11:04:02.940Z"/>
    <n v="1680"/>
    <d v="1995-10-30T00:00:00"/>
    <n v="79.819999999999993"/>
    <n v="62.83"/>
    <x v="0"/>
    <x v="446"/>
    <x v="560"/>
    <s v="No"/>
    <s v="Yes"/>
    <n v="26"/>
    <s v="100-75"/>
    <x v="6"/>
    <x v="0"/>
    <n v="620"/>
    <x v="350"/>
    <x v="2"/>
    <s v="Pass"/>
    <x v="2"/>
    <s v="B"/>
    <x v="0"/>
    <s v="70-85"/>
    <x v="1"/>
    <x v="24"/>
    <x v="1"/>
    <x v="1"/>
    <x v="4"/>
    <x v="1"/>
    <x v="1"/>
    <x v="1"/>
    <s v="Sept"/>
  </r>
  <r>
    <s v="2.20945E+11"/>
    <n v="220705629"/>
    <d v="2022-09-09T00:00:00"/>
    <s v="12:20:44.488Z"/>
    <n v="1656"/>
    <d v="2000-06-20T00:00:00"/>
    <n v="90.4"/>
    <n v="68.92"/>
    <x v="0"/>
    <x v="447"/>
    <x v="561"/>
    <s v="No"/>
    <s v="No"/>
    <n v="22"/>
    <s v="0-35"/>
    <x v="5"/>
    <x v="0"/>
    <n v="482"/>
    <x v="108"/>
    <x v="0"/>
    <s v="Pass"/>
    <x v="0"/>
    <s v="B"/>
    <x v="0"/>
    <s v="60-70"/>
    <x v="2"/>
    <x v="3"/>
    <x v="1"/>
    <x v="1"/>
    <x v="4"/>
    <x v="1"/>
    <x v="2"/>
    <x v="1"/>
    <s v="Sept"/>
  </r>
  <r>
    <s v="2.20945E+11"/>
    <n v="220600143"/>
    <d v="2022-09-08T00:00:00"/>
    <s v="15:58:46.930Z"/>
    <n v="530"/>
    <d v="1997-08-07T00:00:00"/>
    <n v="88.91"/>
    <n v="70.31"/>
    <x v="0"/>
    <x v="206"/>
    <x v="562"/>
    <s v="No"/>
    <s v="Yes"/>
    <n v="25"/>
    <s v="60-75"/>
    <x v="4"/>
    <x v="0"/>
    <n v="457"/>
    <x v="155"/>
    <x v="1"/>
    <s v="Pass"/>
    <x v="1"/>
    <s v="B"/>
    <x v="0"/>
    <s v="50-60"/>
    <x v="0"/>
    <x v="0"/>
    <x v="0"/>
    <x v="0"/>
    <x v="4"/>
    <x v="3"/>
    <x v="0"/>
    <x v="1"/>
    <s v="Sept"/>
  </r>
  <r>
    <s v="2.20945E+11"/>
    <n v="220700229"/>
    <d v="2022-09-09T00:00:00"/>
    <s v="07:03:40.005Z"/>
    <n v="951"/>
    <d v="1998-01-04T00:00:00"/>
    <n v="89.4"/>
    <n v="76.400000000000006"/>
    <x v="0"/>
    <x v="448"/>
    <x v="563"/>
    <s v="No"/>
    <s v="No"/>
    <n v="24"/>
    <s v="100-75"/>
    <x v="5"/>
    <x v="1"/>
    <n v="529"/>
    <x v="131"/>
    <x v="2"/>
    <s v="Pass"/>
    <x v="2"/>
    <s v="A"/>
    <x v="0"/>
    <s v="60-70"/>
    <x v="2"/>
    <x v="3"/>
    <x v="1"/>
    <x v="1"/>
    <x v="4"/>
    <x v="3"/>
    <x v="0"/>
    <x v="1"/>
    <s v="Sept"/>
  </r>
  <r>
    <s v="2.20945E+11"/>
    <n v="220607926"/>
    <d v="2022-09-10T00:00:00"/>
    <s v="01:08:28.554Z"/>
    <n v="1776"/>
    <d v="1997-07-09T00:00:00"/>
    <n v="73.8"/>
    <n v="50.62"/>
    <x v="0"/>
    <x v="449"/>
    <x v="564"/>
    <s v="No"/>
    <s v="Yes"/>
    <n v="25"/>
    <s v="45-60"/>
    <x v="1"/>
    <x v="0"/>
    <n v="455"/>
    <x v="37"/>
    <x v="0"/>
    <s v="Pass"/>
    <x v="0"/>
    <s v="B"/>
    <x v="0"/>
    <s v="50-60"/>
    <x v="1"/>
    <x v="9"/>
    <x v="1"/>
    <x v="1"/>
    <x v="4"/>
    <x v="1"/>
    <x v="0"/>
    <x v="1"/>
    <s v="Sept"/>
  </r>
  <r>
    <s v="2.20945E+11"/>
    <n v="220603569"/>
    <d v="2022-09-09T00:00:00"/>
    <s v="22:56:06.260Z"/>
    <n v="1107"/>
    <d v="1995-11-07T00:00:00"/>
    <n v="68.400000000000006"/>
    <n v="66.599999999999994"/>
    <x v="0"/>
    <x v="450"/>
    <x v="565"/>
    <s v="No"/>
    <s v="Yes"/>
    <n v="26"/>
    <s v="60-75"/>
    <x v="4"/>
    <x v="0"/>
    <n v="524"/>
    <x v="289"/>
    <x v="2"/>
    <s v="Pass"/>
    <x v="2"/>
    <s v="B"/>
    <x v="0"/>
    <s v="60-70"/>
    <x v="0"/>
    <x v="0"/>
    <x v="0"/>
    <x v="0"/>
    <x v="4"/>
    <x v="1"/>
    <x v="1"/>
    <x v="1"/>
    <s v="Sept"/>
  </r>
  <r>
    <s v="2.20945E+11"/>
    <n v="220601891"/>
    <d v="2022-09-12T00:00:00"/>
    <s v="19:52:32.184Z"/>
    <n v="1016"/>
    <d v="1996-07-03T00:00:00"/>
    <n v="69.67"/>
    <n v="62.64"/>
    <x v="0"/>
    <x v="41"/>
    <x v="566"/>
    <s v="No"/>
    <s v="Yes"/>
    <n v="26"/>
    <s v="60-75"/>
    <x v="4"/>
    <x v="0"/>
    <n v="442"/>
    <x v="17"/>
    <x v="2"/>
    <s v="Pass"/>
    <x v="2"/>
    <s v="C"/>
    <x v="0"/>
    <s v="50-60"/>
    <x v="0"/>
    <x v="0"/>
    <x v="0"/>
    <x v="0"/>
    <x v="4"/>
    <x v="1"/>
    <x v="1"/>
    <x v="1"/>
    <s v="Sept"/>
  </r>
  <r>
    <s v="2.20945E+11"/>
    <n v="220608476"/>
    <d v="2022-09-09T00:00:00"/>
    <s v="23:47:33.556Z"/>
    <n v="1737"/>
    <d v="1996-08-06T00:00:00"/>
    <n v="72"/>
    <n v="64"/>
    <x v="0"/>
    <x v="451"/>
    <x v="567"/>
    <s v="No"/>
    <s v="No"/>
    <n v="26"/>
    <s v="100-75"/>
    <x v="3"/>
    <x v="0"/>
    <n v="526"/>
    <x v="61"/>
    <x v="2"/>
    <s v="Pass"/>
    <x v="2"/>
    <s v="C"/>
    <x v="0"/>
    <s v="60-70"/>
    <x v="1"/>
    <x v="104"/>
    <x v="1"/>
    <x v="1"/>
    <x v="4"/>
    <x v="1"/>
    <x v="1"/>
    <x v="1"/>
    <s v="Sept"/>
  </r>
  <r>
    <s v="2.20945E+11"/>
    <n v="220600184"/>
    <d v="2022-09-11T00:00:00"/>
    <s v="11:34:28.424Z"/>
    <n v="1307"/>
    <d v="2000-12-31T00:00:00"/>
    <n v="89.8"/>
    <n v="79.08"/>
    <x v="0"/>
    <x v="452"/>
    <x v="568"/>
    <s v="No"/>
    <s v="No"/>
    <n v="21"/>
    <s v="60-75"/>
    <x v="0"/>
    <x v="0"/>
    <n v="595"/>
    <x v="172"/>
    <x v="0"/>
    <s v="Pass"/>
    <x v="0"/>
    <s v="C"/>
    <x v="0"/>
    <s v="70-85"/>
    <x v="1"/>
    <x v="66"/>
    <x v="1"/>
    <x v="1"/>
    <x v="4"/>
    <x v="1"/>
    <x v="2"/>
    <x v="1"/>
    <s v="Sept"/>
  </r>
  <r>
    <s v="2.20945E+11"/>
    <n v="220600720"/>
    <d v="2022-09-09T00:00:00"/>
    <s v="12:21:25.473Z"/>
    <n v="1576"/>
    <d v="1996-09-25T00:00:00"/>
    <n v="82.55"/>
    <n v="64.77"/>
    <x v="0"/>
    <x v="90"/>
    <x v="227"/>
    <s v="No"/>
    <s v="Yes"/>
    <n v="25"/>
    <s v="60-75"/>
    <x v="5"/>
    <x v="0"/>
    <n v="447"/>
    <x v="159"/>
    <x v="2"/>
    <s v="Pass"/>
    <x v="2"/>
    <s v="B"/>
    <x v="0"/>
    <s v="50-60"/>
    <x v="0"/>
    <x v="0"/>
    <x v="0"/>
    <x v="0"/>
    <x v="4"/>
    <x v="1"/>
    <x v="0"/>
    <x v="1"/>
    <s v="Sept"/>
  </r>
  <r>
    <s v="2.20945E+11"/>
    <n v="220607526"/>
    <d v="2022-09-11T00:00:00"/>
    <s v="00:10:52.050Z"/>
    <n v="1163"/>
    <d v="1998-01-19T00:00:00"/>
    <n v="88.73"/>
    <n v="61.08"/>
    <x v="0"/>
    <x v="453"/>
    <x v="569"/>
    <s v="No"/>
    <s v="Yes"/>
    <n v="24"/>
    <s v="45-60"/>
    <x v="4"/>
    <x v="0"/>
    <n v="581"/>
    <x v="351"/>
    <x v="1"/>
    <s v="Pass"/>
    <x v="1"/>
    <s v="A"/>
    <x v="0"/>
    <s v="70-85"/>
    <x v="1"/>
    <x v="140"/>
    <x v="1"/>
    <x v="1"/>
    <x v="4"/>
    <x v="1"/>
    <x v="0"/>
    <x v="1"/>
    <s v="Sept"/>
  </r>
  <r>
    <s v="2.20945E+11"/>
    <n v="220600462"/>
    <d v="2022-09-09T00:00:00"/>
    <s v="15:39:25.114Z"/>
    <n v="1420"/>
    <d v="1999-05-22T00:00:00"/>
    <n v="70"/>
    <n v="71"/>
    <x v="0"/>
    <x v="13"/>
    <x v="570"/>
    <s v="No"/>
    <s v="No"/>
    <n v="23"/>
    <s v="60-75"/>
    <x v="3"/>
    <x v="1"/>
    <n v="451"/>
    <x v="129"/>
    <x v="0"/>
    <s v="Pass"/>
    <x v="0"/>
    <s v="C"/>
    <x v="0"/>
    <s v="50-60"/>
    <x v="0"/>
    <x v="0"/>
    <x v="0"/>
    <x v="0"/>
    <x v="4"/>
    <x v="1"/>
    <x v="0"/>
    <x v="1"/>
    <s v="Sept"/>
  </r>
  <r>
    <s v="2.20945E+11"/>
    <n v="220604080"/>
    <d v="2022-09-08T00:00:00"/>
    <s v="19:49:29.514Z"/>
    <n v="1754"/>
    <d v="1994-12-15T00:00:00"/>
    <n v="80"/>
    <n v="61.33"/>
    <x v="0"/>
    <x v="152"/>
    <x v="571"/>
    <s v="No"/>
    <s v="No"/>
    <n v="27"/>
    <s v="60-75"/>
    <x v="2"/>
    <x v="0"/>
    <n v="468"/>
    <x v="300"/>
    <x v="1"/>
    <s v="Pass"/>
    <x v="1"/>
    <s v="B"/>
    <x v="0"/>
    <s v="50-60"/>
    <x v="0"/>
    <x v="0"/>
    <x v="0"/>
    <x v="0"/>
    <x v="4"/>
    <x v="1"/>
    <x v="1"/>
    <x v="1"/>
    <s v="Sept"/>
  </r>
  <r>
    <s v="2.20945E+11"/>
    <n v="220601955"/>
    <d v="2022-09-08T00:00:00"/>
    <s v="10:57:47.631Z"/>
    <n v="887"/>
    <d v="1998-04-11T00:00:00"/>
    <n v="79"/>
    <n v="70"/>
    <x v="0"/>
    <x v="372"/>
    <x v="572"/>
    <s v="No"/>
    <s v="No"/>
    <n v="24"/>
    <s v="60-75"/>
    <x v="3"/>
    <x v="1"/>
    <n v="446"/>
    <x v="1"/>
    <x v="1"/>
    <s v="Pass"/>
    <x v="1"/>
    <s v="B"/>
    <x v="0"/>
    <s v="50-60"/>
    <x v="1"/>
    <x v="141"/>
    <x v="1"/>
    <x v="1"/>
    <x v="4"/>
    <x v="3"/>
    <x v="0"/>
    <x v="1"/>
    <s v="Sept"/>
  </r>
  <r>
    <s v="2.20945E+11"/>
    <n v="220605331"/>
    <d v="2022-09-11T00:00:00"/>
    <s v="22:13:50.466Z"/>
    <n v="1609"/>
    <d v="1997-03-09T00:00:00"/>
    <n v="87.8"/>
    <n v="55.23"/>
    <x v="3"/>
    <x v="454"/>
    <x v="573"/>
    <s v="No"/>
    <s v="No"/>
    <n v="25"/>
    <s v="60-75"/>
    <x v="5"/>
    <x v="0"/>
    <n v="446"/>
    <x v="1"/>
    <x v="2"/>
    <s v="Pass"/>
    <x v="2"/>
    <s v="B"/>
    <x v="0"/>
    <s v="50-60"/>
    <x v="2"/>
    <x v="3"/>
    <x v="1"/>
    <x v="1"/>
    <x v="4"/>
    <x v="1"/>
    <x v="0"/>
    <x v="1"/>
    <s v="Sept"/>
  </r>
  <r>
    <s v="2.20945E+11"/>
    <n v="220602820"/>
    <d v="2022-09-08T00:00:00"/>
    <s v="21:41:54.339Z"/>
    <n v="1686"/>
    <d v="1999-04-01T00:00:00"/>
    <n v="79.8"/>
    <n v="79.2"/>
    <x v="0"/>
    <x v="455"/>
    <x v="574"/>
    <s v="No"/>
    <s v="No"/>
    <n v="23"/>
    <s v="60-75"/>
    <x v="3"/>
    <x v="1"/>
    <n v="612"/>
    <x v="202"/>
    <x v="1"/>
    <s v="Pass"/>
    <x v="1"/>
    <s v="A"/>
    <x v="0"/>
    <s v="70-85"/>
    <x v="1"/>
    <x v="24"/>
    <x v="1"/>
    <x v="1"/>
    <x v="4"/>
    <x v="1"/>
    <x v="0"/>
    <x v="1"/>
    <s v="Sept"/>
  </r>
  <r>
    <s v="2.20945E+11"/>
    <n v="220605427"/>
    <d v="2022-09-11T00:00:00"/>
    <s v="21:54:45.428Z"/>
    <n v="1627"/>
    <d v="1998-11-02T00:00:00"/>
    <n v="90.8"/>
    <s v="Other"/>
    <x v="149"/>
    <x v="389"/>
    <x v="575"/>
    <s v="No"/>
    <s v="Yes"/>
    <n v="23"/>
    <s v="100-75"/>
    <x v="4"/>
    <x v="1"/>
    <n v="465"/>
    <x v="13"/>
    <x v="0"/>
    <s v="Pass"/>
    <x v="0"/>
    <s v="B"/>
    <x v="0"/>
    <s v="50-60"/>
    <x v="2"/>
    <x v="3"/>
    <x v="1"/>
    <x v="1"/>
    <x v="4"/>
    <x v="1"/>
    <x v="0"/>
    <x v="1"/>
    <s v="Sept"/>
  </r>
  <r>
    <s v="2.20945E+11"/>
    <n v="220607066"/>
    <d v="2022-09-12T00:00:00"/>
    <s v="08:04:52.297Z"/>
    <n v="1502"/>
    <d v="1997-12-07T00:00:00"/>
    <n v="66"/>
    <n v="46.15"/>
    <x v="0"/>
    <x v="456"/>
    <x v="576"/>
    <s v="No"/>
    <s v="Yes"/>
    <n v="24"/>
    <s v="100-75"/>
    <x v="4"/>
    <x v="0"/>
    <n v="357"/>
    <x v="42"/>
    <x v="0"/>
    <s v="Pass"/>
    <x v="0"/>
    <s v="B"/>
    <x v="0"/>
    <s v="40-50"/>
    <x v="0"/>
    <x v="0"/>
    <x v="0"/>
    <x v="0"/>
    <x v="4"/>
    <x v="1"/>
    <x v="0"/>
    <x v="1"/>
    <s v="Sept"/>
  </r>
  <r>
    <s v="2.20945E+11"/>
    <n v="220601291"/>
    <d v="2022-09-08T00:00:00"/>
    <s v="16:17:26.139Z"/>
    <n v="1699"/>
    <d v="1997-04-04T00:00:00"/>
    <n v="79.09"/>
    <s v="Other"/>
    <x v="150"/>
    <x v="457"/>
    <x v="577"/>
    <s v="No"/>
    <s v="No"/>
    <n v="25"/>
    <s v="100-75"/>
    <x v="6"/>
    <x v="0"/>
    <n v="490"/>
    <x v="312"/>
    <x v="1"/>
    <s v="Pass"/>
    <x v="1"/>
    <s v="B"/>
    <x v="0"/>
    <s v="60-70"/>
    <x v="1"/>
    <x v="142"/>
    <x v="1"/>
    <x v="1"/>
    <x v="4"/>
    <x v="1"/>
    <x v="0"/>
    <x v="1"/>
    <s v="Sept"/>
  </r>
  <r>
    <s v="2.20945E+11"/>
    <n v="220703283"/>
    <d v="2022-09-11T00:00:00"/>
    <s v="00:27:55.086Z"/>
    <n v="1140"/>
    <d v="1994-07-30T00:00:00"/>
    <n v="74"/>
    <n v="60.8"/>
    <x v="0"/>
    <x v="458"/>
    <x v="578"/>
    <s v="No"/>
    <s v="Yes"/>
    <n v="28"/>
    <s v="60-75"/>
    <x v="5"/>
    <x v="0"/>
    <n v="482"/>
    <x v="108"/>
    <x v="2"/>
    <s v="Pass"/>
    <x v="2"/>
    <s v="C"/>
    <x v="0"/>
    <s v="60-70"/>
    <x v="2"/>
    <x v="3"/>
    <x v="1"/>
    <x v="1"/>
    <x v="4"/>
    <x v="1"/>
    <x v="1"/>
    <x v="1"/>
    <s v="Sept"/>
  </r>
  <r>
    <s v="2.20945E+11"/>
    <n v="220600885"/>
    <d v="2022-09-13T00:00:00"/>
    <s v="13:55:12.511Z"/>
    <n v="1220"/>
    <d v="1994-08-03T00:00:00"/>
    <n v="80.91"/>
    <n v="60.33"/>
    <x v="0"/>
    <x v="459"/>
    <x v="579"/>
    <s v="No"/>
    <s v="Yes"/>
    <n v="28"/>
    <s v="100-75"/>
    <x v="4"/>
    <x v="0"/>
    <n v="377"/>
    <x v="183"/>
    <x v="0"/>
    <s v="Pass"/>
    <x v="0"/>
    <s v="B"/>
    <x v="0"/>
    <s v="40-50"/>
    <x v="0"/>
    <x v="0"/>
    <x v="0"/>
    <x v="0"/>
    <x v="4"/>
    <x v="1"/>
    <x v="1"/>
    <x v="1"/>
    <s v="Sept"/>
  </r>
  <r>
    <s v="2.20945E+11"/>
    <n v="220711329"/>
    <d v="2022-09-08T00:00:00"/>
    <s v="18:18:00.174Z"/>
    <n v="645"/>
    <d v="2000-07-15T00:00:00"/>
    <n v="93"/>
    <n v="70.77"/>
    <x v="0"/>
    <x v="460"/>
    <x v="580"/>
    <s v="No"/>
    <s v="No"/>
    <n v="22"/>
    <s v="100-75"/>
    <x v="1"/>
    <x v="0"/>
    <n v="645"/>
    <x v="352"/>
    <x v="1"/>
    <s v="Pass"/>
    <x v="1"/>
    <s v="A"/>
    <x v="0"/>
    <s v="70-85"/>
    <x v="1"/>
    <x v="66"/>
    <x v="1"/>
    <x v="1"/>
    <x v="4"/>
    <x v="3"/>
    <x v="2"/>
    <x v="1"/>
    <s v="Sept"/>
  </r>
  <r>
    <s v="2.20945E+11"/>
    <n v="220600446"/>
    <d v="2022-09-09T00:00:00"/>
    <s v="15:51:38.152Z"/>
    <n v="1744"/>
    <d v="1996-08-25T00:00:00"/>
    <n v="79.8"/>
    <n v="73.2"/>
    <x v="0"/>
    <x v="461"/>
    <x v="581"/>
    <s v="No"/>
    <s v="Yes"/>
    <n v="26"/>
    <s v="60-75"/>
    <x v="4"/>
    <x v="1"/>
    <n v="498"/>
    <x v="75"/>
    <x v="2"/>
    <s v="Pass"/>
    <x v="2"/>
    <s v="B"/>
    <x v="0"/>
    <s v="60-70"/>
    <x v="2"/>
    <x v="3"/>
    <x v="1"/>
    <x v="1"/>
    <x v="4"/>
    <x v="1"/>
    <x v="1"/>
    <x v="1"/>
    <s v="Sept"/>
  </r>
  <r>
    <s v="2.20945E+11"/>
    <n v="220606187"/>
    <d v="2022-09-12T00:00:00"/>
    <s v="18:41:49.071Z"/>
    <n v="1536"/>
    <d v="1999-03-20T00:00:00"/>
    <n v="88"/>
    <n v="63.54"/>
    <x v="0"/>
    <x v="462"/>
    <x v="582"/>
    <s v="No"/>
    <s v="No"/>
    <n v="23"/>
    <s v="60-75"/>
    <x v="4"/>
    <x v="1"/>
    <n v="400"/>
    <x v="114"/>
    <x v="2"/>
    <s v="Pass"/>
    <x v="2"/>
    <s v="B"/>
    <x v="0"/>
    <s v="50-60"/>
    <x v="0"/>
    <x v="0"/>
    <x v="0"/>
    <x v="0"/>
    <x v="4"/>
    <x v="1"/>
    <x v="0"/>
    <x v="1"/>
    <s v="Sept"/>
  </r>
  <r>
    <s v="2.20945E+11"/>
    <n v="220705914"/>
    <d v="2022-09-10T00:00:00"/>
    <s v="12:45:09.845Z"/>
    <n v="1375"/>
    <d v="2001-04-26T00:00:00"/>
    <n v="85.4"/>
    <n v="73.69"/>
    <x v="0"/>
    <x v="463"/>
    <x v="583"/>
    <s v="No"/>
    <s v="Yes"/>
    <n v="21"/>
    <s v="100-75"/>
    <x v="6"/>
    <x v="0"/>
    <n v="485"/>
    <x v="24"/>
    <x v="0"/>
    <s v="Pass"/>
    <x v="0"/>
    <s v="C"/>
    <x v="0"/>
    <s v="60-70"/>
    <x v="1"/>
    <x v="143"/>
    <x v="1"/>
    <x v="1"/>
    <x v="4"/>
    <x v="1"/>
    <x v="2"/>
    <x v="1"/>
    <s v="Sept"/>
  </r>
  <r>
    <s v="2.20945E+11"/>
    <n v="220700538"/>
    <d v="2022-09-11T00:00:00"/>
    <s v="13:06:50.796Z"/>
    <n v="1104"/>
    <d v="1996-02-22T00:00:00"/>
    <n v="84.36"/>
    <n v="61.54"/>
    <x v="0"/>
    <x v="215"/>
    <x v="584"/>
    <s v="No"/>
    <s v="Yes"/>
    <n v="26"/>
    <s v="45-60"/>
    <x v="1"/>
    <x v="0"/>
    <n v="497"/>
    <x v="74"/>
    <x v="1"/>
    <s v="Pass"/>
    <x v="1"/>
    <s v="B"/>
    <x v="0"/>
    <s v="60-70"/>
    <x v="2"/>
    <x v="3"/>
    <x v="1"/>
    <x v="1"/>
    <x v="4"/>
    <x v="1"/>
    <x v="1"/>
    <x v="1"/>
    <s v="Sept"/>
  </r>
  <r>
    <s v="2.20945E+11"/>
    <n v="220710125"/>
    <d v="2022-09-12T00:00:00"/>
    <s v="23:06:27.924Z"/>
    <n v="1482"/>
    <d v="1997-05-11T00:00:00"/>
    <n v="86.91"/>
    <n v="73.53"/>
    <x v="0"/>
    <x v="179"/>
    <x v="585"/>
    <s v="No"/>
    <s v="No"/>
    <n v="25"/>
    <s v="60-75"/>
    <x v="4"/>
    <x v="0"/>
    <n v="556"/>
    <x v="138"/>
    <x v="1"/>
    <s v="Pass"/>
    <x v="1"/>
    <s v="B"/>
    <x v="0"/>
    <s v="60-70"/>
    <x v="2"/>
    <x v="3"/>
    <x v="1"/>
    <x v="1"/>
    <x v="4"/>
    <x v="1"/>
    <x v="0"/>
    <x v="1"/>
    <s v="Sept"/>
  </r>
  <r>
    <s v="2.20945E+11"/>
    <n v="220709264"/>
    <d v="2022-09-13T00:00:00"/>
    <s v="18:34:00.484Z"/>
    <n v="766"/>
    <d v="1997-03-13T00:00:00"/>
    <n v="79.8"/>
    <n v="69"/>
    <x v="0"/>
    <x v="464"/>
    <x v="586"/>
    <s v="No"/>
    <s v="No"/>
    <n v="25"/>
    <s v="45-60"/>
    <x v="4"/>
    <x v="1"/>
    <n v="572"/>
    <x v="174"/>
    <x v="1"/>
    <s v="Pass"/>
    <x v="1"/>
    <s v="A"/>
    <x v="0"/>
    <s v="70-85"/>
    <x v="1"/>
    <x v="119"/>
    <x v="1"/>
    <x v="1"/>
    <x v="4"/>
    <x v="3"/>
    <x v="0"/>
    <x v="1"/>
    <s v="Sept"/>
  </r>
  <r>
    <s v="2.20945E+11"/>
    <n v="220604333"/>
    <d v="2022-09-08T00:00:00"/>
    <s v="18:56:37.286Z"/>
    <n v="1711"/>
    <d v="1998-10-19T00:00:00"/>
    <n v="85.5"/>
    <n v="58.8"/>
    <x v="0"/>
    <x v="465"/>
    <x v="587"/>
    <s v="No"/>
    <s v="No"/>
    <n v="23"/>
    <s v="100-75"/>
    <x v="5"/>
    <x v="0"/>
    <n v="517"/>
    <x v="92"/>
    <x v="2"/>
    <s v="Pass"/>
    <x v="2"/>
    <s v="B"/>
    <x v="0"/>
    <s v="60-70"/>
    <x v="2"/>
    <x v="3"/>
    <x v="1"/>
    <x v="1"/>
    <x v="4"/>
    <x v="1"/>
    <x v="0"/>
    <x v="1"/>
    <s v="Sept"/>
  </r>
  <r>
    <s v="2.20945E+11"/>
    <n v="220602496"/>
    <d v="2022-09-11T00:00:00"/>
    <s v="19:43:59.087Z"/>
    <n v="1641"/>
    <d v="1990-02-06T00:00:00"/>
    <n v="75"/>
    <n v="69"/>
    <x v="0"/>
    <x v="466"/>
    <x v="588"/>
    <s v="No"/>
    <s v="No"/>
    <n v="32"/>
    <s v="0-35"/>
    <x v="1"/>
    <x v="0"/>
    <n v="394"/>
    <x v="353"/>
    <x v="0"/>
    <s v="Pass"/>
    <x v="0"/>
    <s v="C"/>
    <x v="0"/>
    <s v="40-50"/>
    <x v="0"/>
    <x v="0"/>
    <x v="0"/>
    <x v="0"/>
    <x v="4"/>
    <x v="1"/>
    <x v="4"/>
    <x v="1"/>
    <s v="Sept"/>
  </r>
  <r>
    <s v="2.20945E+11"/>
    <n v="220601283"/>
    <d v="2022-09-09T00:00:00"/>
    <s v="16:15:13.737Z"/>
    <n v="1520"/>
    <d v="1994-05-27T00:00:00"/>
    <n v="69.38"/>
    <n v="45.83"/>
    <x v="151"/>
    <x v="467"/>
    <x v="589"/>
    <s v="No"/>
    <s v="No"/>
    <n v="28"/>
    <s v="60-75"/>
    <x v="4"/>
    <x v="0"/>
    <n v="539"/>
    <x v="123"/>
    <x v="2"/>
    <s v="Pass"/>
    <x v="2"/>
    <s v="B"/>
    <x v="0"/>
    <s v="60-70"/>
    <x v="0"/>
    <x v="0"/>
    <x v="0"/>
    <x v="0"/>
    <x v="4"/>
    <x v="1"/>
    <x v="1"/>
    <x v="1"/>
    <s v="Sept"/>
  </r>
  <r>
    <s v="2.20945E+11"/>
    <n v="220601152"/>
    <d v="2022-09-11T00:00:00"/>
    <s v="20:30:43.576Z"/>
    <n v="1364"/>
    <d v="1996-07-17T00:00:00"/>
    <n v="88.91"/>
    <n v="71.540000000000006"/>
    <x v="0"/>
    <x v="267"/>
    <x v="590"/>
    <s v="No"/>
    <s v="Yes"/>
    <n v="26"/>
    <s v="60-75"/>
    <x v="4"/>
    <x v="0"/>
    <n v="539"/>
    <x v="123"/>
    <x v="2"/>
    <s v="Pass"/>
    <x v="2"/>
    <s v="A"/>
    <x v="0"/>
    <s v="60-70"/>
    <x v="2"/>
    <x v="3"/>
    <x v="1"/>
    <x v="1"/>
    <x v="4"/>
    <x v="1"/>
    <x v="1"/>
    <x v="1"/>
    <s v="Sept"/>
  </r>
  <r>
    <s v="2.20945E+11"/>
    <n v="220607965"/>
    <d v="2022-09-12T00:00:00"/>
    <s v="21:54:55.299Z"/>
    <n v="1682"/>
    <d v="2001-01-17T00:00:00"/>
    <n v="88.2"/>
    <n v="58.92"/>
    <x v="0"/>
    <x v="343"/>
    <x v="591"/>
    <s v="No"/>
    <s v="No"/>
    <n v="21"/>
    <s v="60-75"/>
    <x v="2"/>
    <x v="0"/>
    <n v="495"/>
    <x v="319"/>
    <x v="2"/>
    <s v="Pass"/>
    <x v="2"/>
    <s v="B"/>
    <x v="0"/>
    <s v="60-70"/>
    <x v="1"/>
    <x v="2"/>
    <x v="1"/>
    <x v="1"/>
    <x v="4"/>
    <x v="1"/>
    <x v="2"/>
    <x v="1"/>
    <s v="Sept"/>
  </r>
  <r>
    <s v="2.20945E+11"/>
    <n v="220602419"/>
    <d v="2022-09-09T00:00:00"/>
    <s v="11:07:15.901Z"/>
    <n v="1496"/>
    <d v="2000-02-12T00:00:00"/>
    <n v="80.8"/>
    <n v="57.38"/>
    <x v="0"/>
    <x v="468"/>
    <x v="592"/>
    <s v="Yes"/>
    <s v="Yes"/>
    <n v="22"/>
    <s v="0-35"/>
    <x v="3"/>
    <x v="3"/>
    <n v="532"/>
    <x v="65"/>
    <x v="2"/>
    <s v="Pass"/>
    <x v="2"/>
    <s v="A"/>
    <x v="0"/>
    <s v="60-70"/>
    <x v="1"/>
    <x v="24"/>
    <x v="1"/>
    <x v="1"/>
    <x v="4"/>
    <x v="1"/>
    <x v="2"/>
    <x v="1"/>
    <s v="Sept"/>
  </r>
  <r>
    <s v="2.20945E+11"/>
    <n v="220600593"/>
    <d v="2022-09-09T00:00:00"/>
    <s v="12:34:05.522Z"/>
    <n v="798"/>
    <d v="1997-08-07T00:00:00"/>
    <n v="80"/>
    <n v="66"/>
    <x v="0"/>
    <x v="469"/>
    <x v="593"/>
    <s v="No"/>
    <s v="No"/>
    <n v="25"/>
    <s v="60-75"/>
    <x v="4"/>
    <x v="0"/>
    <n v="557"/>
    <x v="78"/>
    <x v="2"/>
    <s v="Pass"/>
    <x v="2"/>
    <s v="A"/>
    <x v="0"/>
    <s v="60-70"/>
    <x v="2"/>
    <x v="3"/>
    <x v="1"/>
    <x v="1"/>
    <x v="4"/>
    <x v="3"/>
    <x v="0"/>
    <x v="1"/>
    <s v="Sept"/>
  </r>
  <r>
    <s v="2.20945E+11"/>
    <n v="220700923"/>
    <d v="2022-09-11T00:00:00"/>
    <s v="10:32:42.370Z"/>
    <n v="960"/>
    <d v="1995-09-12T00:00:00"/>
    <n v="90.91"/>
    <s v="Other"/>
    <x v="152"/>
    <x v="470"/>
    <x v="594"/>
    <s v="No"/>
    <s v="Yes"/>
    <n v="26"/>
    <s v="100-75"/>
    <x v="0"/>
    <x v="0"/>
    <n v="611"/>
    <x v="117"/>
    <x v="1"/>
    <s v="Pass"/>
    <x v="1"/>
    <s v="A"/>
    <x v="0"/>
    <s v="70-85"/>
    <x v="1"/>
    <x v="24"/>
    <x v="1"/>
    <x v="1"/>
    <x v="4"/>
    <x v="3"/>
    <x v="1"/>
    <x v="1"/>
    <s v="Sept"/>
  </r>
  <r>
    <s v="2.20945E+11"/>
    <n v="220604315"/>
    <d v="2022-09-11T00:00:00"/>
    <s v="19:06:50.746Z"/>
    <n v="406"/>
    <d v="1996-01-24T00:00:00"/>
    <n v="94.33"/>
    <n v="72.67"/>
    <x v="0"/>
    <x v="40"/>
    <x v="595"/>
    <s v="Yes"/>
    <s v="No"/>
    <n v="26"/>
    <s v="100-75"/>
    <x v="4"/>
    <x v="0"/>
    <n v="583"/>
    <x v="164"/>
    <x v="1"/>
    <s v="Pass"/>
    <x v="1"/>
    <s v="A"/>
    <x v="0"/>
    <s v="70-85"/>
    <x v="1"/>
    <x v="139"/>
    <x v="1"/>
    <x v="1"/>
    <x v="4"/>
    <x v="3"/>
    <x v="1"/>
    <x v="1"/>
    <s v="Sept"/>
  </r>
  <r>
    <s v="2.20945E+11"/>
    <n v="220602968"/>
    <d v="2022-09-13T00:00:00"/>
    <s v="19:44:02.704Z"/>
    <n v="1480"/>
    <d v="1999-03-24T00:00:00"/>
    <n v="77.8"/>
    <n v="58.92"/>
    <x v="0"/>
    <x v="471"/>
    <x v="596"/>
    <s v="No"/>
    <s v="No"/>
    <n v="23"/>
    <s v="60-75"/>
    <x v="4"/>
    <x v="0"/>
    <n v="504"/>
    <x v="181"/>
    <x v="0"/>
    <s v="Pass"/>
    <x v="0"/>
    <s v="B"/>
    <x v="0"/>
    <s v="60-70"/>
    <x v="0"/>
    <x v="0"/>
    <x v="0"/>
    <x v="0"/>
    <x v="4"/>
    <x v="1"/>
    <x v="0"/>
    <x v="1"/>
    <s v="Sept"/>
  </r>
  <r>
    <s v="2.20945E+11"/>
    <n v="220600777"/>
    <d v="2022-09-09T00:00:00"/>
    <s v="09:20:03.216Z"/>
    <n v="1007"/>
    <d v="1996-10-17T00:00:00"/>
    <n v="74.91"/>
    <n v="58.92"/>
    <x v="0"/>
    <x v="472"/>
    <x v="597"/>
    <s v="No"/>
    <s v="Yes"/>
    <n v="25"/>
    <s v="60-75"/>
    <x v="3"/>
    <x v="0"/>
    <n v="436"/>
    <x v="10"/>
    <x v="0"/>
    <s v="Pass"/>
    <x v="0"/>
    <s v="C"/>
    <x v="0"/>
    <s v="50-60"/>
    <x v="0"/>
    <x v="0"/>
    <x v="0"/>
    <x v="0"/>
    <x v="4"/>
    <x v="1"/>
    <x v="0"/>
    <x v="1"/>
    <s v="Sept"/>
  </r>
  <r>
    <s v="2.20945E+11"/>
    <n v="220712082"/>
    <d v="2022-09-10T00:00:00"/>
    <s v="15:33:07.718Z"/>
    <n v="1739"/>
    <d v="1997-08-01T00:00:00"/>
    <n v="83.64"/>
    <n v="52.46"/>
    <x v="153"/>
    <x v="473"/>
    <x v="598"/>
    <s v="No"/>
    <s v="No"/>
    <n v="25"/>
    <s v="60-75"/>
    <x v="6"/>
    <x v="0"/>
    <n v="555"/>
    <x v="38"/>
    <x v="1"/>
    <s v="Pass"/>
    <x v="1"/>
    <s v="C"/>
    <x v="0"/>
    <s v="60-70"/>
    <x v="2"/>
    <x v="3"/>
    <x v="1"/>
    <x v="1"/>
    <x v="4"/>
    <x v="1"/>
    <x v="0"/>
    <x v="1"/>
    <s v="Sept"/>
  </r>
  <r>
    <s v="2.20945E+11"/>
    <n v="220704194"/>
    <d v="2022-09-10T00:00:00"/>
    <s v="15:40:35.374Z"/>
    <n v="1447"/>
    <d v="1997-07-18T00:00:00"/>
    <n v="92.46"/>
    <n v="72"/>
    <x v="0"/>
    <x v="45"/>
    <x v="599"/>
    <s v="No"/>
    <s v="No"/>
    <n v="25"/>
    <s v="100-75"/>
    <x v="4"/>
    <x v="0"/>
    <n v="584"/>
    <x v="335"/>
    <x v="1"/>
    <s v="Pass"/>
    <x v="1"/>
    <s v="A"/>
    <x v="0"/>
    <s v="70-85"/>
    <x v="1"/>
    <x v="139"/>
    <x v="1"/>
    <x v="1"/>
    <x v="4"/>
    <x v="1"/>
    <x v="0"/>
    <x v="1"/>
    <s v="Sept"/>
  </r>
  <r>
    <s v="2.20945E+11"/>
    <n v="220606852"/>
    <d v="2022-09-09T00:00:00"/>
    <s v="13:01:55.362Z"/>
    <n v="1105"/>
    <d v="1995-06-26T00:00:00"/>
    <n v="85.09"/>
    <s v="Other"/>
    <x v="0"/>
    <x v="474"/>
    <x v="600"/>
    <s v="No"/>
    <s v="Yes"/>
    <n v="27"/>
    <s v="60-75"/>
    <x v="4"/>
    <x v="0"/>
    <n v="444"/>
    <x v="291"/>
    <x v="2"/>
    <s v="Pass"/>
    <x v="2"/>
    <s v="B"/>
    <x v="0"/>
    <s v="50-60"/>
    <x v="0"/>
    <x v="0"/>
    <x v="0"/>
    <x v="0"/>
    <x v="4"/>
    <x v="1"/>
    <x v="1"/>
    <x v="1"/>
    <s v="Sept"/>
  </r>
  <r>
    <s v="2.20945E+11"/>
    <n v="220606435"/>
    <d v="2022-09-13T00:00:00"/>
    <s v="14:12:58.968Z"/>
    <n v="1714"/>
    <d v="1998-09-22T00:00:00"/>
    <n v="70.3"/>
    <n v="72.8"/>
    <x v="0"/>
    <x v="475"/>
    <x v="255"/>
    <s v="No"/>
    <s v="No"/>
    <n v="23"/>
    <s v="60-75"/>
    <x v="4"/>
    <x v="1"/>
    <n v="483"/>
    <x v="104"/>
    <x v="2"/>
    <s v="Pass"/>
    <x v="2"/>
    <s v="B"/>
    <x v="0"/>
    <s v="60-70"/>
    <x v="0"/>
    <x v="0"/>
    <x v="0"/>
    <x v="0"/>
    <x v="4"/>
    <x v="1"/>
    <x v="0"/>
    <x v="1"/>
    <s v="Sept"/>
  </r>
  <r>
    <s v="2.20945E+11"/>
    <n v="220601739"/>
    <d v="2022-09-11T00:00:00"/>
    <s v="10:03:37.816Z"/>
    <n v="1731"/>
    <d v="1999-08-02T00:00:00"/>
    <n v="85.5"/>
    <n v="88.66"/>
    <x v="0"/>
    <x v="45"/>
    <x v="601"/>
    <s v="No"/>
    <s v="Yes"/>
    <n v="23"/>
    <s v="100-75"/>
    <x v="2"/>
    <x v="0"/>
    <n v="586"/>
    <x v="145"/>
    <x v="1"/>
    <s v="Pass"/>
    <x v="1"/>
    <s v="B"/>
    <x v="0"/>
    <s v="70-85"/>
    <x v="1"/>
    <x v="139"/>
    <x v="1"/>
    <x v="1"/>
    <x v="4"/>
    <x v="1"/>
    <x v="0"/>
    <x v="1"/>
    <s v="Sept"/>
  </r>
  <r>
    <s v="2.20945E+11"/>
    <n v="220603896"/>
    <d v="2022-09-09T00:00:00"/>
    <s v="19:31:32.910Z"/>
    <n v="154"/>
    <d v="1999-08-23T00:00:00"/>
    <n v="93.6"/>
    <n v="71.38"/>
    <x v="0"/>
    <x v="476"/>
    <x v="602"/>
    <s v="No"/>
    <s v="Yes"/>
    <n v="23"/>
    <s v="100-75"/>
    <x v="5"/>
    <x v="0"/>
    <n v="652"/>
    <x v="354"/>
    <x v="1"/>
    <s v="Pass"/>
    <x v="1"/>
    <s v="A"/>
    <x v="0"/>
    <s v="70-85"/>
    <x v="1"/>
    <x v="41"/>
    <x v="1"/>
    <x v="1"/>
    <x v="4"/>
    <x v="3"/>
    <x v="0"/>
    <x v="1"/>
    <s v="Sept"/>
  </r>
  <r>
    <s v="2.20945E+11"/>
    <n v="220604262"/>
    <d v="2022-09-12T00:00:00"/>
    <s v="19:00:34.790Z"/>
    <n v="1765"/>
    <d v="1995-07-28T00:00:00"/>
    <n v="73.599999999999994"/>
    <n v="76.599999999999994"/>
    <x v="0"/>
    <x v="212"/>
    <x v="603"/>
    <s v="No"/>
    <s v="No"/>
    <n v="27"/>
    <s v="60-75"/>
    <x v="4"/>
    <x v="1"/>
    <n v="523"/>
    <x v="346"/>
    <x v="2"/>
    <s v="Pass"/>
    <x v="2"/>
    <s v="B"/>
    <x v="0"/>
    <s v="60-70"/>
    <x v="1"/>
    <x v="144"/>
    <x v="1"/>
    <x v="1"/>
    <x v="4"/>
    <x v="1"/>
    <x v="1"/>
    <x v="1"/>
    <s v="Sept"/>
  </r>
  <r>
    <s v="2.20945E+11"/>
    <n v="220710442"/>
    <d v="2022-09-11T00:00:00"/>
    <s v="19:06:49.205Z"/>
    <n v="1610"/>
    <d v="1999-12-25T00:00:00"/>
    <n v="92.6"/>
    <n v="78.599999999999994"/>
    <x v="0"/>
    <x v="477"/>
    <x v="604"/>
    <s v="No"/>
    <s v="No"/>
    <n v="22"/>
    <s v="60-75"/>
    <x v="5"/>
    <x v="1"/>
    <n v="605"/>
    <x v="99"/>
    <x v="1"/>
    <s v="Pass"/>
    <x v="1"/>
    <s v="A"/>
    <x v="0"/>
    <s v="70-85"/>
    <x v="1"/>
    <x v="145"/>
    <x v="1"/>
    <x v="1"/>
    <x v="4"/>
    <x v="1"/>
    <x v="2"/>
    <x v="1"/>
    <s v="Sept"/>
  </r>
  <r>
    <s v="2.20945E+11"/>
    <n v="220710779"/>
    <d v="2022-09-13T00:00:00"/>
    <s v="12:13:27.569Z"/>
    <n v="1735"/>
    <d v="1996-04-10T00:00:00"/>
    <n v="78"/>
    <s v="Other"/>
    <x v="154"/>
    <x v="478"/>
    <x v="605"/>
    <s v="No"/>
    <s v="No"/>
    <n v="26"/>
    <s v="0-35"/>
    <x v="4"/>
    <x v="0"/>
    <n v="444"/>
    <x v="291"/>
    <x v="2"/>
    <s v="Pass"/>
    <x v="2"/>
    <s v="B"/>
    <x v="0"/>
    <s v="50-60"/>
    <x v="2"/>
    <x v="3"/>
    <x v="1"/>
    <x v="1"/>
    <x v="4"/>
    <x v="1"/>
    <x v="1"/>
    <x v="1"/>
    <s v="Sept"/>
  </r>
  <r>
    <s v="2.20945E+11"/>
    <n v="220600486"/>
    <d v="2022-09-13T00:00:00"/>
    <s v="19:46:21.429Z"/>
    <n v="612"/>
    <d v="1993-09-03T00:00:00"/>
    <n v="69.53"/>
    <n v="60.67"/>
    <x v="0"/>
    <x v="479"/>
    <x v="606"/>
    <s v="No"/>
    <s v="No"/>
    <n v="29"/>
    <s v="45-60"/>
    <x v="6"/>
    <x v="0"/>
    <n v="498"/>
    <x v="75"/>
    <x v="2"/>
    <s v="Pass"/>
    <x v="2"/>
    <s v="B"/>
    <x v="0"/>
    <s v="60-70"/>
    <x v="0"/>
    <x v="0"/>
    <x v="0"/>
    <x v="0"/>
    <x v="4"/>
    <x v="3"/>
    <x v="4"/>
    <x v="1"/>
    <s v="Sept"/>
  </r>
  <r>
    <s v="2.20945E+11"/>
    <n v="220701481"/>
    <d v="2022-09-11T00:00:00"/>
    <s v="08:01:40.229Z"/>
    <n v="1295"/>
    <d v="1996-07-15T00:00:00"/>
    <n v="83.6"/>
    <n v="55.8"/>
    <x v="0"/>
    <x v="445"/>
    <x v="607"/>
    <s v="Yes"/>
    <s v="No"/>
    <n v="26"/>
    <s v="0-35"/>
    <x v="5"/>
    <x v="3"/>
    <n v="520"/>
    <x v="93"/>
    <x v="2"/>
    <s v="Pass"/>
    <x v="2"/>
    <s v="A"/>
    <x v="0"/>
    <s v="60-70"/>
    <x v="2"/>
    <x v="3"/>
    <x v="1"/>
    <x v="1"/>
    <x v="4"/>
    <x v="1"/>
    <x v="1"/>
    <x v="1"/>
    <s v="Sept"/>
  </r>
  <r>
    <s v="2.20945E+11"/>
    <n v="220603586"/>
    <d v="2022-09-11T00:00:00"/>
    <s v="23:41:27.089Z"/>
    <n v="953"/>
    <d v="1998-02-19T00:00:00"/>
    <n v="82.6"/>
    <n v="70.010000000000005"/>
    <x v="0"/>
    <x v="480"/>
    <x v="608"/>
    <s v="No"/>
    <s v="Yes"/>
    <n v="24"/>
    <s v="60-75"/>
    <x v="4"/>
    <x v="0"/>
    <n v="481"/>
    <x v="84"/>
    <x v="1"/>
    <s v="Pass"/>
    <x v="1"/>
    <s v="C"/>
    <x v="0"/>
    <s v="60-70"/>
    <x v="1"/>
    <x v="137"/>
    <x v="1"/>
    <x v="1"/>
    <x v="4"/>
    <x v="3"/>
    <x v="0"/>
    <x v="1"/>
    <s v="Sept"/>
  </r>
  <r>
    <s v="2.20945E+11"/>
    <n v="220600062"/>
    <d v="2022-09-09T00:00:00"/>
    <s v="15:01:19.005Z"/>
    <n v="1150"/>
    <d v="1997-06-28T00:00:00"/>
    <n v="71.27"/>
    <n v="52.92"/>
    <x v="155"/>
    <x v="481"/>
    <x v="609"/>
    <s v="No"/>
    <s v="No"/>
    <n v="25"/>
    <s v="45-60"/>
    <x v="2"/>
    <x v="0"/>
    <n v="476"/>
    <x v="184"/>
    <x v="2"/>
    <s v="Pass"/>
    <x v="2"/>
    <s v="B"/>
    <x v="0"/>
    <s v="50-60"/>
    <x v="2"/>
    <x v="3"/>
    <x v="1"/>
    <x v="1"/>
    <x v="4"/>
    <x v="1"/>
    <x v="0"/>
    <x v="1"/>
    <s v="Sept"/>
  </r>
  <r>
    <s v="2.20945E+11"/>
    <n v="220603916"/>
    <d v="2022-09-09T00:00:00"/>
    <s v="17:59:16.273Z"/>
    <n v="390"/>
    <d v="1996-04-06T00:00:00"/>
    <n v="88.18"/>
    <s v="Other"/>
    <x v="156"/>
    <x v="482"/>
    <x v="610"/>
    <s v="No"/>
    <s v="Yes"/>
    <n v="26"/>
    <s v="60-75"/>
    <x v="4"/>
    <x v="0"/>
    <n v="638"/>
    <x v="66"/>
    <x v="1"/>
    <s v="Pass"/>
    <x v="1"/>
    <s v="A"/>
    <x v="0"/>
    <s v="70-85"/>
    <x v="2"/>
    <x v="3"/>
    <x v="1"/>
    <x v="1"/>
    <x v="4"/>
    <x v="3"/>
    <x v="1"/>
    <x v="1"/>
    <s v="Sept"/>
  </r>
  <r>
    <s v="2.20945E+11"/>
    <n v="220603547"/>
    <d v="2022-09-11T00:00:00"/>
    <s v="20:58:27.449Z"/>
    <n v="1666"/>
    <d v="1998-11-13T00:00:00"/>
    <n v="86.3"/>
    <n v="74"/>
    <x v="0"/>
    <x v="483"/>
    <x v="611"/>
    <s v="No"/>
    <s v="No"/>
    <n v="23"/>
    <s v="0-35"/>
    <x v="5"/>
    <x v="1"/>
    <n v="473"/>
    <x v="149"/>
    <x v="1"/>
    <s v="Pass"/>
    <x v="1"/>
    <s v="B"/>
    <x v="0"/>
    <s v="50-60"/>
    <x v="2"/>
    <x v="3"/>
    <x v="1"/>
    <x v="1"/>
    <x v="4"/>
    <x v="1"/>
    <x v="0"/>
    <x v="1"/>
    <s v="Sept"/>
  </r>
  <r>
    <s v="2.20945E+11"/>
    <n v="220602601"/>
    <d v="2022-09-09T00:00:00"/>
    <s v="16:31:41.637Z"/>
    <n v="336"/>
    <d v="1999-08-11T00:00:00"/>
    <n v="81.7"/>
    <s v="Other"/>
    <x v="157"/>
    <x v="484"/>
    <x v="612"/>
    <s v="No"/>
    <s v="Yes"/>
    <n v="23"/>
    <s v="100-75"/>
    <x v="4"/>
    <x v="1"/>
    <n v="576"/>
    <x v="125"/>
    <x v="1"/>
    <s v="Pass"/>
    <x v="1"/>
    <s v="B"/>
    <x v="0"/>
    <s v="70-85"/>
    <x v="1"/>
    <x v="72"/>
    <x v="1"/>
    <x v="1"/>
    <x v="4"/>
    <x v="3"/>
    <x v="0"/>
    <x v="1"/>
    <s v="Sept"/>
  </r>
  <r>
    <s v="2.20945E+11"/>
    <n v="220707969"/>
    <d v="2022-09-12T00:00:00"/>
    <s v="16:11:55.501Z"/>
    <n v="1644"/>
    <d v="2000-03-06T00:00:00"/>
    <n v="82.8"/>
    <n v="63.38"/>
    <x v="0"/>
    <x v="485"/>
    <x v="613"/>
    <s v="No"/>
    <s v="No"/>
    <n v="22"/>
    <s v="0-35"/>
    <x v="4"/>
    <x v="0"/>
    <n v="503"/>
    <x v="64"/>
    <x v="2"/>
    <s v="Pass"/>
    <x v="2"/>
    <s v="B"/>
    <x v="0"/>
    <s v="60-70"/>
    <x v="0"/>
    <x v="0"/>
    <x v="0"/>
    <x v="0"/>
    <x v="4"/>
    <x v="1"/>
    <x v="2"/>
    <x v="1"/>
    <s v="Sept"/>
  </r>
  <r>
    <s v="2.20945E+11"/>
    <n v="220709383"/>
    <d v="2022-09-12T00:00:00"/>
    <s v="12:19:21.766Z"/>
    <n v="1588"/>
    <d v="1997-02-08T00:00:00"/>
    <n v="91.2"/>
    <n v="70.400000000000006"/>
    <x v="0"/>
    <x v="1"/>
    <x v="614"/>
    <s v="No"/>
    <s v="Yes"/>
    <n v="25"/>
    <s v="60-75"/>
    <x v="1"/>
    <x v="0"/>
    <n v="481"/>
    <x v="84"/>
    <x v="1"/>
    <s v="Pass"/>
    <x v="1"/>
    <s v="B"/>
    <x v="0"/>
    <s v="60-70"/>
    <x v="1"/>
    <x v="41"/>
    <x v="1"/>
    <x v="1"/>
    <x v="4"/>
    <x v="1"/>
    <x v="0"/>
    <x v="1"/>
    <s v="Sept"/>
  </r>
  <r>
    <s v="2.20945E+11"/>
    <n v="220602799"/>
    <d v="2022-09-09T00:00:00"/>
    <s v="12:14:58.303Z"/>
    <n v="1722"/>
    <d v="2000-06-11T00:00:00"/>
    <n v="78.8"/>
    <n v="63.85"/>
    <x v="0"/>
    <x v="486"/>
    <x v="165"/>
    <s v="No"/>
    <s v="No"/>
    <n v="22"/>
    <s v="0-35"/>
    <x v="5"/>
    <x v="0"/>
    <n v="566"/>
    <x v="322"/>
    <x v="1"/>
    <s v="Pass"/>
    <x v="1"/>
    <s v="B"/>
    <x v="0"/>
    <s v="70-85"/>
    <x v="2"/>
    <x v="3"/>
    <x v="1"/>
    <x v="1"/>
    <x v="4"/>
    <x v="1"/>
    <x v="2"/>
    <x v="1"/>
    <s v="Sept"/>
  </r>
  <r>
    <s v="2.20945E+11"/>
    <n v="220602200"/>
    <d v="2022-09-10T00:00:00"/>
    <s v="09:55:39.295Z"/>
    <n v="1720"/>
    <d v="1997-12-06T00:00:00"/>
    <n v="82"/>
    <n v="59.2"/>
    <x v="0"/>
    <x v="403"/>
    <x v="615"/>
    <s v="No"/>
    <s v="Yes"/>
    <n v="24"/>
    <s v="60-75"/>
    <x v="3"/>
    <x v="4"/>
    <n v="436"/>
    <x v="10"/>
    <x v="1"/>
    <s v="Pass"/>
    <x v="1"/>
    <s v="C"/>
    <x v="0"/>
    <s v="50-60"/>
    <x v="2"/>
    <x v="3"/>
    <x v="1"/>
    <x v="1"/>
    <x v="4"/>
    <x v="1"/>
    <x v="0"/>
    <x v="1"/>
    <s v="Sept"/>
  </r>
  <r>
    <s v="2.20945E+11"/>
    <n v="220603915"/>
    <d v="2022-09-09T00:00:00"/>
    <s v="17:13:07.930Z"/>
    <n v="1149"/>
    <d v="1996-10-22T00:00:00"/>
    <n v="75.45"/>
    <n v="61.08"/>
    <x v="0"/>
    <x v="487"/>
    <x v="616"/>
    <s v="No"/>
    <s v="Yes"/>
    <n v="25"/>
    <s v="60-75"/>
    <x v="4"/>
    <x v="0"/>
    <n v="639"/>
    <x v="355"/>
    <x v="1"/>
    <s v="Pass"/>
    <x v="1"/>
    <s v="A"/>
    <x v="0"/>
    <s v="70-85"/>
    <x v="1"/>
    <x v="146"/>
    <x v="1"/>
    <x v="1"/>
    <x v="4"/>
    <x v="1"/>
    <x v="0"/>
    <x v="1"/>
    <s v="Sept"/>
  </r>
  <r>
    <s v="2.20945E+11"/>
    <n v="220702493"/>
    <d v="2022-09-08T00:00:00"/>
    <s v="18:54:26.744Z"/>
    <n v="1689"/>
    <d v="1999-09-12T00:00:00"/>
    <n v="81.3"/>
    <n v="70.8"/>
    <x v="158"/>
    <x v="488"/>
    <x v="617"/>
    <s v="No"/>
    <s v="No"/>
    <n v="22"/>
    <s v="0-35"/>
    <x v="3"/>
    <x v="1"/>
    <n v="536"/>
    <x v="110"/>
    <x v="0"/>
    <s v="Pass"/>
    <x v="0"/>
    <s v="A"/>
    <x v="0"/>
    <s v="60-70"/>
    <x v="1"/>
    <x v="41"/>
    <x v="1"/>
    <x v="1"/>
    <x v="4"/>
    <x v="1"/>
    <x v="2"/>
    <x v="1"/>
    <s v="Sept"/>
  </r>
  <r>
    <s v="2.20945E+11"/>
    <n v="220601172"/>
    <d v="2022-09-10T00:00:00"/>
    <s v="23:11:27.965Z"/>
    <n v="1726"/>
    <d v="1997-06-06T00:00:00"/>
    <n v="91.09"/>
    <n v="75.38"/>
    <x v="0"/>
    <x v="489"/>
    <x v="618"/>
    <s v="No"/>
    <s v="Yes"/>
    <n v="25"/>
    <s v="60-75"/>
    <x v="4"/>
    <x v="0"/>
    <n v="523"/>
    <x v="346"/>
    <x v="0"/>
    <s v="Pass"/>
    <x v="0"/>
    <s v="C"/>
    <x v="0"/>
    <s v="60-70"/>
    <x v="1"/>
    <x v="147"/>
    <x v="1"/>
    <x v="1"/>
    <x v="4"/>
    <x v="1"/>
    <x v="0"/>
    <x v="1"/>
    <s v="Sept"/>
  </r>
  <r>
    <s v="2.20945E+11"/>
    <n v="220600845"/>
    <d v="2022-09-11T00:00:00"/>
    <s v="08:12:03.837Z"/>
    <n v="1775"/>
    <d v="1991-03-10T00:00:00"/>
    <n v="59"/>
    <s v="Other"/>
    <x v="0"/>
    <x v="490"/>
    <x v="619"/>
    <s v="No"/>
    <s v="Yes"/>
    <n v="31"/>
    <s v="60-75"/>
    <x v="3"/>
    <x v="4"/>
    <n v="451"/>
    <x v="129"/>
    <x v="2"/>
    <s v="Pass"/>
    <x v="2"/>
    <s v="C"/>
    <x v="0"/>
    <s v="50-60"/>
    <x v="1"/>
    <x v="132"/>
    <x v="1"/>
    <x v="1"/>
    <x v="4"/>
    <x v="1"/>
    <x v="4"/>
    <x v="1"/>
    <s v="Sept"/>
  </r>
  <r>
    <s v="2.20945E+11"/>
    <n v="220705733"/>
    <d v="2022-09-10T00:00:00"/>
    <s v="20:29:03.823Z"/>
    <n v="922"/>
    <d v="1996-09-27T00:00:00"/>
    <n v="67.64"/>
    <n v="58"/>
    <x v="0"/>
    <x v="491"/>
    <x v="620"/>
    <s v="No"/>
    <s v="Yes"/>
    <n v="25"/>
    <s v="60-75"/>
    <x v="4"/>
    <x v="0"/>
    <n v="547"/>
    <x v="51"/>
    <x v="2"/>
    <s v="Pass"/>
    <x v="2"/>
    <s v="B"/>
    <x v="0"/>
    <s v="60-70"/>
    <x v="1"/>
    <x v="148"/>
    <x v="1"/>
    <x v="1"/>
    <x v="4"/>
    <x v="3"/>
    <x v="0"/>
    <x v="1"/>
    <s v="Sept"/>
  </r>
  <r>
    <s v="2.20945E+11"/>
    <n v="220711759"/>
    <d v="2022-09-09T00:00:00"/>
    <s v="15:40:51.722Z"/>
    <n v="1783"/>
    <d v="1996-12-03T00:00:00"/>
    <n v="74.36"/>
    <n v="61.08"/>
    <x v="0"/>
    <x v="481"/>
    <x v="621"/>
    <s v="Yes"/>
    <s v="No"/>
    <n v="25"/>
    <s v="45-60"/>
    <x v="5"/>
    <x v="3"/>
    <n v="637"/>
    <x v="356"/>
    <x v="1"/>
    <s v="Pass"/>
    <x v="1"/>
    <s v="A"/>
    <x v="0"/>
    <s v="70-85"/>
    <x v="1"/>
    <x v="147"/>
    <x v="1"/>
    <x v="1"/>
    <x v="4"/>
    <x v="1"/>
    <x v="0"/>
    <x v="1"/>
    <s v="Sept"/>
  </r>
  <r>
    <s v="2.20945E+11"/>
    <n v="220601085"/>
    <d v="2022-09-11T00:00:00"/>
    <s v="02:04:38.923Z"/>
    <n v="1730"/>
    <d v="1997-10-26T00:00:00"/>
    <n v="86.18"/>
    <n v="60.92"/>
    <x v="54"/>
    <x v="492"/>
    <x v="622"/>
    <s v="No"/>
    <s v="Yes"/>
    <n v="24"/>
    <s v="60-75"/>
    <x v="4"/>
    <x v="0"/>
    <n v="442"/>
    <x v="17"/>
    <x v="2"/>
    <s v="Pass"/>
    <x v="2"/>
    <s v="B"/>
    <x v="0"/>
    <s v="50-60"/>
    <x v="2"/>
    <x v="3"/>
    <x v="1"/>
    <x v="1"/>
    <x v="4"/>
    <x v="1"/>
    <x v="0"/>
    <x v="1"/>
    <s v="Sept"/>
  </r>
  <r>
    <s v="2.20945E+11"/>
    <n v="220601832"/>
    <d v="2022-09-11T00:00:00"/>
    <s v="20:29:07.403Z"/>
    <n v="379"/>
    <d v="1998-05-01T00:00:00"/>
    <n v="76.400000000000006"/>
    <s v="Other"/>
    <x v="159"/>
    <x v="11"/>
    <x v="623"/>
    <s v="No"/>
    <s v="Yes"/>
    <n v="24"/>
    <s v="0-35"/>
    <x v="4"/>
    <x v="0"/>
    <n v="459"/>
    <x v="311"/>
    <x v="0"/>
    <s v="Pass"/>
    <x v="0"/>
    <s v="C"/>
    <x v="0"/>
    <s v="50-60"/>
    <x v="0"/>
    <x v="0"/>
    <x v="0"/>
    <x v="0"/>
    <x v="4"/>
    <x v="3"/>
    <x v="0"/>
    <x v="1"/>
    <s v="Sept"/>
  </r>
  <r>
    <s v="2.20945E+11"/>
    <n v="220603159"/>
    <d v="2022-09-08T00:00:00"/>
    <s v="17:33:19.253Z"/>
    <n v="1111"/>
    <d v="1997-05-22T00:00:00"/>
    <n v="89.6"/>
    <n v="54.62"/>
    <x v="0"/>
    <x v="36"/>
    <x v="624"/>
    <s v="Yes"/>
    <s v="Yes"/>
    <n v="25"/>
    <s v="0-35"/>
    <x v="3"/>
    <x v="4"/>
    <n v="611"/>
    <x v="117"/>
    <x v="2"/>
    <s v="Pass"/>
    <x v="2"/>
    <s v="A"/>
    <x v="0"/>
    <s v="70-85"/>
    <x v="1"/>
    <x v="148"/>
    <x v="1"/>
    <x v="1"/>
    <x v="4"/>
    <x v="1"/>
    <x v="0"/>
    <x v="1"/>
    <s v="Sept"/>
  </r>
  <r>
    <s v="2.20945E+11"/>
    <n v="220602939"/>
    <d v="2022-09-09T00:00:00"/>
    <s v="22:12:08.186Z"/>
    <n v="216"/>
    <d v="2000-09-24T00:00:00"/>
    <n v="74.2"/>
    <s v="Other"/>
    <x v="160"/>
    <x v="493"/>
    <x v="625"/>
    <s v="No"/>
    <s v="Yes"/>
    <n v="21"/>
    <s v="0-35"/>
    <x v="4"/>
    <x v="0"/>
    <n v="495"/>
    <x v="319"/>
    <x v="0"/>
    <s v="Pass"/>
    <x v="0"/>
    <s v="B"/>
    <x v="0"/>
    <s v="60-70"/>
    <x v="2"/>
    <x v="3"/>
    <x v="1"/>
    <x v="1"/>
    <x v="4"/>
    <x v="3"/>
    <x v="2"/>
    <x v="1"/>
    <s v="Sept"/>
  </r>
  <r>
    <s v="2.20945E+11"/>
    <n v="220709321"/>
    <d v="2022-09-11T00:00:00"/>
    <s v="23:23:06.450Z"/>
    <n v="1029"/>
    <d v="1996-08-29T00:00:00"/>
    <n v="78.91"/>
    <s v="Other"/>
    <x v="161"/>
    <x v="494"/>
    <x v="626"/>
    <s v="No"/>
    <s v="Yes"/>
    <n v="26"/>
    <s v="60-75"/>
    <x v="4"/>
    <x v="1"/>
    <n v="574"/>
    <x v="72"/>
    <x v="2"/>
    <s v="Pass"/>
    <x v="2"/>
    <s v="A"/>
    <x v="0"/>
    <s v="70-85"/>
    <x v="2"/>
    <x v="3"/>
    <x v="1"/>
    <x v="1"/>
    <x v="4"/>
    <x v="1"/>
    <x v="1"/>
    <x v="1"/>
    <s v="Sept"/>
  </r>
  <r>
    <s v="2.20945E+11"/>
    <n v="220600923"/>
    <d v="2022-09-09T00:00:00"/>
    <s v="17:38:30.468Z"/>
    <n v="1789"/>
    <d v="1998-01-02T00:00:00"/>
    <n v="81.09"/>
    <n v="66.92"/>
    <x v="0"/>
    <x v="495"/>
    <x v="370"/>
    <s v="No"/>
    <s v="No"/>
    <n v="24"/>
    <s v="60-75"/>
    <x v="4"/>
    <x v="0"/>
    <n v="522"/>
    <x v="43"/>
    <x v="2"/>
    <s v="Pass"/>
    <x v="2"/>
    <s v="B"/>
    <x v="0"/>
    <s v="60-70"/>
    <x v="0"/>
    <x v="0"/>
    <x v="0"/>
    <x v="0"/>
    <x v="4"/>
    <x v="1"/>
    <x v="0"/>
    <x v="1"/>
    <s v="Sept"/>
  </r>
  <r>
    <s v="2.20945E+11"/>
    <n v="220710273"/>
    <d v="2022-09-09T00:00:00"/>
    <s v="22:49:09.142Z"/>
    <n v="1423"/>
    <d v="2000-01-01T00:00:00"/>
    <n v="82.6"/>
    <s v="Other"/>
    <x v="162"/>
    <x v="496"/>
    <x v="627"/>
    <s v="No"/>
    <s v="No"/>
    <n v="22"/>
    <s v="60-75"/>
    <x v="4"/>
    <x v="0"/>
    <n v="564"/>
    <x v="244"/>
    <x v="2"/>
    <s v="Pass"/>
    <x v="2"/>
    <s v="A"/>
    <x v="0"/>
    <s v="70-85"/>
    <x v="1"/>
    <x v="9"/>
    <x v="1"/>
    <x v="1"/>
    <x v="4"/>
    <x v="1"/>
    <x v="2"/>
    <x v="1"/>
    <s v="Sept"/>
  </r>
  <r>
    <s v="2.20945E+11"/>
    <n v="220602638"/>
    <d v="2022-09-10T00:00:00"/>
    <s v="13:16:13.508Z"/>
    <n v="1633"/>
    <d v="2000-09-09T00:00:00"/>
    <n v="74"/>
    <n v="65"/>
    <x v="0"/>
    <x v="497"/>
    <x v="628"/>
    <s v="No"/>
    <s v="Yes"/>
    <n v="22"/>
    <s v="0-35"/>
    <x v="3"/>
    <x v="1"/>
    <n v="556"/>
    <x v="138"/>
    <x v="2"/>
    <s v="Pass"/>
    <x v="2"/>
    <s v="B"/>
    <x v="0"/>
    <s v="60-70"/>
    <x v="1"/>
    <x v="62"/>
    <x v="1"/>
    <x v="1"/>
    <x v="4"/>
    <x v="1"/>
    <x v="2"/>
    <x v="1"/>
    <s v="Sept"/>
  </r>
  <r>
    <s v="2.20945E+11"/>
    <n v="220710845"/>
    <d v="2022-09-09T00:00:00"/>
    <s v="12:38:48.608Z"/>
    <n v="650"/>
    <d v="1996-02-11T00:00:00"/>
    <n v="80.91"/>
    <n v="70.150000000000006"/>
    <x v="0"/>
    <x v="498"/>
    <x v="629"/>
    <s v="No"/>
    <s v="Yes"/>
    <n v="26"/>
    <s v="60-75"/>
    <x v="2"/>
    <x v="0"/>
    <n v="635"/>
    <x v="357"/>
    <x v="1"/>
    <s v="Pass"/>
    <x v="1"/>
    <s v="A"/>
    <x v="0"/>
    <s v="70-85"/>
    <x v="1"/>
    <x v="146"/>
    <x v="1"/>
    <x v="1"/>
    <x v="4"/>
    <x v="3"/>
    <x v="1"/>
    <x v="1"/>
    <s v="Sept"/>
  </r>
  <r>
    <s v="2.20945E+11"/>
    <n v="220600356"/>
    <d v="2022-09-11T00:00:00"/>
    <s v="22:37:02.043Z"/>
    <n v="57"/>
    <d v="1996-03-04T00:00:00"/>
    <n v="84.36"/>
    <n v="61.08"/>
    <x v="0"/>
    <x v="41"/>
    <x v="630"/>
    <s v="No"/>
    <s v="Yes"/>
    <n v="26"/>
    <s v="60-75"/>
    <x v="6"/>
    <x v="0"/>
    <n v="566"/>
    <x v="322"/>
    <x v="1"/>
    <s v="Pass"/>
    <x v="1"/>
    <s v="A"/>
    <x v="0"/>
    <s v="70-85"/>
    <x v="2"/>
    <x v="3"/>
    <x v="1"/>
    <x v="1"/>
    <x v="4"/>
    <x v="3"/>
    <x v="1"/>
    <x v="1"/>
    <s v="Sept"/>
  </r>
  <r>
    <s v="2.20945E+11"/>
    <n v="220711871"/>
    <d v="2022-09-10T00:00:00"/>
    <s v="12:30:41.801Z"/>
    <n v="897"/>
    <d v="1998-10-14T00:00:00"/>
    <n v="76.599999999999994"/>
    <n v="51.23"/>
    <x v="0"/>
    <x v="499"/>
    <x v="631"/>
    <s v="Yes"/>
    <s v="Yes"/>
    <n v="23"/>
    <s v="0-35"/>
    <x v="3"/>
    <x v="3"/>
    <n v="609"/>
    <x v="167"/>
    <x v="1"/>
    <s v="Pass"/>
    <x v="1"/>
    <s v="A"/>
    <x v="0"/>
    <s v="70-85"/>
    <x v="1"/>
    <x v="24"/>
    <x v="1"/>
    <x v="1"/>
    <x v="4"/>
    <x v="3"/>
    <x v="0"/>
    <x v="1"/>
    <s v="Sept"/>
  </r>
  <r>
    <s v="2.20945E+11"/>
    <n v="220602925"/>
    <d v="2022-09-13T00:00:00"/>
    <s v="13:30:28.148Z"/>
    <n v="1721"/>
    <d v="1997-05-07T00:00:00"/>
    <n v="88.91"/>
    <n v="74.77"/>
    <x v="0"/>
    <x v="500"/>
    <x v="632"/>
    <s v="No"/>
    <s v="Yes"/>
    <n v="25"/>
    <s v="60-75"/>
    <x v="4"/>
    <x v="0"/>
    <n v="500"/>
    <x v="156"/>
    <x v="0"/>
    <s v="Pass"/>
    <x v="0"/>
    <s v="B"/>
    <x v="0"/>
    <s v="60-70"/>
    <x v="0"/>
    <x v="0"/>
    <x v="0"/>
    <x v="0"/>
    <x v="4"/>
    <x v="1"/>
    <x v="0"/>
    <x v="1"/>
    <s v="Sept"/>
  </r>
  <r>
    <s v="2.20945E+11"/>
    <n v="220710276"/>
    <d v="2022-09-12T00:00:00"/>
    <s v="20:29:54.243Z"/>
    <n v="1784"/>
    <d v="1997-06-16T00:00:00"/>
    <n v="78.400000000000006"/>
    <s v="Other"/>
    <x v="163"/>
    <x v="501"/>
    <x v="633"/>
    <s v="No"/>
    <s v="Yes"/>
    <n v="25"/>
    <s v="60-75"/>
    <x v="4"/>
    <x v="0"/>
    <n v="424"/>
    <x v="26"/>
    <x v="0"/>
    <s v="Pass"/>
    <x v="0"/>
    <s v="B"/>
    <x v="0"/>
    <s v="50-60"/>
    <x v="0"/>
    <x v="0"/>
    <x v="0"/>
    <x v="0"/>
    <x v="4"/>
    <x v="1"/>
    <x v="0"/>
    <x v="1"/>
    <s v="Sept"/>
  </r>
  <r>
    <s v="2.20945E+11"/>
    <n v="220606007"/>
    <d v="2022-09-12T00:00:00"/>
    <s v="22:14:28.469Z"/>
    <n v="1470"/>
    <d v="1996-10-22T00:00:00"/>
    <n v="70.55"/>
    <n v="55.08"/>
    <x v="0"/>
    <x v="502"/>
    <x v="634"/>
    <s v="No"/>
    <s v="No"/>
    <n v="25"/>
    <s v="60-75"/>
    <x v="1"/>
    <x v="0"/>
    <n v="395"/>
    <x v="192"/>
    <x v="0"/>
    <s v="Pass"/>
    <x v="0"/>
    <s v="B"/>
    <x v="0"/>
    <s v="40-50"/>
    <x v="0"/>
    <x v="0"/>
    <x v="0"/>
    <x v="0"/>
    <x v="4"/>
    <x v="1"/>
    <x v="0"/>
    <x v="1"/>
    <s v="Sept"/>
  </r>
  <r>
    <s v="2.20945E+11"/>
    <n v="220711322"/>
    <d v="2022-09-08T00:00:00"/>
    <s v="23:41:04.080Z"/>
    <n v="1709"/>
    <d v="2000-07-28T00:00:00"/>
    <n v="89.4"/>
    <n v="77.540000000000006"/>
    <x v="0"/>
    <x v="503"/>
    <x v="635"/>
    <s v="No"/>
    <s v="No"/>
    <n v="22"/>
    <s v="0-35"/>
    <x v="4"/>
    <x v="0"/>
    <n v="620"/>
    <x v="350"/>
    <x v="1"/>
    <s v="Pass"/>
    <x v="1"/>
    <s v="A"/>
    <x v="0"/>
    <s v="70-85"/>
    <x v="1"/>
    <x v="41"/>
    <x v="1"/>
    <x v="1"/>
    <x v="4"/>
    <x v="1"/>
    <x v="2"/>
    <x v="1"/>
    <s v="Sept"/>
  </r>
  <r>
    <s v="2.20945E+11"/>
    <n v="220702511"/>
    <d v="2022-09-12T00:00:00"/>
    <s v="18:56:19.656Z"/>
    <n v="1645"/>
    <d v="1999-08-02T00:00:00"/>
    <n v="85.4"/>
    <n v="77.69"/>
    <x v="0"/>
    <x v="504"/>
    <x v="636"/>
    <s v="No"/>
    <s v="Yes"/>
    <n v="23"/>
    <s v="100-75"/>
    <x v="4"/>
    <x v="0"/>
    <n v="542"/>
    <x v="3"/>
    <x v="1"/>
    <s v="Pass"/>
    <x v="1"/>
    <s v="A"/>
    <x v="0"/>
    <s v="60-70"/>
    <x v="2"/>
    <x v="3"/>
    <x v="1"/>
    <x v="1"/>
    <x v="4"/>
    <x v="1"/>
    <x v="0"/>
    <x v="1"/>
    <s v="Sept"/>
  </r>
  <r>
    <s v="2.20945E+11"/>
    <n v="220708885"/>
    <d v="2022-09-13T00:00:00"/>
    <s v="15:04:51.658Z"/>
    <n v="1586"/>
    <d v="2000-02-08T00:00:00"/>
    <n v="92.6"/>
    <n v="63.54"/>
    <x v="0"/>
    <x v="505"/>
    <x v="637"/>
    <s v="No"/>
    <s v="No"/>
    <n v="22"/>
    <s v="0-35"/>
    <x v="0"/>
    <x v="0"/>
    <n v="496"/>
    <x v="185"/>
    <x v="0"/>
    <s v="Pass"/>
    <x v="0"/>
    <s v="B"/>
    <x v="0"/>
    <s v="60-70"/>
    <x v="1"/>
    <x v="149"/>
    <x v="1"/>
    <x v="1"/>
    <x v="4"/>
    <x v="1"/>
    <x v="2"/>
    <x v="1"/>
    <s v="Sept"/>
  </r>
  <r>
    <s v="2.20945E+11"/>
    <n v="220710495"/>
    <d v="2022-09-09T00:00:00"/>
    <s v="17:32:49.628Z"/>
    <n v="1723"/>
    <d v="1997-01-14T00:00:00"/>
    <n v="79.819999999999993"/>
    <n v="66.62"/>
    <x v="0"/>
    <x v="173"/>
    <x v="638"/>
    <s v="No"/>
    <s v="No"/>
    <n v="25"/>
    <s v="60-75"/>
    <x v="4"/>
    <x v="0"/>
    <n v="571"/>
    <x v="137"/>
    <x v="1"/>
    <s v="Pass"/>
    <x v="1"/>
    <s v="A"/>
    <x v="0"/>
    <s v="70-85"/>
    <x v="1"/>
    <x v="9"/>
    <x v="1"/>
    <x v="1"/>
    <x v="4"/>
    <x v="1"/>
    <x v="0"/>
    <x v="1"/>
    <s v="Sept"/>
  </r>
  <r>
    <s v="2.20945E+11"/>
    <n v="220710828"/>
    <d v="2022-09-11T00:00:00"/>
    <s v="10:16:54.678Z"/>
    <n v="1546"/>
    <d v="2000-02-20T00:00:00"/>
    <n v="89.8"/>
    <n v="71.540000000000006"/>
    <x v="0"/>
    <x v="62"/>
    <x v="639"/>
    <s v="No"/>
    <s v="No"/>
    <n v="22"/>
    <s v="100-75"/>
    <x v="0"/>
    <x v="1"/>
    <n v="578"/>
    <x v="171"/>
    <x v="1"/>
    <s v="Pass"/>
    <x v="1"/>
    <s v="B"/>
    <x v="0"/>
    <s v="70-85"/>
    <x v="1"/>
    <x v="24"/>
    <x v="1"/>
    <x v="1"/>
    <x v="4"/>
    <x v="1"/>
    <x v="2"/>
    <x v="1"/>
    <s v="Sept"/>
  </r>
  <r>
    <s v="2.20945E+11"/>
    <n v="220607704"/>
    <d v="2022-09-11T00:00:00"/>
    <s v="09:08:53.031Z"/>
    <n v="1691"/>
    <d v="1996-10-31T00:00:00"/>
    <n v="79.599999999999994"/>
    <s v="Other"/>
    <x v="164"/>
    <x v="506"/>
    <x v="640"/>
    <s v="No"/>
    <s v="Yes"/>
    <n v="25"/>
    <s v="60-75"/>
    <x v="6"/>
    <x v="0"/>
    <n v="539"/>
    <x v="123"/>
    <x v="2"/>
    <s v="Pass"/>
    <x v="2"/>
    <s v="A"/>
    <x v="0"/>
    <s v="60-70"/>
    <x v="0"/>
    <x v="0"/>
    <x v="0"/>
    <x v="0"/>
    <x v="4"/>
    <x v="1"/>
    <x v="0"/>
    <x v="1"/>
    <s v="Sept"/>
  </r>
  <r>
    <s v="2.20945E+11"/>
    <n v="220606300"/>
    <d v="2022-09-09T00:00:00"/>
    <s v="22:46:41.672Z"/>
    <n v="1446"/>
    <d v="1997-12-28T00:00:00"/>
    <n v="89.3"/>
    <n v="74"/>
    <x v="0"/>
    <x v="507"/>
    <x v="641"/>
    <s v="No"/>
    <s v="No"/>
    <n v="24"/>
    <s v="60-75"/>
    <x v="2"/>
    <x v="1"/>
    <n v="410"/>
    <x v="358"/>
    <x v="1"/>
    <s v="Pass"/>
    <x v="1"/>
    <s v="B"/>
    <x v="0"/>
    <s v="50-60"/>
    <x v="0"/>
    <x v="0"/>
    <x v="0"/>
    <x v="0"/>
    <x v="4"/>
    <x v="1"/>
    <x v="0"/>
    <x v="1"/>
    <s v="Sept"/>
  </r>
  <r>
    <s v="2.20945E+11"/>
    <n v="220600575"/>
    <d v="2022-09-10T00:00:00"/>
    <s v="16:56:49.117Z"/>
    <n v="1582"/>
    <d v="2001-03-11T00:00:00"/>
    <n v="87.2"/>
    <n v="58.62"/>
    <x v="0"/>
    <x v="508"/>
    <x v="424"/>
    <s v="No"/>
    <s v="No"/>
    <n v="21"/>
    <s v="60-75"/>
    <x v="3"/>
    <x v="1"/>
    <n v="544"/>
    <x v="256"/>
    <x v="1"/>
    <s v="Pass"/>
    <x v="1"/>
    <s v="B"/>
    <x v="0"/>
    <s v="60-70"/>
    <x v="1"/>
    <x v="24"/>
    <x v="1"/>
    <x v="1"/>
    <x v="4"/>
    <x v="1"/>
    <x v="2"/>
    <x v="1"/>
    <s v="Sept"/>
  </r>
  <r>
    <s v="2.20945E+11"/>
    <n v="220604544"/>
    <d v="2022-09-08T00:00:00"/>
    <s v="16:46:50.080Z"/>
    <n v="1706"/>
    <d v="1997-03-24T00:00:00"/>
    <n v="77"/>
    <n v="77.8"/>
    <x v="0"/>
    <x v="509"/>
    <x v="642"/>
    <s v="No"/>
    <s v="No"/>
    <n v="25"/>
    <s v="60-75"/>
    <x v="3"/>
    <x v="0"/>
    <n v="509"/>
    <x v="334"/>
    <x v="2"/>
    <s v="Pass"/>
    <x v="2"/>
    <s v="A"/>
    <x v="0"/>
    <s v="60-70"/>
    <x v="1"/>
    <x v="9"/>
    <x v="1"/>
    <x v="1"/>
    <x v="4"/>
    <x v="1"/>
    <x v="0"/>
    <x v="1"/>
    <s v="Sept"/>
  </r>
  <r>
    <s v="2.20945E+11"/>
    <n v="220711655"/>
    <d v="2022-09-10T00:00:00"/>
    <s v="22:05:11.557Z"/>
    <n v="2276"/>
    <d v="1994-08-22T00:00:00"/>
    <n v="93.45"/>
    <n v="70.33"/>
    <x v="0"/>
    <x v="60"/>
    <x v="643"/>
    <s v="No"/>
    <s v="No"/>
    <n v="28"/>
    <s v="60-75"/>
    <x v="6"/>
    <x v="1"/>
    <n v="573"/>
    <x v="12"/>
    <x v="1"/>
    <s v="Pass"/>
    <x v="1"/>
    <s v="B"/>
    <x v="1"/>
    <s v="70-85"/>
    <x v="0"/>
    <x v="0"/>
    <x v="0"/>
    <x v="0"/>
    <x v="4"/>
    <x v="0"/>
    <x v="1"/>
    <x v="1"/>
    <s v="Sept"/>
  </r>
  <r>
    <s v="2.20945E+11"/>
    <n v="220703198"/>
    <d v="2022-09-09T00:00:00"/>
    <s v="19:30:16.499Z"/>
    <n v="2673"/>
    <d v="1998-03-03T00:00:00"/>
    <n v="69.45"/>
    <n v="54.77"/>
    <x v="0"/>
    <x v="510"/>
    <x v="620"/>
    <s v="No"/>
    <s v="Yes"/>
    <n v="24"/>
    <s v="60-75"/>
    <x v="4"/>
    <x v="0"/>
    <n v="501"/>
    <x v="140"/>
    <x v="2"/>
    <s v="Pass"/>
    <x v="2"/>
    <s v="B"/>
    <x v="1"/>
    <s v="60-70"/>
    <x v="2"/>
    <x v="3"/>
    <x v="1"/>
    <x v="1"/>
    <x v="4"/>
    <x v="0"/>
    <x v="0"/>
    <x v="1"/>
    <s v="Sept"/>
  </r>
  <r>
    <s v="2.20945E+11"/>
    <n v="220709380"/>
    <d v="2022-09-11T00:00:00"/>
    <s v="17:02:06.776Z"/>
    <n v="2032"/>
    <d v="1999-08-01T00:00:00"/>
    <n v="83.4"/>
    <n v="61.54"/>
    <x v="0"/>
    <x v="511"/>
    <x v="644"/>
    <s v="No"/>
    <s v="No"/>
    <n v="23"/>
    <s v="60-75"/>
    <x v="4"/>
    <x v="0"/>
    <n v="484"/>
    <x v="298"/>
    <x v="0"/>
    <s v="Pass"/>
    <x v="0"/>
    <s v="C"/>
    <x v="1"/>
    <s v="60-70"/>
    <x v="0"/>
    <x v="0"/>
    <x v="0"/>
    <x v="0"/>
    <x v="4"/>
    <x v="0"/>
    <x v="0"/>
    <x v="1"/>
    <s v="Sept"/>
  </r>
  <r>
    <s v="2.20945E+11"/>
    <n v="220703728"/>
    <d v="2022-09-11T00:00:00"/>
    <s v="22:55:39.195Z"/>
    <n v="2269"/>
    <d v="2000-01-26T00:00:00"/>
    <n v="94.8"/>
    <n v="76.92"/>
    <x v="0"/>
    <x v="359"/>
    <x v="645"/>
    <s v="No"/>
    <s v="No"/>
    <n v="22"/>
    <s v="100-75"/>
    <x v="5"/>
    <x v="1"/>
    <n v="636"/>
    <x v="359"/>
    <x v="2"/>
    <s v="Pass"/>
    <x v="2"/>
    <s v="B"/>
    <x v="1"/>
    <s v="70-85"/>
    <x v="1"/>
    <x v="107"/>
    <x v="1"/>
    <x v="1"/>
    <x v="4"/>
    <x v="0"/>
    <x v="2"/>
    <x v="1"/>
    <s v="Sept"/>
  </r>
  <r>
    <s v="2.20945E+11"/>
    <n v="220604822"/>
    <d v="2022-09-08T00:00:00"/>
    <s v="15:47:43.478Z"/>
    <n v="2486"/>
    <d v="1998-12-06T00:00:00"/>
    <n v="89.8"/>
    <s v="Other"/>
    <x v="0"/>
    <x v="512"/>
    <x v="646"/>
    <s v="No"/>
    <s v="No"/>
    <n v="23"/>
    <s v="60-75"/>
    <x v="5"/>
    <x v="0"/>
    <n v="537"/>
    <x v="169"/>
    <x v="2"/>
    <s v="Pass"/>
    <x v="2"/>
    <s v="A"/>
    <x v="1"/>
    <s v="60-70"/>
    <x v="0"/>
    <x v="0"/>
    <x v="0"/>
    <x v="0"/>
    <x v="4"/>
    <x v="0"/>
    <x v="0"/>
    <x v="1"/>
    <s v="Sept"/>
  </r>
  <r>
    <s v="2.20945E+11"/>
    <n v="220701672"/>
    <d v="2022-09-09T00:00:00"/>
    <s v="13:24:21.569Z"/>
    <n v="1975"/>
    <d v="2000-03-16T00:00:00"/>
    <n v="76.400000000000006"/>
    <n v="74.31"/>
    <x v="0"/>
    <x v="357"/>
    <x v="647"/>
    <s v="No"/>
    <s v="No"/>
    <n v="22"/>
    <s v="60-75"/>
    <x v="6"/>
    <x v="1"/>
    <n v="496"/>
    <x v="185"/>
    <x v="0"/>
    <s v="Pass"/>
    <x v="0"/>
    <s v="B"/>
    <x v="1"/>
    <s v="60-70"/>
    <x v="0"/>
    <x v="0"/>
    <x v="0"/>
    <x v="0"/>
    <x v="4"/>
    <x v="1"/>
    <x v="2"/>
    <x v="1"/>
    <s v="Sept"/>
  </r>
  <r>
    <s v="2.20945E+11"/>
    <n v="220600416"/>
    <d v="2022-09-10T00:00:00"/>
    <s v="14:14:21.347Z"/>
    <n v="2177"/>
    <d v="1992-10-25T00:00:00"/>
    <n v="77.38"/>
    <n v="49.5"/>
    <x v="165"/>
    <x v="513"/>
    <x v="648"/>
    <s v="No"/>
    <s v="Yes"/>
    <n v="29"/>
    <s v="60-75"/>
    <x v="2"/>
    <x v="1"/>
    <n v="523"/>
    <x v="346"/>
    <x v="2"/>
    <s v="Pass"/>
    <x v="2"/>
    <s v="B"/>
    <x v="1"/>
    <s v="60-70"/>
    <x v="0"/>
    <x v="0"/>
    <x v="0"/>
    <x v="0"/>
    <x v="4"/>
    <x v="0"/>
    <x v="4"/>
    <x v="1"/>
    <s v="Sept"/>
  </r>
  <r>
    <s v="2.20945E+11"/>
    <n v="220602110"/>
    <d v="2022-09-13T00:00:00"/>
    <s v="16:56:34.035Z"/>
    <n v="2800"/>
    <d v="1997-08-12T00:00:00"/>
    <n v="72.180000000000007"/>
    <s v="Other"/>
    <x v="63"/>
    <x v="444"/>
    <x v="649"/>
    <s v="No"/>
    <s v="Yes"/>
    <n v="25"/>
    <s v="60-75"/>
    <x v="4"/>
    <x v="0"/>
    <n v="447"/>
    <x v="159"/>
    <x v="2"/>
    <s v="Pass"/>
    <x v="2"/>
    <s v="A"/>
    <x v="1"/>
    <s v="50-60"/>
    <x v="0"/>
    <x v="0"/>
    <x v="0"/>
    <x v="0"/>
    <x v="4"/>
    <x v="0"/>
    <x v="0"/>
    <x v="1"/>
    <s v="Sept"/>
  </r>
  <r>
    <s v="2.20945E+11"/>
    <n v="220600397"/>
    <d v="2022-09-08T00:00:00"/>
    <s v="14:17:39.305Z"/>
    <n v="2983"/>
    <d v="1999-10-08T00:00:00"/>
    <n v="75.2"/>
    <n v="52.92"/>
    <x v="0"/>
    <x v="159"/>
    <x v="650"/>
    <s v="No"/>
    <s v="Yes"/>
    <n v="22"/>
    <s v="100-75"/>
    <x v="4"/>
    <x v="0"/>
    <n v="445"/>
    <x v="121"/>
    <x v="0"/>
    <s v="Pass"/>
    <x v="0"/>
    <s v="C"/>
    <x v="1"/>
    <s v="50-60"/>
    <x v="0"/>
    <x v="0"/>
    <x v="0"/>
    <x v="0"/>
    <x v="4"/>
    <x v="0"/>
    <x v="2"/>
    <x v="1"/>
    <s v="Sept"/>
  </r>
  <r>
    <s v="2.20945E+11"/>
    <n v="220700384"/>
    <d v="2022-09-14T00:00:00"/>
    <s v="10:57:20.106Z"/>
    <n v="839"/>
    <d v="1996-03-31T00:00:00"/>
    <n v="88.36"/>
    <n v="66.459999999999994"/>
    <x v="0"/>
    <x v="514"/>
    <x v="651"/>
    <s v="No"/>
    <s v="No"/>
    <n v="26"/>
    <s v="0-35"/>
    <x v="4"/>
    <x v="0"/>
    <n v="511"/>
    <x v="340"/>
    <x v="0"/>
    <s v="Pass"/>
    <x v="0"/>
    <s v="B"/>
    <x v="1"/>
    <s v="60-70"/>
    <x v="0"/>
    <x v="0"/>
    <x v="0"/>
    <x v="0"/>
    <x v="4"/>
    <x v="3"/>
    <x v="1"/>
    <x v="1"/>
    <s v="Sept"/>
  </r>
  <r>
    <s v="2.20945E+11"/>
    <n v="220601949"/>
    <d v="2022-09-09T00:00:00"/>
    <s v="14:16:55.165Z"/>
    <n v="2347"/>
    <d v="1996-08-08T00:00:00"/>
    <n v="70"/>
    <n v="54"/>
    <x v="0"/>
    <x v="515"/>
    <x v="652"/>
    <s v="No"/>
    <s v="No"/>
    <n v="26"/>
    <s v="60-75"/>
    <x v="4"/>
    <x v="0"/>
    <n v="491"/>
    <x v="336"/>
    <x v="2"/>
    <s v="Pass"/>
    <x v="2"/>
    <s v="B"/>
    <x v="1"/>
    <s v="60-70"/>
    <x v="0"/>
    <x v="0"/>
    <x v="0"/>
    <x v="0"/>
    <x v="4"/>
    <x v="0"/>
    <x v="1"/>
    <x v="1"/>
    <s v="Sept"/>
  </r>
  <r>
    <s v="2.20945E+11"/>
    <n v="220606836"/>
    <d v="2022-09-13T00:00:00"/>
    <s v="18:20:24.678Z"/>
    <n v="1845"/>
    <d v="1998-11-25T00:00:00"/>
    <n v="85.5"/>
    <n v="76.62"/>
    <x v="0"/>
    <x v="516"/>
    <x v="653"/>
    <s v="No"/>
    <s v="No"/>
    <n v="23"/>
    <s v="100-75"/>
    <x v="4"/>
    <x v="1"/>
    <n v="607"/>
    <x v="107"/>
    <x v="1"/>
    <s v="Pass"/>
    <x v="1"/>
    <s v="A"/>
    <x v="1"/>
    <s v="70-85"/>
    <x v="1"/>
    <x v="28"/>
    <x v="1"/>
    <x v="1"/>
    <x v="4"/>
    <x v="1"/>
    <x v="0"/>
    <x v="1"/>
    <s v="Sept"/>
  </r>
  <r>
    <s v="2.20945E+11"/>
    <n v="220708028"/>
    <d v="2022-09-10T00:00:00"/>
    <s v="23:25:47.735Z"/>
    <n v="1898"/>
    <d v="1999-07-08T00:00:00"/>
    <n v="83.8"/>
    <n v="68.3"/>
    <x v="0"/>
    <x v="517"/>
    <x v="654"/>
    <s v="No"/>
    <s v="No"/>
    <n v="23"/>
    <s v="60-75"/>
    <x v="6"/>
    <x v="0"/>
    <n v="558"/>
    <x v="23"/>
    <x v="2"/>
    <s v="Pass"/>
    <x v="2"/>
    <s v="A"/>
    <x v="1"/>
    <s v="60-70"/>
    <x v="1"/>
    <x v="150"/>
    <x v="1"/>
    <x v="1"/>
    <x v="4"/>
    <x v="1"/>
    <x v="0"/>
    <x v="1"/>
    <s v="Sept"/>
  </r>
  <r>
    <s v="2.20945E+11"/>
    <n v="220606772"/>
    <d v="2022-09-11T00:00:00"/>
    <s v="21:51:29.979Z"/>
    <n v="2135"/>
    <d v="1995-12-17T00:00:00"/>
    <n v="81.64"/>
    <n v="68"/>
    <x v="0"/>
    <x v="518"/>
    <x v="227"/>
    <s v="No"/>
    <s v="No"/>
    <n v="26"/>
    <s v="0-35"/>
    <x v="1"/>
    <x v="0"/>
    <n v="576"/>
    <x v="125"/>
    <x v="1"/>
    <s v="Pass"/>
    <x v="1"/>
    <s v="A"/>
    <x v="1"/>
    <s v="70-85"/>
    <x v="1"/>
    <x v="107"/>
    <x v="1"/>
    <x v="1"/>
    <x v="4"/>
    <x v="0"/>
    <x v="1"/>
    <x v="1"/>
    <s v="Sept"/>
  </r>
  <r>
    <s v="2.20945E+11"/>
    <n v="220600733"/>
    <d v="2022-09-10T00:00:00"/>
    <s v="17:31:39.561Z"/>
    <n v="438"/>
    <d v="1995-12-14T00:00:00"/>
    <n v="87.27"/>
    <s v="Other"/>
    <x v="166"/>
    <x v="519"/>
    <x v="655"/>
    <s v="Yes"/>
    <s v="Yes"/>
    <n v="26"/>
    <s v="45-60"/>
    <x v="6"/>
    <x v="0"/>
    <n v="552"/>
    <x v="209"/>
    <x v="2"/>
    <s v="Pass"/>
    <x v="2"/>
    <s v="B"/>
    <x v="1"/>
    <s v="60-70"/>
    <x v="0"/>
    <x v="0"/>
    <x v="0"/>
    <x v="0"/>
    <x v="4"/>
    <x v="3"/>
    <x v="1"/>
    <x v="1"/>
    <s v="Sept"/>
  </r>
  <r>
    <s v="2.20945E+11"/>
    <n v="220706160"/>
    <d v="2022-09-09T00:00:00"/>
    <s v="19:00:36.781Z"/>
    <n v="2604"/>
    <d v="1999-07-12T00:00:00"/>
    <n v="85.6"/>
    <n v="75.23"/>
    <x v="0"/>
    <x v="320"/>
    <x v="656"/>
    <s v="No"/>
    <s v="Yes"/>
    <n v="23"/>
    <s v="60-75"/>
    <x v="4"/>
    <x v="0"/>
    <n v="512"/>
    <x v="33"/>
    <x v="1"/>
    <s v="Pass"/>
    <x v="1"/>
    <s v="B"/>
    <x v="1"/>
    <s v="60-70"/>
    <x v="1"/>
    <x v="107"/>
    <x v="1"/>
    <x v="1"/>
    <x v="4"/>
    <x v="0"/>
    <x v="0"/>
    <x v="1"/>
    <s v="Sept"/>
  </r>
  <r>
    <s v="2.20945E+11"/>
    <n v="220608402"/>
    <d v="2022-09-10T00:00:00"/>
    <s v="14:34:07.244Z"/>
    <n v="2593"/>
    <d v="1998-08-17T00:00:00"/>
    <n v="83.8"/>
    <s v="Other"/>
    <x v="167"/>
    <x v="73"/>
    <x v="657"/>
    <s v="Yes"/>
    <s v="No"/>
    <n v="24"/>
    <s v="100-75"/>
    <x v="2"/>
    <x v="0"/>
    <n v="589"/>
    <x v="134"/>
    <x v="1"/>
    <s v="Pass"/>
    <x v="1"/>
    <s v="A"/>
    <x v="1"/>
    <s v="70-85"/>
    <x v="1"/>
    <x v="151"/>
    <x v="1"/>
    <x v="1"/>
    <x v="4"/>
    <x v="0"/>
    <x v="0"/>
    <x v="1"/>
    <s v="Sept"/>
  </r>
  <r>
    <s v="2.20945E+11"/>
    <n v="220607499"/>
    <d v="2022-09-12T00:00:00"/>
    <s v="23:53:30.822Z"/>
    <n v="2920"/>
    <d v="1999-08-14T00:00:00"/>
    <n v="80.8"/>
    <s v="Other"/>
    <x v="168"/>
    <x v="379"/>
    <x v="658"/>
    <s v="No"/>
    <s v="No"/>
    <n v="23"/>
    <s v="60-75"/>
    <x v="5"/>
    <x v="0"/>
    <n v="579"/>
    <x v="151"/>
    <x v="1"/>
    <s v="Pass"/>
    <x v="1"/>
    <s v="A"/>
    <x v="1"/>
    <s v="70-85"/>
    <x v="1"/>
    <x v="152"/>
    <x v="1"/>
    <x v="1"/>
    <x v="4"/>
    <x v="0"/>
    <x v="0"/>
    <x v="1"/>
    <s v="Sept"/>
  </r>
  <r>
    <s v="2.20945E+11"/>
    <n v="220601584"/>
    <d v="2022-09-08T00:00:00"/>
    <s v="21:28:03.811Z"/>
    <n v="2343"/>
    <d v="1996-11-16T00:00:00"/>
    <n v="66.5"/>
    <n v="57.6"/>
    <x v="0"/>
    <x v="520"/>
    <x v="659"/>
    <s v="Yes"/>
    <s v="No"/>
    <n v="25"/>
    <s v="60-75"/>
    <x v="1"/>
    <x v="1"/>
    <n v="536"/>
    <x v="110"/>
    <x v="2"/>
    <s v="Pass"/>
    <x v="2"/>
    <s v="B"/>
    <x v="1"/>
    <s v="60-70"/>
    <x v="0"/>
    <x v="0"/>
    <x v="0"/>
    <x v="0"/>
    <x v="4"/>
    <x v="0"/>
    <x v="0"/>
    <x v="1"/>
    <s v="Sept"/>
  </r>
  <r>
    <s v="2.20945E+11"/>
    <n v="220708967"/>
    <d v="2022-09-11T00:00:00"/>
    <s v="18:35:19.857Z"/>
    <n v="2382"/>
    <d v="1998-05-31T00:00:00"/>
    <n v="79.8"/>
    <n v="90.8"/>
    <x v="0"/>
    <x v="521"/>
    <x v="660"/>
    <s v="No"/>
    <s v="Yes"/>
    <n v="24"/>
    <s v="100-75"/>
    <x v="4"/>
    <x v="1"/>
    <n v="513"/>
    <x v="186"/>
    <x v="1"/>
    <s v="Pass"/>
    <x v="1"/>
    <s v="B"/>
    <x v="1"/>
    <s v="60-70"/>
    <x v="0"/>
    <x v="0"/>
    <x v="0"/>
    <x v="0"/>
    <x v="4"/>
    <x v="0"/>
    <x v="0"/>
    <x v="1"/>
    <s v="Sept"/>
  </r>
  <r>
    <s v="2.20945E+11"/>
    <n v="220601484"/>
    <d v="2022-09-11T00:00:00"/>
    <s v="09:47:42.375Z"/>
    <n v="2287"/>
    <d v="1997-04-23T00:00:00"/>
    <n v="70.36"/>
    <n v="51.08"/>
    <x v="0"/>
    <x v="522"/>
    <x v="661"/>
    <s v="Yes"/>
    <s v="No"/>
    <n v="25"/>
    <s v="35-45"/>
    <x v="5"/>
    <x v="3"/>
    <n v="629"/>
    <x v="360"/>
    <x v="1"/>
    <s v="Pass"/>
    <x v="1"/>
    <s v="A"/>
    <x v="1"/>
    <s v="70-85"/>
    <x v="1"/>
    <x v="152"/>
    <x v="1"/>
    <x v="1"/>
    <x v="4"/>
    <x v="0"/>
    <x v="0"/>
    <x v="1"/>
    <s v="Sept"/>
  </r>
  <r>
    <s v="2.20945E+11"/>
    <n v="220604748"/>
    <d v="2022-09-09T00:00:00"/>
    <s v="18:14:25.161Z"/>
    <n v="1657"/>
    <d v="1996-12-01T00:00:00"/>
    <n v="93.27"/>
    <n v="81.08"/>
    <x v="0"/>
    <x v="523"/>
    <x v="662"/>
    <s v="No"/>
    <s v="Yes"/>
    <n v="25"/>
    <s v="0-35"/>
    <x v="2"/>
    <x v="0"/>
    <n v="619"/>
    <x v="20"/>
    <x v="1"/>
    <s v="Pass"/>
    <x v="1"/>
    <s v="A"/>
    <x v="1"/>
    <s v="70-85"/>
    <x v="1"/>
    <x v="28"/>
    <x v="1"/>
    <x v="1"/>
    <x v="4"/>
    <x v="1"/>
    <x v="0"/>
    <x v="1"/>
    <s v="Sept"/>
  </r>
  <r>
    <s v="2.20945E+11"/>
    <n v="220602112"/>
    <d v="2022-09-09T00:00:00"/>
    <s v="09:15:23.267Z"/>
    <n v="2819"/>
    <d v="1995-11-23T00:00:00"/>
    <n v="87"/>
    <n v="83.6"/>
    <x v="0"/>
    <x v="524"/>
    <x v="663"/>
    <s v="No"/>
    <s v="No"/>
    <n v="26"/>
    <s v="60-75"/>
    <x v="2"/>
    <x v="0"/>
    <n v="565"/>
    <x v="330"/>
    <x v="1"/>
    <s v="Pass"/>
    <x v="1"/>
    <s v="A"/>
    <x v="1"/>
    <s v="70-85"/>
    <x v="1"/>
    <x v="28"/>
    <x v="1"/>
    <x v="1"/>
    <x v="4"/>
    <x v="0"/>
    <x v="1"/>
    <x v="1"/>
    <s v="Sept"/>
  </r>
  <r>
    <s v="2.20945E+11"/>
    <n v="220600277"/>
    <d v="2022-09-10T00:00:00"/>
    <s v="23:26:23.201Z"/>
    <n v="2786"/>
    <d v="2000-08-19T00:00:00"/>
    <n v="72"/>
    <s v="Other"/>
    <x v="89"/>
    <x v="164"/>
    <x v="664"/>
    <s v="No"/>
    <s v="No"/>
    <n v="22"/>
    <s v="60-75"/>
    <x v="4"/>
    <x v="0"/>
    <n v="569"/>
    <x v="158"/>
    <x v="2"/>
    <s v="Pass"/>
    <x v="2"/>
    <s v="A"/>
    <x v="1"/>
    <s v="70-85"/>
    <x v="1"/>
    <x v="141"/>
    <x v="1"/>
    <x v="1"/>
    <x v="4"/>
    <x v="0"/>
    <x v="2"/>
    <x v="1"/>
    <s v="Sept"/>
  </r>
  <r>
    <s v="2.20945E+11"/>
    <n v="220700019"/>
    <d v="2022-09-14T00:00:00"/>
    <s v="00:48:06.328Z"/>
    <n v="2156"/>
    <d v="1992-07-16T00:00:00"/>
    <n v="77.16"/>
    <n v="80.599999999999994"/>
    <x v="0"/>
    <x v="525"/>
    <x v="665"/>
    <s v="No"/>
    <s v="No"/>
    <n v="30"/>
    <s v="100-75"/>
    <x v="4"/>
    <x v="1"/>
    <n v="572"/>
    <x v="174"/>
    <x v="1"/>
    <s v="Pass"/>
    <x v="1"/>
    <s v="A"/>
    <x v="1"/>
    <s v="70-85"/>
    <x v="0"/>
    <x v="0"/>
    <x v="0"/>
    <x v="0"/>
    <x v="4"/>
    <x v="0"/>
    <x v="4"/>
    <x v="1"/>
    <s v="Sept"/>
  </r>
  <r>
    <s v="2.20945E+11"/>
    <n v="220701080"/>
    <d v="2022-09-12T00:00:00"/>
    <s v="19:46:39.803Z"/>
    <n v="2491"/>
    <d v="1997-04-13T00:00:00"/>
    <n v="79.819999999999993"/>
    <n v="59.38"/>
    <x v="0"/>
    <x v="526"/>
    <x v="666"/>
    <s v="No"/>
    <s v="No"/>
    <n v="25"/>
    <s v="60-75"/>
    <x v="6"/>
    <x v="0"/>
    <n v="591"/>
    <x v="90"/>
    <x v="1"/>
    <s v="Pass"/>
    <x v="1"/>
    <s v="A"/>
    <x v="1"/>
    <s v="70-85"/>
    <x v="1"/>
    <x v="119"/>
    <x v="1"/>
    <x v="1"/>
    <x v="4"/>
    <x v="0"/>
    <x v="0"/>
    <x v="1"/>
    <s v="Sept"/>
  </r>
  <r>
    <s v="2.20945E+11"/>
    <n v="220704799"/>
    <d v="2022-09-13T00:00:00"/>
    <s v="01:35:07.837Z"/>
    <n v="2748"/>
    <d v="1993-08-20T00:00:00"/>
    <n v="73.23"/>
    <n v="50.33"/>
    <x v="0"/>
    <x v="527"/>
    <x v="667"/>
    <s v="No"/>
    <s v="No"/>
    <n v="29"/>
    <s v="45-60"/>
    <x v="4"/>
    <x v="0"/>
    <n v="478"/>
    <x v="361"/>
    <x v="2"/>
    <s v="Pass"/>
    <x v="2"/>
    <s v="C"/>
    <x v="1"/>
    <s v="50-60"/>
    <x v="0"/>
    <x v="0"/>
    <x v="0"/>
    <x v="0"/>
    <x v="4"/>
    <x v="0"/>
    <x v="4"/>
    <x v="1"/>
    <s v="Sept"/>
  </r>
  <r>
    <s v="2.20945E+11"/>
    <n v="220604346"/>
    <d v="2022-09-10T00:00:00"/>
    <s v="13:42:00.729Z"/>
    <n v="2317"/>
    <d v="1998-09-23T00:00:00"/>
    <n v="90"/>
    <n v="76.62"/>
    <x v="0"/>
    <x v="412"/>
    <x v="668"/>
    <s v="No"/>
    <s v="No"/>
    <n v="23"/>
    <s v="60-75"/>
    <x v="6"/>
    <x v="0"/>
    <n v="587"/>
    <x v="73"/>
    <x v="1"/>
    <s v="Pass"/>
    <x v="1"/>
    <s v="A"/>
    <x v="1"/>
    <s v="70-85"/>
    <x v="1"/>
    <x v="153"/>
    <x v="1"/>
    <x v="1"/>
    <x v="4"/>
    <x v="0"/>
    <x v="0"/>
    <x v="1"/>
    <s v="Sept"/>
  </r>
  <r>
    <s v="2.20945E+11"/>
    <n v="220702740"/>
    <d v="2022-09-11T00:00:00"/>
    <s v="19:37:38.029Z"/>
    <n v="2946"/>
    <d v="1998-12-24T00:00:00"/>
    <n v="95.2"/>
    <n v="80.150000000000006"/>
    <x v="0"/>
    <x v="528"/>
    <x v="669"/>
    <s v="No"/>
    <s v="Yes"/>
    <n v="23"/>
    <s v="60-75"/>
    <x v="4"/>
    <x v="0"/>
    <n v="554"/>
    <x v="348"/>
    <x v="1"/>
    <s v="Pass"/>
    <x v="1"/>
    <s v="A"/>
    <x v="1"/>
    <s v="60-70"/>
    <x v="1"/>
    <x v="28"/>
    <x v="1"/>
    <x v="1"/>
    <x v="4"/>
    <x v="0"/>
    <x v="0"/>
    <x v="1"/>
    <s v="Sept"/>
  </r>
  <r>
    <s v="2.20945E+11"/>
    <n v="220712876"/>
    <d v="2022-09-13T00:00:00"/>
    <s v="16:19:28.765Z"/>
    <n v="2826"/>
    <d v="1996-11-08T00:00:00"/>
    <n v="86.73"/>
    <n v="62"/>
    <x v="0"/>
    <x v="143"/>
    <x v="670"/>
    <s v="No"/>
    <s v="Yes"/>
    <n v="25"/>
    <s v="60-75"/>
    <x v="1"/>
    <x v="0"/>
    <n v="628"/>
    <x v="39"/>
    <x v="2"/>
    <s v="Pass"/>
    <x v="2"/>
    <s v="A"/>
    <x v="1"/>
    <s v="70-85"/>
    <x v="1"/>
    <x v="119"/>
    <x v="1"/>
    <x v="1"/>
    <x v="4"/>
    <x v="0"/>
    <x v="0"/>
    <x v="1"/>
    <s v="Sept"/>
  </r>
  <r>
    <s v="2.20945E+11"/>
    <n v="220710955"/>
    <d v="2022-09-08T00:00:00"/>
    <s v="16:11:49.988Z"/>
    <n v="2004"/>
    <d v="1999-03-25T00:00:00"/>
    <n v="78.8"/>
    <s v="Other"/>
    <x v="169"/>
    <x v="529"/>
    <x v="560"/>
    <s v="No"/>
    <s v="No"/>
    <n v="23"/>
    <s v="100-75"/>
    <x v="4"/>
    <x v="0"/>
    <n v="467"/>
    <x v="143"/>
    <x v="1"/>
    <s v="Pass"/>
    <x v="1"/>
    <s v="B"/>
    <x v="1"/>
    <s v="50-60"/>
    <x v="0"/>
    <x v="0"/>
    <x v="0"/>
    <x v="0"/>
    <x v="4"/>
    <x v="0"/>
    <x v="0"/>
    <x v="1"/>
    <s v="Sept"/>
  </r>
  <r>
    <s v="2.20945E+11"/>
    <n v="220600149"/>
    <d v="2022-09-11T00:00:00"/>
    <s v="19:35:42.321Z"/>
    <n v="2764"/>
    <d v="1999-08-05T00:00:00"/>
    <n v="81.599999999999994"/>
    <n v="73.38"/>
    <x v="0"/>
    <x v="243"/>
    <x v="671"/>
    <s v="No"/>
    <s v="No"/>
    <n v="23"/>
    <s v="60-75"/>
    <x v="3"/>
    <x v="1"/>
    <n v="563"/>
    <x v="45"/>
    <x v="1"/>
    <s v="Pass"/>
    <x v="1"/>
    <s v="A"/>
    <x v="1"/>
    <s v="70-85"/>
    <x v="1"/>
    <x v="154"/>
    <x v="1"/>
    <x v="1"/>
    <x v="4"/>
    <x v="0"/>
    <x v="0"/>
    <x v="1"/>
    <s v="Sept"/>
  </r>
  <r>
    <s v="2.20945E+11"/>
    <n v="220604254"/>
    <d v="2022-09-10T00:00:00"/>
    <s v="07:55:35.471Z"/>
    <n v="2729"/>
    <d v="1999-04-06T00:00:00"/>
    <n v="55.1"/>
    <n v="57"/>
    <x v="0"/>
    <x v="530"/>
    <x v="672"/>
    <s v="No"/>
    <s v="No"/>
    <n v="23"/>
    <s v="0-35"/>
    <x v="3"/>
    <x v="0"/>
    <n v="473"/>
    <x v="149"/>
    <x v="0"/>
    <s v="Pass"/>
    <x v="0"/>
    <s v="B"/>
    <x v="1"/>
    <s v="50-60"/>
    <x v="0"/>
    <x v="0"/>
    <x v="0"/>
    <x v="0"/>
    <x v="4"/>
    <x v="0"/>
    <x v="0"/>
    <x v="1"/>
    <s v="Sept"/>
  </r>
  <r>
    <s v="2.20945E+11"/>
    <n v="220712485"/>
    <d v="2022-09-11T00:00:00"/>
    <s v="18:39:36.877Z"/>
    <n v="2421"/>
    <d v="1999-10-10T00:00:00"/>
    <n v="92.8"/>
    <n v="65.08"/>
    <x v="0"/>
    <x v="45"/>
    <x v="673"/>
    <s v="No"/>
    <s v="No"/>
    <n v="22"/>
    <s v="100-75"/>
    <x v="2"/>
    <x v="0"/>
    <n v="572"/>
    <x v="174"/>
    <x v="1"/>
    <s v="Pass"/>
    <x v="1"/>
    <s v="B"/>
    <x v="1"/>
    <s v="70-85"/>
    <x v="0"/>
    <x v="0"/>
    <x v="0"/>
    <x v="0"/>
    <x v="4"/>
    <x v="0"/>
    <x v="2"/>
    <x v="1"/>
    <s v="Sept"/>
  </r>
  <r>
    <s v="2.20945E+11"/>
    <n v="220600288"/>
    <d v="2022-09-08T00:00:00"/>
    <s v="11:58:33.477Z"/>
    <n v="63"/>
    <d v="1999-04-26T00:00:00"/>
    <n v="96"/>
    <n v="92.77"/>
    <x v="0"/>
    <x v="11"/>
    <x v="674"/>
    <s v="No"/>
    <s v="No"/>
    <n v="23"/>
    <s v="0-35"/>
    <x v="4"/>
    <x v="1"/>
    <n v="624"/>
    <x v="362"/>
    <x v="1"/>
    <s v="Pass"/>
    <x v="1"/>
    <s v="A"/>
    <x v="1"/>
    <s v="70-85"/>
    <x v="1"/>
    <x v="155"/>
    <x v="1"/>
    <x v="1"/>
    <x v="4"/>
    <x v="3"/>
    <x v="0"/>
    <x v="1"/>
    <s v="Sept"/>
  </r>
  <r>
    <s v="2.20945E+11"/>
    <n v="220603345"/>
    <d v="2022-09-12T00:00:00"/>
    <s v="19:06:58.965Z"/>
    <n v="2572"/>
    <d v="1995-11-06T00:00:00"/>
    <n v="79.8"/>
    <n v="59.9"/>
    <x v="0"/>
    <x v="531"/>
    <x v="675"/>
    <s v="No"/>
    <s v="No"/>
    <n v="26"/>
    <s v="100-75"/>
    <x v="3"/>
    <x v="0"/>
    <n v="535"/>
    <x v="112"/>
    <x v="2"/>
    <s v="Pass"/>
    <x v="2"/>
    <s v="A"/>
    <x v="1"/>
    <s v="60-70"/>
    <x v="2"/>
    <x v="3"/>
    <x v="1"/>
    <x v="1"/>
    <x v="4"/>
    <x v="0"/>
    <x v="1"/>
    <x v="1"/>
    <s v="Sept"/>
  </r>
  <r>
    <s v="2.20945E+11"/>
    <n v="220710802"/>
    <d v="2022-09-09T00:00:00"/>
    <s v="11:32:17.564Z"/>
    <n v="2997"/>
    <d v="1997-09-13T00:00:00"/>
    <n v="96.73"/>
    <n v="84.77"/>
    <x v="0"/>
    <x v="532"/>
    <x v="495"/>
    <s v="No"/>
    <s v="No"/>
    <n v="24"/>
    <s v="60-75"/>
    <x v="4"/>
    <x v="1"/>
    <n v="524"/>
    <x v="289"/>
    <x v="2"/>
    <s v="Pass"/>
    <x v="2"/>
    <s v="B"/>
    <x v="1"/>
    <s v="60-70"/>
    <x v="0"/>
    <x v="0"/>
    <x v="0"/>
    <x v="0"/>
    <x v="4"/>
    <x v="0"/>
    <x v="0"/>
    <x v="1"/>
    <s v="Sept"/>
  </r>
  <r>
    <s v="2.20945E+11"/>
    <n v="220601662"/>
    <d v="2022-09-09T00:00:00"/>
    <s v="11:37:09.178Z"/>
    <n v="3045"/>
    <d v="1997-06-14T00:00:00"/>
    <n v="89.09"/>
    <s v="Other"/>
    <x v="170"/>
    <x v="533"/>
    <x v="676"/>
    <s v="No"/>
    <s v="No"/>
    <n v="25"/>
    <s v="60-75"/>
    <x v="6"/>
    <x v="1"/>
    <n v="653"/>
    <x v="363"/>
    <x v="1"/>
    <s v="Pass"/>
    <x v="1"/>
    <s v="A"/>
    <x v="1"/>
    <s v="70-85"/>
    <x v="1"/>
    <x v="12"/>
    <x v="1"/>
    <x v="1"/>
    <x v="4"/>
    <x v="4"/>
    <x v="0"/>
    <x v="1"/>
    <s v="Sept"/>
  </r>
  <r>
    <s v="2.20945E+11"/>
    <n v="220705999"/>
    <d v="2022-09-10T00:00:00"/>
    <s v="16:40:01.765Z"/>
    <n v="2299"/>
    <d v="1996-08-30T00:00:00"/>
    <n v="95"/>
    <n v="78.400000000000006"/>
    <x v="0"/>
    <x v="534"/>
    <x v="677"/>
    <s v="No"/>
    <s v="No"/>
    <n v="26"/>
    <s v="100-75"/>
    <x v="3"/>
    <x v="0"/>
    <n v="587"/>
    <x v="73"/>
    <x v="1"/>
    <s v="Pass"/>
    <x v="1"/>
    <s v="A"/>
    <x v="1"/>
    <s v="70-85"/>
    <x v="1"/>
    <x v="139"/>
    <x v="1"/>
    <x v="1"/>
    <x v="4"/>
    <x v="0"/>
    <x v="1"/>
    <x v="1"/>
    <s v="Sept"/>
  </r>
  <r>
    <s v="2.20945E+11"/>
    <n v="220600230"/>
    <d v="2022-09-08T00:00:00"/>
    <s v="20:16:44.007Z"/>
    <n v="2903"/>
    <d v="1997-02-10T00:00:00"/>
    <n v="78"/>
    <n v="62"/>
    <x v="0"/>
    <x v="535"/>
    <x v="678"/>
    <s v="No"/>
    <s v="Yes"/>
    <n v="25"/>
    <s v="0-35"/>
    <x v="3"/>
    <x v="0"/>
    <n v="487"/>
    <x v="122"/>
    <x v="2"/>
    <s v="Pass"/>
    <x v="2"/>
    <s v="B"/>
    <x v="1"/>
    <s v="60-70"/>
    <x v="1"/>
    <x v="150"/>
    <x v="1"/>
    <x v="1"/>
    <x v="4"/>
    <x v="0"/>
    <x v="0"/>
    <x v="1"/>
    <s v="Sept"/>
  </r>
  <r>
    <s v="2.20945E+11"/>
    <n v="220604553"/>
    <d v="2022-09-10T00:00:00"/>
    <s v="10:17:12.660Z"/>
    <n v="3020"/>
    <d v="1999-07-22T00:00:00"/>
    <n v="92"/>
    <n v="74.92"/>
    <x v="0"/>
    <x v="62"/>
    <x v="679"/>
    <s v="Yes"/>
    <s v="Yes"/>
    <n v="23"/>
    <s v="100-75"/>
    <x v="5"/>
    <x v="3"/>
    <n v="498"/>
    <x v="75"/>
    <x v="1"/>
    <s v="Pass"/>
    <x v="1"/>
    <s v="B"/>
    <x v="1"/>
    <s v="60-70"/>
    <x v="0"/>
    <x v="0"/>
    <x v="0"/>
    <x v="0"/>
    <x v="4"/>
    <x v="4"/>
    <x v="0"/>
    <x v="1"/>
    <s v="Sept"/>
  </r>
  <r>
    <s v="2.20945E+11"/>
    <n v="220710694"/>
    <d v="2022-09-13T00:00:00"/>
    <s v="16:33:23.378Z"/>
    <n v="2520"/>
    <d v="1999-10-04T00:00:00"/>
    <n v="77.400000000000006"/>
    <s v="Other"/>
    <x v="171"/>
    <x v="66"/>
    <x v="654"/>
    <s v="No"/>
    <s v="No"/>
    <n v="22"/>
    <s v="100-75"/>
    <x v="4"/>
    <x v="0"/>
    <n v="452"/>
    <x v="109"/>
    <x v="0"/>
    <s v="Pass"/>
    <x v="0"/>
    <s v="C"/>
    <x v="1"/>
    <s v="50-60"/>
    <x v="0"/>
    <x v="0"/>
    <x v="0"/>
    <x v="0"/>
    <x v="4"/>
    <x v="0"/>
    <x v="2"/>
    <x v="1"/>
    <s v="Sept"/>
  </r>
  <r>
    <s v="2.20945E+11"/>
    <n v="220602930"/>
    <d v="2022-09-11T00:00:00"/>
    <s v="14:41:25.720Z"/>
    <n v="2810"/>
    <d v="1989-08-26T00:00:00"/>
    <n v="62.13"/>
    <n v="53"/>
    <x v="0"/>
    <x v="536"/>
    <x v="680"/>
    <s v="Yes"/>
    <s v="Yes"/>
    <n v="33"/>
    <s v="0-35"/>
    <x v="4"/>
    <x v="0"/>
    <n v="518"/>
    <x v="28"/>
    <x v="1"/>
    <s v="Pass"/>
    <x v="1"/>
    <s v="B"/>
    <x v="1"/>
    <s v="60-70"/>
    <x v="0"/>
    <x v="0"/>
    <x v="0"/>
    <x v="0"/>
    <x v="4"/>
    <x v="0"/>
    <x v="4"/>
    <x v="1"/>
    <s v="Sept"/>
  </r>
  <r>
    <s v="2.20945E+11"/>
    <n v="220707552"/>
    <d v="2022-09-09T00:00:00"/>
    <s v="16:57:41.605Z"/>
    <n v="2595"/>
    <d v="1999-01-30T00:00:00"/>
    <n v="80"/>
    <n v="60"/>
    <x v="0"/>
    <x v="537"/>
    <x v="681"/>
    <s v="No"/>
    <s v="No"/>
    <n v="23"/>
    <s v="60-75"/>
    <x v="2"/>
    <x v="0"/>
    <n v="422"/>
    <x v="306"/>
    <x v="0"/>
    <s v="Pass"/>
    <x v="0"/>
    <s v="C"/>
    <x v="1"/>
    <s v="50-60"/>
    <x v="0"/>
    <x v="0"/>
    <x v="0"/>
    <x v="0"/>
    <x v="4"/>
    <x v="0"/>
    <x v="0"/>
    <x v="1"/>
    <s v="Sept"/>
  </r>
  <r>
    <s v="2.20945E+11"/>
    <n v="220707834"/>
    <d v="2022-09-08T00:00:00"/>
    <s v="21:15:47.344Z"/>
    <n v="1831"/>
    <d v="1994-12-23T00:00:00"/>
    <n v="88"/>
    <n v="53"/>
    <x v="0"/>
    <x v="427"/>
    <x v="378"/>
    <s v="No"/>
    <s v="Yes"/>
    <n v="27"/>
    <s v="60-75"/>
    <x v="6"/>
    <x v="0"/>
    <n v="520"/>
    <x v="93"/>
    <x v="1"/>
    <s v="Pass"/>
    <x v="1"/>
    <s v="C"/>
    <x v="1"/>
    <s v="60-70"/>
    <x v="1"/>
    <x v="9"/>
    <x v="1"/>
    <x v="1"/>
    <x v="4"/>
    <x v="1"/>
    <x v="1"/>
    <x v="1"/>
    <s v="Sept"/>
  </r>
  <r>
    <s v="2.20945E+11"/>
    <n v="220603571"/>
    <d v="2022-09-08T00:00:00"/>
    <s v="23:56:00.784Z"/>
    <n v="2588"/>
    <d v="1994-02-09T00:00:00"/>
    <n v="72.73"/>
    <n v="62.83"/>
    <x v="0"/>
    <x v="175"/>
    <x v="682"/>
    <s v="No"/>
    <s v="Yes"/>
    <n v="28"/>
    <s v="60-75"/>
    <x v="5"/>
    <x v="0"/>
    <n v="438"/>
    <x v="331"/>
    <x v="0"/>
    <s v="Pass"/>
    <x v="0"/>
    <s v="B"/>
    <x v="1"/>
    <s v="50-60"/>
    <x v="0"/>
    <x v="0"/>
    <x v="0"/>
    <x v="0"/>
    <x v="4"/>
    <x v="0"/>
    <x v="1"/>
    <x v="1"/>
    <s v="Sept"/>
  </r>
  <r>
    <s v="2.20945E+11"/>
    <n v="220603530"/>
    <d v="2022-09-10T00:00:00"/>
    <s v="15:52:02.455Z"/>
    <n v="1847"/>
    <d v="1997-02-02T00:00:00"/>
    <n v="94"/>
    <n v="65"/>
    <x v="0"/>
    <x v="538"/>
    <x v="683"/>
    <s v="No"/>
    <s v="No"/>
    <n v="25"/>
    <s v="0-35"/>
    <x v="6"/>
    <x v="0"/>
    <n v="511"/>
    <x v="340"/>
    <x v="2"/>
    <s v="Pass"/>
    <x v="2"/>
    <s v="B"/>
    <x v="1"/>
    <s v="60-70"/>
    <x v="0"/>
    <x v="0"/>
    <x v="0"/>
    <x v="0"/>
    <x v="4"/>
    <x v="1"/>
    <x v="0"/>
    <x v="1"/>
    <s v="Sept"/>
  </r>
  <r>
    <s v="2.20945E+11"/>
    <n v="220600231"/>
    <d v="2022-09-10T00:00:00"/>
    <s v="09:54:25.669Z"/>
    <n v="2902"/>
    <d v="1996-10-15T00:00:00"/>
    <n v="55.82"/>
    <s v="Other"/>
    <x v="51"/>
    <x v="539"/>
    <x v="684"/>
    <s v="No"/>
    <s v="No"/>
    <n v="25"/>
    <s v="60-75"/>
    <x v="1"/>
    <x v="0"/>
    <n v="529"/>
    <x v="131"/>
    <x v="2"/>
    <s v="Pass"/>
    <x v="2"/>
    <s v="A"/>
    <x v="1"/>
    <s v="60-70"/>
    <x v="0"/>
    <x v="0"/>
    <x v="0"/>
    <x v="0"/>
    <x v="4"/>
    <x v="0"/>
    <x v="0"/>
    <x v="1"/>
    <s v="Sept"/>
  </r>
  <r>
    <s v="2.20945E+11"/>
    <n v="220702559"/>
    <d v="2022-09-09T00:00:00"/>
    <s v="17:46:32.497Z"/>
    <n v="1948"/>
    <d v="1999-09-04T00:00:00"/>
    <n v="80.8"/>
    <n v="58.77"/>
    <x v="0"/>
    <x v="540"/>
    <x v="685"/>
    <s v="No"/>
    <s v="Yes"/>
    <n v="23"/>
    <s v="0-35"/>
    <x v="4"/>
    <x v="0"/>
    <n v="576"/>
    <x v="125"/>
    <x v="2"/>
    <s v="Pass"/>
    <x v="2"/>
    <s v="A"/>
    <x v="1"/>
    <s v="70-85"/>
    <x v="1"/>
    <x v="156"/>
    <x v="1"/>
    <x v="1"/>
    <x v="4"/>
    <x v="1"/>
    <x v="0"/>
    <x v="1"/>
    <s v="Sept"/>
  </r>
  <r>
    <s v="2.20945E+11"/>
    <n v="220705367"/>
    <d v="2022-09-08T00:00:00"/>
    <s v="19:11:43.863Z"/>
    <n v="2434"/>
    <d v="1996-10-05T00:00:00"/>
    <n v="90.91"/>
    <n v="76.62"/>
    <x v="0"/>
    <x v="432"/>
    <x v="686"/>
    <s v="No"/>
    <s v="No"/>
    <n v="25"/>
    <s v="60-75"/>
    <x v="1"/>
    <x v="0"/>
    <n v="557"/>
    <x v="78"/>
    <x v="2"/>
    <s v="Pass"/>
    <x v="2"/>
    <s v="A"/>
    <x v="1"/>
    <s v="60-70"/>
    <x v="1"/>
    <x v="157"/>
    <x v="1"/>
    <x v="1"/>
    <x v="4"/>
    <x v="0"/>
    <x v="0"/>
    <x v="1"/>
    <s v="Sept"/>
  </r>
  <r>
    <s v="2.20945E+11"/>
    <n v="220603437"/>
    <d v="2022-09-12T00:00:00"/>
    <s v="12:40:02.872Z"/>
    <n v="328"/>
    <d v="1996-03-31T00:00:00"/>
    <n v="94.55"/>
    <n v="75.83"/>
    <x v="0"/>
    <x v="541"/>
    <x v="687"/>
    <s v="No"/>
    <s v="Yes"/>
    <n v="26"/>
    <s v="60-75"/>
    <x v="4"/>
    <x v="0"/>
    <n v="504"/>
    <x v="181"/>
    <x v="1"/>
    <s v="Pass"/>
    <x v="1"/>
    <s v="A"/>
    <x v="1"/>
    <s v="60-70"/>
    <x v="0"/>
    <x v="0"/>
    <x v="0"/>
    <x v="0"/>
    <x v="4"/>
    <x v="3"/>
    <x v="1"/>
    <x v="1"/>
    <s v="Sept"/>
  </r>
  <r>
    <s v="2.20945E+11"/>
    <n v="220711963"/>
    <d v="2022-09-08T00:00:00"/>
    <s v="14:03:53.565Z"/>
    <n v="2154"/>
    <d v="1990-12-11T00:00:00"/>
    <n v="65.84"/>
    <n v="44.67"/>
    <x v="0"/>
    <x v="542"/>
    <x v="688"/>
    <s v="No"/>
    <s v="No"/>
    <n v="31"/>
    <s v="60-75"/>
    <x v="4"/>
    <x v="0"/>
    <n v="444"/>
    <x v="291"/>
    <x v="0"/>
    <s v="Pass"/>
    <x v="0"/>
    <s v="B"/>
    <x v="1"/>
    <s v="50-60"/>
    <x v="0"/>
    <x v="0"/>
    <x v="0"/>
    <x v="0"/>
    <x v="4"/>
    <x v="0"/>
    <x v="4"/>
    <x v="1"/>
    <s v="Sept"/>
  </r>
  <r>
    <s v="2.20945E+11"/>
    <n v="220708029"/>
    <d v="2022-09-13T00:00:00"/>
    <s v="07:49:42.662Z"/>
    <n v="2252"/>
    <d v="1997-10-07T00:00:00"/>
    <n v="80"/>
    <n v="60.61"/>
    <x v="0"/>
    <x v="543"/>
    <x v="689"/>
    <s v="No"/>
    <s v="No"/>
    <n v="24"/>
    <s v="0-35"/>
    <x v="4"/>
    <x v="0"/>
    <n v="533"/>
    <x v="58"/>
    <x v="2"/>
    <s v="Pass"/>
    <x v="2"/>
    <s v="B"/>
    <x v="1"/>
    <s v="60-70"/>
    <x v="0"/>
    <x v="0"/>
    <x v="0"/>
    <x v="0"/>
    <x v="4"/>
    <x v="0"/>
    <x v="0"/>
    <x v="1"/>
    <s v="Sept"/>
  </r>
  <r>
    <s v="2.20945E+11"/>
    <n v="220700086"/>
    <d v="2022-09-12T00:00:00"/>
    <s v="19:36:13.235Z"/>
    <n v="2296"/>
    <d v="1998-06-18T00:00:00"/>
    <n v="78"/>
    <s v="Other"/>
    <x v="83"/>
    <x v="141"/>
    <x v="112"/>
    <s v="No"/>
    <s v="Yes"/>
    <n v="24"/>
    <s v="100-75"/>
    <x v="3"/>
    <x v="1"/>
    <n v="486"/>
    <x v="94"/>
    <x v="2"/>
    <s v="Pass"/>
    <x v="2"/>
    <s v="B"/>
    <x v="1"/>
    <s v="60-70"/>
    <x v="0"/>
    <x v="0"/>
    <x v="0"/>
    <x v="0"/>
    <x v="4"/>
    <x v="0"/>
    <x v="0"/>
    <x v="1"/>
    <s v="Sept"/>
  </r>
  <r>
    <s v="2.20945E+11"/>
    <n v="220700380"/>
    <d v="2022-09-11T00:00:00"/>
    <s v="16:08:08.479Z"/>
    <n v="2006"/>
    <d v="1996-07-20T00:00:00"/>
    <n v="71.16"/>
    <n v="81"/>
    <x v="0"/>
    <x v="544"/>
    <x v="690"/>
    <s v="No"/>
    <s v="No"/>
    <n v="26"/>
    <s v="100-75"/>
    <x v="1"/>
    <x v="1"/>
    <n v="551"/>
    <x v="332"/>
    <x v="1"/>
    <s v="Pass"/>
    <x v="1"/>
    <s v="B"/>
    <x v="1"/>
    <s v="60-70"/>
    <x v="1"/>
    <x v="139"/>
    <x v="1"/>
    <x v="1"/>
    <x v="4"/>
    <x v="0"/>
    <x v="1"/>
    <x v="1"/>
    <s v="Sept"/>
  </r>
  <r>
    <s v="2.20945E+11"/>
    <n v="220710902"/>
    <d v="2022-09-11T00:00:00"/>
    <s v="07:38:44.661Z"/>
    <n v="2547"/>
    <d v="1999-04-08T00:00:00"/>
    <n v="83.6"/>
    <n v="81.400000000000006"/>
    <x v="0"/>
    <x v="545"/>
    <x v="691"/>
    <s v="No"/>
    <s v="No"/>
    <n v="23"/>
    <s v="100-75"/>
    <x v="2"/>
    <x v="1"/>
    <n v="572"/>
    <x v="174"/>
    <x v="1"/>
    <s v="Pass"/>
    <x v="1"/>
    <s v="B"/>
    <x v="1"/>
    <s v="70-85"/>
    <x v="1"/>
    <x v="107"/>
    <x v="1"/>
    <x v="1"/>
    <x v="4"/>
    <x v="0"/>
    <x v="0"/>
    <x v="1"/>
    <s v="Sept"/>
  </r>
  <r>
    <s v="2.20945E+11"/>
    <n v="220710391"/>
    <d v="2022-09-12T00:00:00"/>
    <s v="15:58:29.397Z"/>
    <n v="2352"/>
    <d v="1995-08-15T00:00:00"/>
    <n v="93.1"/>
    <n v="71.83"/>
    <x v="0"/>
    <x v="546"/>
    <x v="692"/>
    <s v="No"/>
    <s v="No"/>
    <n v="27"/>
    <s v="100-75"/>
    <x v="6"/>
    <x v="1"/>
    <n v="662"/>
    <x v="364"/>
    <x v="1"/>
    <s v="Pass"/>
    <x v="1"/>
    <s v="A"/>
    <x v="1"/>
    <s v="70-85"/>
    <x v="0"/>
    <x v="0"/>
    <x v="0"/>
    <x v="0"/>
    <x v="4"/>
    <x v="0"/>
    <x v="1"/>
    <x v="1"/>
    <s v="Sept"/>
  </r>
  <r>
    <s v="2.20945E+11"/>
    <n v="220604308"/>
    <d v="2022-09-14T00:00:00"/>
    <s v="16:18:52.817Z"/>
    <n v="1985"/>
    <d v="1996-05-25T00:00:00"/>
    <n v="90.73"/>
    <n v="77"/>
    <x v="0"/>
    <x v="547"/>
    <x v="693"/>
    <s v="No"/>
    <s v="No"/>
    <n v="26"/>
    <s v="60-75"/>
    <x v="6"/>
    <x v="0"/>
    <n v="563"/>
    <x v="45"/>
    <x v="2"/>
    <s v="Pass"/>
    <x v="2"/>
    <s v="A"/>
    <x v="1"/>
    <s v="70-85"/>
    <x v="1"/>
    <x v="158"/>
    <x v="1"/>
    <x v="1"/>
    <x v="4"/>
    <x v="1"/>
    <x v="1"/>
    <x v="1"/>
    <s v="Sept"/>
  </r>
  <r>
    <s v="2.20945E+11"/>
    <n v="220606960"/>
    <d v="2022-09-10T00:00:00"/>
    <s v="17:13:24.122Z"/>
    <n v="3044"/>
    <d v="1991-12-07T00:00:00"/>
    <n v="85.23"/>
    <n v="71.17"/>
    <x v="0"/>
    <x v="548"/>
    <x v="694"/>
    <s v="No"/>
    <s v="No"/>
    <n v="30"/>
    <s v="60-75"/>
    <x v="6"/>
    <x v="0"/>
    <n v="485"/>
    <x v="24"/>
    <x v="1"/>
    <s v="Pass"/>
    <x v="1"/>
    <s v="B"/>
    <x v="1"/>
    <s v="60-70"/>
    <x v="0"/>
    <x v="0"/>
    <x v="0"/>
    <x v="0"/>
    <x v="4"/>
    <x v="4"/>
    <x v="4"/>
    <x v="1"/>
    <s v="Sept"/>
  </r>
  <r>
    <s v="2.20945E+11"/>
    <n v="220701081"/>
    <d v="2022-09-13T00:00:00"/>
    <s v="17:15:42.851Z"/>
    <n v="2785"/>
    <d v="1996-08-03T00:00:00"/>
    <n v="81.64"/>
    <s v="Other"/>
    <x v="172"/>
    <x v="77"/>
    <x v="695"/>
    <s v="No"/>
    <s v="No"/>
    <n v="26"/>
    <s v="60-75"/>
    <x v="6"/>
    <x v="0"/>
    <n v="588"/>
    <x v="116"/>
    <x v="1"/>
    <s v="Pass"/>
    <x v="1"/>
    <s v="A"/>
    <x v="1"/>
    <s v="70-85"/>
    <x v="2"/>
    <x v="3"/>
    <x v="1"/>
    <x v="1"/>
    <x v="4"/>
    <x v="0"/>
    <x v="1"/>
    <x v="1"/>
    <s v="Sept"/>
  </r>
  <r>
    <s v="2.11E+11"/>
    <n v="210701213"/>
    <d v="2021-09-16T00:00:00"/>
    <s v="16:52:08.756Z"/>
    <n v="299"/>
    <d v="1997-02-06T00:00:00"/>
    <n v="83.64"/>
    <n v="75.23"/>
    <x v="0"/>
    <x v="549"/>
    <x v="696"/>
    <s v="No"/>
    <s v="No"/>
    <n v="24"/>
    <s v="0-35"/>
    <x v="5"/>
    <x v="0"/>
    <n v="656"/>
    <x v="365"/>
    <x v="1"/>
    <s v="Pass"/>
    <x v="1"/>
    <s v="A"/>
    <x v="0"/>
    <s v="70-85"/>
    <x v="1"/>
    <x v="159"/>
    <x v="1"/>
    <x v="1"/>
    <x v="5"/>
    <x v="3"/>
    <x v="0"/>
    <x v="2"/>
    <s v="Sept"/>
  </r>
  <r>
    <s v="2.11E+11"/>
    <n v="210700824"/>
    <d v="2021-09-15T00:00:00"/>
    <s v="15:58:21.503Z"/>
    <n v="1503"/>
    <s v="6/20/1997"/>
    <n v="77.819999999999993"/>
    <s v="Other"/>
    <x v="98"/>
    <x v="91"/>
    <x v="697"/>
    <s v="No"/>
    <s v="Yes"/>
    <n v="24"/>
    <s v="45-60"/>
    <x v="1"/>
    <x v="0"/>
    <n v="539"/>
    <x v="123"/>
    <x v="2"/>
    <s v="Pass"/>
    <x v="2"/>
    <s v="C"/>
    <x v="0"/>
    <s v="60-70"/>
    <x v="1"/>
    <x v="30"/>
    <x v="1"/>
    <x v="1"/>
    <x v="5"/>
    <x v="1"/>
    <x v="0"/>
    <x v="2"/>
    <s v="Sept"/>
  </r>
  <r>
    <s v="2.11E+11"/>
    <n v="210700481"/>
    <d v="2021-09-15T00:00:00"/>
    <s v="10:59:13.180Z"/>
    <n v="1403"/>
    <d v="1998-01-02T00:00:00"/>
    <n v="92.6"/>
    <n v="68.319999999999993"/>
    <x v="0"/>
    <x v="550"/>
    <x v="698"/>
    <s v="No"/>
    <s v="Yes"/>
    <n v="23"/>
    <s v="60-75"/>
    <x v="5"/>
    <x v="1"/>
    <n v="531"/>
    <x v="35"/>
    <x v="0"/>
    <s v="Pass"/>
    <x v="0"/>
    <s v="B"/>
    <x v="0"/>
    <s v="60-70"/>
    <x v="1"/>
    <x v="58"/>
    <x v="1"/>
    <x v="1"/>
    <x v="5"/>
    <x v="1"/>
    <x v="0"/>
    <x v="2"/>
    <s v="Sept"/>
  </r>
  <r>
    <s v="2.11E+11"/>
    <n v="210700617"/>
    <d v="2021-09-15T00:00:00"/>
    <s v="16:21:48.584Z"/>
    <n v="1401"/>
    <s v="3/15/1995"/>
    <n v="61.45"/>
    <s v="Other"/>
    <x v="0"/>
    <x v="551"/>
    <x v="699"/>
    <s v="No"/>
    <s v="Yes"/>
    <n v="26"/>
    <s v="0-35"/>
    <x v="5"/>
    <x v="5"/>
    <n v="592"/>
    <x v="5"/>
    <x v="2"/>
    <s v="Pass"/>
    <x v="2"/>
    <s v="A"/>
    <x v="0"/>
    <s v="70-85"/>
    <x v="1"/>
    <x v="160"/>
    <x v="1"/>
    <x v="1"/>
    <x v="5"/>
    <x v="1"/>
    <x v="1"/>
    <x v="2"/>
    <s v="Sept"/>
  </r>
  <r>
    <s v="2.11E+11"/>
    <n v="210704705"/>
    <d v="2021-09-15T00:00:00"/>
    <s v="00:16:43.685Z"/>
    <n v="1289"/>
    <s v="1/16/1998"/>
    <n v="86.36"/>
    <n v="76.62"/>
    <x v="0"/>
    <x v="552"/>
    <x v="700"/>
    <s v="No"/>
    <s v="No"/>
    <n v="23"/>
    <s v="60-75"/>
    <x v="5"/>
    <x v="0"/>
    <n v="613"/>
    <x v="27"/>
    <x v="1"/>
    <s v="Pass"/>
    <x v="1"/>
    <s v="A"/>
    <x v="0"/>
    <s v="70-85"/>
    <x v="1"/>
    <x v="161"/>
    <x v="1"/>
    <x v="1"/>
    <x v="5"/>
    <x v="1"/>
    <x v="0"/>
    <x v="2"/>
    <s v="Sept"/>
  </r>
  <r>
    <s v="2.11E+11"/>
    <n v="210711670"/>
    <d v="2021-09-15T00:00:00"/>
    <s v="17:04:21.147Z"/>
    <n v="1474"/>
    <d v="1996-10-09T00:00:00"/>
    <n v="96"/>
    <n v="71.540000000000006"/>
    <x v="0"/>
    <x v="164"/>
    <x v="701"/>
    <s v="No"/>
    <s v="Yes"/>
    <n v="25"/>
    <s v="60-75"/>
    <x v="1"/>
    <x v="0"/>
    <n v="520"/>
    <x v="93"/>
    <x v="0"/>
    <s v="Pass"/>
    <x v="0"/>
    <s v="B"/>
    <x v="0"/>
    <s v="60-70"/>
    <x v="1"/>
    <x v="21"/>
    <x v="1"/>
    <x v="1"/>
    <x v="5"/>
    <x v="1"/>
    <x v="0"/>
    <x v="2"/>
    <s v="Sept"/>
  </r>
  <r>
    <s v="2.11E+11"/>
    <n v="210704122"/>
    <d v="2021-09-15T00:00:00"/>
    <s v="20:28:18.867Z"/>
    <n v="1248"/>
    <s v="10/28/1994"/>
    <n v="78.2"/>
    <n v="50"/>
    <x v="0"/>
    <x v="180"/>
    <x v="702"/>
    <s v="Yes"/>
    <s v="No"/>
    <n v="26"/>
    <s v="60-75"/>
    <x v="3"/>
    <x v="5"/>
    <n v="479"/>
    <x v="313"/>
    <x v="0"/>
    <s v="Pass"/>
    <x v="0"/>
    <s v="C"/>
    <x v="0"/>
    <s v="50-60"/>
    <x v="1"/>
    <x v="162"/>
    <x v="1"/>
    <x v="1"/>
    <x v="5"/>
    <x v="1"/>
    <x v="1"/>
    <x v="2"/>
    <s v="Sept"/>
  </r>
  <r>
    <s v="2.11E+11"/>
    <n v="210704589"/>
    <d v="2021-09-15T00:00:00"/>
    <s v="17:42:20.200Z"/>
    <n v="1127"/>
    <d v="1994-05-08T00:00:00"/>
    <n v="89.45"/>
    <n v="72.33"/>
    <x v="0"/>
    <x v="66"/>
    <x v="703"/>
    <s v="No"/>
    <s v="No"/>
    <n v="27"/>
    <s v="100-75"/>
    <x v="4"/>
    <x v="5"/>
    <n v="607"/>
    <x v="107"/>
    <x v="2"/>
    <s v="Pass"/>
    <x v="2"/>
    <s v="B"/>
    <x v="0"/>
    <s v="70-85"/>
    <x v="1"/>
    <x v="161"/>
    <x v="1"/>
    <x v="1"/>
    <x v="5"/>
    <x v="1"/>
    <x v="1"/>
    <x v="2"/>
    <s v="Sept"/>
  </r>
  <r>
    <s v="2.11E+11"/>
    <n v="210703460"/>
    <d v="2021-09-15T00:00:00"/>
    <s v="17:08:00.575Z"/>
    <n v="1084"/>
    <s v="6/26/1998"/>
    <n v="92.2"/>
    <n v="85.69"/>
    <x v="0"/>
    <x v="553"/>
    <x v="704"/>
    <s v="No"/>
    <s v="No"/>
    <n v="23"/>
    <s v="100-75"/>
    <x v="5"/>
    <x v="1"/>
    <n v="482"/>
    <x v="108"/>
    <x v="2"/>
    <s v="Pass"/>
    <x v="2"/>
    <s v="B"/>
    <x v="0"/>
    <s v="60-70"/>
    <x v="1"/>
    <x v="163"/>
    <x v="1"/>
    <x v="1"/>
    <x v="5"/>
    <x v="1"/>
    <x v="0"/>
    <x v="2"/>
    <s v="Sept"/>
  </r>
  <r>
    <s v="2.11E+11"/>
    <n v="210703064"/>
    <d v="2021-09-15T00:00:00"/>
    <s v="23:02:57.156Z"/>
    <n v="1143"/>
    <d v="1995-10-10T00:00:00"/>
    <n v="58.9"/>
    <n v="73.540000000000006"/>
    <x v="0"/>
    <x v="554"/>
    <x v="705"/>
    <s v="No"/>
    <s v="No"/>
    <n v="25"/>
    <s v="45-60"/>
    <x v="4"/>
    <x v="0"/>
    <n v="567"/>
    <x v="366"/>
    <x v="2"/>
    <s v="Pass"/>
    <x v="2"/>
    <s v="A"/>
    <x v="0"/>
    <s v="70-85"/>
    <x v="1"/>
    <x v="87"/>
    <x v="1"/>
    <x v="1"/>
    <x v="5"/>
    <x v="1"/>
    <x v="0"/>
    <x v="2"/>
    <s v="Sept"/>
  </r>
  <r>
    <s v="2.11E+11"/>
    <n v="210706901"/>
    <d v="2021-09-15T00:00:00"/>
    <s v="15:55:04.244Z"/>
    <n v="993"/>
    <s v="10/31/1998"/>
    <n v="79.2"/>
    <n v="59.2"/>
    <x v="0"/>
    <x v="234"/>
    <x v="172"/>
    <s v="No"/>
    <s v="No"/>
    <n v="22"/>
    <s v="60-75"/>
    <x v="4"/>
    <x v="0"/>
    <n v="609"/>
    <x v="167"/>
    <x v="1"/>
    <s v="Pass"/>
    <x v="1"/>
    <s v="A"/>
    <x v="0"/>
    <s v="70-85"/>
    <x v="1"/>
    <x v="164"/>
    <x v="1"/>
    <x v="1"/>
    <x v="5"/>
    <x v="3"/>
    <x v="2"/>
    <x v="2"/>
    <s v="Sept"/>
  </r>
  <r>
    <s v="2.11E+11"/>
    <n v="210702437"/>
    <d v="2021-09-15T00:00:00"/>
    <s v="21:25:29.149Z"/>
    <n v="1491"/>
    <d v="1999-10-05T00:00:00"/>
    <n v="81.7"/>
    <n v="69.8"/>
    <x v="0"/>
    <x v="62"/>
    <x v="706"/>
    <s v="No"/>
    <s v="No"/>
    <n v="22"/>
    <s v="100-75"/>
    <x v="3"/>
    <x v="1"/>
    <n v="600"/>
    <x v="29"/>
    <x v="2"/>
    <s v="Pass"/>
    <x v="2"/>
    <s v="B"/>
    <x v="0"/>
    <s v="70-85"/>
    <x v="1"/>
    <x v="80"/>
    <x v="1"/>
    <x v="1"/>
    <x v="5"/>
    <x v="1"/>
    <x v="2"/>
    <x v="2"/>
    <s v="Sept"/>
  </r>
  <r>
    <s v="2.11E+11"/>
    <n v="210703114"/>
    <d v="2021-09-15T00:00:00"/>
    <s v="19:33:49.750Z"/>
    <n v="1536"/>
    <s v="7/23/1995"/>
    <n v="80.180000000000007"/>
    <n v="65.5"/>
    <x v="0"/>
    <x v="109"/>
    <x v="707"/>
    <s v="No"/>
    <s v="No"/>
    <n v="26"/>
    <s v="60-75"/>
    <x v="1"/>
    <x v="5"/>
    <n v="521"/>
    <x v="2"/>
    <x v="1"/>
    <s v="Pass"/>
    <x v="1"/>
    <s v="B"/>
    <x v="0"/>
    <s v="60-70"/>
    <x v="1"/>
    <x v="21"/>
    <x v="1"/>
    <x v="1"/>
    <x v="5"/>
    <x v="1"/>
    <x v="1"/>
    <x v="2"/>
    <s v="Sept"/>
  </r>
  <r>
    <s v="2.11E+11"/>
    <n v="210704118"/>
    <d v="2021-09-16T00:00:00"/>
    <s v="00:40:42.904Z"/>
    <n v="7"/>
    <d v="1995-10-05T00:00:00"/>
    <n v="59.2"/>
    <n v="68.77"/>
    <x v="0"/>
    <x v="173"/>
    <x v="708"/>
    <s v="No"/>
    <s v="No"/>
    <n v="26"/>
    <s v="60-75"/>
    <x v="5"/>
    <x v="0"/>
    <n v="562"/>
    <x v="135"/>
    <x v="2"/>
    <s v="Pass"/>
    <x v="2"/>
    <s v="B"/>
    <x v="0"/>
    <s v="70-85"/>
    <x v="1"/>
    <x v="165"/>
    <x v="1"/>
    <x v="1"/>
    <x v="5"/>
    <x v="3"/>
    <x v="1"/>
    <x v="2"/>
    <s v="Sept"/>
  </r>
  <r>
    <s v="2.11E+11"/>
    <n v="210701185"/>
    <d v="2021-09-15T00:00:00"/>
    <s v="18:58:48.640Z"/>
    <n v="1037"/>
    <s v="5/23/2000"/>
    <n v="75.2"/>
    <s v="Other"/>
    <x v="173"/>
    <x v="555"/>
    <x v="709"/>
    <s v="No"/>
    <s v="Yes"/>
    <n v="21"/>
    <s v="60-75"/>
    <x v="5"/>
    <x v="0"/>
    <n v="607"/>
    <x v="107"/>
    <x v="0"/>
    <s v="Pass"/>
    <x v="0"/>
    <s v="B"/>
    <x v="0"/>
    <s v="70-85"/>
    <x v="1"/>
    <x v="161"/>
    <x v="1"/>
    <x v="1"/>
    <x v="5"/>
    <x v="1"/>
    <x v="2"/>
    <x v="2"/>
    <s v="Sept"/>
  </r>
  <r>
    <s v="2.11E+11"/>
    <n v="210710408"/>
    <d v="2021-09-15T00:00:00"/>
    <s v="20:32:40.251Z"/>
    <n v="1461"/>
    <s v="8/14/1996"/>
    <n v="87.09"/>
    <n v="63.85"/>
    <x v="0"/>
    <x v="474"/>
    <x v="710"/>
    <s v="No"/>
    <s v="Yes"/>
    <n v="25"/>
    <s v="60-75"/>
    <x v="1"/>
    <x v="0"/>
    <n v="517"/>
    <x v="92"/>
    <x v="2"/>
    <s v="Pass"/>
    <x v="2"/>
    <s v="B"/>
    <x v="0"/>
    <s v="60-70"/>
    <x v="1"/>
    <x v="166"/>
    <x v="1"/>
    <x v="1"/>
    <x v="5"/>
    <x v="1"/>
    <x v="0"/>
    <x v="2"/>
    <s v="Sept"/>
  </r>
  <r>
    <s v="2.11E+11"/>
    <n v="210711194"/>
    <d v="2021-09-15T00:00:00"/>
    <s v="19:39:15.881Z"/>
    <n v="556"/>
    <d v="1998-07-07T00:00:00"/>
    <n v="73"/>
    <s v="Other"/>
    <x v="174"/>
    <x v="556"/>
    <x v="711"/>
    <s v="No"/>
    <s v="Yes"/>
    <n v="23"/>
    <s v="0-35"/>
    <x v="6"/>
    <x v="0"/>
    <n v="598"/>
    <x v="115"/>
    <x v="1"/>
    <s v="Pass"/>
    <x v="1"/>
    <s v="A"/>
    <x v="0"/>
    <s v="70-85"/>
    <x v="1"/>
    <x v="103"/>
    <x v="1"/>
    <x v="1"/>
    <x v="5"/>
    <x v="3"/>
    <x v="0"/>
    <x v="2"/>
    <s v="Sept"/>
  </r>
  <r>
    <s v="2.11E+11"/>
    <n v="210715348"/>
    <d v="2021-09-15T00:00:00"/>
    <s v="20:54:04.586Z"/>
    <n v="1516"/>
    <d v="1997-03-04T00:00:00"/>
    <n v="88.91"/>
    <n v="73.540000000000006"/>
    <x v="0"/>
    <x v="557"/>
    <x v="712"/>
    <s v="No"/>
    <s v="No"/>
    <n v="24"/>
    <s v="60-75"/>
    <x v="4"/>
    <x v="5"/>
    <n v="547"/>
    <x v="51"/>
    <x v="2"/>
    <s v="Pass"/>
    <x v="2"/>
    <s v="B"/>
    <x v="0"/>
    <s v="60-70"/>
    <x v="1"/>
    <x v="163"/>
    <x v="1"/>
    <x v="1"/>
    <x v="5"/>
    <x v="1"/>
    <x v="0"/>
    <x v="2"/>
    <s v="Sept"/>
  </r>
  <r>
    <s v="2.11E+11"/>
    <n v="210700021"/>
    <d v="2021-09-15T00:00:00"/>
    <s v="15:33:36.405Z"/>
    <n v="794"/>
    <s v="9/15/1998"/>
    <n v="87.2"/>
    <n v="61.85"/>
    <x v="0"/>
    <x v="558"/>
    <x v="713"/>
    <s v="No"/>
    <s v="No"/>
    <n v="23"/>
    <s v="60-75"/>
    <x v="5"/>
    <x v="0"/>
    <n v="519"/>
    <x v="325"/>
    <x v="0"/>
    <s v="Pass"/>
    <x v="0"/>
    <s v="B"/>
    <x v="0"/>
    <s v="60-70"/>
    <x v="1"/>
    <x v="92"/>
    <x v="1"/>
    <x v="1"/>
    <x v="5"/>
    <x v="3"/>
    <x v="0"/>
    <x v="2"/>
    <s v="Sept"/>
  </r>
  <r>
    <s v="2.11E+11"/>
    <n v="210702438"/>
    <d v="2021-09-15T00:00:00"/>
    <s v="15:25:00.320Z"/>
    <n v="1416"/>
    <s v="6/19/1995"/>
    <n v="81.64"/>
    <s v="Other"/>
    <x v="173"/>
    <x v="559"/>
    <x v="714"/>
    <s v="Yes"/>
    <s v="Yes"/>
    <n v="26"/>
    <s v="60-75"/>
    <x v="4"/>
    <x v="0"/>
    <n v="582"/>
    <x v="367"/>
    <x v="2"/>
    <s v="Pass"/>
    <x v="2"/>
    <s v="B"/>
    <x v="0"/>
    <s v="70-85"/>
    <x v="1"/>
    <x v="12"/>
    <x v="1"/>
    <x v="1"/>
    <x v="5"/>
    <x v="1"/>
    <x v="1"/>
    <x v="2"/>
    <s v="Sept"/>
  </r>
  <r>
    <s v="2.11E+11"/>
    <n v="210701002"/>
    <d v="2021-09-15T00:00:00"/>
    <s v="18:39:02.819Z"/>
    <n v="1464"/>
    <s v="9/29/1997"/>
    <n v="88.18"/>
    <n v="71.540000000000006"/>
    <x v="0"/>
    <x v="133"/>
    <x v="715"/>
    <s v="No"/>
    <s v="No"/>
    <n v="23"/>
    <s v="60-75"/>
    <x v="4"/>
    <x v="0"/>
    <n v="599"/>
    <x v="141"/>
    <x v="1"/>
    <s v="Pass"/>
    <x v="1"/>
    <s v="A"/>
    <x v="0"/>
    <s v="70-85"/>
    <x v="1"/>
    <x v="109"/>
    <x v="1"/>
    <x v="1"/>
    <x v="5"/>
    <x v="1"/>
    <x v="0"/>
    <x v="2"/>
    <s v="Sept"/>
  </r>
  <r>
    <s v="2.11E+11"/>
    <n v="210706976"/>
    <d v="2021-09-15T00:00:00"/>
    <s v="18:16:47.722Z"/>
    <n v="1060"/>
    <d v="1995-01-02T00:00:00"/>
    <n v="87.82"/>
    <n v="82.83"/>
    <x v="0"/>
    <x v="560"/>
    <x v="716"/>
    <s v="No"/>
    <s v="Yes"/>
    <n v="26"/>
    <s v="60-75"/>
    <x v="4"/>
    <x v="0"/>
    <n v="628"/>
    <x v="39"/>
    <x v="0"/>
    <s v="Pass"/>
    <x v="0"/>
    <s v="A"/>
    <x v="0"/>
    <s v="70-85"/>
    <x v="1"/>
    <x v="12"/>
    <x v="1"/>
    <x v="1"/>
    <x v="5"/>
    <x v="1"/>
    <x v="1"/>
    <x v="2"/>
    <s v="Sept"/>
  </r>
  <r>
    <s v="2.11E+11"/>
    <n v="210700861"/>
    <d v="2021-09-15T00:00:00"/>
    <s v="17:08:11.923Z"/>
    <n v="1328"/>
    <s v="8/23/1995"/>
    <n v="66.66"/>
    <n v="49"/>
    <x v="0"/>
    <x v="378"/>
    <x v="717"/>
    <s v="No"/>
    <s v="Yes"/>
    <n v="26"/>
    <s v="60-75"/>
    <x v="1"/>
    <x v="0"/>
    <n v="543"/>
    <x v="101"/>
    <x v="1"/>
    <s v="Pass"/>
    <x v="1"/>
    <s v="B"/>
    <x v="0"/>
    <s v="60-70"/>
    <x v="1"/>
    <x v="148"/>
    <x v="1"/>
    <x v="1"/>
    <x v="5"/>
    <x v="1"/>
    <x v="1"/>
    <x v="2"/>
    <s v="Sept"/>
  </r>
  <r>
    <s v="2.11E+11"/>
    <n v="210712891"/>
    <d v="2021-09-20T00:00:00"/>
    <s v="00:33:53.786Z"/>
    <n v="1458"/>
    <s v="1/26/1998"/>
    <n v="70.3"/>
    <n v="75"/>
    <x v="0"/>
    <x v="22"/>
    <x v="718"/>
    <s v="No"/>
    <s v="Yes"/>
    <n v="23"/>
    <s v="60-75"/>
    <x v="5"/>
    <x v="5"/>
    <n v="589"/>
    <x v="134"/>
    <x v="2"/>
    <s v="Pass"/>
    <x v="2"/>
    <s v="B"/>
    <x v="0"/>
    <s v="70-85"/>
    <x v="1"/>
    <x v="12"/>
    <x v="1"/>
    <x v="1"/>
    <x v="5"/>
    <x v="1"/>
    <x v="0"/>
    <x v="2"/>
    <s v="Sept"/>
  </r>
  <r>
    <s v="2.11E+11"/>
    <n v="210700725"/>
    <d v="2021-09-15T00:00:00"/>
    <s v="19:35:22.243Z"/>
    <n v="816"/>
    <d v="1998-09-10T00:00:00"/>
    <n v="76.66"/>
    <n v="65.56"/>
    <x v="0"/>
    <x v="561"/>
    <x v="719"/>
    <s v="No"/>
    <s v="Yes"/>
    <n v="22"/>
    <s v="60-75"/>
    <x v="5"/>
    <x v="0"/>
    <n v="588"/>
    <x v="116"/>
    <x v="1"/>
    <s v="Pass"/>
    <x v="1"/>
    <s v="A"/>
    <x v="0"/>
    <s v="70-85"/>
    <x v="1"/>
    <x v="12"/>
    <x v="1"/>
    <x v="1"/>
    <x v="5"/>
    <x v="3"/>
    <x v="2"/>
    <x v="2"/>
    <s v="Sept"/>
  </r>
  <r>
    <s v="2.11E+11"/>
    <n v="210712473"/>
    <d v="2021-09-15T00:00:00"/>
    <s v="23:55:21.680Z"/>
    <n v="1451"/>
    <s v="11/28/1995"/>
    <n v="57"/>
    <n v="55.2"/>
    <x v="0"/>
    <x v="562"/>
    <x v="720"/>
    <s v="Yes"/>
    <s v="No"/>
    <n v="25"/>
    <s v="60-75"/>
    <x v="5"/>
    <x v="6"/>
    <n v="443"/>
    <x v="302"/>
    <x v="0"/>
    <s v="Fail"/>
    <x v="0"/>
    <s v="D"/>
    <x v="0"/>
    <s v="50-60"/>
    <x v="0"/>
    <x v="0"/>
    <x v="0"/>
    <x v="0"/>
    <x v="5"/>
    <x v="1"/>
    <x v="0"/>
    <x v="2"/>
    <s v="Sept"/>
  </r>
  <r>
    <s v="2.11E+11"/>
    <n v="210705763"/>
    <d v="2021-09-15T00:00:00"/>
    <s v="10:57:52.256Z"/>
    <n v="1509"/>
    <d v="1996-10-01T00:00:00"/>
    <n v="78.2"/>
    <n v="75.400000000000006"/>
    <x v="0"/>
    <x v="563"/>
    <x v="721"/>
    <s v="No"/>
    <s v="Yes"/>
    <n v="25"/>
    <s v="60-75"/>
    <x v="5"/>
    <x v="5"/>
    <n v="519"/>
    <x v="325"/>
    <x v="0"/>
    <s v="Pass"/>
    <x v="0"/>
    <s v="B"/>
    <x v="0"/>
    <s v="60-70"/>
    <x v="1"/>
    <x v="92"/>
    <x v="1"/>
    <x v="1"/>
    <x v="5"/>
    <x v="1"/>
    <x v="0"/>
    <x v="2"/>
    <s v="Sept"/>
  </r>
  <r>
    <s v="2.11E+11"/>
    <n v="210706655"/>
    <d v="2021-09-15T00:00:00"/>
    <s v="11:00:11.572Z"/>
    <n v="1519"/>
    <s v="1/14/1998"/>
    <n v="82.4"/>
    <n v="59.38"/>
    <x v="0"/>
    <x v="11"/>
    <x v="722"/>
    <s v="No"/>
    <s v="Yes"/>
    <n v="23"/>
    <s v="0-35"/>
    <x v="5"/>
    <x v="1"/>
    <n v="481"/>
    <x v="84"/>
    <x v="2"/>
    <s v="Pass"/>
    <x v="2"/>
    <s v="B"/>
    <x v="0"/>
    <s v="60-70"/>
    <x v="1"/>
    <x v="143"/>
    <x v="1"/>
    <x v="1"/>
    <x v="5"/>
    <x v="1"/>
    <x v="0"/>
    <x v="2"/>
    <s v="Sept"/>
  </r>
  <r>
    <s v="2.11E+11"/>
    <n v="210703709"/>
    <d v="2021-09-15T00:00:00"/>
    <s v="22:03:03.169Z"/>
    <n v="1190"/>
    <d v="1998-06-03T00:00:00"/>
    <n v="84.6"/>
    <n v="61"/>
    <x v="0"/>
    <x v="564"/>
    <x v="723"/>
    <s v="No"/>
    <s v="No"/>
    <n v="23"/>
    <s v="100-75"/>
    <x v="5"/>
    <x v="0"/>
    <n v="590"/>
    <x v="323"/>
    <x v="0"/>
    <s v="Pass"/>
    <x v="0"/>
    <s v="B"/>
    <x v="0"/>
    <s v="70-85"/>
    <x v="1"/>
    <x v="167"/>
    <x v="1"/>
    <x v="1"/>
    <x v="5"/>
    <x v="1"/>
    <x v="0"/>
    <x v="2"/>
    <s v="Sept"/>
  </r>
  <r>
    <s v="2.11E+11"/>
    <n v="210709254"/>
    <d v="2021-09-16T00:00:00"/>
    <s v="16:04:49.985Z"/>
    <n v="1266"/>
    <s v="9/26/1996"/>
    <n v="71.45"/>
    <n v="54.62"/>
    <x v="175"/>
    <x v="565"/>
    <x v="724"/>
    <s v="No"/>
    <s v="No"/>
    <n v="24"/>
    <s v="100-75"/>
    <x v="0"/>
    <x v="0"/>
    <n v="592"/>
    <x v="5"/>
    <x v="2"/>
    <s v="Pass"/>
    <x v="2"/>
    <s v="B"/>
    <x v="0"/>
    <s v="70-85"/>
    <x v="1"/>
    <x v="104"/>
    <x v="1"/>
    <x v="1"/>
    <x v="5"/>
    <x v="1"/>
    <x v="0"/>
    <x v="2"/>
    <s v="Sept"/>
  </r>
  <r>
    <s v="2.11E+11"/>
    <n v="210701029"/>
    <d v="2021-09-15T00:00:00"/>
    <s v="16:19:22.120Z"/>
    <n v="1438"/>
    <d v="1995-10-03T00:00:00"/>
    <n v="82.73"/>
    <n v="56.83"/>
    <x v="0"/>
    <x v="566"/>
    <x v="725"/>
    <s v="No"/>
    <s v="No"/>
    <n v="26"/>
    <s v="60-75"/>
    <x v="4"/>
    <x v="0"/>
    <n v="566"/>
    <x v="322"/>
    <x v="1"/>
    <s v="Pass"/>
    <x v="1"/>
    <s v="B"/>
    <x v="0"/>
    <s v="70-85"/>
    <x v="1"/>
    <x v="24"/>
    <x v="1"/>
    <x v="1"/>
    <x v="5"/>
    <x v="1"/>
    <x v="1"/>
    <x v="2"/>
    <s v="Sept"/>
  </r>
  <r>
    <s v="2.11E+11"/>
    <n v="210700581"/>
    <d v="2021-09-15T00:00:00"/>
    <s v="22:08:36.869Z"/>
    <n v="355"/>
    <s v="1/30/1995"/>
    <n v="92"/>
    <s v="Other"/>
    <x v="54"/>
    <x v="298"/>
    <x v="726"/>
    <s v="No"/>
    <s v="No"/>
    <n v="26"/>
    <s v="60-75"/>
    <x v="4"/>
    <x v="0"/>
    <n v="657"/>
    <x v="304"/>
    <x v="1"/>
    <s v="Pass"/>
    <x v="1"/>
    <s v="A"/>
    <x v="0"/>
    <s v="70-85"/>
    <x v="1"/>
    <x v="71"/>
    <x v="1"/>
    <x v="1"/>
    <x v="5"/>
    <x v="3"/>
    <x v="1"/>
    <x v="2"/>
    <s v="Sept"/>
  </r>
  <r>
    <s v="2.11E+11"/>
    <n v="210703654"/>
    <d v="2021-09-15T00:00:00"/>
    <s v="15:07:02.038Z"/>
    <n v="1495"/>
    <d v="1995-02-08T00:00:00"/>
    <n v="92.91"/>
    <n v="62.83"/>
    <x v="0"/>
    <x v="567"/>
    <x v="727"/>
    <s v="No"/>
    <s v="Yes"/>
    <n v="26"/>
    <s v="60-75"/>
    <x v="4"/>
    <x v="0"/>
    <n v="621"/>
    <x v="342"/>
    <x v="2"/>
    <s v="Pass"/>
    <x v="2"/>
    <s v="B"/>
    <x v="0"/>
    <s v="70-85"/>
    <x v="1"/>
    <x v="161"/>
    <x v="1"/>
    <x v="1"/>
    <x v="5"/>
    <x v="1"/>
    <x v="1"/>
    <x v="2"/>
    <s v="Sept"/>
  </r>
  <r>
    <s v="2.11E+11"/>
    <n v="210702728"/>
    <d v="2021-09-15T00:00:00"/>
    <s v="19:02:53.644Z"/>
    <n v="1450"/>
    <s v="8/19/1996"/>
    <n v="84.91"/>
    <n v="72.92"/>
    <x v="0"/>
    <x v="568"/>
    <x v="728"/>
    <s v="No"/>
    <s v="Yes"/>
    <n v="25"/>
    <s v="60-75"/>
    <x v="5"/>
    <x v="0"/>
    <n v="514"/>
    <x v="368"/>
    <x v="0"/>
    <s v="Pass"/>
    <x v="0"/>
    <s v="B"/>
    <x v="0"/>
    <s v="60-70"/>
    <x v="1"/>
    <x v="38"/>
    <x v="1"/>
    <x v="1"/>
    <x v="5"/>
    <x v="1"/>
    <x v="0"/>
    <x v="2"/>
    <s v="Sept"/>
  </r>
  <r>
    <s v="2.11E+11"/>
    <n v="210701230"/>
    <d v="2021-09-15T00:00:00"/>
    <s v="17:58:50.815Z"/>
    <n v="704"/>
    <s v="9/22/1996"/>
    <n v="88.18"/>
    <n v="70.62"/>
    <x v="0"/>
    <x v="569"/>
    <x v="729"/>
    <s v="Yes"/>
    <s v="Yes"/>
    <n v="24"/>
    <s v="45-60"/>
    <x v="4"/>
    <x v="0"/>
    <n v="615"/>
    <x v="147"/>
    <x v="1"/>
    <s v="Pass"/>
    <x v="1"/>
    <s v="A"/>
    <x v="0"/>
    <s v="70-85"/>
    <x v="1"/>
    <x v="95"/>
    <x v="1"/>
    <x v="1"/>
    <x v="5"/>
    <x v="3"/>
    <x v="0"/>
    <x v="2"/>
    <s v="Sept"/>
  </r>
  <r>
    <s v="2.11E+11"/>
    <n v="210704400"/>
    <d v="2021-09-15T00:00:00"/>
    <s v="16:04:33.976Z"/>
    <n v="1404"/>
    <d v="1997-10-11T00:00:00"/>
    <n v="90.2"/>
    <s v="Other"/>
    <x v="176"/>
    <x v="570"/>
    <x v="730"/>
    <s v="No"/>
    <s v="No"/>
    <n v="23"/>
    <s v="60-75"/>
    <x v="5"/>
    <x v="0"/>
    <n v="606"/>
    <x v="130"/>
    <x v="1"/>
    <s v="Pass"/>
    <x v="1"/>
    <s v="A"/>
    <x v="0"/>
    <s v="70-85"/>
    <x v="1"/>
    <x v="161"/>
    <x v="1"/>
    <x v="1"/>
    <x v="5"/>
    <x v="1"/>
    <x v="0"/>
    <x v="2"/>
    <s v="Sept"/>
  </r>
  <r>
    <s v="2.11E+11"/>
    <n v="210715760"/>
    <d v="2021-09-16T00:00:00"/>
    <s v="16:09:11.711Z"/>
    <n v="882"/>
    <d v="1996-09-03T00:00:00"/>
    <n v="83.6"/>
    <n v="71.2"/>
    <x v="0"/>
    <x v="571"/>
    <x v="731"/>
    <s v="No"/>
    <s v="No"/>
    <n v="25"/>
    <s v="60-75"/>
    <x v="5"/>
    <x v="0"/>
    <n v="649"/>
    <x v="349"/>
    <x v="1"/>
    <s v="Pass"/>
    <x v="1"/>
    <s v="A"/>
    <x v="0"/>
    <s v="70-85"/>
    <x v="1"/>
    <x v="9"/>
    <x v="1"/>
    <x v="1"/>
    <x v="5"/>
    <x v="3"/>
    <x v="0"/>
    <x v="2"/>
    <s v="Sept"/>
  </r>
  <r>
    <s v="2.11E+11"/>
    <n v="210701195"/>
    <d v="2021-09-15T00:00:00"/>
    <s v="17:26:11.527Z"/>
    <n v="1413"/>
    <d v="1996-07-01T00:00:00"/>
    <n v="81"/>
    <n v="84.15"/>
    <x v="0"/>
    <x v="11"/>
    <x v="732"/>
    <s v="No"/>
    <s v="No"/>
    <n v="25"/>
    <s v="0-35"/>
    <x v="4"/>
    <x v="0"/>
    <n v="594"/>
    <x v="128"/>
    <x v="1"/>
    <s v="Pass"/>
    <x v="1"/>
    <s v="A"/>
    <x v="0"/>
    <s v="70-85"/>
    <x v="1"/>
    <x v="12"/>
    <x v="1"/>
    <x v="1"/>
    <x v="5"/>
    <x v="1"/>
    <x v="0"/>
    <x v="2"/>
    <s v="Sept"/>
  </r>
  <r>
    <s v="2.11E+11"/>
    <n v="210701394"/>
    <d v="2021-09-15T00:00:00"/>
    <s v="15:37:52.807Z"/>
    <n v="1487"/>
    <s v="5/19/1997"/>
    <n v="85.5"/>
    <n v="66.8"/>
    <x v="0"/>
    <x v="45"/>
    <x v="733"/>
    <s v="No"/>
    <s v="Yes"/>
    <n v="24"/>
    <s v="100-75"/>
    <x v="5"/>
    <x v="1"/>
    <n v="595"/>
    <x v="172"/>
    <x v="1"/>
    <s v="Pass"/>
    <x v="1"/>
    <s v="A"/>
    <x v="0"/>
    <s v="70-85"/>
    <x v="1"/>
    <x v="20"/>
    <x v="1"/>
    <x v="1"/>
    <x v="5"/>
    <x v="1"/>
    <x v="0"/>
    <x v="2"/>
    <s v="Sept"/>
  </r>
  <r>
    <s v="2.11E+11"/>
    <n v="210703198"/>
    <d v="2021-09-15T00:00:00"/>
    <s v="13:53:21.368Z"/>
    <n v="1475"/>
    <d v="1998-03-01T00:00:00"/>
    <n v="77.8"/>
    <n v="65.540000000000006"/>
    <x v="0"/>
    <x v="572"/>
    <x v="734"/>
    <s v="No"/>
    <s v="Yes"/>
    <n v="23"/>
    <s v="100-75"/>
    <x v="6"/>
    <x v="0"/>
    <n v="545"/>
    <x v="166"/>
    <x v="0"/>
    <s v="Pass"/>
    <x v="0"/>
    <s v="A"/>
    <x v="0"/>
    <s v="60-70"/>
    <x v="1"/>
    <x v="38"/>
    <x v="1"/>
    <x v="1"/>
    <x v="5"/>
    <x v="1"/>
    <x v="0"/>
    <x v="2"/>
    <s v="Sept"/>
  </r>
  <r>
    <s v="2.11E+11"/>
    <n v="210701173"/>
    <d v="2021-09-15T00:00:00"/>
    <s v="15:18:21.635Z"/>
    <n v="1408"/>
    <d v="2000-09-05T00:00:00"/>
    <n v="79"/>
    <n v="75.540000000000006"/>
    <x v="0"/>
    <x v="573"/>
    <x v="735"/>
    <s v="No"/>
    <s v="Yes"/>
    <n v="21"/>
    <s v="0-35"/>
    <x v="4"/>
    <x v="0"/>
    <n v="631"/>
    <x v="86"/>
    <x v="2"/>
    <s v="Pass"/>
    <x v="2"/>
    <s v="B"/>
    <x v="0"/>
    <s v="70-85"/>
    <x v="1"/>
    <x v="6"/>
    <x v="1"/>
    <x v="1"/>
    <x v="5"/>
    <x v="1"/>
    <x v="2"/>
    <x v="2"/>
    <s v="Sept"/>
  </r>
  <r>
    <s v="2.11E+11"/>
    <n v="210708598"/>
    <d v="2021-09-14T00:00:00"/>
    <s v="22:57:55.015Z"/>
    <n v="1072"/>
    <s v="6/23/1995"/>
    <n v="79.27"/>
    <n v="57.5"/>
    <x v="0"/>
    <x v="432"/>
    <x v="736"/>
    <s v="No"/>
    <s v="Yes"/>
    <n v="26"/>
    <s v="60-75"/>
    <x v="6"/>
    <x v="0"/>
    <n v="550"/>
    <x v="80"/>
    <x v="0"/>
    <s v="Pass"/>
    <x v="0"/>
    <s v="B"/>
    <x v="0"/>
    <s v="60-70"/>
    <x v="1"/>
    <x v="143"/>
    <x v="1"/>
    <x v="1"/>
    <x v="5"/>
    <x v="1"/>
    <x v="1"/>
    <x v="2"/>
    <s v="Sept"/>
  </r>
  <r>
    <s v="2.11E+11"/>
    <n v="210705930"/>
    <d v="2021-09-15T00:00:00"/>
    <s v="17:05:02.543Z"/>
    <n v="1434"/>
    <s v="10/15/1997"/>
    <n v="78.599999999999994"/>
    <n v="64.150000000000006"/>
    <x v="0"/>
    <x v="308"/>
    <x v="737"/>
    <s v="No"/>
    <s v="No"/>
    <n v="23"/>
    <s v="60-75"/>
    <x v="4"/>
    <x v="0"/>
    <n v="572"/>
    <x v="174"/>
    <x v="2"/>
    <s v="Pass"/>
    <x v="2"/>
    <s v="B"/>
    <x v="0"/>
    <s v="70-85"/>
    <x v="1"/>
    <x v="87"/>
    <x v="1"/>
    <x v="1"/>
    <x v="5"/>
    <x v="1"/>
    <x v="0"/>
    <x v="2"/>
    <s v="Sept"/>
  </r>
  <r>
    <s v="2.11E+11"/>
    <n v="210701049"/>
    <d v="2021-09-15T00:00:00"/>
    <s v="19:04:02.824Z"/>
    <n v="386"/>
    <d v="1998-02-05T00:00:00"/>
    <n v="94.6"/>
    <n v="72.599999999999994"/>
    <x v="0"/>
    <x v="574"/>
    <x v="738"/>
    <s v="No"/>
    <s v="Yes"/>
    <n v="23"/>
    <s v="100-75"/>
    <x v="4"/>
    <x v="0"/>
    <n v="606"/>
    <x v="130"/>
    <x v="1"/>
    <s v="Pass"/>
    <x v="1"/>
    <s v="C"/>
    <x v="0"/>
    <s v="70-85"/>
    <x v="1"/>
    <x v="161"/>
    <x v="1"/>
    <x v="1"/>
    <x v="5"/>
    <x v="3"/>
    <x v="0"/>
    <x v="2"/>
    <s v="Sept"/>
  </r>
  <r>
    <s v="2.11E+11"/>
    <n v="210708897"/>
    <d v="2021-09-16T00:00:00"/>
    <s v="15:44:09.064Z"/>
    <n v="1475"/>
    <s v="7/29/1994"/>
    <n v="86.91"/>
    <n v="67"/>
    <x v="0"/>
    <x v="575"/>
    <x v="739"/>
    <s v="No"/>
    <s v="Yes"/>
    <n v="27"/>
    <s v="60-75"/>
    <x v="4"/>
    <x v="0"/>
    <n v="512"/>
    <x v="33"/>
    <x v="0"/>
    <s v="Pass"/>
    <x v="0"/>
    <s v="B"/>
    <x v="0"/>
    <s v="60-70"/>
    <x v="1"/>
    <x v="164"/>
    <x v="1"/>
    <x v="1"/>
    <x v="5"/>
    <x v="1"/>
    <x v="1"/>
    <x v="2"/>
    <s v="Sept"/>
  </r>
  <r>
    <s v="2.11E+11"/>
    <n v="210705472"/>
    <d v="2021-09-15T00:00:00"/>
    <s v="14:56:59.934Z"/>
    <n v="1412"/>
    <s v="10/13/1997"/>
    <n v="85.2"/>
    <s v="Other"/>
    <x v="177"/>
    <x v="576"/>
    <x v="740"/>
    <s v="No"/>
    <s v="Yes"/>
    <n v="23"/>
    <s v="60-75"/>
    <x v="5"/>
    <x v="0"/>
    <n v="573"/>
    <x v="12"/>
    <x v="2"/>
    <s v="Pass"/>
    <x v="2"/>
    <s v="B"/>
    <x v="0"/>
    <s v="70-85"/>
    <x v="1"/>
    <x v="38"/>
    <x v="1"/>
    <x v="1"/>
    <x v="5"/>
    <x v="1"/>
    <x v="0"/>
    <x v="2"/>
    <s v="Sept"/>
  </r>
  <r>
    <s v="2.11E+11"/>
    <n v="210703580"/>
    <m/>
    <m/>
    <s v="Unknown"/>
    <m/>
    <n v="0"/>
    <n v="0"/>
    <x v="2"/>
    <x v="11"/>
    <x v="11"/>
    <s v="No"/>
    <s v="No"/>
    <n v="23"/>
    <s v="Unkown"/>
    <x v="5"/>
    <x v="2"/>
    <n v="599"/>
    <x v="141"/>
    <x v="1"/>
    <s v="Pass"/>
    <x v="1"/>
    <s v="B"/>
    <x v="0"/>
    <s v="70-85"/>
    <x v="1"/>
    <x v="168"/>
    <x v="1"/>
    <x v="1"/>
    <x v="5"/>
    <x v="2"/>
    <x v="3"/>
    <x v="2"/>
    <s v="Sept"/>
  </r>
  <r>
    <s v="2.11E+11"/>
    <n v="210702455"/>
    <d v="2021-09-16T00:00:00"/>
    <s v="21:43:18.626Z"/>
    <n v="1459"/>
    <s v="6/23/1999"/>
    <n v="74"/>
    <n v="54"/>
    <x v="0"/>
    <x v="103"/>
    <x v="1"/>
    <s v="No"/>
    <s v="No"/>
    <n v="22"/>
    <s v="100-75"/>
    <x v="0"/>
    <x v="1"/>
    <n v="502"/>
    <x v="146"/>
    <x v="1"/>
    <s v="Pass"/>
    <x v="1"/>
    <s v="C"/>
    <x v="0"/>
    <s v="60-70"/>
    <x v="1"/>
    <x v="6"/>
    <x v="1"/>
    <x v="1"/>
    <x v="5"/>
    <x v="1"/>
    <x v="2"/>
    <x v="2"/>
    <s v="Sept"/>
  </r>
  <r>
    <s v="2.11E+11"/>
    <n v="210711602"/>
    <d v="2021-09-15T00:00:00"/>
    <s v="18:19:16.341Z"/>
    <n v="1402"/>
    <d v="1998-09-09T00:00:00"/>
    <n v="92.4"/>
    <s v="Other"/>
    <x v="178"/>
    <x v="577"/>
    <x v="741"/>
    <s v="No"/>
    <s v="No"/>
    <n v="23"/>
    <s v="60-75"/>
    <x v="5"/>
    <x v="0"/>
    <n v="638"/>
    <x v="66"/>
    <x v="1"/>
    <s v="Pass"/>
    <x v="1"/>
    <s v="C"/>
    <x v="0"/>
    <s v="70-85"/>
    <x v="1"/>
    <x v="161"/>
    <x v="1"/>
    <x v="1"/>
    <x v="5"/>
    <x v="1"/>
    <x v="0"/>
    <x v="2"/>
    <s v="Sept"/>
  </r>
  <r>
    <s v="2.11E+11"/>
    <n v="210703918"/>
    <d v="2021-09-15T00:00:00"/>
    <s v="17:32:02.545Z"/>
    <n v="1479"/>
    <d v="1994-03-01T00:00:00"/>
    <n v="79.069999999999993"/>
    <n v="54.67"/>
    <x v="0"/>
    <x v="578"/>
    <x v="742"/>
    <s v="No"/>
    <s v="Yes"/>
    <n v="27"/>
    <s v="45-60"/>
    <x v="4"/>
    <x v="0"/>
    <n v="491"/>
    <x v="336"/>
    <x v="2"/>
    <s v="Pass"/>
    <x v="2"/>
    <s v="C"/>
    <x v="0"/>
    <s v="60-70"/>
    <x v="0"/>
    <x v="0"/>
    <x v="0"/>
    <x v="0"/>
    <x v="5"/>
    <x v="1"/>
    <x v="1"/>
    <x v="2"/>
    <s v="Sept"/>
  </r>
  <r>
    <s v="2.11E+11"/>
    <n v="210700779"/>
    <d v="2021-09-15T00:00:00"/>
    <s v="19:00:05.659Z"/>
    <n v="518"/>
    <s v="12/15/1998"/>
    <n v="93.8"/>
    <n v="75.08"/>
    <x v="0"/>
    <x v="579"/>
    <x v="743"/>
    <s v="No"/>
    <s v="No"/>
    <n v="22"/>
    <s v="60-75"/>
    <x v="5"/>
    <x v="0"/>
    <n v="653"/>
    <x v="363"/>
    <x v="2"/>
    <s v="Pass"/>
    <x v="2"/>
    <s v="C"/>
    <x v="0"/>
    <s v="70-85"/>
    <x v="1"/>
    <x v="9"/>
    <x v="1"/>
    <x v="1"/>
    <x v="5"/>
    <x v="3"/>
    <x v="2"/>
    <x v="2"/>
    <s v="Sept"/>
  </r>
  <r>
    <s v="2.11E+11"/>
    <n v="210713695"/>
    <d v="2021-09-16T00:00:00"/>
    <s v="15:23:19.028Z"/>
    <n v="1086"/>
    <s v="10/29/1996"/>
    <n v="87"/>
    <s v="Other"/>
    <x v="179"/>
    <x v="11"/>
    <x v="744"/>
    <s v="No"/>
    <s v="No"/>
    <n v="24"/>
    <s v="0-35"/>
    <x v="5"/>
    <x v="0"/>
    <n v="514"/>
    <x v="368"/>
    <x v="2"/>
    <s v="Pass"/>
    <x v="2"/>
    <s v="B"/>
    <x v="0"/>
    <s v="60-70"/>
    <x v="1"/>
    <x v="169"/>
    <x v="1"/>
    <x v="1"/>
    <x v="5"/>
    <x v="1"/>
    <x v="0"/>
    <x v="2"/>
    <s v="Sept"/>
  </r>
  <r>
    <s v="2.11E+11"/>
    <n v="210714969"/>
    <d v="2021-09-15T00:00:00"/>
    <s v="18:13:02.417Z"/>
    <n v="866"/>
    <s v="9/19/1996"/>
    <n v="84.18"/>
    <n v="65.540000000000006"/>
    <x v="0"/>
    <x v="164"/>
    <x v="745"/>
    <s v="No"/>
    <s v="Yes"/>
    <n v="24"/>
    <s v="60-75"/>
    <x v="2"/>
    <x v="5"/>
    <n v="597"/>
    <x v="31"/>
    <x v="2"/>
    <s v="Pass"/>
    <x v="2"/>
    <s v="C"/>
    <x v="0"/>
    <s v="70-85"/>
    <x v="1"/>
    <x v="161"/>
    <x v="1"/>
    <x v="1"/>
    <x v="5"/>
    <x v="3"/>
    <x v="0"/>
    <x v="2"/>
    <s v="Sept"/>
  </r>
  <r>
    <s v="2.11E+11"/>
    <n v="210712222"/>
    <m/>
    <m/>
    <s v="Unknown"/>
    <m/>
    <n v="0"/>
    <n v="0"/>
    <x v="2"/>
    <x v="11"/>
    <x v="11"/>
    <s v="No"/>
    <s v="No"/>
    <n v="23"/>
    <s v="Unkown"/>
    <x v="5"/>
    <x v="2"/>
    <n v="483"/>
    <x v="104"/>
    <x v="2"/>
    <s v="Pass"/>
    <x v="2"/>
    <s v="A"/>
    <x v="0"/>
    <s v="60-70"/>
    <x v="1"/>
    <x v="170"/>
    <x v="1"/>
    <x v="1"/>
    <x v="5"/>
    <x v="2"/>
    <x v="3"/>
    <x v="2"/>
    <s v="Sept"/>
  </r>
  <r>
    <s v="2.11E+11"/>
    <n v="210700474"/>
    <d v="2021-09-15T00:00:00"/>
    <s v="16:59:53.635Z"/>
    <n v="1175"/>
    <s v="2/14/2000"/>
    <n v="81"/>
    <n v="79.08"/>
    <x v="0"/>
    <x v="436"/>
    <x v="746"/>
    <s v="No"/>
    <s v="Yes"/>
    <n v="21"/>
    <s v="60-75"/>
    <x v="5"/>
    <x v="0"/>
    <n v="662"/>
    <x v="364"/>
    <x v="1"/>
    <s v="Pass"/>
    <x v="1"/>
    <s v="A"/>
    <x v="0"/>
    <s v="70-85"/>
    <x v="1"/>
    <x v="69"/>
    <x v="1"/>
    <x v="1"/>
    <x v="5"/>
    <x v="1"/>
    <x v="2"/>
    <x v="2"/>
    <s v="Sept"/>
  </r>
  <r>
    <s v="2.11E+11"/>
    <n v="210706638"/>
    <d v="2021-09-15T00:00:00"/>
    <s v="15:14:49.078Z"/>
    <n v="1437"/>
    <s v="11/29/1996"/>
    <n v="78.36"/>
    <n v="62.31"/>
    <x v="0"/>
    <x v="580"/>
    <x v="747"/>
    <s v="No"/>
    <s v="No"/>
    <n v="24"/>
    <s v="60-75"/>
    <x v="5"/>
    <x v="0"/>
    <n v="638"/>
    <x v="66"/>
    <x v="1"/>
    <s v="Pass"/>
    <x v="1"/>
    <s v="B"/>
    <x v="0"/>
    <s v="70-85"/>
    <x v="1"/>
    <x v="161"/>
    <x v="1"/>
    <x v="1"/>
    <x v="5"/>
    <x v="1"/>
    <x v="0"/>
    <x v="2"/>
    <s v="Sept"/>
  </r>
  <r>
    <s v="2.11E+11"/>
    <n v="210708215"/>
    <d v="2021-09-15T00:00:00"/>
    <s v="16:57:52.956Z"/>
    <n v="470"/>
    <s v="6/25/1993"/>
    <n v="76.61"/>
    <n v="60.5"/>
    <x v="0"/>
    <x v="581"/>
    <x v="748"/>
    <s v="No"/>
    <s v="Yes"/>
    <n v="28"/>
    <s v="45-60"/>
    <x v="4"/>
    <x v="5"/>
    <n v="602"/>
    <x v="57"/>
    <x v="1"/>
    <s v="Pass"/>
    <x v="1"/>
    <s v="A"/>
    <x v="0"/>
    <s v="70-85"/>
    <x v="1"/>
    <x v="104"/>
    <x v="1"/>
    <x v="1"/>
    <x v="5"/>
    <x v="3"/>
    <x v="1"/>
    <x v="2"/>
    <s v="Sept"/>
  </r>
  <r>
    <s v="2.11E+11"/>
    <n v="210705485"/>
    <d v="2021-09-15T00:00:00"/>
    <s v="17:25:18.903Z"/>
    <n v="1242"/>
    <s v="2/22/1996"/>
    <n v="76.55"/>
    <n v="68.92"/>
    <x v="0"/>
    <x v="582"/>
    <x v="749"/>
    <s v="No"/>
    <s v="No"/>
    <n v="25"/>
    <s v="60-75"/>
    <x v="4"/>
    <x v="0"/>
    <n v="595"/>
    <x v="172"/>
    <x v="2"/>
    <s v="Pass"/>
    <x v="2"/>
    <s v="A"/>
    <x v="0"/>
    <s v="70-85"/>
    <x v="1"/>
    <x v="171"/>
    <x v="1"/>
    <x v="1"/>
    <x v="5"/>
    <x v="1"/>
    <x v="0"/>
    <x v="2"/>
    <s v="Sept"/>
  </r>
  <r>
    <s v="2.11E+11"/>
    <n v="210709616"/>
    <d v="2021-09-15T00:00:00"/>
    <s v="15:10:19.119Z"/>
    <n v="1525"/>
    <d v="1997-09-03T00:00:00"/>
    <n v="82.17"/>
    <n v="67.23"/>
    <x v="0"/>
    <x v="509"/>
    <x v="750"/>
    <s v="No"/>
    <s v="No"/>
    <n v="24"/>
    <s v="60-75"/>
    <x v="4"/>
    <x v="0"/>
    <n v="625"/>
    <x v="32"/>
    <x v="1"/>
    <s v="Pass"/>
    <x v="1"/>
    <s v="A"/>
    <x v="0"/>
    <s v="70-85"/>
    <x v="1"/>
    <x v="109"/>
    <x v="1"/>
    <x v="1"/>
    <x v="5"/>
    <x v="1"/>
    <x v="0"/>
    <x v="2"/>
    <s v="Sept"/>
  </r>
  <r>
    <s v="2.11E+11"/>
    <n v="210709100"/>
    <d v="2021-09-15T00:00:00"/>
    <s v="17:59:24.304Z"/>
    <n v="1468"/>
    <s v="7/27/1999"/>
    <n v="85.4"/>
    <n v="57.54"/>
    <x v="0"/>
    <x v="243"/>
    <x v="751"/>
    <s v="No"/>
    <s v="No"/>
    <n v="22"/>
    <s v="60-75"/>
    <x v="6"/>
    <x v="0"/>
    <n v="626"/>
    <x v="369"/>
    <x v="1"/>
    <s v="Pass"/>
    <x v="1"/>
    <s v="A"/>
    <x v="0"/>
    <s v="70-85"/>
    <x v="1"/>
    <x v="95"/>
    <x v="1"/>
    <x v="1"/>
    <x v="5"/>
    <x v="1"/>
    <x v="2"/>
    <x v="2"/>
    <s v="Sept"/>
  </r>
  <r>
    <s v="2.11E+11"/>
    <n v="210705972"/>
    <d v="2021-09-17T00:00:00"/>
    <s v="13:56:19.262Z"/>
    <n v="1523"/>
    <s v="7/28/1991"/>
    <n v="61.84"/>
    <n v="73.33"/>
    <x v="0"/>
    <x v="583"/>
    <x v="752"/>
    <s v="No"/>
    <s v="Yes"/>
    <n v="30"/>
    <s v="60-75"/>
    <x v="2"/>
    <x v="0"/>
    <n v="537"/>
    <x v="169"/>
    <x v="2"/>
    <s v="Pass"/>
    <x v="2"/>
    <s v="C"/>
    <x v="0"/>
    <s v="60-70"/>
    <x v="1"/>
    <x v="92"/>
    <x v="1"/>
    <x v="1"/>
    <x v="5"/>
    <x v="1"/>
    <x v="4"/>
    <x v="2"/>
    <s v="Sept"/>
  </r>
  <r>
    <s v="2.11E+11"/>
    <n v="210711687"/>
    <d v="2021-09-15T00:00:00"/>
    <s v="18:18:17.888Z"/>
    <n v="846"/>
    <s v="10/15/1998"/>
    <n v="79.8"/>
    <s v="Other"/>
    <x v="41"/>
    <x v="584"/>
    <x v="753"/>
    <s v="No"/>
    <s v="No"/>
    <n v="22"/>
    <s v="60-75"/>
    <x v="5"/>
    <x v="0"/>
    <n v="628"/>
    <x v="39"/>
    <x v="2"/>
    <s v="Pass"/>
    <x v="2"/>
    <s v="A"/>
    <x v="0"/>
    <s v="70-85"/>
    <x v="1"/>
    <x v="109"/>
    <x v="1"/>
    <x v="1"/>
    <x v="5"/>
    <x v="3"/>
    <x v="2"/>
    <x v="2"/>
    <s v="Sept"/>
  </r>
  <r>
    <s v="2.11E+11"/>
    <n v="210700815"/>
    <d v="2021-09-17T00:00:00"/>
    <s v="00:22:26.109Z"/>
    <n v="1406"/>
    <s v="6/19/1996"/>
    <n v="88.18"/>
    <n v="62.67"/>
    <x v="0"/>
    <x v="585"/>
    <x v="754"/>
    <s v="No"/>
    <s v="Yes"/>
    <n v="25"/>
    <s v="0-35"/>
    <x v="4"/>
    <x v="0"/>
    <n v="507"/>
    <x v="153"/>
    <x v="2"/>
    <s v="Pass"/>
    <x v="2"/>
    <s v="C"/>
    <x v="0"/>
    <s v="60-70"/>
    <x v="1"/>
    <x v="41"/>
    <x v="1"/>
    <x v="1"/>
    <x v="5"/>
    <x v="1"/>
    <x v="0"/>
    <x v="2"/>
    <s v="Sept"/>
  </r>
  <r>
    <s v="2.11E+11"/>
    <n v="210703380"/>
    <d v="2021-09-18T00:00:00"/>
    <s v="13:49:09.220Z"/>
    <n v="1092"/>
    <s v="10/27/1996"/>
    <n v="79"/>
    <n v="58.17"/>
    <x v="0"/>
    <x v="330"/>
    <x v="755"/>
    <s v="No"/>
    <s v="Yes"/>
    <n v="24"/>
    <s v="0-35"/>
    <x v="5"/>
    <x v="5"/>
    <n v="569"/>
    <x v="158"/>
    <x v="2"/>
    <s v="Pass"/>
    <x v="2"/>
    <s v="A"/>
    <x v="0"/>
    <s v="70-85"/>
    <x v="1"/>
    <x v="161"/>
    <x v="1"/>
    <x v="1"/>
    <x v="5"/>
    <x v="1"/>
    <x v="0"/>
    <x v="2"/>
    <s v="Sept"/>
  </r>
  <r>
    <s v="2.11E+11"/>
    <n v="210715776"/>
    <d v="2021-09-15T00:00:00"/>
    <s v="18:19:07.187Z"/>
    <n v="1196"/>
    <s v="5/15/1997"/>
    <n v="75"/>
    <s v="Other"/>
    <x v="180"/>
    <x v="378"/>
    <x v="378"/>
    <s v="No"/>
    <s v="No"/>
    <n v="24"/>
    <s v="60-75"/>
    <x v="5"/>
    <x v="1"/>
    <n v="522"/>
    <x v="43"/>
    <x v="2"/>
    <s v="Pass"/>
    <x v="2"/>
    <s v="A"/>
    <x v="0"/>
    <s v="60-70"/>
    <x v="1"/>
    <x v="172"/>
    <x v="1"/>
    <x v="1"/>
    <x v="5"/>
    <x v="1"/>
    <x v="0"/>
    <x v="2"/>
    <s v="Sept"/>
  </r>
  <r>
    <s v="2.11E+11"/>
    <n v="210710610"/>
    <d v="2021-09-15T00:00:00"/>
    <s v="14:54:50.407Z"/>
    <n v="1432"/>
    <s v="8/31/1999"/>
    <n v="93.4"/>
    <n v="73.08"/>
    <x v="0"/>
    <x v="586"/>
    <x v="756"/>
    <s v="No"/>
    <s v="Yes"/>
    <n v="22"/>
    <s v="0-35"/>
    <x v="5"/>
    <x v="0"/>
    <n v="654"/>
    <x v="344"/>
    <x v="2"/>
    <s v="Pass"/>
    <x v="2"/>
    <s v="B"/>
    <x v="0"/>
    <s v="70-85"/>
    <x v="1"/>
    <x v="117"/>
    <x v="1"/>
    <x v="1"/>
    <x v="5"/>
    <x v="1"/>
    <x v="2"/>
    <x v="2"/>
    <s v="Sept"/>
  </r>
  <r>
    <s v="2.11E+11"/>
    <n v="210712648"/>
    <d v="2021-09-15T00:00:00"/>
    <s v="16:28:28.450Z"/>
    <n v="525"/>
    <d v="1997-11-04T00:00:00"/>
    <n v="82.18"/>
    <s v="Other"/>
    <x v="181"/>
    <x v="587"/>
    <x v="757"/>
    <s v="No"/>
    <s v="Yes"/>
    <n v="24"/>
    <s v="60-75"/>
    <x v="5"/>
    <x v="5"/>
    <n v="600"/>
    <x v="29"/>
    <x v="1"/>
    <s v="Pass"/>
    <x v="1"/>
    <s v="B"/>
    <x v="0"/>
    <s v="70-85"/>
    <x v="1"/>
    <x v="161"/>
    <x v="1"/>
    <x v="1"/>
    <x v="5"/>
    <x v="3"/>
    <x v="0"/>
    <x v="2"/>
    <s v="Sept"/>
  </r>
  <r>
    <s v="2.11E+11"/>
    <n v="210715749"/>
    <d v="2021-09-15T00:00:00"/>
    <s v="19:03:27.461Z"/>
    <n v="1485"/>
    <s v="3/27/1996"/>
    <n v="90"/>
    <n v="74.400000000000006"/>
    <x v="0"/>
    <x v="588"/>
    <x v="758"/>
    <s v="No"/>
    <s v="No"/>
    <n v="25"/>
    <s v="60-75"/>
    <x v="5"/>
    <x v="5"/>
    <n v="618"/>
    <x v="168"/>
    <x v="1"/>
    <s v="Pass"/>
    <x v="1"/>
    <s v="A"/>
    <x v="0"/>
    <s v="70-85"/>
    <x v="1"/>
    <x v="167"/>
    <x v="1"/>
    <x v="1"/>
    <x v="5"/>
    <x v="1"/>
    <x v="0"/>
    <x v="2"/>
    <s v="Sept"/>
  </r>
  <r>
    <s v="2.11E+11"/>
    <n v="210709352"/>
    <d v="2021-09-15T00:00:00"/>
    <s v="15:17:12.915Z"/>
    <n v="431"/>
    <d v="1996-01-10T00:00:00"/>
    <n v="70"/>
    <n v="57"/>
    <x v="0"/>
    <x v="41"/>
    <x v="324"/>
    <s v="No"/>
    <s v="Yes"/>
    <n v="24"/>
    <s v="60-75"/>
    <x v="5"/>
    <x v="0"/>
    <n v="598"/>
    <x v="115"/>
    <x v="2"/>
    <s v="Pass"/>
    <x v="2"/>
    <s v="C"/>
    <x v="0"/>
    <s v="70-85"/>
    <x v="1"/>
    <x v="161"/>
    <x v="1"/>
    <x v="1"/>
    <x v="5"/>
    <x v="3"/>
    <x v="0"/>
    <x v="2"/>
    <s v="Sept"/>
  </r>
  <r>
    <s v="2.11E+11"/>
    <n v="210700473"/>
    <d v="2021-09-16T00:00:00"/>
    <s v="15:29:11.346Z"/>
    <n v="1542"/>
    <s v="10/20/1996"/>
    <n v="80.760000000000005"/>
    <s v="Other"/>
    <x v="182"/>
    <x v="121"/>
    <x v="759"/>
    <s v="No"/>
    <s v="No"/>
    <n v="24"/>
    <s v="100-75"/>
    <x v="4"/>
    <x v="5"/>
    <n v="556"/>
    <x v="138"/>
    <x v="0"/>
    <s v="Pass"/>
    <x v="0"/>
    <s v="A"/>
    <x v="0"/>
    <s v="60-70"/>
    <x v="1"/>
    <x v="87"/>
    <x v="1"/>
    <x v="1"/>
    <x v="5"/>
    <x v="1"/>
    <x v="0"/>
    <x v="2"/>
    <s v="Sept"/>
  </r>
  <r>
    <s v="2.11E+11"/>
    <n v="210702230"/>
    <d v="2021-09-15T00:00:00"/>
    <s v="15:38:09.471Z"/>
    <n v="1179"/>
    <d v="1997-12-10T00:00:00"/>
    <n v="91.6"/>
    <n v="75.849999999999994"/>
    <x v="0"/>
    <x v="589"/>
    <x v="760"/>
    <s v="No"/>
    <s v="Yes"/>
    <n v="23"/>
    <s v="45-60"/>
    <x v="4"/>
    <x v="5"/>
    <n v="568"/>
    <x v="370"/>
    <x v="0"/>
    <s v="Pass"/>
    <x v="0"/>
    <s v="C"/>
    <x v="0"/>
    <s v="70-85"/>
    <x v="1"/>
    <x v="104"/>
    <x v="1"/>
    <x v="1"/>
    <x v="5"/>
    <x v="1"/>
    <x v="0"/>
    <x v="2"/>
    <s v="Sept"/>
  </r>
  <r>
    <s v="2.11E+11"/>
    <n v="210703838"/>
    <d v="2021-09-15T00:00:00"/>
    <s v="16:17:50.563Z"/>
    <n v="270"/>
    <d v="1997-12-07T00:00:00"/>
    <n v="88.18"/>
    <n v="61.85"/>
    <x v="0"/>
    <x v="590"/>
    <x v="761"/>
    <s v="No"/>
    <s v="Yes"/>
    <n v="24"/>
    <s v="60-75"/>
    <x v="5"/>
    <x v="0"/>
    <n v="538"/>
    <x v="25"/>
    <x v="1"/>
    <s v="Pass"/>
    <x v="1"/>
    <s v="C"/>
    <x v="0"/>
    <s v="60-70"/>
    <x v="1"/>
    <x v="87"/>
    <x v="1"/>
    <x v="1"/>
    <x v="5"/>
    <x v="3"/>
    <x v="0"/>
    <x v="2"/>
    <s v="Sept"/>
  </r>
  <r>
    <s v="2.11E+11"/>
    <n v="210711159"/>
    <d v="2021-09-15T00:00:00"/>
    <s v="16:58:37.141Z"/>
    <n v="1163"/>
    <s v="6/26/1998"/>
    <n v="84.18"/>
    <n v="78.77"/>
    <x v="0"/>
    <x v="77"/>
    <x v="762"/>
    <s v="No"/>
    <s v="No"/>
    <n v="23"/>
    <s v="60-75"/>
    <x v="4"/>
    <x v="0"/>
    <n v="527"/>
    <x v="371"/>
    <x v="0"/>
    <s v="Pass"/>
    <x v="0"/>
    <s v="C"/>
    <x v="0"/>
    <s v="60-70"/>
    <x v="1"/>
    <x v="38"/>
    <x v="1"/>
    <x v="1"/>
    <x v="5"/>
    <x v="1"/>
    <x v="0"/>
    <x v="2"/>
    <s v="Sept"/>
  </r>
  <r>
    <s v="2.11E+11"/>
    <n v="210703335"/>
    <d v="2021-09-16T00:00:00"/>
    <s v="17:45:31.035Z"/>
    <n v="1533"/>
    <s v="12/24/1997"/>
    <n v="79.27"/>
    <n v="61.23"/>
    <x v="0"/>
    <x v="11"/>
    <x v="763"/>
    <s v="No"/>
    <s v="No"/>
    <n v="23"/>
    <s v="0-35"/>
    <x v="6"/>
    <x v="0"/>
    <n v="579"/>
    <x v="151"/>
    <x v="2"/>
    <s v="Pass"/>
    <x v="2"/>
    <s v="A"/>
    <x v="0"/>
    <s v="70-85"/>
    <x v="1"/>
    <x v="87"/>
    <x v="1"/>
    <x v="1"/>
    <x v="5"/>
    <x v="1"/>
    <x v="0"/>
    <x v="2"/>
    <s v="Sept"/>
  </r>
  <r>
    <s v="2.11E+11"/>
    <n v="210700920"/>
    <d v="2021-09-15T00:00:00"/>
    <s v="19:53:55.044Z"/>
    <n v="1167"/>
    <s v="9/16/1997"/>
    <n v="88.89"/>
    <n v="74.77"/>
    <x v="0"/>
    <x v="41"/>
    <x v="764"/>
    <s v="No"/>
    <s v="Yes"/>
    <n v="23"/>
    <s v="60-75"/>
    <x v="5"/>
    <x v="1"/>
    <n v="432"/>
    <x v="8"/>
    <x v="0"/>
    <s v="Pass"/>
    <x v="0"/>
    <s v="C"/>
    <x v="0"/>
    <s v="50-60"/>
    <x v="1"/>
    <x v="173"/>
    <x v="1"/>
    <x v="1"/>
    <x v="5"/>
    <x v="1"/>
    <x v="0"/>
    <x v="2"/>
    <s v="Sept"/>
  </r>
  <r>
    <s v="2.11E+11"/>
    <n v="210700487"/>
    <d v="2021-09-15T00:00:00"/>
    <s v="16:41:15.661Z"/>
    <n v="82"/>
    <s v="6/17/1998"/>
    <n v="87.82"/>
    <n v="69.69"/>
    <x v="0"/>
    <x v="577"/>
    <x v="765"/>
    <s v="No"/>
    <s v="Yes"/>
    <n v="23"/>
    <s v="60-75"/>
    <x v="4"/>
    <x v="5"/>
    <n v="678"/>
    <x v="372"/>
    <x v="1"/>
    <s v="Pass"/>
    <x v="1"/>
    <s v="A"/>
    <x v="0"/>
    <s v="70-85"/>
    <x v="1"/>
    <x v="159"/>
    <x v="1"/>
    <x v="1"/>
    <x v="5"/>
    <x v="3"/>
    <x v="0"/>
    <x v="2"/>
    <s v="Sept"/>
  </r>
  <r>
    <s v="2.11E+11"/>
    <n v="210704910"/>
    <d v="2021-09-15T00:00:00"/>
    <s v="17:42:57.913Z"/>
    <n v="1535"/>
    <s v="7/22/1998"/>
    <n v="81.8"/>
    <n v="60.46"/>
    <x v="0"/>
    <x v="41"/>
    <x v="766"/>
    <s v="No"/>
    <s v="Yes"/>
    <n v="23"/>
    <s v="60-75"/>
    <x v="5"/>
    <x v="5"/>
    <n v="482"/>
    <x v="108"/>
    <x v="1"/>
    <s v="Pass"/>
    <x v="1"/>
    <s v="A"/>
    <x v="0"/>
    <s v="60-70"/>
    <x v="1"/>
    <x v="57"/>
    <x v="1"/>
    <x v="1"/>
    <x v="5"/>
    <x v="1"/>
    <x v="0"/>
    <x v="2"/>
    <s v="Sept"/>
  </r>
  <r>
    <s v="2.11E+11"/>
    <n v="210703953"/>
    <d v="2021-09-15T00:00:00"/>
    <s v="15:18:36.281Z"/>
    <n v="1245"/>
    <s v="11/25/1993"/>
    <n v="88.36"/>
    <n v="73.5"/>
    <x v="0"/>
    <x v="591"/>
    <x v="767"/>
    <s v="No"/>
    <s v="Yes"/>
    <n v="27"/>
    <s v="0-35"/>
    <x v="1"/>
    <x v="0"/>
    <n v="576"/>
    <x v="125"/>
    <x v="0"/>
    <s v="Pass"/>
    <x v="0"/>
    <s v="B"/>
    <x v="0"/>
    <s v="70-85"/>
    <x v="1"/>
    <x v="21"/>
    <x v="1"/>
    <x v="1"/>
    <x v="5"/>
    <x v="1"/>
    <x v="1"/>
    <x v="2"/>
    <s v="Sept"/>
  </r>
  <r>
    <s v="2.11E+11"/>
    <n v="210703611"/>
    <d v="2021-09-15T00:00:00"/>
    <s v="17:15:58.887Z"/>
    <n v="502"/>
    <d v="1999-11-04T00:00:00"/>
    <n v="92.8"/>
    <n v="71.540000000000006"/>
    <x v="0"/>
    <x v="179"/>
    <x v="768"/>
    <s v="No"/>
    <s v="No"/>
    <n v="22"/>
    <s v="60-75"/>
    <x v="0"/>
    <x v="5"/>
    <n v="537"/>
    <x v="169"/>
    <x v="2"/>
    <s v="Pass"/>
    <x v="2"/>
    <s v="A"/>
    <x v="0"/>
    <s v="60-70"/>
    <x v="1"/>
    <x v="38"/>
    <x v="1"/>
    <x v="1"/>
    <x v="5"/>
    <x v="3"/>
    <x v="2"/>
    <x v="2"/>
    <s v="Sept"/>
  </r>
  <r>
    <s v="2.11E+11"/>
    <n v="210711171"/>
    <d v="2021-09-15T00:00:00"/>
    <s v="17:13:50.753Z"/>
    <n v="1155"/>
    <s v="6/30/1996"/>
    <n v="92.91"/>
    <n v="72.459999999999994"/>
    <x v="0"/>
    <x v="13"/>
    <x v="769"/>
    <s v="No"/>
    <s v="Yes"/>
    <n v="25"/>
    <s v="60-75"/>
    <x v="5"/>
    <x v="0"/>
    <n v="560"/>
    <x v="63"/>
    <x v="0"/>
    <s v="Pass"/>
    <x v="0"/>
    <s v="B"/>
    <x v="0"/>
    <s v="70-85"/>
    <x v="1"/>
    <x v="8"/>
    <x v="1"/>
    <x v="1"/>
    <x v="5"/>
    <x v="1"/>
    <x v="0"/>
    <x v="2"/>
    <s v="Sept"/>
  </r>
  <r>
    <s v="2.11E+11"/>
    <n v="210705748"/>
    <d v="2021-09-15T00:00:00"/>
    <s v="17:41:11.423Z"/>
    <n v="1139"/>
    <s v="12/13/1999"/>
    <n v="91.2"/>
    <n v="72"/>
    <x v="0"/>
    <x v="100"/>
    <x v="770"/>
    <s v="No"/>
    <s v="Yes"/>
    <n v="21"/>
    <s v="100-75"/>
    <x v="5"/>
    <x v="1"/>
    <n v="652"/>
    <x v="354"/>
    <x v="1"/>
    <s v="Pass"/>
    <x v="1"/>
    <s v="A"/>
    <x v="0"/>
    <s v="70-85"/>
    <x v="1"/>
    <x v="44"/>
    <x v="1"/>
    <x v="1"/>
    <x v="5"/>
    <x v="1"/>
    <x v="2"/>
    <x v="2"/>
    <s v="Sept"/>
  </r>
  <r>
    <s v="2.11E+11"/>
    <n v="210708776"/>
    <d v="2021-09-15T00:00:00"/>
    <s v="20:25:40.440Z"/>
    <n v="1074"/>
    <s v="7/20/1992"/>
    <n v="76.459999999999994"/>
    <n v="68.66"/>
    <x v="0"/>
    <x v="568"/>
    <x v="771"/>
    <s v="No"/>
    <s v="No"/>
    <n v="29"/>
    <s v="60-75"/>
    <x v="5"/>
    <x v="5"/>
    <n v="546"/>
    <x v="15"/>
    <x v="2"/>
    <s v="Pass"/>
    <x v="2"/>
    <s v="B"/>
    <x v="0"/>
    <s v="60-70"/>
    <x v="1"/>
    <x v="163"/>
    <x v="1"/>
    <x v="1"/>
    <x v="5"/>
    <x v="1"/>
    <x v="4"/>
    <x v="2"/>
    <s v="Sept"/>
  </r>
  <r>
    <s v="2.11E+11"/>
    <n v="210708752"/>
    <d v="2021-09-15T00:00:00"/>
    <s v="19:01:08.030Z"/>
    <n v="693"/>
    <d v="1995-01-10T00:00:00"/>
    <n v="88.18"/>
    <n v="67.83"/>
    <x v="0"/>
    <x v="172"/>
    <x v="445"/>
    <s v="No"/>
    <s v="No"/>
    <n v="25"/>
    <s v="60-75"/>
    <x v="4"/>
    <x v="0"/>
    <n v="604"/>
    <x v="124"/>
    <x v="0"/>
    <s v="Pass"/>
    <x v="0"/>
    <s v="A"/>
    <x v="0"/>
    <s v="70-85"/>
    <x v="1"/>
    <x v="72"/>
    <x v="1"/>
    <x v="1"/>
    <x v="5"/>
    <x v="3"/>
    <x v="0"/>
    <x v="2"/>
    <s v="Sept"/>
  </r>
  <r>
    <s v="2.11E+11"/>
    <n v="210700093"/>
    <d v="2021-09-15T00:00:00"/>
    <s v="14:49:43.271Z"/>
    <n v="856"/>
    <d v="1997-08-06T00:00:00"/>
    <n v="81"/>
    <s v="Other"/>
    <x v="183"/>
    <x v="592"/>
    <x v="772"/>
    <s v="No"/>
    <s v="No"/>
    <n v="24"/>
    <s v="0-35"/>
    <x v="6"/>
    <x v="0"/>
    <n v="589"/>
    <x v="134"/>
    <x v="2"/>
    <s v="Pass"/>
    <x v="2"/>
    <s v="B"/>
    <x v="0"/>
    <s v="70-85"/>
    <x v="1"/>
    <x v="165"/>
    <x v="1"/>
    <x v="1"/>
    <x v="5"/>
    <x v="3"/>
    <x v="0"/>
    <x v="2"/>
    <s v="Sept"/>
  </r>
  <r>
    <s v="2.11E+11"/>
    <n v="210709756"/>
    <d v="2021-09-16T00:00:00"/>
    <s v="16:22:35.201Z"/>
    <n v="762"/>
    <s v="10/20/1996"/>
    <n v="82"/>
    <n v="57"/>
    <x v="0"/>
    <x v="13"/>
    <x v="773"/>
    <s v="Yes"/>
    <s v="Yes"/>
    <n v="24"/>
    <s v="60-75"/>
    <x v="5"/>
    <x v="6"/>
    <n v="661"/>
    <x v="373"/>
    <x v="2"/>
    <s v="Pass"/>
    <x v="2"/>
    <s v="A"/>
    <x v="0"/>
    <s v="70-85"/>
    <x v="1"/>
    <x v="174"/>
    <x v="1"/>
    <x v="1"/>
    <x v="5"/>
    <x v="3"/>
    <x v="0"/>
    <x v="2"/>
    <s v="Sept"/>
  </r>
  <r>
    <s v="2.11E+11"/>
    <n v="210703949"/>
    <d v="2021-09-16T00:00:00"/>
    <s v="15:39:26.758Z"/>
    <n v="1425"/>
    <d v="1999-09-04T00:00:00"/>
    <n v="94"/>
    <n v="70.77"/>
    <x v="0"/>
    <x v="593"/>
    <x v="774"/>
    <s v="No"/>
    <s v="No"/>
    <n v="22"/>
    <s v="60-75"/>
    <x v="4"/>
    <x v="5"/>
    <n v="492"/>
    <x v="277"/>
    <x v="0"/>
    <s v="Pass"/>
    <x v="0"/>
    <s v="B"/>
    <x v="0"/>
    <s v="60-70"/>
    <x v="1"/>
    <x v="164"/>
    <x v="1"/>
    <x v="1"/>
    <x v="5"/>
    <x v="1"/>
    <x v="2"/>
    <x v="2"/>
    <s v="Sept"/>
  </r>
  <r>
    <s v="2.11E+11"/>
    <n v="210715209"/>
    <d v="2021-09-15T00:00:00"/>
    <s v="15:47:30.604Z"/>
    <n v="504"/>
    <s v="1/27/1996"/>
    <n v="93.09"/>
    <s v="Other"/>
    <x v="36"/>
    <x v="594"/>
    <x v="775"/>
    <s v="No"/>
    <s v="No"/>
    <n v="25"/>
    <s v="60-75"/>
    <x v="6"/>
    <x v="5"/>
    <n v="629"/>
    <x v="360"/>
    <x v="1"/>
    <s v="Pass"/>
    <x v="1"/>
    <s v="A"/>
    <x v="0"/>
    <s v="70-85"/>
    <x v="1"/>
    <x v="161"/>
    <x v="1"/>
    <x v="1"/>
    <x v="5"/>
    <x v="3"/>
    <x v="0"/>
    <x v="2"/>
    <s v="Sept"/>
  </r>
  <r>
    <s v="2.11E+11"/>
    <n v="210700252"/>
    <d v="2021-09-15T00:00:00"/>
    <s v="16:34:12.199Z"/>
    <n v="1004"/>
    <s v="8/24/2000"/>
    <n v="82"/>
    <n v="84.8"/>
    <x v="0"/>
    <x v="595"/>
    <x v="776"/>
    <s v="No"/>
    <s v="No"/>
    <n v="21"/>
    <s v="100-75"/>
    <x v="5"/>
    <x v="1"/>
    <n v="642"/>
    <x v="374"/>
    <x v="1"/>
    <s v="Pass"/>
    <x v="1"/>
    <s v="A"/>
    <x v="0"/>
    <s v="70-85"/>
    <x v="1"/>
    <x v="175"/>
    <x v="1"/>
    <x v="1"/>
    <x v="5"/>
    <x v="1"/>
    <x v="2"/>
    <x v="2"/>
    <s v="Sept"/>
  </r>
  <r>
    <s v="2.11E+11"/>
    <n v="210712776"/>
    <d v="2021-09-18T00:00:00"/>
    <s v="20:14:49.746Z"/>
    <n v="1105"/>
    <s v="3/23/1999"/>
    <n v="74.599999999999994"/>
    <s v="Other"/>
    <x v="184"/>
    <x v="8"/>
    <x v="695"/>
    <s v="No"/>
    <s v="No"/>
    <n v="22"/>
    <s v="0-35"/>
    <x v="4"/>
    <x v="0"/>
    <n v="550"/>
    <x v="80"/>
    <x v="2"/>
    <s v="Pass"/>
    <x v="2"/>
    <s v="B"/>
    <x v="0"/>
    <s v="60-70"/>
    <x v="1"/>
    <x v="161"/>
    <x v="1"/>
    <x v="1"/>
    <x v="5"/>
    <x v="1"/>
    <x v="2"/>
    <x v="2"/>
    <s v="Sept"/>
  </r>
  <r>
    <s v="2.11E+11"/>
    <n v="210703315"/>
    <d v="2021-09-16T00:00:00"/>
    <s v="15:43:36.989Z"/>
    <n v="1049"/>
    <d v="1998-10-11T00:00:00"/>
    <n v="76.2"/>
    <n v="58.92"/>
    <x v="0"/>
    <x v="164"/>
    <x v="777"/>
    <s v="Yes"/>
    <s v="Yes"/>
    <n v="22"/>
    <s v="60-75"/>
    <x v="3"/>
    <x v="5"/>
    <n v="584"/>
    <x v="335"/>
    <x v="1"/>
    <s v="Pass"/>
    <x v="1"/>
    <s v="B"/>
    <x v="0"/>
    <s v="70-85"/>
    <x v="1"/>
    <x v="161"/>
    <x v="1"/>
    <x v="1"/>
    <x v="5"/>
    <x v="1"/>
    <x v="2"/>
    <x v="2"/>
    <s v="Sept"/>
  </r>
  <r>
    <s v="2.11E+11"/>
    <n v="210711506"/>
    <d v="2021-09-20T00:00:00"/>
    <s v="13:23:54.667Z"/>
    <n v="1081"/>
    <s v="7/20/1992"/>
    <n v="84.76"/>
    <n v="61.17"/>
    <x v="0"/>
    <x v="469"/>
    <x v="778"/>
    <s v="No"/>
    <s v="No"/>
    <n v="29"/>
    <s v="60-75"/>
    <x v="3"/>
    <x v="0"/>
    <n v="576"/>
    <x v="125"/>
    <x v="1"/>
    <s v="Pass"/>
    <x v="1"/>
    <s v="B"/>
    <x v="0"/>
    <s v="70-85"/>
    <x v="1"/>
    <x v="176"/>
    <x v="1"/>
    <x v="1"/>
    <x v="5"/>
    <x v="1"/>
    <x v="4"/>
    <x v="2"/>
    <s v="Sept"/>
  </r>
  <r>
    <s v="2.11E+11"/>
    <n v="210700757"/>
    <d v="2021-09-14T00:00:00"/>
    <s v="23:22:27.920Z"/>
    <n v="1530"/>
    <d v="1998-01-07T00:00:00"/>
    <n v="90"/>
    <n v="67"/>
    <x v="0"/>
    <x v="86"/>
    <x v="779"/>
    <s v="No"/>
    <s v="No"/>
    <n v="23"/>
    <s v="60-75"/>
    <x v="5"/>
    <x v="0"/>
    <n v="534"/>
    <x v="163"/>
    <x v="1"/>
    <s v="Pass"/>
    <x v="1"/>
    <s v="C"/>
    <x v="0"/>
    <s v="60-70"/>
    <x v="1"/>
    <x v="80"/>
    <x v="1"/>
    <x v="1"/>
    <x v="5"/>
    <x v="1"/>
    <x v="0"/>
    <x v="2"/>
    <s v="Sept"/>
  </r>
  <r>
    <s v="2.11E+11"/>
    <n v="210703799"/>
    <d v="2021-09-15T00:00:00"/>
    <s v="14:55:17.276Z"/>
    <n v="543"/>
    <d v="1996-04-09T00:00:00"/>
    <n v="83.82"/>
    <n v="64.459999999999994"/>
    <x v="0"/>
    <x v="596"/>
    <x v="780"/>
    <s v="No"/>
    <s v="Yes"/>
    <n v="25"/>
    <s v="60-75"/>
    <x v="5"/>
    <x v="1"/>
    <n v="638"/>
    <x v="66"/>
    <x v="1"/>
    <s v="Pass"/>
    <x v="1"/>
    <s v="A"/>
    <x v="0"/>
    <s v="70-85"/>
    <x v="1"/>
    <x v="120"/>
    <x v="1"/>
    <x v="1"/>
    <x v="5"/>
    <x v="3"/>
    <x v="0"/>
    <x v="2"/>
    <s v="Sept"/>
  </r>
  <r>
    <s v="2.11E+11"/>
    <n v="210715853"/>
    <d v="2021-09-15T00:00:00"/>
    <s v="15:14:34.425Z"/>
    <n v="1193"/>
    <s v="8/20/1998"/>
    <n v="90.6"/>
    <s v="Other"/>
    <x v="3"/>
    <x v="597"/>
    <x v="781"/>
    <s v="No"/>
    <s v="Yes"/>
    <n v="23"/>
    <s v="100-75"/>
    <x v="5"/>
    <x v="0"/>
    <n v="606"/>
    <x v="130"/>
    <x v="0"/>
    <s v="Pass"/>
    <x v="0"/>
    <s v="B"/>
    <x v="0"/>
    <s v="70-85"/>
    <x v="1"/>
    <x v="12"/>
    <x v="1"/>
    <x v="1"/>
    <x v="5"/>
    <x v="1"/>
    <x v="0"/>
    <x v="2"/>
    <s v="Sept"/>
  </r>
  <r>
    <s v="2.11E+11"/>
    <n v="210704131"/>
    <d v="2021-09-15T00:00:00"/>
    <s v="08:37:43.774Z"/>
    <n v="1229"/>
    <s v="5/26/1996"/>
    <n v="92.91"/>
    <n v="77.849999999999994"/>
    <x v="0"/>
    <x v="598"/>
    <x v="782"/>
    <s v="Yes"/>
    <s v="Yes"/>
    <n v="25"/>
    <s v="0-35"/>
    <x v="5"/>
    <x v="0"/>
    <n v="614"/>
    <x v="375"/>
    <x v="2"/>
    <s v="Pass"/>
    <x v="2"/>
    <s v="A"/>
    <x v="0"/>
    <s v="70-85"/>
    <x v="1"/>
    <x v="12"/>
    <x v="1"/>
    <x v="1"/>
    <x v="5"/>
    <x v="1"/>
    <x v="0"/>
    <x v="2"/>
    <s v="Sept"/>
  </r>
  <r>
    <s v="2.11E+11"/>
    <n v="210700649"/>
    <d v="2021-09-15T00:00:00"/>
    <s v="20:26:01.120Z"/>
    <n v="766"/>
    <d v="1991-02-03T00:00:00"/>
    <n v="83.07"/>
    <n v="81.67"/>
    <x v="0"/>
    <x v="599"/>
    <x v="783"/>
    <s v="Yes"/>
    <s v="Yes"/>
    <n v="30"/>
    <s v="60-75"/>
    <x v="5"/>
    <x v="0"/>
    <n v="634"/>
    <x v="127"/>
    <x v="2"/>
    <s v="Pass"/>
    <x v="2"/>
    <s v="A"/>
    <x v="0"/>
    <s v="70-85"/>
    <x v="1"/>
    <x v="161"/>
    <x v="1"/>
    <x v="1"/>
    <x v="5"/>
    <x v="3"/>
    <x v="4"/>
    <x v="2"/>
    <s v="Sept"/>
  </r>
  <r>
    <s v="2.11E+11"/>
    <n v="210702481"/>
    <d v="2021-09-15T00:00:00"/>
    <s v="15:13:48.811Z"/>
    <n v="1200"/>
    <d v="1995-11-12T00:00:00"/>
    <n v="73.400000000000006"/>
    <s v="Other"/>
    <x v="54"/>
    <x v="600"/>
    <x v="784"/>
    <s v="No"/>
    <s v="No"/>
    <n v="25"/>
    <s v="45-60"/>
    <x v="6"/>
    <x v="0"/>
    <n v="492"/>
    <x v="277"/>
    <x v="0"/>
    <s v="Pass"/>
    <x v="0"/>
    <s v="C"/>
    <x v="0"/>
    <s v="60-70"/>
    <x v="1"/>
    <x v="100"/>
    <x v="1"/>
    <x v="1"/>
    <x v="5"/>
    <x v="1"/>
    <x v="0"/>
    <x v="2"/>
    <s v="Sept"/>
  </r>
  <r>
    <s v="2.11E+11"/>
    <n v="210709168"/>
    <d v="2021-09-16T00:00:00"/>
    <s v="15:13:54.327Z"/>
    <n v="1428"/>
    <d v="1997-01-07T00:00:00"/>
    <n v="81"/>
    <n v="70"/>
    <x v="0"/>
    <x v="164"/>
    <x v="785"/>
    <s v="Yes"/>
    <s v="No"/>
    <n v="24"/>
    <s v="60-75"/>
    <x v="5"/>
    <x v="6"/>
    <n v="602"/>
    <x v="57"/>
    <x v="1"/>
    <s v="Pass"/>
    <x v="1"/>
    <s v="A"/>
    <x v="0"/>
    <s v="70-85"/>
    <x v="1"/>
    <x v="12"/>
    <x v="1"/>
    <x v="1"/>
    <x v="5"/>
    <x v="1"/>
    <x v="0"/>
    <x v="2"/>
    <s v="Sept"/>
  </r>
  <r>
    <s v="2.11E+11"/>
    <n v="210704453"/>
    <d v="2021-09-15T00:00:00"/>
    <s v="20:30:26.899Z"/>
    <n v="1410"/>
    <d v="1997-02-04T00:00:00"/>
    <n v="76.36"/>
    <s v="Other"/>
    <x v="185"/>
    <x v="86"/>
    <x v="786"/>
    <s v="No"/>
    <s v="No"/>
    <n v="24"/>
    <s v="60-75"/>
    <x v="1"/>
    <x v="0"/>
    <n v="554"/>
    <x v="348"/>
    <x v="1"/>
    <s v="Pass"/>
    <x v="1"/>
    <s v="B"/>
    <x v="0"/>
    <s v="60-70"/>
    <x v="1"/>
    <x v="177"/>
    <x v="1"/>
    <x v="1"/>
    <x v="5"/>
    <x v="1"/>
    <x v="0"/>
    <x v="2"/>
    <s v="Sept"/>
  </r>
  <r>
    <s v="2.11E+11"/>
    <n v="210703577"/>
    <d v="2021-09-16T00:00:00"/>
    <s v="16:45:21.922Z"/>
    <n v="1291"/>
    <d v="1999-01-06T00:00:00"/>
    <n v="87.8"/>
    <n v="65.38"/>
    <x v="0"/>
    <x v="585"/>
    <x v="787"/>
    <s v="No"/>
    <s v="No"/>
    <n v="22"/>
    <s v="0-35"/>
    <x v="5"/>
    <x v="0"/>
    <n v="510"/>
    <x v="44"/>
    <x v="2"/>
    <s v="Pass"/>
    <x v="2"/>
    <s v="B"/>
    <x v="0"/>
    <s v="60-70"/>
    <x v="1"/>
    <x v="90"/>
    <x v="1"/>
    <x v="1"/>
    <x v="5"/>
    <x v="1"/>
    <x v="2"/>
    <x v="2"/>
    <s v="Sept"/>
  </r>
  <r>
    <s v="2.11E+11"/>
    <n v="210700512"/>
    <d v="2021-09-15T00:00:00"/>
    <s v="17:01:58.997Z"/>
    <n v="1528"/>
    <d v="1993-04-12T00:00:00"/>
    <n v="87.53"/>
    <s v="Other"/>
    <x v="186"/>
    <x v="601"/>
    <x v="788"/>
    <s v="No"/>
    <s v="Yes"/>
    <n v="27"/>
    <s v="60-75"/>
    <x v="4"/>
    <x v="0"/>
    <n v="553"/>
    <x v="161"/>
    <x v="1"/>
    <s v="Pass"/>
    <x v="1"/>
    <s v="B"/>
    <x v="0"/>
    <s v="60-70"/>
    <x v="1"/>
    <x v="109"/>
    <x v="1"/>
    <x v="1"/>
    <x v="5"/>
    <x v="1"/>
    <x v="1"/>
    <x v="2"/>
    <s v="Sept"/>
  </r>
  <r>
    <s v="2.11E+11"/>
    <n v="210703006"/>
    <d v="2021-09-15T00:00:00"/>
    <s v="18:38:51.620Z"/>
    <n v="1472"/>
    <s v="12/30/1996"/>
    <n v="91.45"/>
    <n v="77.540000000000006"/>
    <x v="0"/>
    <x v="602"/>
    <x v="789"/>
    <s v="No"/>
    <s v="Yes"/>
    <n v="24"/>
    <s v="0-35"/>
    <x v="4"/>
    <x v="0"/>
    <n v="546"/>
    <x v="15"/>
    <x v="0"/>
    <s v="Pass"/>
    <x v="0"/>
    <s v="C"/>
    <x v="0"/>
    <s v="60-70"/>
    <x v="1"/>
    <x v="92"/>
    <x v="1"/>
    <x v="1"/>
    <x v="5"/>
    <x v="1"/>
    <x v="0"/>
    <x v="2"/>
    <s v="Sept"/>
  </r>
  <r>
    <s v="2.11E+11"/>
    <n v="210707109"/>
    <d v="2021-09-15T00:00:00"/>
    <s v="18:21:32.782Z"/>
    <n v="1448"/>
    <d v="1995-11-09T00:00:00"/>
    <n v="84.55"/>
    <n v="74"/>
    <x v="0"/>
    <x v="603"/>
    <x v="790"/>
    <s v="No"/>
    <s v="Yes"/>
    <n v="26"/>
    <s v="60-75"/>
    <x v="6"/>
    <x v="1"/>
    <n v="611"/>
    <x v="117"/>
    <x v="2"/>
    <s v="Pass"/>
    <x v="2"/>
    <s v="B"/>
    <x v="0"/>
    <s v="70-85"/>
    <x v="1"/>
    <x v="12"/>
    <x v="1"/>
    <x v="1"/>
    <x v="5"/>
    <x v="1"/>
    <x v="1"/>
    <x v="2"/>
    <s v="Sept"/>
  </r>
  <r>
    <s v="2.11E+11"/>
    <n v="210700851"/>
    <d v="2021-09-17T00:00:00"/>
    <s v="21:25:03.313Z"/>
    <n v="1225"/>
    <s v="7/17/1998"/>
    <n v="93"/>
    <n v="69.849999999999994"/>
    <x v="0"/>
    <x v="406"/>
    <x v="791"/>
    <s v="No"/>
    <s v="No"/>
    <n v="23"/>
    <s v="100-75"/>
    <x v="6"/>
    <x v="0"/>
    <n v="635"/>
    <x v="357"/>
    <x v="1"/>
    <s v="Pass"/>
    <x v="1"/>
    <s v="A"/>
    <x v="0"/>
    <s v="70-85"/>
    <x v="1"/>
    <x v="165"/>
    <x v="1"/>
    <x v="1"/>
    <x v="5"/>
    <x v="1"/>
    <x v="0"/>
    <x v="2"/>
    <s v="Sept"/>
  </r>
  <r>
    <s v="2.11E+11"/>
    <n v="210713969"/>
    <d v="2021-09-18T00:00:00"/>
    <s v="15:24:34.776Z"/>
    <n v="1164"/>
    <d v="1995-05-12T00:00:00"/>
    <n v="71"/>
    <n v="83.2"/>
    <x v="0"/>
    <x v="230"/>
    <x v="792"/>
    <s v="No"/>
    <s v="No"/>
    <n v="25"/>
    <s v="60-75"/>
    <x v="2"/>
    <x v="0"/>
    <n v="627"/>
    <x v="376"/>
    <x v="2"/>
    <s v="Pass"/>
    <x v="2"/>
    <s v="A"/>
    <x v="0"/>
    <s v="70-85"/>
    <x v="1"/>
    <x v="120"/>
    <x v="1"/>
    <x v="1"/>
    <x v="5"/>
    <x v="1"/>
    <x v="0"/>
    <x v="2"/>
    <s v="Sept"/>
  </r>
  <r>
    <s v="2.11E+11"/>
    <n v="210705536"/>
    <d v="2021-09-16T00:00:00"/>
    <s v="10:03:05.799Z"/>
    <n v="897"/>
    <d v="1997-06-12T00:00:00"/>
    <n v="83.4"/>
    <s v="Other"/>
    <x v="187"/>
    <x v="505"/>
    <x v="793"/>
    <s v="No"/>
    <s v="No"/>
    <n v="23"/>
    <s v="0-35"/>
    <x v="5"/>
    <x v="0"/>
    <n v="644"/>
    <x v="234"/>
    <x v="1"/>
    <s v="Pass"/>
    <x v="1"/>
    <s v="B"/>
    <x v="0"/>
    <s v="70-85"/>
    <x v="1"/>
    <x v="165"/>
    <x v="1"/>
    <x v="1"/>
    <x v="5"/>
    <x v="3"/>
    <x v="0"/>
    <x v="2"/>
    <s v="Sept"/>
  </r>
  <r>
    <s v="2.11E+11"/>
    <n v="210712922"/>
    <d v="2021-09-15T00:00:00"/>
    <s v="22:30:01.872Z"/>
    <n v="1399"/>
    <s v="4/15/1997"/>
    <n v="85.8"/>
    <n v="78.180000000000007"/>
    <x v="0"/>
    <x v="171"/>
    <x v="794"/>
    <s v="No"/>
    <s v="Yes"/>
    <n v="24"/>
    <s v="60-75"/>
    <x v="5"/>
    <x v="1"/>
    <n v="580"/>
    <x v="103"/>
    <x v="2"/>
    <s v="Pass"/>
    <x v="2"/>
    <s v="B"/>
    <x v="0"/>
    <s v="70-85"/>
    <x v="1"/>
    <x v="171"/>
    <x v="1"/>
    <x v="1"/>
    <x v="5"/>
    <x v="1"/>
    <x v="0"/>
    <x v="2"/>
    <s v="Sept"/>
  </r>
  <r>
    <s v="2.11E+11"/>
    <n v="210701549"/>
    <d v="2021-09-15T00:00:00"/>
    <s v="19:17:42.505Z"/>
    <n v="1241"/>
    <s v="1/28/1999"/>
    <n v="75.2"/>
    <n v="68.459999999999994"/>
    <x v="0"/>
    <x v="604"/>
    <x v="795"/>
    <s v="No"/>
    <s v="No"/>
    <n v="22"/>
    <s v="60-75"/>
    <x v="5"/>
    <x v="0"/>
    <n v="535"/>
    <x v="112"/>
    <x v="2"/>
    <s v="Pass"/>
    <x v="2"/>
    <s v="B"/>
    <x v="0"/>
    <s v="60-70"/>
    <x v="1"/>
    <x v="178"/>
    <x v="1"/>
    <x v="1"/>
    <x v="5"/>
    <x v="1"/>
    <x v="2"/>
    <x v="2"/>
    <s v="Sept"/>
  </r>
  <r>
    <s v="2.11E+11"/>
    <n v="210714064"/>
    <d v="2021-09-16T00:00:00"/>
    <s v="16:51:33.581Z"/>
    <n v="753"/>
    <s v="2/26/1993"/>
    <n v="86.3"/>
    <s v="Other"/>
    <x v="188"/>
    <x v="605"/>
    <x v="796"/>
    <s v="No"/>
    <s v="Yes"/>
    <n v="28"/>
    <s v="60-75"/>
    <x v="2"/>
    <x v="0"/>
    <n v="593"/>
    <x v="343"/>
    <x v="1"/>
    <s v="Pass"/>
    <x v="1"/>
    <s v="A"/>
    <x v="0"/>
    <s v="70-85"/>
    <x v="1"/>
    <x v="104"/>
    <x v="1"/>
    <x v="1"/>
    <x v="5"/>
    <x v="3"/>
    <x v="1"/>
    <x v="2"/>
    <s v="Sept"/>
  </r>
  <r>
    <s v="2.11E+11"/>
    <n v="210701427"/>
    <d v="2021-09-16T00:00:00"/>
    <s v="15:47:39.522Z"/>
    <n v="1061"/>
    <s v="7/19/1997"/>
    <n v="76.400000000000006"/>
    <n v="60"/>
    <x v="0"/>
    <x v="606"/>
    <x v="797"/>
    <s v="No"/>
    <s v="Yes"/>
    <n v="24"/>
    <s v="45-60"/>
    <x v="4"/>
    <x v="0"/>
    <n v="474"/>
    <x v="6"/>
    <x v="1"/>
    <s v="Pass"/>
    <x v="1"/>
    <s v="C"/>
    <x v="0"/>
    <s v="50-60"/>
    <x v="1"/>
    <x v="173"/>
    <x v="1"/>
    <x v="1"/>
    <x v="5"/>
    <x v="1"/>
    <x v="0"/>
    <x v="2"/>
    <s v="Sept"/>
  </r>
  <r>
    <s v="2.11E+11"/>
    <n v="210712686"/>
    <d v="2021-09-16T00:00:00"/>
    <s v="21:43:14.922Z"/>
    <n v="1510"/>
    <s v="2/19/1998"/>
    <n v="80.55"/>
    <s v="Other"/>
    <x v="0"/>
    <x v="607"/>
    <x v="798"/>
    <s v="No"/>
    <s v="Yes"/>
    <n v="23"/>
    <s v="60-75"/>
    <x v="5"/>
    <x v="5"/>
    <n v="563"/>
    <x v="45"/>
    <x v="2"/>
    <s v="Pass"/>
    <x v="2"/>
    <s v="A"/>
    <x v="0"/>
    <s v="70-85"/>
    <x v="1"/>
    <x v="57"/>
    <x v="1"/>
    <x v="1"/>
    <x v="5"/>
    <x v="1"/>
    <x v="0"/>
    <x v="2"/>
    <s v="Sept"/>
  </r>
  <r>
    <s v="2.11E+11"/>
    <n v="210704799"/>
    <d v="2021-09-15T00:00:00"/>
    <s v="18:42:50.498Z"/>
    <n v="1431"/>
    <s v="10/23/1997"/>
    <n v="83.6"/>
    <n v="65"/>
    <x v="0"/>
    <x v="608"/>
    <x v="799"/>
    <s v="No"/>
    <s v="Yes"/>
    <n v="23"/>
    <s v="45-60"/>
    <x v="6"/>
    <x v="0"/>
    <n v="530"/>
    <x v="175"/>
    <x v="1"/>
    <s v="Pass"/>
    <x v="1"/>
    <s v="C"/>
    <x v="0"/>
    <s v="60-70"/>
    <x v="1"/>
    <x v="88"/>
    <x v="1"/>
    <x v="1"/>
    <x v="5"/>
    <x v="1"/>
    <x v="0"/>
    <x v="2"/>
    <s v="Sept"/>
  </r>
  <r>
    <s v="2.11E+11"/>
    <n v="210715398"/>
    <d v="2021-09-15T00:00:00"/>
    <s v="19:04:13.497Z"/>
    <n v="1529"/>
    <d v="1999-12-10T00:00:00"/>
    <n v="83.6"/>
    <n v="70.62"/>
    <x v="0"/>
    <x v="516"/>
    <x v="800"/>
    <s v="No"/>
    <s v="No"/>
    <n v="21"/>
    <s v="100-75"/>
    <x v="1"/>
    <x v="1"/>
    <n v="593"/>
    <x v="343"/>
    <x v="2"/>
    <s v="Pass"/>
    <x v="2"/>
    <s v="B"/>
    <x v="0"/>
    <s v="70-85"/>
    <x v="2"/>
    <x v="3"/>
    <x v="1"/>
    <x v="1"/>
    <x v="5"/>
    <x v="1"/>
    <x v="2"/>
    <x v="2"/>
    <s v="Sept"/>
  </r>
  <r>
    <s v="2.11E+11"/>
    <n v="210707826"/>
    <d v="2021-09-15T00:00:00"/>
    <s v="14:54:27.462Z"/>
    <n v="1348"/>
    <d v="1997-09-10T00:00:00"/>
    <n v="78.599999999999994"/>
    <s v="Other"/>
    <x v="189"/>
    <x v="609"/>
    <x v="801"/>
    <s v="No"/>
    <s v="Yes"/>
    <n v="23"/>
    <s v="60-75"/>
    <x v="5"/>
    <x v="0"/>
    <n v="549"/>
    <x v="113"/>
    <x v="2"/>
    <s v="Pass"/>
    <x v="2"/>
    <s v="A"/>
    <x v="0"/>
    <s v="60-70"/>
    <x v="1"/>
    <x v="171"/>
    <x v="1"/>
    <x v="1"/>
    <x v="5"/>
    <x v="1"/>
    <x v="0"/>
    <x v="2"/>
    <s v="Sept"/>
  </r>
  <r>
    <s v="2.11E+11"/>
    <n v="210703503"/>
    <d v="2021-09-19T00:00:00"/>
    <s v="18:15:32.914Z"/>
    <n v="1922"/>
    <s v="6/23/1999"/>
    <n v="89.2"/>
    <s v="Other"/>
    <x v="190"/>
    <x v="610"/>
    <x v="665"/>
    <s v="No"/>
    <s v="Yes"/>
    <n v="22"/>
    <s v="60-75"/>
    <x v="4"/>
    <x v="1"/>
    <n v="577"/>
    <x v="50"/>
    <x v="0"/>
    <s v="Pass"/>
    <x v="0"/>
    <s v="A"/>
    <x v="1"/>
    <s v="70-85"/>
    <x v="1"/>
    <x v="179"/>
    <x v="1"/>
    <x v="1"/>
    <x v="5"/>
    <x v="1"/>
    <x v="2"/>
    <x v="2"/>
    <s v="Sept"/>
  </r>
  <r>
    <s v="2.11E+11"/>
    <n v="210708625"/>
    <d v="2021-09-15T00:00:00"/>
    <s v="15:31:58.965Z"/>
    <n v="3151"/>
    <s v="9/20/1997"/>
    <n v="71.09"/>
    <s v="Other"/>
    <x v="112"/>
    <x v="611"/>
    <x v="802"/>
    <s v="No"/>
    <s v="Yes"/>
    <n v="23"/>
    <s v="60-75"/>
    <x v="4"/>
    <x v="0"/>
    <n v="551"/>
    <x v="332"/>
    <x v="0"/>
    <s v="Pass"/>
    <x v="0"/>
    <s v="D"/>
    <x v="1"/>
    <s v="60-70"/>
    <x v="1"/>
    <x v="80"/>
    <x v="1"/>
    <x v="1"/>
    <x v="5"/>
    <x v="4"/>
    <x v="0"/>
    <x v="2"/>
    <s v="Sept"/>
  </r>
  <r>
    <s v="2.11E+11"/>
    <n v="210707890"/>
    <d v="2021-09-15T00:00:00"/>
    <s v="20:53:22.529Z"/>
    <n v="2708"/>
    <s v="9/26/1998"/>
    <n v="85.4"/>
    <s v="Other"/>
    <x v="191"/>
    <x v="8"/>
    <x v="803"/>
    <s v="No"/>
    <s v="Yes"/>
    <n v="22"/>
    <s v="0-35"/>
    <x v="1"/>
    <x v="5"/>
    <n v="579"/>
    <x v="151"/>
    <x v="2"/>
    <s v="Pass"/>
    <x v="2"/>
    <s v="C"/>
    <x v="1"/>
    <s v="70-85"/>
    <x v="1"/>
    <x v="82"/>
    <x v="1"/>
    <x v="1"/>
    <x v="5"/>
    <x v="0"/>
    <x v="2"/>
    <x v="2"/>
    <s v="Sept"/>
  </r>
  <r>
    <s v="2.11E+11"/>
    <n v="210712762"/>
    <d v="2021-09-16T00:00:00"/>
    <s v="16:39:52.410Z"/>
    <n v="2392"/>
    <s v="7/18/1997"/>
    <n v="78"/>
    <n v="71.5"/>
    <x v="0"/>
    <x v="612"/>
    <x v="804"/>
    <s v="No"/>
    <s v="No"/>
    <n v="24"/>
    <s v="100-75"/>
    <x v="5"/>
    <x v="1"/>
    <n v="560"/>
    <x v="63"/>
    <x v="1"/>
    <s v="Pass"/>
    <x v="1"/>
    <s v="A"/>
    <x v="1"/>
    <s v="70-85"/>
    <x v="1"/>
    <x v="100"/>
    <x v="1"/>
    <x v="1"/>
    <x v="5"/>
    <x v="0"/>
    <x v="0"/>
    <x v="2"/>
    <s v="Sept"/>
  </r>
  <r>
    <s v="2.11E+11"/>
    <n v="210706127"/>
    <d v="2021-09-16T00:00:00"/>
    <s v="17:10:04.254Z"/>
    <n v="2682"/>
    <d v="1999-10-12T00:00:00"/>
    <n v="93"/>
    <n v="75.540000000000006"/>
    <x v="0"/>
    <x v="613"/>
    <x v="805"/>
    <s v="No"/>
    <s v="Yes"/>
    <n v="21"/>
    <s v="100-75"/>
    <x v="5"/>
    <x v="0"/>
    <n v="636"/>
    <x v="359"/>
    <x v="2"/>
    <s v="Pass"/>
    <x v="2"/>
    <s v="A"/>
    <x v="1"/>
    <s v="70-85"/>
    <x v="1"/>
    <x v="161"/>
    <x v="1"/>
    <x v="1"/>
    <x v="5"/>
    <x v="0"/>
    <x v="2"/>
    <x v="2"/>
    <s v="Sept"/>
  </r>
  <r>
    <s v="2.11E+11"/>
    <n v="210708235"/>
    <d v="2021-09-16T00:00:00"/>
    <s v="17:31:40.576Z"/>
    <n v="1788"/>
    <s v="1/30/1994"/>
    <n v="82.61"/>
    <n v="70.17"/>
    <x v="0"/>
    <x v="133"/>
    <x v="806"/>
    <s v="No"/>
    <s v="Yes"/>
    <n v="27"/>
    <s v="60-75"/>
    <x v="5"/>
    <x v="0"/>
    <n v="591"/>
    <x v="90"/>
    <x v="1"/>
    <s v="Pass"/>
    <x v="1"/>
    <s v="A"/>
    <x v="1"/>
    <s v="70-85"/>
    <x v="1"/>
    <x v="161"/>
    <x v="1"/>
    <x v="1"/>
    <x v="5"/>
    <x v="1"/>
    <x v="1"/>
    <x v="2"/>
    <s v="Sept"/>
  </r>
  <r>
    <s v="2.11E+11"/>
    <n v="210714996"/>
    <d v="2021-09-18T00:00:00"/>
    <s v="14:03:03.972Z"/>
    <n v="2601"/>
    <s v="12/24/1984"/>
    <n v="68"/>
    <n v="65"/>
    <x v="0"/>
    <x v="614"/>
    <x v="807"/>
    <s v="No"/>
    <s v="Yes"/>
    <n v="36"/>
    <s v="60-75"/>
    <x v="3"/>
    <x v="0"/>
    <n v="628"/>
    <x v="39"/>
    <x v="1"/>
    <s v="Pass"/>
    <x v="1"/>
    <s v="A"/>
    <x v="1"/>
    <s v="70-85"/>
    <x v="1"/>
    <x v="180"/>
    <x v="1"/>
    <x v="1"/>
    <x v="5"/>
    <x v="0"/>
    <x v="4"/>
    <x v="2"/>
    <s v="Sept"/>
  </r>
  <r>
    <s v="2.11E+11"/>
    <n v="210702164"/>
    <d v="2021-09-15T00:00:00"/>
    <s v="15:26:04.535Z"/>
    <n v="2742"/>
    <d v="1996-08-05T00:00:00"/>
    <n v="85.5"/>
    <n v="67.599999999999994"/>
    <x v="0"/>
    <x v="615"/>
    <x v="261"/>
    <s v="No"/>
    <s v="No"/>
    <n v="25"/>
    <s v="60-75"/>
    <x v="3"/>
    <x v="1"/>
    <n v="616"/>
    <x v="377"/>
    <x v="1"/>
    <s v="Pass"/>
    <x v="1"/>
    <s v="A"/>
    <x v="1"/>
    <s v="70-85"/>
    <x v="1"/>
    <x v="54"/>
    <x v="1"/>
    <x v="1"/>
    <x v="5"/>
    <x v="0"/>
    <x v="0"/>
    <x v="2"/>
    <s v="Sept"/>
  </r>
  <r>
    <s v="2.11E+11"/>
    <n v="210707938"/>
    <d v="2021-09-15T00:00:00"/>
    <s v="13:30:25.932Z"/>
    <n v="2881"/>
    <d v="1998-06-04T00:00:00"/>
    <n v="85.4"/>
    <s v="Other"/>
    <x v="192"/>
    <x v="616"/>
    <x v="808"/>
    <s v="No"/>
    <s v="Yes"/>
    <n v="23"/>
    <s v="60-75"/>
    <x v="4"/>
    <x v="5"/>
    <n v="682"/>
    <x v="378"/>
    <x v="2"/>
    <s v="Pass"/>
    <x v="2"/>
    <s v="A"/>
    <x v="1"/>
    <s v="85-100"/>
    <x v="1"/>
    <x v="159"/>
    <x v="1"/>
    <x v="1"/>
    <x v="5"/>
    <x v="0"/>
    <x v="0"/>
    <x v="2"/>
    <s v="Sept"/>
  </r>
  <r>
    <s v="2.11E+11"/>
    <n v="210700575"/>
    <d v="2021-09-16T00:00:00"/>
    <s v="16:15:21.741Z"/>
    <n v="3256"/>
    <s v="7/28/1997"/>
    <n v="80.2"/>
    <n v="52.62"/>
    <x v="193"/>
    <x v="257"/>
    <x v="809"/>
    <s v="No"/>
    <s v="No"/>
    <n v="24"/>
    <s v="60-75"/>
    <x v="5"/>
    <x v="0"/>
    <n v="473"/>
    <x v="149"/>
    <x v="2"/>
    <s v="Pass"/>
    <x v="2"/>
    <s v="C"/>
    <x v="1"/>
    <s v="50-60"/>
    <x v="0"/>
    <x v="0"/>
    <x v="0"/>
    <x v="0"/>
    <x v="5"/>
    <x v="4"/>
    <x v="0"/>
    <x v="2"/>
    <s v="Sept"/>
  </r>
  <r>
    <s v="2.11E+11"/>
    <n v="210714433"/>
    <d v="2021-09-15T00:00:00"/>
    <s v="12:48:05.109Z"/>
    <n v="2201"/>
    <s v="10/19/1995"/>
    <n v="78.8"/>
    <s v="Other"/>
    <x v="194"/>
    <x v="418"/>
    <x v="810"/>
    <s v="No"/>
    <s v="Yes"/>
    <n v="25"/>
    <s v="100-75"/>
    <x v="5"/>
    <x v="0"/>
    <n v="561"/>
    <x v="154"/>
    <x v="0"/>
    <s v="Pass"/>
    <x v="0"/>
    <s v="B"/>
    <x v="1"/>
    <s v="70-85"/>
    <x v="0"/>
    <x v="0"/>
    <x v="0"/>
    <x v="0"/>
    <x v="5"/>
    <x v="0"/>
    <x v="0"/>
    <x v="2"/>
    <s v="Sept"/>
  </r>
  <r>
    <s v="2.11E+11"/>
    <n v="210707624"/>
    <d v="2021-09-16T00:00:00"/>
    <s v="15:31:07.338Z"/>
    <n v="834"/>
    <s v="6/25/1999"/>
    <n v="86.6"/>
    <n v="64.459999999999994"/>
    <x v="0"/>
    <x v="617"/>
    <x v="82"/>
    <s v="No"/>
    <s v="Yes"/>
    <n v="22"/>
    <s v="60-75"/>
    <x v="5"/>
    <x v="0"/>
    <n v="648"/>
    <x v="379"/>
    <x v="2"/>
    <s v="Pass"/>
    <x v="2"/>
    <s v="A"/>
    <x v="1"/>
    <s v="70-85"/>
    <x v="1"/>
    <x v="181"/>
    <x v="1"/>
    <x v="1"/>
    <x v="5"/>
    <x v="3"/>
    <x v="2"/>
    <x v="2"/>
    <s v="Sept"/>
  </r>
  <r>
    <s v="2.11E+11"/>
    <n v="210700108"/>
    <d v="2021-09-16T00:00:00"/>
    <s v="17:04:07.663Z"/>
    <n v="2726"/>
    <d v="1996-06-10T00:00:00"/>
    <n v="85.64"/>
    <s v="Other"/>
    <x v="54"/>
    <x v="618"/>
    <x v="811"/>
    <s v="No"/>
    <s v="Yes"/>
    <n v="24"/>
    <s v="100-75"/>
    <x v="1"/>
    <x v="1"/>
    <n v="588"/>
    <x v="116"/>
    <x v="2"/>
    <s v="Pass"/>
    <x v="2"/>
    <s v="A"/>
    <x v="1"/>
    <s v="70-85"/>
    <x v="1"/>
    <x v="80"/>
    <x v="1"/>
    <x v="1"/>
    <x v="5"/>
    <x v="0"/>
    <x v="0"/>
    <x v="2"/>
    <s v="Sept"/>
  </r>
  <r>
    <s v="2.11E+11"/>
    <n v="210701599"/>
    <d v="2021-09-15T00:00:00"/>
    <s v="18:32:00.123Z"/>
    <n v="2770"/>
    <d v="1996-09-10T00:00:00"/>
    <n v="81.45"/>
    <s v="Other"/>
    <x v="195"/>
    <x v="8"/>
    <x v="812"/>
    <s v="No"/>
    <s v="Yes"/>
    <n v="24"/>
    <s v="0-35"/>
    <x v="5"/>
    <x v="0"/>
    <n v="563"/>
    <x v="45"/>
    <x v="1"/>
    <s v="Pass"/>
    <x v="1"/>
    <s v="B"/>
    <x v="1"/>
    <s v="70-85"/>
    <x v="1"/>
    <x v="100"/>
    <x v="1"/>
    <x v="1"/>
    <x v="5"/>
    <x v="0"/>
    <x v="0"/>
    <x v="2"/>
    <s v="Sept"/>
  </r>
  <r>
    <s v="2.11E+11"/>
    <n v="210709200"/>
    <m/>
    <m/>
    <s v="Unknown"/>
    <m/>
    <n v="0"/>
    <n v="0"/>
    <x v="2"/>
    <x v="11"/>
    <x v="11"/>
    <s v="No"/>
    <s v="No"/>
    <n v="23"/>
    <s v="Unkown"/>
    <x v="5"/>
    <x v="2"/>
    <n v="569"/>
    <x v="158"/>
    <x v="2"/>
    <s v="Pass"/>
    <x v="2"/>
    <s v="B"/>
    <x v="1"/>
    <s v="70-85"/>
    <x v="1"/>
    <x v="161"/>
    <x v="1"/>
    <x v="1"/>
    <x v="5"/>
    <x v="2"/>
    <x v="3"/>
    <x v="2"/>
    <s v="Sept"/>
  </r>
  <r>
    <s v="2.11E+11"/>
    <n v="210701686"/>
    <d v="2021-09-16T00:00:00"/>
    <s v="17:09:05.957Z"/>
    <n v="2669"/>
    <s v="6/29/1997"/>
    <n v="88"/>
    <n v="68"/>
    <x v="0"/>
    <x v="600"/>
    <x v="283"/>
    <s v="No"/>
    <s v="Yes"/>
    <n v="24"/>
    <s v="45-60"/>
    <x v="5"/>
    <x v="1"/>
    <n v="568"/>
    <x v="370"/>
    <x v="1"/>
    <s v="Pass"/>
    <x v="1"/>
    <s v="A"/>
    <x v="1"/>
    <s v="70-85"/>
    <x v="1"/>
    <x v="82"/>
    <x v="1"/>
    <x v="1"/>
    <x v="5"/>
    <x v="0"/>
    <x v="0"/>
    <x v="2"/>
    <s v="Sept"/>
  </r>
  <r>
    <s v="2.11E+11"/>
    <n v="210700634"/>
    <d v="2021-09-15T00:00:00"/>
    <s v="14:36:38.796Z"/>
    <n v="3300"/>
    <s v="9/14/1997"/>
    <n v="82.5"/>
    <s v="Other"/>
    <x v="0"/>
    <x v="619"/>
    <x v="813"/>
    <s v="No"/>
    <s v="No"/>
    <n v="24"/>
    <s v="60-75"/>
    <x v="5"/>
    <x v="5"/>
    <n v="577"/>
    <x v="50"/>
    <x v="2"/>
    <s v="Pass"/>
    <x v="2"/>
    <s v="A"/>
    <x v="1"/>
    <s v="70-85"/>
    <x v="1"/>
    <x v="181"/>
    <x v="1"/>
    <x v="1"/>
    <x v="5"/>
    <x v="4"/>
    <x v="0"/>
    <x v="2"/>
    <s v="Sept"/>
  </r>
  <r>
    <s v="2.11E+11"/>
    <n v="210713845"/>
    <d v="2021-09-15T00:00:00"/>
    <s v="10:53:04.347Z"/>
    <n v="2263"/>
    <s v="2/13/1997"/>
    <n v="72.2"/>
    <s v="Other"/>
    <x v="196"/>
    <x v="620"/>
    <x v="814"/>
    <s v="No"/>
    <s v="Yes"/>
    <n v="24"/>
    <s v="60-75"/>
    <x v="5"/>
    <x v="5"/>
    <n v="555"/>
    <x v="38"/>
    <x v="1"/>
    <s v="Pass"/>
    <x v="1"/>
    <s v="B"/>
    <x v="1"/>
    <s v="60-70"/>
    <x v="1"/>
    <x v="80"/>
    <x v="1"/>
    <x v="1"/>
    <x v="5"/>
    <x v="0"/>
    <x v="0"/>
    <x v="2"/>
    <s v="Sept"/>
  </r>
  <r>
    <s v="2.11E+11"/>
    <n v="210700320"/>
    <d v="2021-09-16T00:00:00"/>
    <s v="16:30:20.710Z"/>
    <n v="2580"/>
    <s v="7/17/1997"/>
    <n v="75.27"/>
    <n v="60.77"/>
    <x v="0"/>
    <x v="621"/>
    <x v="815"/>
    <s v="No"/>
    <s v="Yes"/>
    <n v="24"/>
    <s v="45-60"/>
    <x v="5"/>
    <x v="5"/>
    <n v="598"/>
    <x v="115"/>
    <x v="2"/>
    <s v="Pass"/>
    <x v="2"/>
    <s v="A"/>
    <x v="1"/>
    <s v="70-85"/>
    <x v="1"/>
    <x v="99"/>
    <x v="1"/>
    <x v="1"/>
    <x v="5"/>
    <x v="0"/>
    <x v="0"/>
    <x v="2"/>
    <s v="Sept"/>
  </r>
  <r>
    <s v="2.11E+11"/>
    <n v="210700868"/>
    <d v="2021-09-15T00:00:00"/>
    <s v="12:41:15.686Z"/>
    <n v="2908"/>
    <d v="1999-07-10T00:00:00"/>
    <n v="75"/>
    <n v="70.77"/>
    <x v="0"/>
    <x v="622"/>
    <x v="816"/>
    <s v="No"/>
    <s v="No"/>
    <n v="21"/>
    <s v="100-75"/>
    <x v="5"/>
    <x v="5"/>
    <n v="663"/>
    <x v="62"/>
    <x v="2"/>
    <s v="Pass"/>
    <x v="2"/>
    <s v="A"/>
    <x v="1"/>
    <s v="70-85"/>
    <x v="1"/>
    <x v="165"/>
    <x v="1"/>
    <x v="1"/>
    <x v="5"/>
    <x v="0"/>
    <x v="2"/>
    <x v="2"/>
    <s v="Sept"/>
  </r>
  <r>
    <s v="2.11E+11"/>
    <n v="210701637"/>
    <d v="2021-09-16T00:00:00"/>
    <s v="16:32:15.309Z"/>
    <n v="2815"/>
    <d v="1996-03-04T00:00:00"/>
    <n v="71.2"/>
    <n v="57.23"/>
    <x v="0"/>
    <x v="623"/>
    <x v="817"/>
    <s v="No"/>
    <s v="No"/>
    <n v="25"/>
    <s v="45-60"/>
    <x v="6"/>
    <x v="0"/>
    <n v="528"/>
    <x v="14"/>
    <x v="0"/>
    <s v="Pass"/>
    <x v="0"/>
    <s v="B"/>
    <x v="1"/>
    <s v="60-70"/>
    <x v="1"/>
    <x v="161"/>
    <x v="1"/>
    <x v="1"/>
    <x v="5"/>
    <x v="0"/>
    <x v="0"/>
    <x v="2"/>
    <s v="Sept"/>
  </r>
  <r>
    <s v="2.11E+11"/>
    <n v="210716432"/>
    <d v="2021-09-15T00:00:00"/>
    <s v="14:39:26.464Z"/>
    <n v="2394"/>
    <d v="1996-02-01T00:00:00"/>
    <n v="80.36"/>
    <n v="64.31"/>
    <x v="0"/>
    <x v="11"/>
    <x v="818"/>
    <s v="No"/>
    <s v="No"/>
    <n v="25"/>
    <s v="0-35"/>
    <x v="5"/>
    <x v="0"/>
    <n v="583"/>
    <x v="164"/>
    <x v="2"/>
    <s v="Pass"/>
    <x v="2"/>
    <s v="A"/>
    <x v="1"/>
    <s v="70-85"/>
    <x v="1"/>
    <x v="80"/>
    <x v="1"/>
    <x v="1"/>
    <x v="5"/>
    <x v="0"/>
    <x v="0"/>
    <x v="2"/>
    <s v="Sept"/>
  </r>
  <r>
    <s v="2.11E+11"/>
    <n v="210709129"/>
    <d v="2021-09-15T00:00:00"/>
    <s v="11:12:38.515Z"/>
    <n v="2912"/>
    <s v="8/14/1999"/>
    <n v="89.6"/>
    <n v="64"/>
    <x v="0"/>
    <x v="166"/>
    <x v="819"/>
    <s v="No"/>
    <s v="Yes"/>
    <n v="22"/>
    <s v="60-75"/>
    <x v="5"/>
    <x v="0"/>
    <n v="620"/>
    <x v="350"/>
    <x v="1"/>
    <s v="Pass"/>
    <x v="1"/>
    <s v="A"/>
    <x v="1"/>
    <s v="70-85"/>
    <x v="1"/>
    <x v="80"/>
    <x v="1"/>
    <x v="1"/>
    <x v="5"/>
    <x v="0"/>
    <x v="2"/>
    <x v="2"/>
    <s v="Sept"/>
  </r>
  <r>
    <s v="2.11E+11"/>
    <n v="210709455"/>
    <d v="2021-09-15T00:00:00"/>
    <s v="13:29:31.826Z"/>
    <n v="2697"/>
    <s v="2/27/1996"/>
    <n v="83.6"/>
    <s v="Other"/>
    <x v="0"/>
    <x v="624"/>
    <x v="743"/>
    <s v="No"/>
    <s v="No"/>
    <n v="25"/>
    <s v="0-35"/>
    <x v="5"/>
    <x v="5"/>
    <n v="597"/>
    <x v="31"/>
    <x v="2"/>
    <s v="Pass"/>
    <x v="2"/>
    <s v="A"/>
    <x v="1"/>
    <s v="70-85"/>
    <x v="1"/>
    <x v="181"/>
    <x v="1"/>
    <x v="1"/>
    <x v="5"/>
    <x v="0"/>
    <x v="0"/>
    <x v="2"/>
    <s v="Sept"/>
  </r>
  <r>
    <s v="2.11E+11"/>
    <n v="210704457"/>
    <d v="2021-09-15T00:00:00"/>
    <s v="11:34:03.611Z"/>
    <n v="2524"/>
    <s v="3/29/1998"/>
    <n v="81.27"/>
    <n v="70.77"/>
    <x v="0"/>
    <x v="625"/>
    <x v="820"/>
    <s v="Yes"/>
    <s v="No"/>
    <n v="23"/>
    <s v="100-75"/>
    <x v="5"/>
    <x v="3"/>
    <n v="550"/>
    <x v="80"/>
    <x v="2"/>
    <s v="Pass"/>
    <x v="2"/>
    <s v="A"/>
    <x v="1"/>
    <s v="60-70"/>
    <x v="1"/>
    <x v="182"/>
    <x v="1"/>
    <x v="1"/>
    <x v="5"/>
    <x v="0"/>
    <x v="0"/>
    <x v="2"/>
    <s v="Sept"/>
  </r>
  <r>
    <s v="2.11E+11"/>
    <n v="210704884"/>
    <d v="2021-09-15T00:00:00"/>
    <s v="17:55:44.671Z"/>
    <n v="3375"/>
    <d v="1998-09-06T00:00:00"/>
    <n v="88.8"/>
    <s v="Other"/>
    <x v="0"/>
    <x v="626"/>
    <x v="821"/>
    <s v="No"/>
    <s v="Yes"/>
    <n v="23"/>
    <s v="60-75"/>
    <x v="5"/>
    <x v="5"/>
    <n v="623"/>
    <x v="9"/>
    <x v="2"/>
    <s v="Pass"/>
    <x v="2"/>
    <s v="A"/>
    <x v="1"/>
    <s v="70-85"/>
    <x v="1"/>
    <x v="181"/>
    <x v="1"/>
    <x v="1"/>
    <x v="5"/>
    <x v="4"/>
    <x v="0"/>
    <x v="2"/>
    <s v="Sept"/>
  </r>
  <r>
    <s v="2.11E+11"/>
    <n v="210706358"/>
    <d v="2021-09-15T00:00:00"/>
    <s v="23:26:37.155Z"/>
    <n v="3079"/>
    <s v="5/16/1996"/>
    <n v="84.8"/>
    <n v="64.150000000000006"/>
    <x v="0"/>
    <x v="484"/>
    <x v="822"/>
    <s v="No"/>
    <s v="Yes"/>
    <n v="25"/>
    <s v="100-75"/>
    <x v="1"/>
    <x v="1"/>
    <n v="555"/>
    <x v="38"/>
    <x v="1"/>
    <s v="Pass"/>
    <x v="1"/>
    <s v="A"/>
    <x v="1"/>
    <s v="60-70"/>
    <x v="1"/>
    <x v="183"/>
    <x v="1"/>
    <x v="1"/>
    <x v="5"/>
    <x v="4"/>
    <x v="0"/>
    <x v="2"/>
    <s v="Sept"/>
  </r>
  <r>
    <s v="2.11E+11"/>
    <n v="210715936"/>
    <d v="2021-09-16T00:00:00"/>
    <s v="16:40:29.408Z"/>
    <n v="3057"/>
    <d v="1999-03-07T00:00:00"/>
    <n v="67"/>
    <n v="66"/>
    <x v="0"/>
    <x v="627"/>
    <x v="823"/>
    <s v="No"/>
    <s v="No"/>
    <n v="22"/>
    <s v="60-75"/>
    <x v="5"/>
    <x v="1"/>
    <n v="519"/>
    <x v="325"/>
    <x v="2"/>
    <s v="Pass"/>
    <x v="2"/>
    <s v="A"/>
    <x v="1"/>
    <s v="60-70"/>
    <x v="1"/>
    <x v="184"/>
    <x v="1"/>
    <x v="1"/>
    <x v="5"/>
    <x v="4"/>
    <x v="2"/>
    <x v="2"/>
    <s v="Sept"/>
  </r>
  <r>
    <s v="2.11E+11"/>
    <n v="210706682"/>
    <d v="2021-09-15T00:00:00"/>
    <s v="16:06:40.439Z"/>
    <n v="2435"/>
    <d v="1999-04-10T00:00:00"/>
    <n v="94.8"/>
    <n v="83.07"/>
    <x v="0"/>
    <x v="628"/>
    <x v="824"/>
    <s v="No"/>
    <s v="Yes"/>
    <n v="21"/>
    <s v="100-75"/>
    <x v="5"/>
    <x v="1"/>
    <n v="604"/>
    <x v="124"/>
    <x v="1"/>
    <s v="Pass"/>
    <x v="1"/>
    <s v="B"/>
    <x v="1"/>
    <s v="70-85"/>
    <x v="1"/>
    <x v="80"/>
    <x v="1"/>
    <x v="1"/>
    <x v="5"/>
    <x v="0"/>
    <x v="2"/>
    <x v="2"/>
    <s v="Sept"/>
  </r>
  <r>
    <s v="2.11E+11"/>
    <n v="210706589"/>
    <d v="2021-09-15T00:00:00"/>
    <s v="08:15:16.553Z"/>
    <n v="2494"/>
    <d v="1997-09-01T00:00:00"/>
    <n v="83.24"/>
    <s v="Other"/>
    <x v="197"/>
    <x v="179"/>
    <x v="806"/>
    <s v="No"/>
    <s v="No"/>
    <n v="24"/>
    <s v="60-75"/>
    <x v="6"/>
    <x v="0"/>
    <n v="547"/>
    <x v="51"/>
    <x v="2"/>
    <s v="Pass"/>
    <x v="2"/>
    <s v="C"/>
    <x v="1"/>
    <s v="60-70"/>
    <x v="1"/>
    <x v="72"/>
    <x v="1"/>
    <x v="1"/>
    <x v="5"/>
    <x v="0"/>
    <x v="0"/>
    <x v="2"/>
    <s v="Sept"/>
  </r>
  <r>
    <s v="2.11E+11"/>
    <n v="210712662"/>
    <d v="2021-09-15T00:00:00"/>
    <s v="16:58:08.963Z"/>
    <n v="3288"/>
    <s v="10/28/1990"/>
    <n v="60.53"/>
    <n v="55.33"/>
    <x v="0"/>
    <x v="629"/>
    <x v="825"/>
    <s v="No"/>
    <s v="No"/>
    <n v="30"/>
    <s v="45-60"/>
    <x v="5"/>
    <x v="5"/>
    <n v="533"/>
    <x v="58"/>
    <x v="2"/>
    <s v="Pass"/>
    <x v="2"/>
    <s v="A"/>
    <x v="1"/>
    <s v="60-70"/>
    <x v="1"/>
    <x v="106"/>
    <x v="1"/>
    <x v="1"/>
    <x v="5"/>
    <x v="4"/>
    <x v="4"/>
    <x v="2"/>
    <s v="Sept"/>
  </r>
  <r>
    <s v="2.11E+11"/>
    <n v="210704922"/>
    <d v="2021-09-15T00:00:00"/>
    <s v="22:50:52.986Z"/>
    <n v="2306"/>
    <d v="1998-07-08T00:00:00"/>
    <n v="87"/>
    <s v="Other"/>
    <x v="54"/>
    <x v="630"/>
    <x v="826"/>
    <s v="No"/>
    <s v="No"/>
    <n v="23"/>
    <s v="60-75"/>
    <x v="4"/>
    <x v="5"/>
    <n v="594"/>
    <x v="128"/>
    <x v="1"/>
    <s v="Pass"/>
    <x v="1"/>
    <s v="A"/>
    <x v="1"/>
    <s v="70-85"/>
    <x v="1"/>
    <x v="161"/>
    <x v="1"/>
    <x v="1"/>
    <x v="5"/>
    <x v="0"/>
    <x v="0"/>
    <x v="2"/>
    <s v="Sept"/>
  </r>
  <r>
    <s v="2.11E+11"/>
    <n v="210713843"/>
    <d v="2021-09-15T00:00:00"/>
    <s v="11:21:40.562Z"/>
    <n v="3251"/>
    <s v="5/24/1996"/>
    <n v="67.2"/>
    <s v="Other"/>
    <x v="198"/>
    <x v="631"/>
    <x v="827"/>
    <s v="No"/>
    <s v="Yes"/>
    <n v="25"/>
    <s v="60-75"/>
    <x v="5"/>
    <x v="5"/>
    <n v="501"/>
    <x v="140"/>
    <x v="1"/>
    <s v="Pass"/>
    <x v="1"/>
    <s v="B"/>
    <x v="1"/>
    <s v="60-70"/>
    <x v="1"/>
    <x v="185"/>
    <x v="1"/>
    <x v="1"/>
    <x v="5"/>
    <x v="4"/>
    <x v="0"/>
    <x v="2"/>
    <s v="Sept"/>
  </r>
  <r>
    <s v="2.11E+11"/>
    <n v="210700904"/>
    <d v="2021-09-15T00:00:00"/>
    <s v="16:14:03.363Z"/>
    <n v="2967"/>
    <s v="9/18/1996"/>
    <n v="91.09"/>
    <n v="60"/>
    <x v="0"/>
    <x v="86"/>
    <x v="191"/>
    <s v="No"/>
    <s v="Yes"/>
    <n v="24"/>
    <s v="60-75"/>
    <x v="5"/>
    <x v="0"/>
    <n v="536"/>
    <x v="110"/>
    <x v="1"/>
    <s v="Pass"/>
    <x v="1"/>
    <s v="A"/>
    <x v="1"/>
    <s v="60-70"/>
    <x v="1"/>
    <x v="82"/>
    <x v="1"/>
    <x v="1"/>
    <x v="5"/>
    <x v="0"/>
    <x v="0"/>
    <x v="2"/>
    <s v="Sept"/>
  </r>
  <r>
    <s v="2.11E+11"/>
    <n v="210709927"/>
    <d v="2021-09-15T00:00:00"/>
    <s v="15:37:28.587Z"/>
    <n v="2444"/>
    <d v="1999-05-01T00:00:00"/>
    <n v="79.2"/>
    <n v="73.08"/>
    <x v="0"/>
    <x v="11"/>
    <x v="828"/>
    <s v="No"/>
    <s v="Yes"/>
    <n v="22"/>
    <s v="0-35"/>
    <x v="4"/>
    <x v="0"/>
    <n v="628"/>
    <x v="39"/>
    <x v="1"/>
    <s v="Pass"/>
    <x v="1"/>
    <s v="A"/>
    <x v="1"/>
    <s v="70-85"/>
    <x v="1"/>
    <x v="186"/>
    <x v="1"/>
    <x v="1"/>
    <x v="5"/>
    <x v="0"/>
    <x v="2"/>
    <x v="2"/>
    <s v="Sept"/>
  </r>
  <r>
    <s v="2.11E+11"/>
    <n v="210711095"/>
    <d v="2021-09-16T00:00:00"/>
    <s v="16:26:24.626Z"/>
    <n v="2885"/>
    <d v="1996-11-01T00:00:00"/>
    <n v="80.73"/>
    <n v="60.17"/>
    <x v="0"/>
    <x v="632"/>
    <x v="829"/>
    <s v="No"/>
    <s v="No"/>
    <n v="25"/>
    <s v="60-75"/>
    <x v="6"/>
    <x v="0"/>
    <n v="624"/>
    <x v="362"/>
    <x v="0"/>
    <s v="Pass"/>
    <x v="0"/>
    <s v="A"/>
    <x v="1"/>
    <s v="70-85"/>
    <x v="1"/>
    <x v="71"/>
    <x v="1"/>
    <x v="1"/>
    <x v="5"/>
    <x v="0"/>
    <x v="0"/>
    <x v="2"/>
    <s v="Sept"/>
  </r>
  <r>
    <s v="2.11E+11"/>
    <n v="210707253"/>
    <d v="2021-09-15T00:00:00"/>
    <s v="17:32:05.824Z"/>
    <n v="1852"/>
    <d v="1995-09-11T00:00:00"/>
    <n v="88.91"/>
    <n v="59.33"/>
    <x v="0"/>
    <x v="41"/>
    <x v="830"/>
    <s v="No"/>
    <s v="No"/>
    <n v="25"/>
    <s v="60-75"/>
    <x v="5"/>
    <x v="0"/>
    <n v="614"/>
    <x v="375"/>
    <x v="1"/>
    <s v="Pass"/>
    <x v="1"/>
    <s v="B"/>
    <x v="1"/>
    <s v="70-85"/>
    <x v="1"/>
    <x v="54"/>
    <x v="1"/>
    <x v="1"/>
    <x v="5"/>
    <x v="1"/>
    <x v="0"/>
    <x v="2"/>
    <s v="Sept"/>
  </r>
  <r>
    <s v="2.11E+11"/>
    <n v="210709365"/>
    <d v="2021-09-15T00:00:00"/>
    <s v="21:26:33.796Z"/>
    <n v="2617"/>
    <s v="5/20/1996"/>
    <n v="83.4"/>
    <s v="Other"/>
    <x v="0"/>
    <x v="164"/>
    <x v="831"/>
    <s v="No"/>
    <s v="No"/>
    <n v="25"/>
    <s v="60-75"/>
    <x v="5"/>
    <x v="5"/>
    <n v="396"/>
    <x v="83"/>
    <x v="0"/>
    <s v="Pass"/>
    <x v="0"/>
    <s v="C"/>
    <x v="1"/>
    <s v="40-50"/>
    <x v="1"/>
    <x v="185"/>
    <x v="1"/>
    <x v="1"/>
    <x v="5"/>
    <x v="0"/>
    <x v="0"/>
    <x v="2"/>
    <s v="Sept"/>
  </r>
  <r>
    <s v="2.11E+11"/>
    <n v="210713661"/>
    <d v="2021-09-15T00:00:00"/>
    <s v="19:22:07.119Z"/>
    <n v="2792"/>
    <s v="11/17/1996"/>
    <n v="83.64"/>
    <s v="Other"/>
    <x v="199"/>
    <x v="427"/>
    <x v="832"/>
    <s v="No"/>
    <s v="Yes"/>
    <n v="24"/>
    <s v="60-75"/>
    <x v="5"/>
    <x v="0"/>
    <n v="607"/>
    <x v="107"/>
    <x v="1"/>
    <s v="Pass"/>
    <x v="1"/>
    <s v="B"/>
    <x v="1"/>
    <s v="70-85"/>
    <x v="1"/>
    <x v="187"/>
    <x v="1"/>
    <x v="1"/>
    <x v="5"/>
    <x v="0"/>
    <x v="0"/>
    <x v="2"/>
    <s v="Sept"/>
  </r>
  <r>
    <s v="2.11E+11"/>
    <n v="210711491"/>
    <d v="2021-09-16T00:00:00"/>
    <s v="16:25:37.082Z"/>
    <n v="3080"/>
    <d v="1995-12-06T00:00:00"/>
    <n v="90"/>
    <n v="72.5"/>
    <x v="0"/>
    <x v="143"/>
    <x v="833"/>
    <s v="No"/>
    <s v="No"/>
    <n v="26"/>
    <s v="60-75"/>
    <x v="6"/>
    <x v="0"/>
    <n v="510"/>
    <x v="44"/>
    <x v="2"/>
    <s v="Pass"/>
    <x v="2"/>
    <s v="B"/>
    <x v="1"/>
    <s v="60-70"/>
    <x v="0"/>
    <x v="0"/>
    <x v="0"/>
    <x v="0"/>
    <x v="5"/>
    <x v="4"/>
    <x v="1"/>
    <x v="2"/>
    <s v="Sept"/>
  </r>
  <r>
    <s v="2.11E+11"/>
    <n v="210714041"/>
    <d v="2021-09-15T00:00:00"/>
    <s v="14:26:41.191Z"/>
    <n v="2802"/>
    <s v="7/13/1998"/>
    <n v="83.8"/>
    <n v="69.540000000000006"/>
    <x v="0"/>
    <x v="633"/>
    <x v="834"/>
    <s v="No"/>
    <s v="No"/>
    <n v="23"/>
    <s v="45-60"/>
    <x v="5"/>
    <x v="0"/>
    <n v="633"/>
    <x v="144"/>
    <x v="2"/>
    <s v="Pass"/>
    <x v="2"/>
    <s v="A"/>
    <x v="1"/>
    <s v="70-85"/>
    <x v="1"/>
    <x v="87"/>
    <x v="1"/>
    <x v="1"/>
    <x v="5"/>
    <x v="0"/>
    <x v="0"/>
    <x v="2"/>
    <s v="Sept"/>
  </r>
  <r>
    <s v="2.11E+11"/>
    <n v="210703803"/>
    <d v="2021-09-15T00:00:00"/>
    <s v="23:31:34.728Z"/>
    <n v="3138"/>
    <d v="1997-07-04T00:00:00"/>
    <n v="75.400000000000006"/>
    <n v="68.62"/>
    <x v="0"/>
    <x v="518"/>
    <x v="835"/>
    <s v="No"/>
    <s v="Yes"/>
    <n v="24"/>
    <s v="0-35"/>
    <x v="4"/>
    <x v="0"/>
    <n v="552"/>
    <x v="209"/>
    <x v="0"/>
    <s v="Pass"/>
    <x v="0"/>
    <s v="A"/>
    <x v="1"/>
    <s v="60-70"/>
    <x v="1"/>
    <x v="87"/>
    <x v="1"/>
    <x v="1"/>
    <x v="5"/>
    <x v="4"/>
    <x v="0"/>
    <x v="2"/>
    <s v="Sept"/>
  </r>
  <r>
    <s v="2.11E+11"/>
    <n v="210706867"/>
    <d v="2021-09-16T00:00:00"/>
    <s v="22:07:51.756Z"/>
    <n v="3062"/>
    <s v="11/17/1996"/>
    <n v="79.09"/>
    <n v="68"/>
    <x v="0"/>
    <x v="634"/>
    <x v="836"/>
    <s v="Yes"/>
    <s v="No"/>
    <n v="24"/>
    <s v="45-60"/>
    <x v="1"/>
    <x v="0"/>
    <n v="582"/>
    <x v="367"/>
    <x v="2"/>
    <s v="Pass"/>
    <x v="2"/>
    <s v="A"/>
    <x v="1"/>
    <s v="70-85"/>
    <x v="1"/>
    <x v="179"/>
    <x v="1"/>
    <x v="1"/>
    <x v="5"/>
    <x v="4"/>
    <x v="0"/>
    <x v="2"/>
    <s v="Sept"/>
  </r>
  <r>
    <s v="2.11E+11"/>
    <n v="210710288"/>
    <d v="2021-09-15T00:00:00"/>
    <s v="14:24:23.981Z"/>
    <n v="3339"/>
    <d v="1996-08-05T00:00:00"/>
    <n v="69.489999999999995"/>
    <s v="Other"/>
    <x v="180"/>
    <x v="336"/>
    <x v="837"/>
    <s v="No"/>
    <s v="Yes"/>
    <n v="25"/>
    <s v="60-75"/>
    <x v="0"/>
    <x v="0"/>
    <n v="541"/>
    <x v="191"/>
    <x v="1"/>
    <s v="Pass"/>
    <x v="1"/>
    <s v="B"/>
    <x v="1"/>
    <s v="60-70"/>
    <x v="1"/>
    <x v="181"/>
    <x v="1"/>
    <x v="1"/>
    <x v="5"/>
    <x v="4"/>
    <x v="0"/>
    <x v="2"/>
    <s v="Sept"/>
  </r>
  <r>
    <s v="2.11E+11"/>
    <n v="210708589"/>
    <d v="2021-09-18T00:00:00"/>
    <s v="13:35:12.118Z"/>
    <n v="1958"/>
    <s v="11/22/1995"/>
    <n v="73.400000000000006"/>
    <n v="64.83"/>
    <x v="0"/>
    <x v="156"/>
    <x v="838"/>
    <s v="No"/>
    <s v="No"/>
    <n v="25"/>
    <s v="60-75"/>
    <x v="6"/>
    <x v="0"/>
    <n v="619"/>
    <x v="20"/>
    <x v="2"/>
    <s v="Pass"/>
    <x v="2"/>
    <s v="A"/>
    <x v="1"/>
    <s v="70-85"/>
    <x v="2"/>
    <x v="3"/>
    <x v="1"/>
    <x v="1"/>
    <x v="5"/>
    <x v="1"/>
    <x v="0"/>
    <x v="2"/>
    <s v="Sept"/>
  </r>
  <r>
    <s v="2.11E+11"/>
    <n v="210716402"/>
    <d v="2021-09-16T00:00:00"/>
    <s v="15:38:29.188Z"/>
    <n v="2812"/>
    <s v="1/25/1995"/>
    <n v="93.45"/>
    <n v="64.17"/>
    <x v="0"/>
    <x v="635"/>
    <x v="839"/>
    <s v="No"/>
    <s v="Yes"/>
    <n v="26"/>
    <s v="60-75"/>
    <x v="2"/>
    <x v="0"/>
    <n v="421"/>
    <x v="337"/>
    <x v="1"/>
    <s v="Pass"/>
    <x v="1"/>
    <s v="C"/>
    <x v="1"/>
    <s v="50-60"/>
    <x v="0"/>
    <x v="0"/>
    <x v="0"/>
    <x v="0"/>
    <x v="5"/>
    <x v="0"/>
    <x v="1"/>
    <x v="2"/>
    <s v="Sept"/>
  </r>
  <r>
    <s v="2.11E+11"/>
    <n v="210707894"/>
    <d v="2021-09-15T00:00:00"/>
    <s v="16:26:51.669Z"/>
    <n v="3309"/>
    <d v="2000-04-01T00:00:00"/>
    <n v="76.8"/>
    <s v="Other"/>
    <x v="200"/>
    <x v="636"/>
    <x v="840"/>
    <s v="No"/>
    <s v="No"/>
    <n v="21"/>
    <s v="60-75"/>
    <x v="3"/>
    <x v="5"/>
    <n v="575"/>
    <x v="85"/>
    <x v="0"/>
    <s v="Pass"/>
    <x v="0"/>
    <s v="B"/>
    <x v="1"/>
    <s v="70-85"/>
    <x v="1"/>
    <x v="71"/>
    <x v="1"/>
    <x v="1"/>
    <x v="5"/>
    <x v="4"/>
    <x v="2"/>
    <x v="2"/>
    <s v="Sept"/>
  </r>
  <r>
    <s v="2.11E+11"/>
    <n v="210707815"/>
    <d v="2021-09-15T00:00:00"/>
    <s v="17:23:50.675Z"/>
    <n v="2690"/>
    <s v="7/27/1995"/>
    <n v="93.64"/>
    <n v="68"/>
    <x v="0"/>
    <x v="427"/>
    <x v="841"/>
    <s v="No"/>
    <s v="No"/>
    <n v="26"/>
    <s v="60-75"/>
    <x v="4"/>
    <x v="0"/>
    <n v="537"/>
    <x v="169"/>
    <x v="2"/>
    <s v="Pass"/>
    <x v="2"/>
    <s v="A"/>
    <x v="1"/>
    <s v="60-70"/>
    <x v="1"/>
    <x v="161"/>
    <x v="1"/>
    <x v="1"/>
    <x v="5"/>
    <x v="0"/>
    <x v="1"/>
    <x v="2"/>
    <s v="Sept"/>
  </r>
  <r>
    <s v="2.11E+11"/>
    <n v="210716276"/>
    <d v="2021-09-15T00:00:00"/>
    <s v="16:24:38.581Z"/>
    <n v="3081"/>
    <s v="3/23/1995"/>
    <n v="80.55"/>
    <n v="64.33"/>
    <x v="0"/>
    <x v="138"/>
    <x v="842"/>
    <s v="No"/>
    <s v="Yes"/>
    <n v="26"/>
    <s v="45-60"/>
    <x v="5"/>
    <x v="5"/>
    <n v="579"/>
    <x v="151"/>
    <x v="1"/>
    <s v="Pass"/>
    <x v="1"/>
    <s v="A"/>
    <x v="1"/>
    <s v="70-85"/>
    <x v="1"/>
    <x v="169"/>
    <x v="1"/>
    <x v="1"/>
    <x v="5"/>
    <x v="4"/>
    <x v="1"/>
    <x v="2"/>
    <s v="Sept"/>
  </r>
  <r>
    <s v="2.11E+11"/>
    <n v="210708156"/>
    <d v="2021-09-15T00:00:00"/>
    <s v="16:11:02.792Z"/>
    <n v="2860"/>
    <s v="10/26/1997"/>
    <n v="80.55"/>
    <s v="Other"/>
    <x v="201"/>
    <x v="637"/>
    <x v="843"/>
    <s v="No"/>
    <s v="No"/>
    <n v="23"/>
    <s v="0-35"/>
    <x v="2"/>
    <x v="0"/>
    <n v="397"/>
    <x v="316"/>
    <x v="4"/>
    <s v="Pass"/>
    <x v="4"/>
    <s v="C"/>
    <x v="1"/>
    <s v="40-50"/>
    <x v="0"/>
    <x v="0"/>
    <x v="0"/>
    <x v="0"/>
    <x v="5"/>
    <x v="0"/>
    <x v="0"/>
    <x v="2"/>
    <s v="Sept"/>
  </r>
  <r>
    <s v="2.11E+11"/>
    <n v="210700952"/>
    <d v="2021-09-14T00:00:00"/>
    <s v="22:55:16.047Z"/>
    <n v="2793"/>
    <d v="1995-03-12T00:00:00"/>
    <n v="69.569999999999993"/>
    <n v="80"/>
    <x v="0"/>
    <x v="638"/>
    <x v="844"/>
    <s v="No"/>
    <s v="No"/>
    <n v="25"/>
    <s v="0-35"/>
    <x v="5"/>
    <x v="0"/>
    <n v="618"/>
    <x v="168"/>
    <x v="1"/>
    <s v="Pass"/>
    <x v="1"/>
    <s v="A"/>
    <x v="1"/>
    <s v="70-85"/>
    <x v="1"/>
    <x v="82"/>
    <x v="1"/>
    <x v="1"/>
    <x v="5"/>
    <x v="0"/>
    <x v="0"/>
    <x v="2"/>
    <s v="Sept"/>
  </r>
  <r>
    <s v="2.11E+11"/>
    <n v="210706972"/>
    <d v="2021-09-15T00:00:00"/>
    <s v="11:23:59.285Z"/>
    <n v="2392"/>
    <s v="3/22/1994"/>
    <n v="82.61"/>
    <s v="Other"/>
    <x v="202"/>
    <x v="639"/>
    <x v="845"/>
    <s v="No"/>
    <s v="No"/>
    <n v="27"/>
    <s v="45-60"/>
    <x v="4"/>
    <x v="5"/>
    <n v="572"/>
    <x v="174"/>
    <x v="0"/>
    <s v="Pass"/>
    <x v="0"/>
    <s v="A"/>
    <x v="1"/>
    <s v="70-85"/>
    <x v="1"/>
    <x v="100"/>
    <x v="1"/>
    <x v="1"/>
    <x v="5"/>
    <x v="0"/>
    <x v="1"/>
    <x v="2"/>
    <s v="Sept"/>
  </r>
  <r>
    <s v="2.11E+11"/>
    <n v="210711013"/>
    <d v="2021-09-15T00:00:00"/>
    <s v="11:06:11.247Z"/>
    <n v="3370"/>
    <s v="9/30/1995"/>
    <n v="82.91"/>
    <n v="51.83"/>
    <x v="0"/>
    <x v="640"/>
    <x v="846"/>
    <s v="No"/>
    <s v="Yes"/>
    <n v="25"/>
    <s v="60-75"/>
    <x v="6"/>
    <x v="0"/>
    <n v="497"/>
    <x v="74"/>
    <x v="0"/>
    <s v="Pass"/>
    <x v="0"/>
    <s v="B"/>
    <x v="1"/>
    <s v="60-70"/>
    <x v="1"/>
    <x v="184"/>
    <x v="1"/>
    <x v="1"/>
    <x v="5"/>
    <x v="4"/>
    <x v="0"/>
    <x v="2"/>
    <s v="Sept"/>
  </r>
  <r>
    <s v="2.11E+11"/>
    <n v="210704347"/>
    <d v="2021-09-15T00:00:00"/>
    <s v="14:12:29.393Z"/>
    <n v="3107"/>
    <d v="1997-08-06T00:00:00"/>
    <n v="91.09"/>
    <n v="69"/>
    <x v="0"/>
    <x v="641"/>
    <x v="847"/>
    <s v="No"/>
    <s v="Yes"/>
    <n v="24"/>
    <s v="60-75"/>
    <x v="4"/>
    <x v="0"/>
    <n v="551"/>
    <x v="332"/>
    <x v="0"/>
    <s v="Pass"/>
    <x v="0"/>
    <s v="B"/>
    <x v="1"/>
    <s v="60-70"/>
    <x v="1"/>
    <x v="188"/>
    <x v="1"/>
    <x v="1"/>
    <x v="5"/>
    <x v="4"/>
    <x v="0"/>
    <x v="2"/>
    <s v="Sept"/>
  </r>
  <r>
    <s v="2.11E+11"/>
    <n v="210705366"/>
    <d v="2021-09-18T00:00:00"/>
    <s v="14:31:59.563Z"/>
    <n v="2352"/>
    <d v="1997-05-09T00:00:00"/>
    <n v="82.91"/>
    <n v="59.08"/>
    <x v="0"/>
    <x v="127"/>
    <x v="848"/>
    <s v="Yes"/>
    <s v="Yes"/>
    <n v="24"/>
    <s v="60-75"/>
    <x v="0"/>
    <x v="3"/>
    <n v="615"/>
    <x v="147"/>
    <x v="2"/>
    <s v="Pass"/>
    <x v="2"/>
    <s v="A"/>
    <x v="1"/>
    <s v="70-85"/>
    <x v="1"/>
    <x v="161"/>
    <x v="1"/>
    <x v="1"/>
    <x v="5"/>
    <x v="0"/>
    <x v="0"/>
    <x v="2"/>
    <s v="Sept"/>
  </r>
  <r>
    <s v="2.11E+11"/>
    <n v="210714211"/>
    <d v="2021-09-18T00:00:00"/>
    <s v="13:59:35.124Z"/>
    <n v="2327"/>
    <s v="9/18/2021"/>
    <n v="93.2"/>
    <n v="78.150000000000006"/>
    <x v="0"/>
    <x v="642"/>
    <x v="849"/>
    <s v="No"/>
    <s v="No"/>
    <n v="0"/>
    <s v="60-75"/>
    <x v="5"/>
    <x v="5"/>
    <n v="467"/>
    <x v="143"/>
    <x v="1"/>
    <s v="Pass"/>
    <x v="1"/>
    <s v="C"/>
    <x v="1"/>
    <s v="50-60"/>
    <x v="1"/>
    <x v="184"/>
    <x v="1"/>
    <x v="1"/>
    <x v="5"/>
    <x v="0"/>
    <x v="4"/>
    <x v="2"/>
    <s v="Sept"/>
  </r>
  <r>
    <s v="2.11E+11"/>
    <n v="210701265"/>
    <d v="2021-09-15T00:00:00"/>
    <s v="10:38:58.273Z"/>
    <n v="3019"/>
    <d v="1997-03-10T00:00:00"/>
    <n v="84"/>
    <n v="77.540000000000006"/>
    <x v="0"/>
    <x v="643"/>
    <x v="850"/>
    <s v="No"/>
    <s v="No"/>
    <n v="23"/>
    <s v="60-75"/>
    <x v="5"/>
    <x v="5"/>
    <n v="623"/>
    <x v="9"/>
    <x v="1"/>
    <s v="Pass"/>
    <x v="1"/>
    <s v="A"/>
    <x v="1"/>
    <s v="70-85"/>
    <x v="1"/>
    <x v="87"/>
    <x v="1"/>
    <x v="1"/>
    <x v="5"/>
    <x v="4"/>
    <x v="0"/>
    <x v="2"/>
    <s v="Sept"/>
  </r>
  <r>
    <s v="2.11E+11"/>
    <n v="210714273"/>
    <d v="2021-09-15T00:00:00"/>
    <s v="16:31:44.103Z"/>
    <n v="3089"/>
    <s v="10/19/1998"/>
    <n v="78.2"/>
    <n v="59.6"/>
    <x v="0"/>
    <x v="644"/>
    <x v="851"/>
    <s v="No"/>
    <s v="No"/>
    <n v="22"/>
    <s v="60-75"/>
    <x v="6"/>
    <x v="0"/>
    <n v="595"/>
    <x v="172"/>
    <x v="1"/>
    <s v="Pass"/>
    <x v="1"/>
    <s v="A"/>
    <x v="1"/>
    <s v="70-85"/>
    <x v="1"/>
    <x v="99"/>
    <x v="1"/>
    <x v="1"/>
    <x v="5"/>
    <x v="4"/>
    <x v="2"/>
    <x v="2"/>
    <s v="Sep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B96EA-43BB-4C9B-8760-2AF3CF9C992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Age group">
  <location ref="D3:E9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5"/>
        <item x="1"/>
        <item x="4"/>
        <item x="3"/>
        <item x="0"/>
        <item t="default"/>
      </items>
    </pivotField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</pivotFields>
  <rowFields count="1">
    <field x="3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. of students" fld="0" subtotal="count" baseField="31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43950-6055-41C0-ACFD-00E0BCA1D19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atch">
  <location ref="A3:B10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5"/>
        <item x="1"/>
        <item x="4"/>
        <item x="3"/>
        <item x="0"/>
        <item t="default"/>
      </items>
    </pivotField>
    <pivotField showAll="0"/>
    <pivotField showAll="0"/>
    <pivotField showAll="0"/>
    <pivotField showAll="0"/>
  </pivotFields>
  <rowFields count="1">
    <field x="2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r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5BC3C-14C2-4D66-B295-DD0849E6088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J3:K7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3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n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52A4E-C0A8-41F0-8BC3-B8B8EC1C57D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3:H10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5"/>
        <item x="1"/>
        <item x="4"/>
        <item x="3"/>
        <item x="0"/>
        <item t="default"/>
      </items>
    </pivotField>
    <pivotField axis="axisRow" dataField="1" showAll="0">
      <items count="7">
        <item x="3"/>
        <item x="1"/>
        <item x="0"/>
        <item x="4"/>
        <item x="5"/>
        <item x="2"/>
        <item t="default"/>
      </items>
    </pivotField>
    <pivotField showAll="0"/>
    <pivotField showAll="0"/>
    <pivotField showAll="0"/>
  </pivotFields>
  <rowFields count="1">
    <field x="3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cat_cat" fld="30" subtotal="count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0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BCC4A-FA6D-4992-8692-0FF23913549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raduation Course">
  <location ref="F3:H11" firstHeaderRow="0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204">
        <item x="2"/>
        <item x="134"/>
        <item x="31"/>
        <item x="188"/>
        <item x="30"/>
        <item x="76"/>
        <item x="194"/>
        <item x="92"/>
        <item x="117"/>
        <item x="171"/>
        <item x="199"/>
        <item x="179"/>
        <item x="118"/>
        <item x="78"/>
        <item x="81"/>
        <item x="87"/>
        <item x="51"/>
        <item x="63"/>
        <item x="80"/>
        <item x="101"/>
        <item x="180"/>
        <item x="165"/>
        <item x="72"/>
        <item x="160"/>
        <item x="53"/>
        <item x="91"/>
        <item x="64"/>
        <item x="130"/>
        <item x="24"/>
        <item x="201"/>
        <item x="166"/>
        <item x="141"/>
        <item x="69"/>
        <item x="22"/>
        <item x="93"/>
        <item x="28"/>
        <item x="140"/>
        <item x="127"/>
        <item x="32"/>
        <item x="169"/>
        <item x="88"/>
        <item x="151"/>
        <item x="116"/>
        <item x="26"/>
        <item x="136"/>
        <item x="163"/>
        <item x="55"/>
        <item x="174"/>
        <item x="45"/>
        <item x="186"/>
        <item x="79"/>
        <item x="185"/>
        <item x="40"/>
        <item x="12"/>
        <item x="109"/>
        <item x="142"/>
        <item x="202"/>
        <item x="59"/>
        <item x="183"/>
        <item x="137"/>
        <item x="71"/>
        <item x="162"/>
        <item x="168"/>
        <item x="143"/>
        <item x="182"/>
        <item x="120"/>
        <item x="196"/>
        <item x="9"/>
        <item x="98"/>
        <item x="15"/>
        <item x="56"/>
        <item x="49"/>
        <item x="178"/>
        <item x="96"/>
        <item x="115"/>
        <item x="128"/>
        <item x="144"/>
        <item x="14"/>
        <item x="193"/>
        <item x="123"/>
        <item x="161"/>
        <item x="184"/>
        <item x="47"/>
        <item x="154"/>
        <item x="90"/>
        <item x="158"/>
        <item x="58"/>
        <item x="94"/>
        <item x="139"/>
        <item x="135"/>
        <item x="8"/>
        <item x="149"/>
        <item x="37"/>
        <item x="150"/>
        <item x="147"/>
        <item x="114"/>
        <item x="111"/>
        <item x="146"/>
        <item x="191"/>
        <item x="77"/>
        <item x="60"/>
        <item x="10"/>
        <item x="70"/>
        <item x="181"/>
        <item x="131"/>
        <item x="153"/>
        <item x="19"/>
        <item x="119"/>
        <item x="138"/>
        <item x="103"/>
        <item x="41"/>
        <item x="6"/>
        <item x="48"/>
        <item x="83"/>
        <item x="125"/>
        <item x="85"/>
        <item x="46"/>
        <item x="62"/>
        <item x="175"/>
        <item x="172"/>
        <item x="108"/>
        <item x="38"/>
        <item x="148"/>
        <item x="54"/>
        <item x="200"/>
        <item x="189"/>
        <item x="95"/>
        <item x="112"/>
        <item x="155"/>
        <item x="89"/>
        <item x="198"/>
        <item x="113"/>
        <item x="159"/>
        <item x="42"/>
        <item x="121"/>
        <item x="25"/>
        <item x="177"/>
        <item x="67"/>
        <item x="84"/>
        <item x="190"/>
        <item x="17"/>
        <item x="176"/>
        <item x="57"/>
        <item x="107"/>
        <item x="20"/>
        <item x="21"/>
        <item x="27"/>
        <item x="122"/>
        <item x="195"/>
        <item x="73"/>
        <item x="4"/>
        <item x="192"/>
        <item x="197"/>
        <item x="152"/>
        <item x="102"/>
        <item x="65"/>
        <item x="97"/>
        <item x="156"/>
        <item x="173"/>
        <item x="74"/>
        <item x="133"/>
        <item x="106"/>
        <item x="164"/>
        <item x="86"/>
        <item x="145"/>
        <item x="61"/>
        <item x="13"/>
        <item x="29"/>
        <item x="3"/>
        <item x="7"/>
        <item x="68"/>
        <item x="110"/>
        <item x="66"/>
        <item x="43"/>
        <item x="50"/>
        <item x="1"/>
        <item x="11"/>
        <item x="129"/>
        <item x="167"/>
        <item x="39"/>
        <item x="100"/>
        <item x="105"/>
        <item x="36"/>
        <item x="132"/>
        <item x="157"/>
        <item x="187"/>
        <item x="44"/>
        <item x="82"/>
        <item x="104"/>
        <item x="99"/>
        <item x="52"/>
        <item x="23"/>
        <item x="124"/>
        <item x="5"/>
        <item x="35"/>
        <item x="33"/>
        <item x="75"/>
        <item x="126"/>
        <item x="16"/>
        <item x="18"/>
        <item x="170"/>
        <item x="34"/>
        <item x="0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axis="axisRow" showAll="0">
      <items count="8">
        <item x="6"/>
        <item x="0"/>
        <item x="3"/>
        <item x="1"/>
        <item x="2"/>
        <item x="5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O. of students" fld="0" subtotal="count" baseField="16" baseItem="0"/>
    <dataField name="Avg Cdac %" fld="18" subtotal="average" baseField="16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669A6-9D9A-4BEB-B1CA-CC534B48C1E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rse">
  <location ref="A3:D6" firstHeaderRow="0" firstDataRow="1" firstDataCol="1"/>
  <pivotFields count="34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10th %" fld="6" subtotal="average" baseField="23" baseItem="0"/>
    <dataField name="Avg 12th %" fld="7" subtotal="average" baseField="23" baseItem="0"/>
    <dataField name="Graduation %" fld="9" subtotal="average" baseField="23" baseItem="0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BCD3B-9E9A-4414-B33F-5F0C001FF46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 rowHeaderCaption="Engg Degree">
  <location ref="J3:K11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204">
        <item x="2"/>
        <item x="134"/>
        <item x="31"/>
        <item x="188"/>
        <item x="30"/>
        <item x="76"/>
        <item x="194"/>
        <item x="92"/>
        <item x="117"/>
        <item x="171"/>
        <item x="199"/>
        <item x="179"/>
        <item x="118"/>
        <item x="78"/>
        <item x="81"/>
        <item x="87"/>
        <item x="51"/>
        <item x="63"/>
        <item x="80"/>
        <item x="101"/>
        <item x="180"/>
        <item x="165"/>
        <item x="72"/>
        <item x="160"/>
        <item x="53"/>
        <item x="91"/>
        <item x="64"/>
        <item x="130"/>
        <item x="24"/>
        <item x="201"/>
        <item x="166"/>
        <item x="141"/>
        <item x="69"/>
        <item x="22"/>
        <item x="93"/>
        <item x="28"/>
        <item x="140"/>
        <item x="127"/>
        <item x="32"/>
        <item x="169"/>
        <item x="88"/>
        <item x="151"/>
        <item x="116"/>
        <item x="26"/>
        <item x="136"/>
        <item x="163"/>
        <item x="55"/>
        <item x="174"/>
        <item x="45"/>
        <item x="186"/>
        <item x="79"/>
        <item x="185"/>
        <item x="40"/>
        <item x="12"/>
        <item x="109"/>
        <item x="142"/>
        <item x="202"/>
        <item x="59"/>
        <item x="183"/>
        <item x="137"/>
        <item x="71"/>
        <item x="162"/>
        <item x="168"/>
        <item x="143"/>
        <item x="182"/>
        <item x="120"/>
        <item x="196"/>
        <item x="9"/>
        <item x="98"/>
        <item x="15"/>
        <item x="56"/>
        <item x="49"/>
        <item x="178"/>
        <item x="96"/>
        <item x="115"/>
        <item x="128"/>
        <item x="144"/>
        <item x="14"/>
        <item x="193"/>
        <item x="123"/>
        <item x="161"/>
        <item x="184"/>
        <item x="47"/>
        <item x="154"/>
        <item x="90"/>
        <item x="158"/>
        <item x="58"/>
        <item x="94"/>
        <item x="139"/>
        <item x="135"/>
        <item x="8"/>
        <item x="149"/>
        <item x="37"/>
        <item x="150"/>
        <item x="147"/>
        <item x="114"/>
        <item x="111"/>
        <item x="146"/>
        <item x="191"/>
        <item x="77"/>
        <item x="60"/>
        <item x="10"/>
        <item x="70"/>
        <item x="181"/>
        <item x="131"/>
        <item x="153"/>
        <item x="19"/>
        <item x="119"/>
        <item x="138"/>
        <item x="103"/>
        <item x="41"/>
        <item x="6"/>
        <item x="48"/>
        <item x="83"/>
        <item x="125"/>
        <item x="85"/>
        <item x="46"/>
        <item x="62"/>
        <item x="175"/>
        <item x="172"/>
        <item x="108"/>
        <item x="38"/>
        <item x="148"/>
        <item x="54"/>
        <item x="200"/>
        <item x="189"/>
        <item x="95"/>
        <item x="112"/>
        <item x="155"/>
        <item x="89"/>
        <item x="198"/>
        <item x="113"/>
        <item x="159"/>
        <item x="42"/>
        <item x="121"/>
        <item x="25"/>
        <item x="177"/>
        <item x="67"/>
        <item x="84"/>
        <item x="190"/>
        <item x="17"/>
        <item x="176"/>
        <item x="57"/>
        <item x="107"/>
        <item x="20"/>
        <item x="21"/>
        <item x="27"/>
        <item x="122"/>
        <item x="195"/>
        <item x="73"/>
        <item x="4"/>
        <item x="192"/>
        <item x="197"/>
        <item x="152"/>
        <item x="102"/>
        <item x="65"/>
        <item x="97"/>
        <item x="156"/>
        <item x="173"/>
        <item x="74"/>
        <item x="133"/>
        <item x="106"/>
        <item x="164"/>
        <item x="86"/>
        <item x="145"/>
        <item x="61"/>
        <item x="13"/>
        <item x="29"/>
        <item x="3"/>
        <item x="7"/>
        <item x="68"/>
        <item x="110"/>
        <item x="66"/>
        <item x="43"/>
        <item x="50"/>
        <item x="1"/>
        <item x="11"/>
        <item x="129"/>
        <item x="167"/>
        <item x="39"/>
        <item x="100"/>
        <item x="105"/>
        <item x="36"/>
        <item x="132"/>
        <item x="157"/>
        <item x="187"/>
        <item x="44"/>
        <item x="82"/>
        <item x="104"/>
        <item x="99"/>
        <item x="52"/>
        <item x="23"/>
        <item x="124"/>
        <item x="5"/>
        <item x="35"/>
        <item x="33"/>
        <item x="75"/>
        <item x="126"/>
        <item x="16"/>
        <item x="18"/>
        <item x="170"/>
        <item x="34"/>
        <item x="0"/>
        <item t="default"/>
      </items>
    </pivotField>
    <pivotField showAll="0"/>
    <pivotField numFmtId="2" showAll="0"/>
    <pivotField showAll="0"/>
    <pivotField showAll="0"/>
    <pivotField showAll="0"/>
    <pivotField showAll="0"/>
    <pivotField axis="axisRow" showAll="0">
      <items count="8">
        <item x="2"/>
        <item x="3"/>
        <item x="1"/>
        <item x="6"/>
        <item x="0"/>
        <item x="4"/>
        <item x="5"/>
        <item t="default"/>
      </items>
    </pivotField>
    <pivotField showAll="0">
      <items count="8">
        <item x="6"/>
        <item x="0"/>
        <item x="3"/>
        <item x="1"/>
        <item x="2"/>
        <item x="5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dac_percentage" fld="18" subtotal="average" baseField="0" baseItem="0"/>
  </dataFields>
  <formats count="1">
    <format dxfId="21">
      <pivotArea outline="0" collapsedLevelsAreSubtotals="1" fieldPosition="0"/>
    </format>
  </formats>
  <chartFormats count="3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7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7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7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7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7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37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4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0" format="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0" format="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0" format="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0" format="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0" format="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40" format="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48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8" format="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8" format="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8" format="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8" format="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8" format="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48" format="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49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9" format="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9" format="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9" format="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9" format="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9" format="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49" format="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7D229-AEBD-4989-8D62-84BE5307C823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6" firstHeaderRow="1" firstDataRow="1" firstDataCol="1"/>
  <pivotFields count="3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7"/>
  </rowFields>
  <rowItems count="3">
    <i>
      <x/>
    </i>
    <i>
      <x v="1"/>
    </i>
    <i t="grand">
      <x/>
    </i>
  </rowItems>
  <colItems count="1">
    <i/>
  </colItems>
  <dataFields count="1">
    <dataField name="Average of ccat_rank" fld="4" subtotal="average" baseField="0" baseItem="0" numFmtId="2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7AB11-9AEA-4B45-B879-8B3E986A7172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rn" fld="1" subtotal="count" baseField="0" baseItem="0"/>
    <dataField name="Average of cdac_percentage" fld="2" subtotal="average" baseField="0" baseItem="0" numFmtId="2"/>
    <dataField name="Average of placement_flag" fld="3" subtotal="average" baseField="0" baseItem="0" numFmtId="2"/>
  </dataFields>
  <formats count="1">
    <format dxfId="17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chartFormats count="15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Cdacdata">
        <x15:activeTabTopLevelEntity name="[Cdac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C9B1E-4D7C-4560-9DD6-D5A078A483A8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10" firstHeaderRow="0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7">
        <item x="1"/>
        <item x="5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dac_percentage" fld="18" subtotal="average" baseField="0" baseItem="0"/>
    <dataField name="Average of placement_flag" fld="28" subtotal="average" baseField="0" baseItem="0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DBD6F-EB0C-436C-885B-7981BE84C497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M3:N10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5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2"/>
        <item x="5"/>
        <item x="1"/>
        <item x="4"/>
        <item x="3"/>
        <item x="0"/>
        <item t="default"/>
      </items>
    </pivotField>
    <pivotField showAll="0">
      <items count="7">
        <item x="3"/>
        <item x="1"/>
        <item x="0"/>
        <item x="4"/>
        <item x="5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19"/>
  </rowFields>
  <rowItems count="7">
    <i>
      <x/>
    </i>
    <i>
      <x v="2"/>
    </i>
    <i>
      <x v="3"/>
    </i>
    <i>
      <x v="4"/>
    </i>
    <i>
      <x v="5"/>
    </i>
    <i>
      <x v="1"/>
    </i>
    <i t="grand">
      <x/>
    </i>
  </rowItems>
  <colItems count="1">
    <i/>
  </colItems>
  <dataFields count="1">
    <dataField name="Count of prn" fld="0" subtotal="count" baseField="0" baseItem="0"/>
  </dataFields>
  <formats count="1">
    <format dxfId="10">
      <pivotArea outline="0" collapsedLevelsAreSubtotals="1" fieldPosition="0"/>
    </format>
  </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CB877-5744-4184-ABA6-23B4279CB71D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cat category">
  <location ref="J3:K10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2"/>
        <item x="5"/>
        <item x="1"/>
        <item x="4"/>
        <item x="3"/>
        <item x="0"/>
        <item t="default"/>
      </items>
    </pivotField>
    <pivotField axis="axisRow" showAll="0">
      <items count="7">
        <item x="3"/>
        <item x="1"/>
        <item x="0"/>
        <item x="4"/>
        <item x="5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3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dac_percentage" fld="18" subtotal="average" baseField="0" baseItem="0" numFmtId="2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F5B3C-9998-4A35-80A4-6AF438F8796B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G3:H13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2"/>
        <item x="5"/>
        <item x="1"/>
        <item x="4"/>
        <item x="3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32"/>
    <field x="29"/>
  </rowFields>
  <rowItems count="10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 r="1">
      <x v="5"/>
    </i>
    <i t="grand">
      <x/>
    </i>
  </rowItems>
  <colItems count="1">
    <i/>
  </colItems>
  <dataFields count="1">
    <dataField name="Average of cdac_percentage" fld="18" subtotal="average" baseField="0" baseItem="0" numFmtId="2"/>
  </dataFields>
  <formats count="2">
    <format dxfId="13">
      <pivotArea collapsedLevelsAreSubtotals="1" fieldPosition="0">
        <references count="1">
          <reference field="32" count="1">
            <x v="0"/>
          </reference>
        </references>
      </pivotArea>
    </format>
    <format dxfId="12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CD066-FF40-4F7E-863F-49C965CC6A42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D3:E6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Average of cdac_percentage" fld="18" subtotal="average" baseField="0" baseItem="0" numFmtId="2"/>
  </dataFields>
  <formats count="1"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FA394-B724-48A7-8BA0-110576A1D758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result of SMVITA" fld="18" subtotal="average" baseField="0" baseItem="1" numFmtId="2"/>
    <dataField name="Count of prn" fld="0" subtotal="count" baseField="0" baseItem="0"/>
  </dataFields>
  <formats count="1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0CA56-4CBA-4881-992C-55CB8F08821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E18:H23" firstHeaderRow="1" firstDataRow="2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32"/>
  </rowFields>
  <rowItems count="4">
    <i>
      <x/>
    </i>
    <i>
      <x v="1"/>
    </i>
    <i>
      <x v="2"/>
    </i>
    <i t="grand">
      <x/>
    </i>
  </rowItems>
  <colFields count="1">
    <field x="23"/>
  </colFields>
  <colItems count="3">
    <i>
      <x/>
    </i>
    <i>
      <x v="1"/>
    </i>
    <i t="grand">
      <x/>
    </i>
  </colItems>
  <dataFields count="1">
    <dataField name="Average of placement_flag" fld="28" subtotal="average" baseField="0" baseItem="0"/>
  </dataFields>
  <formats count="1">
    <format dxfId="0">
      <pivotArea outline="0" collapsedLevelsAreSubtotals="1" fieldPosition="0"/>
    </format>
  </format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86E89-7EC2-4550-B391-1C68F27D9D25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:H6" firstHeaderRow="0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lacement_flag" fld="28" subtotal="average" baseField="0" baseItem="0"/>
    <dataField name="Count of prn" fld="0" subtotal="count" baseField="0" baseItem="0"/>
  </dataFields>
  <formats count="1">
    <format dxfId="1">
      <pivotArea outline="0" collapsedLevelsAreSubtotals="1" fieldPosition="0"/>
    </format>
  </formats>
  <chartFormats count="2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23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23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23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1"/>
          </reference>
          <reference field="23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1"/>
          </reference>
          <reference field="23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1"/>
          </reference>
          <reference field="23" count="1" selected="0">
            <x v="1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9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1"/>
          </reference>
          <reference field="23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1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F0A3F-9431-4144-839E-BDEA8E62B9B3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 Grades">
  <location ref="AC4:AD11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5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showAll="0"/>
    <pivotField showAll="0">
      <items count="7">
        <item x="2"/>
        <item x="5"/>
        <item x="1"/>
        <item x="4"/>
        <item x="3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19"/>
  </rowFields>
  <rowItems count="7">
    <i>
      <x/>
    </i>
    <i>
      <x v="2"/>
    </i>
    <i>
      <x v="4"/>
    </i>
    <i>
      <x v="3"/>
    </i>
    <i>
      <x v="5"/>
    </i>
    <i>
      <x v="1"/>
    </i>
    <i t="grand">
      <x/>
    </i>
  </rowItems>
  <colItems count="1">
    <i/>
  </colItems>
  <dataFields count="1">
    <dataField name="Average of placement_flag" fld="28" subtotal="average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08675-D292-4CF2-81F6-326F4C7DFDA8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lacement_flag" fld="28" subtotal="average" baseField="0" baseItem="0" numFmtId="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ED4C3-24C0-4D84-9379-FDB11A43A068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3:K13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axis="axisRow" showAll="0">
      <items count="7">
        <item x="2"/>
        <item x="5"/>
        <item x="1"/>
        <item x="4"/>
        <item x="3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32"/>
    <field x="29"/>
  </rowFields>
  <rowItems count="10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 r="1">
      <x v="5"/>
    </i>
    <i t="grand">
      <x/>
    </i>
  </rowItems>
  <colItems count="1">
    <i/>
  </colItems>
  <dataFields count="1">
    <dataField name="Average of placement_flag" fld="28" subtotal="average" baseField="0" baseItem="0" numFmtId="9"/>
  </dataFields>
  <formats count="1">
    <format dxfId="4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199D2-5D9E-4489-8CEA-3972F2D38177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C3:D13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32"/>
    <field x="2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ount of prn" fld="0" subtotal="count" baseField="0" baseItem="0"/>
  </dataFields>
  <formats count="1">
    <format dxfId="5">
      <pivotArea outline="0" collapsedLevelsAreSubtotals="1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EDB16-A9F8-4A5A-8B0C-F9102379B0E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S3:W11" firstHeaderRow="1" firstDataRow="2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7">
        <item x="2"/>
        <item x="5"/>
        <item x="1"/>
        <item x="4"/>
        <item x="3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2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dataFields count="1">
    <dataField name="Count of prn" fld="0" subtotal="count" baseField="25" baseItem="0"/>
  </dataFields>
  <formats count="1">
    <format dxfId="6">
      <pivotArea outline="0" collapsedLevelsAreSubtotals="1" fieldPosition="0"/>
    </format>
  </formats>
  <chartFormats count="9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8E2F2-F979-4ED2-AAC8-7380B1AC662C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M3:N7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7">
        <item x="2"/>
        <item x="5"/>
        <item x="1"/>
        <item x="4"/>
        <item x="3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n" fld="0" subtotal="count" baseField="25" baseItem="0"/>
  </dataFields>
  <formats count="1">
    <format dxfId="7">
      <pivotArea outline="0" collapsedLevelsAreSubtotals="1" fieldPosition="0"/>
    </format>
  </format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A2C8E-3A45-42EF-811A-05A728A8F9DE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Companies">
  <location ref="Z4:AA13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Row" showAll="0" measureFilter="1" sortType="descending">
      <items count="190">
        <item x="8"/>
        <item x="58"/>
        <item x="40"/>
        <item x="90"/>
        <item x="50"/>
        <item x="27"/>
        <item x="179"/>
        <item x="119"/>
        <item x="52"/>
        <item x="118"/>
        <item x="87"/>
        <item x="152"/>
        <item x="111"/>
        <item x="127"/>
        <item x="156"/>
        <item x="113"/>
        <item x="49"/>
        <item x="185"/>
        <item x="63"/>
        <item x="183"/>
        <item x="98"/>
        <item x="96"/>
        <item x="14"/>
        <item x="150"/>
        <item x="130"/>
        <item x="116"/>
        <item x="129"/>
        <item x="44"/>
        <item x="89"/>
        <item x="170"/>
        <item x="21"/>
        <item x="147"/>
        <item x="140"/>
        <item x="34"/>
        <item x="61"/>
        <item x="97"/>
        <item x="166"/>
        <item x="123"/>
        <item x="20"/>
        <item x="159"/>
        <item x="13"/>
        <item x="164"/>
        <item x="68"/>
        <item x="1"/>
        <item x="36"/>
        <item x="12"/>
        <item x="84"/>
        <item x="107"/>
        <item x="70"/>
        <item x="31"/>
        <item x="165"/>
        <item x="4"/>
        <item x="69"/>
        <item x="80"/>
        <item x="109"/>
        <item x="24"/>
        <item x="160"/>
        <item x="92"/>
        <item x="6"/>
        <item x="122"/>
        <item x="182"/>
        <item x="79"/>
        <item x="18"/>
        <item x="153"/>
        <item x="60"/>
        <item x="175"/>
        <item x="5"/>
        <item x="65"/>
        <item x="110"/>
        <item x="39"/>
        <item x="114"/>
        <item x="117"/>
        <item x="172"/>
        <item x="148"/>
        <item x="180"/>
        <item x="17"/>
        <item x="55"/>
        <item x="168"/>
        <item x="73"/>
        <item x="78"/>
        <item x="132"/>
        <item x="108"/>
        <item x="103"/>
        <item x="184"/>
        <item x="145"/>
        <item x="46"/>
        <item x="22"/>
        <item x="54"/>
        <item x="16"/>
        <item x="47"/>
        <item x="37"/>
        <item x="94"/>
        <item x="33"/>
        <item x="139"/>
        <item x="42"/>
        <item x="102"/>
        <item x="173"/>
        <item x="88"/>
        <item x="86"/>
        <item x="93"/>
        <item x="154"/>
        <item x="9"/>
        <item x="143"/>
        <item x="120"/>
        <item x="174"/>
        <item x="177"/>
        <item x="45"/>
        <item x="125"/>
        <item x="67"/>
        <item x="85"/>
        <item x="131"/>
        <item x="167"/>
        <item x="29"/>
        <item x="112"/>
        <item x="181"/>
        <item x="178"/>
        <item x="149"/>
        <item x="162"/>
        <item x="19"/>
        <item x="137"/>
        <item x="146"/>
        <item x="11"/>
        <item x="101"/>
        <item x="161"/>
        <item x="26"/>
        <item x="82"/>
        <item x="48"/>
        <item x="157"/>
        <item x="106"/>
        <item x="23"/>
        <item x="99"/>
        <item x="41"/>
        <item x="76"/>
        <item x="176"/>
        <item x="66"/>
        <item x="163"/>
        <item x="43"/>
        <item x="124"/>
        <item x="3"/>
        <item x="169"/>
        <item x="91"/>
        <item x="104"/>
        <item x="138"/>
        <item x="135"/>
        <item x="77"/>
        <item x="74"/>
        <item x="144"/>
        <item x="105"/>
        <item x="28"/>
        <item x="30"/>
        <item x="100"/>
        <item x="35"/>
        <item x="38"/>
        <item x="59"/>
        <item x="186"/>
        <item x="32"/>
        <item x="95"/>
        <item x="75"/>
        <item x="134"/>
        <item x="155"/>
        <item x="71"/>
        <item x="83"/>
        <item x="115"/>
        <item x="121"/>
        <item x="25"/>
        <item x="53"/>
        <item x="81"/>
        <item x="158"/>
        <item x="72"/>
        <item x="187"/>
        <item x="171"/>
        <item x="15"/>
        <item x="151"/>
        <item x="188"/>
        <item x="57"/>
        <item x="64"/>
        <item x="2"/>
        <item x="56"/>
        <item x="10"/>
        <item x="0"/>
        <item x="128"/>
        <item x="7"/>
        <item x="133"/>
        <item x="141"/>
        <item x="51"/>
        <item x="142"/>
        <item x="136"/>
        <item x="126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2"/>
        <item x="5"/>
        <item x="1"/>
        <item x="4"/>
        <item x="3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26"/>
  </rowFields>
  <rowItems count="9">
    <i>
      <x v="138"/>
    </i>
    <i>
      <x v="101"/>
    </i>
    <i>
      <x v="55"/>
    </i>
    <i>
      <x v="10"/>
    </i>
    <i>
      <x v="45"/>
    </i>
    <i>
      <x v="123"/>
    </i>
    <i>
      <x v="124"/>
    </i>
    <i>
      <x v="108"/>
    </i>
    <i t="grand">
      <x/>
    </i>
  </rowItems>
  <colItems count="1">
    <i/>
  </colItems>
  <dataFields count="1">
    <dataField name="Count of prn" fld="0" subtotal="count" baseField="0" baseItem="0"/>
  </dataFields>
  <formats count="1">
    <format dxfId="8">
      <pivotArea outline="0" collapsedLevelsAreSubtotals="1" fieldPosition="0"/>
    </format>
  </format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6" type="valueBetween" evalOrder="-1" id="5" iMeasureFld="0">
      <autoFilter ref="A1">
        <filterColumn colId="0">
          <customFilters and="1">
            <customFilter operator="greaterThanOrEqual" val="20"/>
            <customFilter operator="lessThanOrEqual" val="7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3396F-A4FB-4608-A4E8-36C38D3288A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P3:Q30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7">
        <item x="2"/>
        <item x="5"/>
        <item x="1"/>
        <item x="4"/>
        <item x="3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32"/>
    <field x="29"/>
    <field x="25"/>
  </rowFields>
  <rowItems count="27">
    <i>
      <x/>
    </i>
    <i r="1">
      <x/>
    </i>
    <i r="2">
      <x/>
    </i>
    <i r="2">
      <x v="2"/>
    </i>
    <i r="1">
      <x v="1"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2">
      <x v="2"/>
    </i>
    <i t="grand">
      <x/>
    </i>
  </rowItems>
  <colItems count="1">
    <i/>
  </colItems>
  <dataFields count="1">
    <dataField name="Count of prn" fld="0" subtotal="count" baseField="25" baseItem="0"/>
  </dataFields>
  <formats count="1">
    <format dxfId="9">
      <pivotArea outline="0" collapsedLevelsAreSubtotals="1" fieldPosition="0"/>
    </format>
  </format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C1204-A629-4010-A0AA-DF8A8B129DAB}" name="Cdacdata" displayName="Cdacdata" ref="A1:AI1031" totalsRowShown="0" headerRowDxfId="28">
  <autoFilter ref="A1:AI1031" xr:uid="{1B5C1204-A629-4010-A0AA-DF8A8B129DAB}"/>
  <tableColumns count="35">
    <tableColumn id="1" xr3:uid="{EBE31637-3210-4FF9-BF40-DA8B8E6011A8}" name="prn"/>
    <tableColumn id="2" xr3:uid="{FEC68FC4-79DC-451A-86E6-563E7232A3EF}" name="formno"/>
    <tableColumn id="3" xr3:uid="{48428A6F-AC86-4A3D-B3CB-419E37CA31B2}" name="timestamp" dataDxfId="27"/>
    <tableColumn id="32" xr3:uid="{EFBA38AE-643F-41CF-89CD-58D7CAD3AEE9}" name="Time" dataDxfId="26"/>
    <tableColumn id="4" xr3:uid="{5D3D3F01-F347-42E7-B516-748D3F20F587}" name="ccat_rank"/>
    <tableColumn id="5" xr3:uid="{A0469A99-8198-457E-930D-BBE9E29FC72F}" name="dob" dataDxfId="25"/>
    <tableColumn id="6" xr3:uid="{BF5EEC44-7061-4A46-B187-464A1BD2A1F6}" name="tenth_percentage"/>
    <tableColumn id="7" xr3:uid="{A5748124-576E-4930-92EE-A98FC95F3935}" name="twelfth_percentage"/>
    <tableColumn id="8" xr3:uid="{33D6E589-2507-4C50-B721-364D75D50D5B}" name="diploma_percentage"/>
    <tableColumn id="9" xr3:uid="{575661AC-060E-4DB9-846C-889B18C0AECE}" name="graduation_percentage"/>
    <tableColumn id="35" xr3:uid="{33952EB2-C526-486A-852D-EBF12C7DDCE8}" name="Average Percentage" dataDxfId="24">
      <calculatedColumnFormula>AVERAGE(G2,H2,I2,J2)</calculatedColumnFormula>
    </tableColumn>
    <tableColumn id="10" xr3:uid="{CE27C700-6812-43E0-8D32-15DA63C5FBA1}" name="pg_cert"/>
    <tableColumn id="11" xr3:uid="{0032026C-0166-4381-8885-FF8658B9ECA8}" name="done_precat"/>
    <tableColumn id="12" xr3:uid="{3C461A53-F139-4B7A-AB49-5DD1924EEBED}" name="age2"/>
    <tableColumn id="13" xr3:uid="{CACBC619-62AB-4AE7-99B7-7534DADD862E}" name="grad_grade"/>
    <tableColumn id="14" xr3:uid="{138385A8-CD19-45E6-A3FF-0C932AB580FF}" name="branch"/>
    <tableColumn id="15" xr3:uid="{B12672EF-D96F-42A9-95DE-AD4CAEA181D9}" name="grad_degree"/>
    <tableColumn id="16" xr3:uid="{22F5E314-901C-4A8C-9242-F900E4A544E1}" name="total800"/>
    <tableColumn id="17" xr3:uid="{3C16F27C-16E1-48AF-B318-A0B3669BCBEC}" name="cdac_percentage"/>
    <tableColumn id="18" xr3:uid="{6254E365-6651-426A-BA6C-9262A3D18F2F}" name="grade"/>
    <tableColumn id="19" xr3:uid="{233B86B1-DBAB-4BE6-9C05-426699013080}" name="result"/>
    <tableColumn id="20" xr3:uid="{2E0784E1-84D9-4D5C-B73D-1394E925AF9C}" name="apti_ec_grade"/>
    <tableColumn id="21" xr3:uid="{CE24CA46-9251-49DE-A56F-A9FC35BBC578}" name="project_grade"/>
    <tableColumn id="22" xr3:uid="{2F18A2C1-A9AC-4430-9789-45ABF50B16BD}" name="course"/>
    <tableColumn id="23" xr3:uid="{0BDD6B62-4114-425C-BBE8-7F376C72E769}" name="cdac_percentagecat"/>
    <tableColumn id="24" xr3:uid="{0F69BE2A-7205-4E37-A39A-0E8FA5E27349}" name="placed_by"/>
    <tableColumn id="25" xr3:uid="{6658BFC0-A156-4709-8A12-A31248F18677}" name="company_name"/>
    <tableColumn id="26" xr3:uid="{6356F8BA-F925-4796-94EE-AE68250979E1}" name="placement_status"/>
    <tableColumn id="33" xr3:uid="{920F3E8B-008D-4B52-B821-49605B3EFF8C}" name="placement_flag" dataDxfId="23">
      <calculatedColumnFormula>IF(Cdacdata[[#This Row],[placement_status]]="Placed",1,0)</calculatedColumnFormula>
    </tableColumn>
    <tableColumn id="27" xr3:uid="{C13BE69A-B43F-46E5-9B9A-2B6469267613}" name="batch"/>
    <tableColumn id="28" xr3:uid="{5C48BFC9-082C-46E6-B620-93F1849DC57F}" name="ccat_cat"/>
    <tableColumn id="29" xr3:uid="{30273C45-6045-42CC-A945-0CEF514F9211}" name="age_cat"/>
    <tableColumn id="30" xr3:uid="{7631E6A1-A047-4083-AF0E-3C168A2C283A}" name="Year"/>
    <tableColumn id="31" xr3:uid="{84443E45-B511-47E6-BE44-69BC5769B101}" name="Month"/>
    <tableColumn id="38" xr3:uid="{55ABBE46-C22D-4E69-9ADC-0FEBA368F86C}" name="ccat_rank_bucket" dataDxfId="22">
      <calculatedColumnFormula>IF(Cdacdata[ccat_rank]&lt;=100,"Top 100",
IF(Cdacdata[ccat_rank]&lt;=500,"101–500",
IF(Cdacdata[ccat_rank]&lt;=1000,"501–1000",
"1000+")))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3.xml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10" Type="http://schemas.openxmlformats.org/officeDocument/2006/relationships/pivotTable" Target="../pivotTables/pivotTable25.xml"/><Relationship Id="rId4" Type="http://schemas.openxmlformats.org/officeDocument/2006/relationships/pivotTable" Target="../pivotTables/pivotTable19.xml"/><Relationship Id="rId9" Type="http://schemas.openxmlformats.org/officeDocument/2006/relationships/pivotTable" Target="../pivotTables/pivotTable2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84F2-1865-414A-B1C1-8660995215B8}">
  <sheetPr codeName="Sheet1"/>
  <dimension ref="A1:AI1033"/>
  <sheetViews>
    <sheetView workbookViewId="0">
      <selection activeCell="D5" sqref="A1:AI1031"/>
    </sheetView>
  </sheetViews>
  <sheetFormatPr defaultRowHeight="14.4" x14ac:dyDescent="0.3"/>
  <cols>
    <col min="1" max="1" width="11.5546875" bestFit="1" customWidth="1"/>
    <col min="2" max="2" width="10" bestFit="1" customWidth="1"/>
    <col min="3" max="3" width="23.21875" bestFit="1" customWidth="1"/>
    <col min="4" max="4" width="23.21875" customWidth="1"/>
    <col min="5" max="5" width="11.44140625" bestFit="1" customWidth="1"/>
    <col min="6" max="6" width="10.5546875" style="2" bestFit="1" customWidth="1"/>
    <col min="7" max="7" width="18.33203125" bestFit="1" customWidth="1"/>
    <col min="8" max="8" width="19.88671875" bestFit="1" customWidth="1"/>
    <col min="9" max="9" width="20.77734375" bestFit="1" customWidth="1"/>
    <col min="10" max="10" width="23.109375" bestFit="1" customWidth="1"/>
    <col min="11" max="11" width="23.109375" customWidth="1"/>
    <col min="12" max="12" width="14.44140625" customWidth="1"/>
    <col min="13" max="13" width="13.88671875" bestFit="1" customWidth="1"/>
    <col min="15" max="15" width="12.77734375" bestFit="1" customWidth="1"/>
    <col min="16" max="16" width="10.33203125" bestFit="1" customWidth="1"/>
    <col min="17" max="17" width="13.77734375" bestFit="1" customWidth="1"/>
    <col min="18" max="18" width="10.109375" bestFit="1" customWidth="1"/>
    <col min="19" max="19" width="17.6640625" bestFit="1" customWidth="1"/>
    <col min="22" max="22" width="15.109375" bestFit="1" customWidth="1"/>
    <col min="23" max="23" width="15" bestFit="1" customWidth="1"/>
    <col min="24" max="24" width="8.77734375" bestFit="1" customWidth="1"/>
    <col min="25" max="25" width="20.33203125" bestFit="1" customWidth="1"/>
    <col min="26" max="26" width="11.88671875" bestFit="1" customWidth="1"/>
    <col min="27" max="27" width="30.44140625" bestFit="1" customWidth="1"/>
    <col min="28" max="28" width="18.21875" bestFit="1" customWidth="1"/>
    <col min="29" max="29" width="18.21875" customWidth="1"/>
    <col min="30" max="30" width="11.21875" bestFit="1" customWidth="1"/>
    <col min="31" max="31" width="10.21875" bestFit="1" customWidth="1"/>
    <col min="32" max="32" width="9.77734375" bestFit="1" customWidth="1"/>
    <col min="34" max="34" width="9" bestFit="1" customWidth="1"/>
    <col min="35" max="35" width="18.33203125" bestFit="1" customWidth="1"/>
  </cols>
  <sheetData>
    <row r="1" spans="1:35" s="10" customFormat="1" x14ac:dyDescent="0.3">
      <c r="A1" s="10" t="s">
        <v>0</v>
      </c>
      <c r="B1" s="10" t="s">
        <v>1</v>
      </c>
      <c r="C1" s="10" t="s">
        <v>2</v>
      </c>
      <c r="D1" s="10" t="s">
        <v>1267</v>
      </c>
      <c r="E1" s="10" t="s">
        <v>3</v>
      </c>
      <c r="F1" s="11" t="s">
        <v>4</v>
      </c>
      <c r="G1" s="10" t="s">
        <v>368</v>
      </c>
      <c r="H1" s="10" t="s">
        <v>369</v>
      </c>
      <c r="I1" s="10" t="s">
        <v>370</v>
      </c>
      <c r="J1" s="10" t="s">
        <v>371</v>
      </c>
      <c r="K1" s="10" t="s">
        <v>1271</v>
      </c>
      <c r="L1" s="10" t="s">
        <v>5</v>
      </c>
      <c r="M1" s="10" t="s">
        <v>6</v>
      </c>
      <c r="N1" s="10" t="s">
        <v>1270</v>
      </c>
      <c r="O1" s="10" t="s">
        <v>7</v>
      </c>
      <c r="P1" s="10" t="s">
        <v>8</v>
      </c>
      <c r="Q1" s="10" t="s">
        <v>9</v>
      </c>
      <c r="R1" s="10" t="s">
        <v>10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372</v>
      </c>
      <c r="AB1" s="10" t="s">
        <v>19</v>
      </c>
      <c r="AC1" s="10" t="s">
        <v>1269</v>
      </c>
      <c r="AD1" s="10" t="s">
        <v>20</v>
      </c>
      <c r="AE1" s="10" t="s">
        <v>21</v>
      </c>
      <c r="AF1" s="10" t="s">
        <v>22</v>
      </c>
      <c r="AG1" s="10" t="s">
        <v>23</v>
      </c>
      <c r="AH1" s="10" t="s">
        <v>24</v>
      </c>
      <c r="AI1" s="10" t="s">
        <v>1278</v>
      </c>
    </row>
    <row r="2" spans="1:35" x14ac:dyDescent="0.3">
      <c r="A2" s="1" t="s">
        <v>25</v>
      </c>
      <c r="B2">
        <v>230703798</v>
      </c>
      <c r="C2" s="2">
        <v>45169</v>
      </c>
      <c r="D2" s="2" t="s">
        <v>375</v>
      </c>
      <c r="E2">
        <v>2085</v>
      </c>
      <c r="F2" s="2">
        <v>36675</v>
      </c>
      <c r="G2">
        <v>87.8</v>
      </c>
      <c r="H2">
        <v>63.08</v>
      </c>
      <c r="I2" t="s">
        <v>26</v>
      </c>
      <c r="J2">
        <v>72.7</v>
      </c>
      <c r="K2" s="3">
        <f t="shared" ref="K2:K65" si="0">AVERAGE(G2,H2,I2,J2)</f>
        <v>74.526666666666657</v>
      </c>
      <c r="L2" t="s">
        <v>27</v>
      </c>
      <c r="M2" t="s">
        <v>27</v>
      </c>
      <c r="N2">
        <v>23</v>
      </c>
      <c r="O2" t="s">
        <v>28</v>
      </c>
      <c r="P2" t="s">
        <v>29</v>
      </c>
      <c r="Q2" t="s">
        <v>30</v>
      </c>
      <c r="R2">
        <v>413</v>
      </c>
      <c r="S2">
        <v>51.625</v>
      </c>
      <c r="T2" t="s">
        <v>31</v>
      </c>
      <c r="U2" t="s">
        <v>32</v>
      </c>
      <c r="V2" t="s">
        <v>31</v>
      </c>
      <c r="W2" t="s">
        <v>33</v>
      </c>
      <c r="X2" t="s">
        <v>34</v>
      </c>
      <c r="Y2" t="s">
        <v>35</v>
      </c>
      <c r="Z2" t="s">
        <v>36</v>
      </c>
      <c r="AA2" t="s">
        <v>1268</v>
      </c>
      <c r="AB2" t="s">
        <v>36</v>
      </c>
      <c r="AC2">
        <f>IF(Cdacdata[[#This Row],[placement_status]]="Placed",1,0)</f>
        <v>0</v>
      </c>
      <c r="AD2" t="s">
        <v>37</v>
      </c>
      <c r="AE2" t="s">
        <v>38</v>
      </c>
      <c r="AF2" t="s">
        <v>39</v>
      </c>
      <c r="AG2">
        <v>2023</v>
      </c>
      <c r="AH2" t="s">
        <v>40</v>
      </c>
      <c r="AI2" t="str">
        <f>IF(Cdacdata[ccat_rank]&lt;=100,"Top 100",
IF(Cdacdata[ccat_rank]&lt;=500,"101–500",
IF(Cdacdata[ccat_rank]&lt;=1000,"501–1000",
"1000+")))</f>
        <v>1000+</v>
      </c>
    </row>
    <row r="3" spans="1:35" x14ac:dyDescent="0.3">
      <c r="A3" s="1" t="s">
        <v>25</v>
      </c>
      <c r="B3">
        <v>230703378</v>
      </c>
      <c r="C3" s="2">
        <v>45174</v>
      </c>
      <c r="D3" s="2" t="s">
        <v>376</v>
      </c>
      <c r="E3">
        <v>1373</v>
      </c>
      <c r="F3" s="2">
        <v>36616</v>
      </c>
      <c r="G3">
        <v>72.2</v>
      </c>
      <c r="H3">
        <v>71</v>
      </c>
      <c r="I3" t="s">
        <v>26</v>
      </c>
      <c r="J3">
        <v>71.8</v>
      </c>
      <c r="K3" s="3">
        <f t="shared" si="0"/>
        <v>71.666666666666671</v>
      </c>
      <c r="L3" t="s">
        <v>27</v>
      </c>
      <c r="M3" t="s">
        <v>41</v>
      </c>
      <c r="N3">
        <v>23</v>
      </c>
      <c r="O3" t="s">
        <v>28</v>
      </c>
      <c r="P3" t="s">
        <v>42</v>
      </c>
      <c r="Q3" t="s">
        <v>43</v>
      </c>
      <c r="R3">
        <v>446</v>
      </c>
      <c r="S3">
        <v>55.75</v>
      </c>
      <c r="T3" t="s">
        <v>31</v>
      </c>
      <c r="U3" t="s">
        <v>32</v>
      </c>
      <c r="V3" t="s">
        <v>31</v>
      </c>
      <c r="W3" t="s">
        <v>33</v>
      </c>
      <c r="X3" t="s">
        <v>34</v>
      </c>
      <c r="Y3" t="s">
        <v>35</v>
      </c>
      <c r="Z3" t="s">
        <v>44</v>
      </c>
      <c r="AA3" t="s">
        <v>45</v>
      </c>
      <c r="AB3" t="s">
        <v>46</v>
      </c>
      <c r="AC3">
        <f>IF(Cdacdata[[#This Row],[placement_status]]="Placed",1,0)</f>
        <v>1</v>
      </c>
      <c r="AD3" t="s">
        <v>37</v>
      </c>
      <c r="AE3" t="s">
        <v>47</v>
      </c>
      <c r="AF3" t="s">
        <v>39</v>
      </c>
      <c r="AG3">
        <v>2023</v>
      </c>
      <c r="AH3" t="s">
        <v>40</v>
      </c>
      <c r="AI3" t="str">
        <f>IF(Cdacdata[ccat_rank]&lt;=100,"Top 100",
IF(Cdacdata[ccat_rank]&lt;=500,"101–500",
IF(Cdacdata[ccat_rank]&lt;=1000,"501–1000",
"1000+")))</f>
        <v>1000+</v>
      </c>
    </row>
    <row r="4" spans="1:35" x14ac:dyDescent="0.3">
      <c r="A4" s="1" t="s">
        <v>25</v>
      </c>
      <c r="B4">
        <v>230600143</v>
      </c>
      <c r="C4" s="2">
        <v>45171</v>
      </c>
      <c r="D4" s="2" t="s">
        <v>377</v>
      </c>
      <c r="E4">
        <v>1920</v>
      </c>
      <c r="F4" s="2">
        <v>36593</v>
      </c>
      <c r="G4">
        <v>86</v>
      </c>
      <c r="H4">
        <v>68</v>
      </c>
      <c r="I4" t="s">
        <v>26</v>
      </c>
      <c r="J4">
        <v>81.790000000000006</v>
      </c>
      <c r="K4" s="3">
        <f t="shared" si="0"/>
        <v>78.596666666666678</v>
      </c>
      <c r="L4" t="s">
        <v>27</v>
      </c>
      <c r="M4" t="s">
        <v>27</v>
      </c>
      <c r="N4">
        <v>23</v>
      </c>
      <c r="O4" t="s">
        <v>48</v>
      </c>
      <c r="P4" t="s">
        <v>42</v>
      </c>
      <c r="Q4" t="s">
        <v>30</v>
      </c>
      <c r="R4">
        <v>521</v>
      </c>
      <c r="S4">
        <v>65.125</v>
      </c>
      <c r="T4" t="s">
        <v>49</v>
      </c>
      <c r="U4" t="s">
        <v>32</v>
      </c>
      <c r="V4" t="s">
        <v>49</v>
      </c>
      <c r="W4" t="s">
        <v>49</v>
      </c>
      <c r="X4" t="s">
        <v>34</v>
      </c>
      <c r="Y4" t="s">
        <v>50</v>
      </c>
      <c r="Z4" t="s">
        <v>44</v>
      </c>
      <c r="AA4" t="s">
        <v>51</v>
      </c>
      <c r="AB4" t="s">
        <v>46</v>
      </c>
      <c r="AC4">
        <f>IF(Cdacdata[[#This Row],[placement_status]]="Placed",1,0)</f>
        <v>1</v>
      </c>
      <c r="AD4" t="s">
        <v>37</v>
      </c>
      <c r="AE4" t="s">
        <v>47</v>
      </c>
      <c r="AF4" t="s">
        <v>39</v>
      </c>
      <c r="AG4">
        <v>2023</v>
      </c>
      <c r="AH4" t="s">
        <v>40</v>
      </c>
      <c r="AI4" t="str">
        <f>IF(Cdacdata[ccat_rank]&lt;=100,"Top 100",
IF(Cdacdata[ccat_rank]&lt;=500,"101–500",
IF(Cdacdata[ccat_rank]&lt;=1000,"501–1000",
"1000+")))</f>
        <v>1000+</v>
      </c>
    </row>
    <row r="5" spans="1:35" x14ac:dyDescent="0.3">
      <c r="A5" s="1" t="s">
        <v>25</v>
      </c>
      <c r="B5">
        <v>230601104</v>
      </c>
      <c r="C5" s="2">
        <v>45163</v>
      </c>
      <c r="D5" s="2" t="s">
        <v>378</v>
      </c>
      <c r="E5">
        <v>1587</v>
      </c>
      <c r="F5" s="2">
        <v>34893</v>
      </c>
      <c r="G5">
        <v>74.099999999999994</v>
      </c>
      <c r="H5">
        <v>62.8</v>
      </c>
      <c r="I5" t="s">
        <v>26</v>
      </c>
      <c r="J5">
        <v>64.66</v>
      </c>
      <c r="K5" s="3">
        <f t="shared" si="0"/>
        <v>67.186666666666653</v>
      </c>
      <c r="L5" t="s">
        <v>27</v>
      </c>
      <c r="M5" t="s">
        <v>27</v>
      </c>
      <c r="N5">
        <v>28</v>
      </c>
      <c r="O5" t="s">
        <v>28</v>
      </c>
      <c r="P5" t="s">
        <v>52</v>
      </c>
      <c r="Q5" t="s">
        <v>30</v>
      </c>
      <c r="R5">
        <v>542</v>
      </c>
      <c r="S5">
        <v>67.75</v>
      </c>
      <c r="T5" t="s">
        <v>49</v>
      </c>
      <c r="U5" t="s">
        <v>32</v>
      </c>
      <c r="V5" t="s">
        <v>49</v>
      </c>
      <c r="W5" t="s">
        <v>33</v>
      </c>
      <c r="X5" t="s">
        <v>34</v>
      </c>
      <c r="Y5" t="s">
        <v>50</v>
      </c>
      <c r="Z5" t="s">
        <v>53</v>
      </c>
      <c r="AA5" t="s">
        <v>54</v>
      </c>
      <c r="AB5" t="s">
        <v>46</v>
      </c>
      <c r="AC5">
        <f>IF(Cdacdata[[#This Row],[placement_status]]="Placed",1,0)</f>
        <v>1</v>
      </c>
      <c r="AD5" t="s">
        <v>37</v>
      </c>
      <c r="AE5" t="s">
        <v>47</v>
      </c>
      <c r="AF5" t="s">
        <v>55</v>
      </c>
      <c r="AG5">
        <v>2023</v>
      </c>
      <c r="AH5" t="s">
        <v>40</v>
      </c>
      <c r="AI5" t="str">
        <f>IF(Cdacdata[ccat_rank]&lt;=100,"Top 100",
IF(Cdacdata[ccat_rank]&lt;=500,"101–500",
IF(Cdacdata[ccat_rank]&lt;=1000,"501–1000",
"1000+")))</f>
        <v>1000+</v>
      </c>
    </row>
    <row r="6" spans="1:35" x14ac:dyDescent="0.3">
      <c r="A6" s="1" t="s">
        <v>25</v>
      </c>
      <c r="B6">
        <v>230600607</v>
      </c>
      <c r="C6" s="2">
        <v>45175</v>
      </c>
      <c r="D6" s="2" t="s">
        <v>379</v>
      </c>
      <c r="E6">
        <v>1442</v>
      </c>
      <c r="F6" s="2">
        <v>36872</v>
      </c>
      <c r="G6">
        <v>89.6</v>
      </c>
      <c r="H6">
        <v>78.77</v>
      </c>
      <c r="I6" t="s">
        <v>26</v>
      </c>
      <c r="J6">
        <v>78.37</v>
      </c>
      <c r="K6" s="3">
        <f t="shared" si="0"/>
        <v>82.24666666666667</v>
      </c>
      <c r="L6" t="s">
        <v>27</v>
      </c>
      <c r="M6" t="s">
        <v>41</v>
      </c>
      <c r="N6">
        <v>22</v>
      </c>
      <c r="O6" t="s">
        <v>48</v>
      </c>
      <c r="P6" t="s">
        <v>56</v>
      </c>
      <c r="Q6" t="s">
        <v>30</v>
      </c>
      <c r="R6">
        <v>453</v>
      </c>
      <c r="S6">
        <v>56.625</v>
      </c>
      <c r="T6" t="s">
        <v>31</v>
      </c>
      <c r="U6" t="s">
        <v>32</v>
      </c>
      <c r="V6" t="s">
        <v>31</v>
      </c>
      <c r="W6" t="s">
        <v>33</v>
      </c>
      <c r="X6" t="s">
        <v>34</v>
      </c>
      <c r="Y6" t="s">
        <v>35</v>
      </c>
      <c r="Z6" t="s">
        <v>36</v>
      </c>
      <c r="AA6" t="s">
        <v>1268</v>
      </c>
      <c r="AB6" t="s">
        <v>36</v>
      </c>
      <c r="AC6">
        <f>IF(Cdacdata[[#This Row],[placement_status]]="Placed",1,0)</f>
        <v>0</v>
      </c>
      <c r="AD6" t="s">
        <v>37</v>
      </c>
      <c r="AE6" t="s">
        <v>47</v>
      </c>
      <c r="AF6" t="s">
        <v>57</v>
      </c>
      <c r="AG6">
        <v>2023</v>
      </c>
      <c r="AH6" t="s">
        <v>40</v>
      </c>
      <c r="AI6" t="str">
        <f>IF(Cdacdata[ccat_rank]&lt;=100,"Top 100",
IF(Cdacdata[ccat_rank]&lt;=500,"101–500",
IF(Cdacdata[ccat_rank]&lt;=1000,"501–1000",
"1000+")))</f>
        <v>1000+</v>
      </c>
    </row>
    <row r="7" spans="1:35" x14ac:dyDescent="0.3">
      <c r="A7" s="1" t="s">
        <v>25</v>
      </c>
      <c r="B7">
        <v>230603611</v>
      </c>
      <c r="C7" s="2">
        <v>45165</v>
      </c>
      <c r="D7" s="2" t="s">
        <v>380</v>
      </c>
      <c r="E7">
        <v>1869</v>
      </c>
      <c r="F7" s="2">
        <v>37151</v>
      </c>
      <c r="G7">
        <v>88.2</v>
      </c>
      <c r="H7">
        <v>77.56</v>
      </c>
      <c r="I7" t="s">
        <v>26</v>
      </c>
      <c r="J7">
        <v>77.599999999999994</v>
      </c>
      <c r="K7" s="3">
        <f t="shared" si="0"/>
        <v>81.11999999999999</v>
      </c>
      <c r="L7" t="s">
        <v>27</v>
      </c>
      <c r="M7" t="s">
        <v>27</v>
      </c>
      <c r="N7">
        <v>21</v>
      </c>
      <c r="O7" t="s">
        <v>48</v>
      </c>
      <c r="P7" t="s">
        <v>56</v>
      </c>
      <c r="Q7" t="s">
        <v>30</v>
      </c>
      <c r="R7">
        <v>592</v>
      </c>
      <c r="S7">
        <v>74</v>
      </c>
      <c r="T7" t="s">
        <v>49</v>
      </c>
      <c r="U7" t="s">
        <v>32</v>
      </c>
      <c r="V7" t="s">
        <v>49</v>
      </c>
      <c r="W7" t="s">
        <v>49</v>
      </c>
      <c r="X7" t="s">
        <v>34</v>
      </c>
      <c r="Y7" t="s">
        <v>58</v>
      </c>
      <c r="Z7" t="s">
        <v>44</v>
      </c>
      <c r="AA7" t="s">
        <v>59</v>
      </c>
      <c r="AB7" t="s">
        <v>46</v>
      </c>
      <c r="AC7">
        <f>IF(Cdacdata[[#This Row],[placement_status]]="Placed",1,0)</f>
        <v>1</v>
      </c>
      <c r="AD7" t="s">
        <v>37</v>
      </c>
      <c r="AE7" t="s">
        <v>47</v>
      </c>
      <c r="AF7" t="s">
        <v>57</v>
      </c>
      <c r="AG7">
        <v>2023</v>
      </c>
      <c r="AH7" t="s">
        <v>40</v>
      </c>
      <c r="AI7" t="str">
        <f>IF(Cdacdata[ccat_rank]&lt;=100,"Top 100",
IF(Cdacdata[ccat_rank]&lt;=500,"101–500",
IF(Cdacdata[ccat_rank]&lt;=1000,"501–1000",
"1000+")))</f>
        <v>1000+</v>
      </c>
    </row>
    <row r="8" spans="1:35" x14ac:dyDescent="0.3">
      <c r="A8" s="1" t="s">
        <v>25</v>
      </c>
      <c r="B8">
        <v>230605516</v>
      </c>
      <c r="C8" s="2">
        <v>45174</v>
      </c>
      <c r="D8" s="2" t="s">
        <v>381</v>
      </c>
      <c r="E8">
        <v>1755</v>
      </c>
      <c r="F8" s="2">
        <v>35465</v>
      </c>
      <c r="G8">
        <v>79.819999999999993</v>
      </c>
      <c r="H8">
        <v>66.62</v>
      </c>
      <c r="I8" t="s">
        <v>26</v>
      </c>
      <c r="J8">
        <v>76.099999999999994</v>
      </c>
      <c r="K8" s="3">
        <f t="shared" si="0"/>
        <v>74.179999999999993</v>
      </c>
      <c r="L8" t="s">
        <v>27</v>
      </c>
      <c r="M8" t="s">
        <v>41</v>
      </c>
      <c r="N8">
        <v>26</v>
      </c>
      <c r="O8" t="s">
        <v>48</v>
      </c>
      <c r="P8" t="s">
        <v>42</v>
      </c>
      <c r="Q8" t="s">
        <v>30</v>
      </c>
      <c r="R8">
        <v>474</v>
      </c>
      <c r="S8">
        <v>59.25</v>
      </c>
      <c r="T8" t="s">
        <v>31</v>
      </c>
      <c r="U8" t="s">
        <v>32</v>
      </c>
      <c r="V8" t="s">
        <v>31</v>
      </c>
      <c r="W8" t="s">
        <v>33</v>
      </c>
      <c r="X8" t="s">
        <v>34</v>
      </c>
      <c r="Y8" t="s">
        <v>35</v>
      </c>
      <c r="Z8" t="s">
        <v>44</v>
      </c>
      <c r="AA8" t="s">
        <v>51</v>
      </c>
      <c r="AB8" t="s">
        <v>46</v>
      </c>
      <c r="AC8">
        <f>IF(Cdacdata[[#This Row],[placement_status]]="Placed",1,0)</f>
        <v>1</v>
      </c>
      <c r="AD8" t="s">
        <v>37</v>
      </c>
      <c r="AE8" t="s">
        <v>47</v>
      </c>
      <c r="AF8" t="s">
        <v>55</v>
      </c>
      <c r="AG8">
        <v>2023</v>
      </c>
      <c r="AH8" t="s">
        <v>40</v>
      </c>
      <c r="AI8" t="str">
        <f>IF(Cdacdata[ccat_rank]&lt;=100,"Top 100",
IF(Cdacdata[ccat_rank]&lt;=500,"101–500",
IF(Cdacdata[ccat_rank]&lt;=1000,"501–1000",
"1000+")))</f>
        <v>1000+</v>
      </c>
    </row>
    <row r="9" spans="1:35" x14ac:dyDescent="0.3">
      <c r="A9" s="1" t="s">
        <v>25</v>
      </c>
      <c r="B9">
        <v>230701140</v>
      </c>
      <c r="C9" s="2">
        <v>45175</v>
      </c>
      <c r="D9" s="2" t="s">
        <v>382</v>
      </c>
      <c r="E9">
        <v>1201</v>
      </c>
      <c r="F9" s="2">
        <v>36992</v>
      </c>
      <c r="G9">
        <v>90.4</v>
      </c>
      <c r="H9" t="s">
        <v>26</v>
      </c>
      <c r="I9">
        <v>83.12</v>
      </c>
      <c r="J9">
        <v>77.44</v>
      </c>
      <c r="K9" s="3">
        <f t="shared" si="0"/>
        <v>83.653333333333336</v>
      </c>
      <c r="L9" t="s">
        <v>27</v>
      </c>
      <c r="M9" t="s">
        <v>41</v>
      </c>
      <c r="N9">
        <v>22</v>
      </c>
      <c r="O9" t="s">
        <v>48</v>
      </c>
      <c r="P9" t="s">
        <v>60</v>
      </c>
      <c r="Q9" t="s">
        <v>30</v>
      </c>
      <c r="R9">
        <v>610</v>
      </c>
      <c r="S9">
        <v>76.25</v>
      </c>
      <c r="T9" t="s">
        <v>49</v>
      </c>
      <c r="U9" t="s">
        <v>32</v>
      </c>
      <c r="V9" t="s">
        <v>49</v>
      </c>
      <c r="W9" t="s">
        <v>49</v>
      </c>
      <c r="X9" t="s">
        <v>34</v>
      </c>
      <c r="Y9" t="s">
        <v>58</v>
      </c>
      <c r="Z9" t="s">
        <v>44</v>
      </c>
      <c r="AA9" t="s">
        <v>61</v>
      </c>
      <c r="AB9" t="s">
        <v>46</v>
      </c>
      <c r="AC9">
        <f>IF(Cdacdata[[#This Row],[placement_status]]="Placed",1,0)</f>
        <v>1</v>
      </c>
      <c r="AD9" t="s">
        <v>37</v>
      </c>
      <c r="AE9" t="s">
        <v>47</v>
      </c>
      <c r="AF9" t="s">
        <v>57</v>
      </c>
      <c r="AG9">
        <v>2023</v>
      </c>
      <c r="AH9" t="s">
        <v>40</v>
      </c>
      <c r="AI9" t="str">
        <f>IF(Cdacdata[ccat_rank]&lt;=100,"Top 100",
IF(Cdacdata[ccat_rank]&lt;=500,"101–500",
IF(Cdacdata[ccat_rank]&lt;=1000,"501–1000",
"1000+")))</f>
        <v>1000+</v>
      </c>
    </row>
    <row r="10" spans="1:35" x14ac:dyDescent="0.3">
      <c r="A10" s="1" t="s">
        <v>25</v>
      </c>
      <c r="B10">
        <v>230602933</v>
      </c>
      <c r="C10" s="2">
        <v>45168</v>
      </c>
      <c r="D10" s="2" t="s">
        <v>383</v>
      </c>
      <c r="E10">
        <v>1975</v>
      </c>
      <c r="F10" s="2">
        <v>36895</v>
      </c>
      <c r="G10">
        <v>87.8</v>
      </c>
      <c r="H10">
        <v>82.62</v>
      </c>
      <c r="I10" t="s">
        <v>26</v>
      </c>
      <c r="J10">
        <v>74.900000000000006</v>
      </c>
      <c r="K10" s="3">
        <f t="shared" si="0"/>
        <v>81.773333333333341</v>
      </c>
      <c r="L10" t="s">
        <v>27</v>
      </c>
      <c r="M10" t="s">
        <v>27</v>
      </c>
      <c r="N10">
        <v>22</v>
      </c>
      <c r="O10" t="s">
        <v>62</v>
      </c>
      <c r="P10" t="s">
        <v>60</v>
      </c>
      <c r="Q10" t="s">
        <v>43</v>
      </c>
      <c r="R10">
        <v>432</v>
      </c>
      <c r="S10">
        <v>54</v>
      </c>
      <c r="T10" t="s">
        <v>33</v>
      </c>
      <c r="U10" t="s">
        <v>32</v>
      </c>
      <c r="V10" t="s">
        <v>33</v>
      </c>
      <c r="W10" t="s">
        <v>33</v>
      </c>
      <c r="X10" t="s">
        <v>34</v>
      </c>
      <c r="Y10" t="s">
        <v>35</v>
      </c>
      <c r="Z10" t="s">
        <v>36</v>
      </c>
      <c r="AA10" t="s">
        <v>1268</v>
      </c>
      <c r="AB10" t="s">
        <v>36</v>
      </c>
      <c r="AC10">
        <f>IF(Cdacdata[[#This Row],[placement_status]]="Placed",1,0)</f>
        <v>0</v>
      </c>
      <c r="AD10" t="s">
        <v>37</v>
      </c>
      <c r="AE10" t="s">
        <v>47</v>
      </c>
      <c r="AF10" t="s">
        <v>57</v>
      </c>
      <c r="AG10">
        <v>2023</v>
      </c>
      <c r="AH10" t="s">
        <v>40</v>
      </c>
      <c r="AI10" t="str">
        <f>IF(Cdacdata[ccat_rank]&lt;=100,"Top 100",
IF(Cdacdata[ccat_rank]&lt;=500,"101–500",
IF(Cdacdata[ccat_rank]&lt;=1000,"501–1000",
"1000+")))</f>
        <v>1000+</v>
      </c>
    </row>
    <row r="11" spans="1:35" x14ac:dyDescent="0.3">
      <c r="A11" s="1" t="s">
        <v>25</v>
      </c>
      <c r="B11">
        <v>230603601</v>
      </c>
      <c r="C11" s="2">
        <v>45168</v>
      </c>
      <c r="D11" s="2" t="s">
        <v>384</v>
      </c>
      <c r="E11">
        <v>1840</v>
      </c>
      <c r="F11" s="2">
        <v>37015</v>
      </c>
      <c r="G11">
        <v>87</v>
      </c>
      <c r="H11">
        <v>61.69</v>
      </c>
      <c r="I11" t="s">
        <v>26</v>
      </c>
      <c r="J11">
        <v>87.19</v>
      </c>
      <c r="K11" s="3">
        <f t="shared" si="0"/>
        <v>78.626666666666665</v>
      </c>
      <c r="L11" t="s">
        <v>27</v>
      </c>
      <c r="M11" t="s">
        <v>27</v>
      </c>
      <c r="N11">
        <v>22</v>
      </c>
      <c r="O11" t="s">
        <v>48</v>
      </c>
      <c r="P11" t="s">
        <v>60</v>
      </c>
      <c r="Q11" t="s">
        <v>30</v>
      </c>
      <c r="R11">
        <v>623</v>
      </c>
      <c r="S11">
        <v>77.875</v>
      </c>
      <c r="T11" t="s">
        <v>33</v>
      </c>
      <c r="U11" t="s">
        <v>32</v>
      </c>
      <c r="V11" t="s">
        <v>33</v>
      </c>
      <c r="W11" t="s">
        <v>49</v>
      </c>
      <c r="X11" t="s">
        <v>34</v>
      </c>
      <c r="Y11" t="s">
        <v>58</v>
      </c>
      <c r="Z11" t="s">
        <v>44</v>
      </c>
      <c r="AA11" t="s">
        <v>59</v>
      </c>
      <c r="AB11" t="s">
        <v>46</v>
      </c>
      <c r="AC11">
        <f>IF(Cdacdata[[#This Row],[placement_status]]="Placed",1,0)</f>
        <v>1</v>
      </c>
      <c r="AD11" t="s">
        <v>37</v>
      </c>
      <c r="AE11" t="s">
        <v>47</v>
      </c>
      <c r="AF11" t="s">
        <v>57</v>
      </c>
      <c r="AG11">
        <v>2023</v>
      </c>
      <c r="AH11" t="s">
        <v>40</v>
      </c>
      <c r="AI11" t="str">
        <f>IF(Cdacdata[ccat_rank]&lt;=100,"Top 100",
IF(Cdacdata[ccat_rank]&lt;=500,"101–500",
IF(Cdacdata[ccat_rank]&lt;=1000,"501–1000",
"1000+")))</f>
        <v>1000+</v>
      </c>
    </row>
    <row r="12" spans="1:35" x14ac:dyDescent="0.3">
      <c r="A12" s="1" t="s">
        <v>25</v>
      </c>
      <c r="B12">
        <v>230704721</v>
      </c>
      <c r="C12" s="2">
        <v>45174</v>
      </c>
      <c r="D12" s="2" t="s">
        <v>385</v>
      </c>
      <c r="E12">
        <v>1965</v>
      </c>
      <c r="F12" s="2">
        <v>37353</v>
      </c>
      <c r="G12">
        <v>93.6</v>
      </c>
      <c r="H12">
        <v>78.31</v>
      </c>
      <c r="I12" t="s">
        <v>26</v>
      </c>
      <c r="J12">
        <v>67</v>
      </c>
      <c r="K12" s="3">
        <f t="shared" si="0"/>
        <v>79.63666666666667</v>
      </c>
      <c r="L12" t="s">
        <v>27</v>
      </c>
      <c r="M12" t="s">
        <v>27</v>
      </c>
      <c r="N12">
        <v>21</v>
      </c>
      <c r="O12" t="s">
        <v>28</v>
      </c>
      <c r="P12" t="s">
        <v>56</v>
      </c>
      <c r="Q12" t="s">
        <v>43</v>
      </c>
      <c r="R12">
        <v>436</v>
      </c>
      <c r="S12">
        <v>54.5</v>
      </c>
      <c r="T12" t="s">
        <v>33</v>
      </c>
      <c r="U12" t="s">
        <v>32</v>
      </c>
      <c r="V12" t="s">
        <v>33</v>
      </c>
      <c r="W12" t="s">
        <v>31</v>
      </c>
      <c r="X12" t="s">
        <v>34</v>
      </c>
      <c r="Y12" t="s">
        <v>35</v>
      </c>
      <c r="Z12" t="s">
        <v>53</v>
      </c>
      <c r="AA12" t="s">
        <v>54</v>
      </c>
      <c r="AB12" t="s">
        <v>46</v>
      </c>
      <c r="AC12">
        <f>IF(Cdacdata[[#This Row],[placement_status]]="Placed",1,0)</f>
        <v>1</v>
      </c>
      <c r="AD12" t="s">
        <v>37</v>
      </c>
      <c r="AE12" t="s">
        <v>47</v>
      </c>
      <c r="AF12" t="s">
        <v>57</v>
      </c>
      <c r="AG12">
        <v>2023</v>
      </c>
      <c r="AH12" t="s">
        <v>40</v>
      </c>
      <c r="AI12" t="str">
        <f>IF(Cdacdata[ccat_rank]&lt;=100,"Top 100",
IF(Cdacdata[ccat_rank]&lt;=500,"101–500",
IF(Cdacdata[ccat_rank]&lt;=1000,"501–1000",
"1000+")))</f>
        <v>1000+</v>
      </c>
    </row>
    <row r="13" spans="1:35" x14ac:dyDescent="0.3">
      <c r="A13" s="1" t="s">
        <v>25</v>
      </c>
      <c r="B13">
        <v>230600610</v>
      </c>
      <c r="C13" s="2"/>
      <c r="D13" s="2"/>
      <c r="E13" t="s">
        <v>63</v>
      </c>
      <c r="G13">
        <v>0</v>
      </c>
      <c r="H13">
        <v>0</v>
      </c>
      <c r="I13">
        <v>0</v>
      </c>
      <c r="J13">
        <v>0</v>
      </c>
      <c r="K13" s="3">
        <f t="shared" si="0"/>
        <v>0</v>
      </c>
      <c r="L13" t="s">
        <v>27</v>
      </c>
      <c r="M13" t="s">
        <v>27</v>
      </c>
      <c r="N13">
        <v>23</v>
      </c>
      <c r="O13" t="s">
        <v>373</v>
      </c>
      <c r="P13" t="s">
        <v>26</v>
      </c>
      <c r="Q13" t="s">
        <v>374</v>
      </c>
      <c r="R13">
        <v>319</v>
      </c>
      <c r="S13">
        <v>39.875</v>
      </c>
      <c r="T13" t="s">
        <v>31</v>
      </c>
      <c r="U13" t="s">
        <v>64</v>
      </c>
      <c r="V13" t="s">
        <v>31</v>
      </c>
      <c r="W13" t="s">
        <v>31</v>
      </c>
      <c r="X13" t="s">
        <v>34</v>
      </c>
      <c r="Y13" t="s">
        <v>64</v>
      </c>
      <c r="Z13" t="s">
        <v>36</v>
      </c>
      <c r="AA13" t="s">
        <v>1268</v>
      </c>
      <c r="AB13" t="s">
        <v>36</v>
      </c>
      <c r="AC13">
        <f>IF(Cdacdata[[#This Row],[placement_status]]="Placed",1,0)</f>
        <v>0</v>
      </c>
      <c r="AD13" t="s">
        <v>37</v>
      </c>
      <c r="AE13" t="s">
        <v>63</v>
      </c>
      <c r="AF13" t="s">
        <v>63</v>
      </c>
      <c r="AG13">
        <v>2023</v>
      </c>
      <c r="AH13" t="s">
        <v>40</v>
      </c>
      <c r="AI13" t="str">
        <f>IF(Cdacdata[ccat_rank]&lt;=100,"Top 100",
IF(Cdacdata[ccat_rank]&lt;=500,"101–500",
IF(Cdacdata[ccat_rank]&lt;=1000,"501–1000",
"1000+")))</f>
        <v>1000+</v>
      </c>
    </row>
    <row r="14" spans="1:35" x14ac:dyDescent="0.3">
      <c r="A14" s="1" t="s">
        <v>25</v>
      </c>
      <c r="B14">
        <v>230601565</v>
      </c>
      <c r="C14" s="2">
        <v>45175</v>
      </c>
      <c r="D14" s="2" t="s">
        <v>386</v>
      </c>
      <c r="E14">
        <v>1780</v>
      </c>
      <c r="F14" s="2">
        <v>36963</v>
      </c>
      <c r="G14">
        <v>93.4</v>
      </c>
      <c r="H14">
        <v>68.62</v>
      </c>
      <c r="I14" t="s">
        <v>26</v>
      </c>
      <c r="J14">
        <v>75.8</v>
      </c>
      <c r="K14" s="3">
        <f t="shared" si="0"/>
        <v>79.273333333333326</v>
      </c>
      <c r="L14" t="s">
        <v>27</v>
      </c>
      <c r="M14" t="s">
        <v>41</v>
      </c>
      <c r="N14">
        <v>22</v>
      </c>
      <c r="O14" t="s">
        <v>48</v>
      </c>
      <c r="P14" t="s">
        <v>65</v>
      </c>
      <c r="Q14" t="s">
        <v>30</v>
      </c>
      <c r="R14">
        <v>573</v>
      </c>
      <c r="S14">
        <v>71.625</v>
      </c>
      <c r="T14" t="s">
        <v>33</v>
      </c>
      <c r="U14" t="s">
        <v>32</v>
      </c>
      <c r="V14" t="s">
        <v>33</v>
      </c>
      <c r="W14" t="s">
        <v>49</v>
      </c>
      <c r="X14" t="s">
        <v>34</v>
      </c>
      <c r="Y14" t="s">
        <v>58</v>
      </c>
      <c r="Z14" t="s">
        <v>44</v>
      </c>
      <c r="AA14" t="s">
        <v>59</v>
      </c>
      <c r="AB14" t="s">
        <v>46</v>
      </c>
      <c r="AC14">
        <f>IF(Cdacdata[[#This Row],[placement_status]]="Placed",1,0)</f>
        <v>1</v>
      </c>
      <c r="AD14" t="s">
        <v>37</v>
      </c>
      <c r="AE14" t="s">
        <v>47</v>
      </c>
      <c r="AF14" t="s">
        <v>57</v>
      </c>
      <c r="AG14">
        <v>2023</v>
      </c>
      <c r="AH14" t="s">
        <v>40</v>
      </c>
      <c r="AI14" t="str">
        <f>IF(Cdacdata[ccat_rank]&lt;=100,"Top 100",
IF(Cdacdata[ccat_rank]&lt;=500,"101–500",
IF(Cdacdata[ccat_rank]&lt;=1000,"501–1000",
"1000+")))</f>
        <v>1000+</v>
      </c>
    </row>
    <row r="15" spans="1:35" x14ac:dyDescent="0.3">
      <c r="A15" s="1" t="s">
        <v>25</v>
      </c>
      <c r="B15">
        <v>230600116</v>
      </c>
      <c r="C15" s="2">
        <v>45169</v>
      </c>
      <c r="D15" s="2" t="s">
        <v>387</v>
      </c>
      <c r="E15">
        <v>2016</v>
      </c>
      <c r="F15" s="2">
        <v>34595</v>
      </c>
      <c r="G15">
        <v>72</v>
      </c>
      <c r="H15">
        <v>65.400000000000006</v>
      </c>
      <c r="I15" t="s">
        <v>26</v>
      </c>
      <c r="J15">
        <v>70</v>
      </c>
      <c r="K15" s="3">
        <f t="shared" si="0"/>
        <v>69.13333333333334</v>
      </c>
      <c r="L15" t="s">
        <v>27</v>
      </c>
      <c r="M15" t="s">
        <v>41</v>
      </c>
      <c r="N15">
        <v>28</v>
      </c>
      <c r="O15" t="s">
        <v>28</v>
      </c>
      <c r="P15" t="s">
        <v>56</v>
      </c>
      <c r="Q15" t="s">
        <v>30</v>
      </c>
      <c r="R15">
        <v>465</v>
      </c>
      <c r="S15">
        <v>58.125</v>
      </c>
      <c r="T15" t="s">
        <v>31</v>
      </c>
      <c r="U15" t="s">
        <v>32</v>
      </c>
      <c r="V15" t="s">
        <v>31</v>
      </c>
      <c r="W15" t="s">
        <v>33</v>
      </c>
      <c r="X15" t="s">
        <v>34</v>
      </c>
      <c r="Y15" t="s">
        <v>35</v>
      </c>
      <c r="Z15" t="s">
        <v>36</v>
      </c>
      <c r="AA15" t="s">
        <v>1268</v>
      </c>
      <c r="AB15" t="s">
        <v>36</v>
      </c>
      <c r="AC15">
        <f>IF(Cdacdata[[#This Row],[placement_status]]="Placed",1,0)</f>
        <v>0</v>
      </c>
      <c r="AD15" t="s">
        <v>37</v>
      </c>
      <c r="AE15" t="s">
        <v>38</v>
      </c>
      <c r="AF15" t="s">
        <v>55</v>
      </c>
      <c r="AG15">
        <v>2023</v>
      </c>
      <c r="AH15" t="s">
        <v>40</v>
      </c>
      <c r="AI15" t="str">
        <f>IF(Cdacdata[ccat_rank]&lt;=100,"Top 100",
IF(Cdacdata[ccat_rank]&lt;=500,"101–500",
IF(Cdacdata[ccat_rank]&lt;=1000,"501–1000",
"1000+")))</f>
        <v>1000+</v>
      </c>
    </row>
    <row r="16" spans="1:35" x14ac:dyDescent="0.3">
      <c r="A16" s="1" t="s">
        <v>25</v>
      </c>
      <c r="B16">
        <v>230600595</v>
      </c>
      <c r="C16" s="2">
        <v>45170</v>
      </c>
      <c r="D16" s="2" t="s">
        <v>388</v>
      </c>
      <c r="E16">
        <v>1526</v>
      </c>
      <c r="F16" s="2">
        <v>36437</v>
      </c>
      <c r="G16">
        <v>83.4</v>
      </c>
      <c r="H16" t="s">
        <v>26</v>
      </c>
      <c r="I16">
        <v>82.06</v>
      </c>
      <c r="J16">
        <v>77.290000000000006</v>
      </c>
      <c r="K16" s="3">
        <f t="shared" si="0"/>
        <v>80.916666666666671</v>
      </c>
      <c r="L16" t="s">
        <v>27</v>
      </c>
      <c r="M16" t="s">
        <v>27</v>
      </c>
      <c r="N16">
        <v>23</v>
      </c>
      <c r="O16" t="s">
        <v>48</v>
      </c>
      <c r="P16" t="s">
        <v>60</v>
      </c>
      <c r="Q16" t="s">
        <v>30</v>
      </c>
      <c r="R16">
        <v>528</v>
      </c>
      <c r="S16">
        <v>66</v>
      </c>
      <c r="T16" t="s">
        <v>33</v>
      </c>
      <c r="U16" t="s">
        <v>32</v>
      </c>
      <c r="V16" t="s">
        <v>33</v>
      </c>
      <c r="W16" t="s">
        <v>49</v>
      </c>
      <c r="X16" t="s">
        <v>34</v>
      </c>
      <c r="Y16" t="s">
        <v>50</v>
      </c>
      <c r="Z16" t="s">
        <v>44</v>
      </c>
      <c r="AA16" t="s">
        <v>66</v>
      </c>
      <c r="AB16" t="s">
        <v>46</v>
      </c>
      <c r="AC16">
        <f>IF(Cdacdata[[#This Row],[placement_status]]="Placed",1,0)</f>
        <v>1</v>
      </c>
      <c r="AD16" t="s">
        <v>37</v>
      </c>
      <c r="AE16" t="s">
        <v>47</v>
      </c>
      <c r="AF16" t="s">
        <v>39</v>
      </c>
      <c r="AG16">
        <v>2023</v>
      </c>
      <c r="AH16" t="s">
        <v>40</v>
      </c>
      <c r="AI16" t="str">
        <f>IF(Cdacdata[ccat_rank]&lt;=100,"Top 100",
IF(Cdacdata[ccat_rank]&lt;=500,"101–500",
IF(Cdacdata[ccat_rank]&lt;=1000,"501–1000",
"1000+")))</f>
        <v>1000+</v>
      </c>
    </row>
    <row r="17" spans="1:35" x14ac:dyDescent="0.3">
      <c r="A17" s="1" t="s">
        <v>25</v>
      </c>
      <c r="B17">
        <v>230608745</v>
      </c>
      <c r="C17" s="2">
        <v>45164</v>
      </c>
      <c r="D17" s="2" t="s">
        <v>389</v>
      </c>
      <c r="E17">
        <v>1926</v>
      </c>
      <c r="F17" s="2">
        <v>36707</v>
      </c>
      <c r="G17">
        <v>86.8</v>
      </c>
      <c r="H17">
        <v>73.540000000000006</v>
      </c>
      <c r="I17" t="s">
        <v>26</v>
      </c>
      <c r="J17">
        <v>82.64</v>
      </c>
      <c r="K17" s="3">
        <f t="shared" si="0"/>
        <v>80.993333333333339</v>
      </c>
      <c r="L17" t="s">
        <v>27</v>
      </c>
      <c r="M17" t="s">
        <v>41</v>
      </c>
      <c r="N17">
        <v>23</v>
      </c>
      <c r="O17" t="s">
        <v>48</v>
      </c>
      <c r="P17" t="s">
        <v>60</v>
      </c>
      <c r="Q17" t="s">
        <v>30</v>
      </c>
      <c r="R17">
        <v>521</v>
      </c>
      <c r="S17">
        <v>65.125</v>
      </c>
      <c r="T17" t="s">
        <v>33</v>
      </c>
      <c r="U17" t="s">
        <v>32</v>
      </c>
      <c r="V17" t="s">
        <v>33</v>
      </c>
      <c r="W17" t="s">
        <v>33</v>
      </c>
      <c r="X17" t="s">
        <v>34</v>
      </c>
      <c r="Y17" t="s">
        <v>50</v>
      </c>
      <c r="Z17" t="s">
        <v>44</v>
      </c>
      <c r="AA17" t="s">
        <v>51</v>
      </c>
      <c r="AB17" t="s">
        <v>46</v>
      </c>
      <c r="AC17">
        <f>IF(Cdacdata[[#This Row],[placement_status]]="Placed",1,0)</f>
        <v>1</v>
      </c>
      <c r="AD17" t="s">
        <v>37</v>
      </c>
      <c r="AE17" t="s">
        <v>47</v>
      </c>
      <c r="AF17" t="s">
        <v>39</v>
      </c>
      <c r="AG17">
        <v>2023</v>
      </c>
      <c r="AH17" t="s">
        <v>40</v>
      </c>
      <c r="AI17" t="str">
        <f>IF(Cdacdata[ccat_rank]&lt;=100,"Top 100",
IF(Cdacdata[ccat_rank]&lt;=500,"101–500",
IF(Cdacdata[ccat_rank]&lt;=1000,"501–1000",
"1000+")))</f>
        <v>1000+</v>
      </c>
    </row>
    <row r="18" spans="1:35" x14ac:dyDescent="0.3">
      <c r="A18" s="1" t="s">
        <v>25</v>
      </c>
      <c r="B18">
        <v>230600326</v>
      </c>
      <c r="C18" s="2">
        <v>45163</v>
      </c>
      <c r="D18" s="2" t="s">
        <v>390</v>
      </c>
      <c r="E18">
        <v>1392</v>
      </c>
      <c r="F18" s="2">
        <v>35992</v>
      </c>
      <c r="G18">
        <v>84</v>
      </c>
      <c r="H18">
        <v>61.23</v>
      </c>
      <c r="I18" t="s">
        <v>26</v>
      </c>
      <c r="J18">
        <v>74.3</v>
      </c>
      <c r="K18" s="3">
        <f t="shared" si="0"/>
        <v>73.176666666666662</v>
      </c>
      <c r="L18" t="s">
        <v>27</v>
      </c>
      <c r="M18" t="s">
        <v>41</v>
      </c>
      <c r="N18">
        <v>25</v>
      </c>
      <c r="O18" t="s">
        <v>62</v>
      </c>
      <c r="P18" t="s">
        <v>60</v>
      </c>
      <c r="Q18" t="s">
        <v>30</v>
      </c>
      <c r="R18">
        <v>546</v>
      </c>
      <c r="S18">
        <v>68.25</v>
      </c>
      <c r="T18" t="s">
        <v>49</v>
      </c>
      <c r="U18" t="s">
        <v>32</v>
      </c>
      <c r="V18" t="s">
        <v>49</v>
      </c>
      <c r="W18" t="s">
        <v>33</v>
      </c>
      <c r="X18" t="s">
        <v>34</v>
      </c>
      <c r="Y18" t="s">
        <v>50</v>
      </c>
      <c r="Z18" t="s">
        <v>53</v>
      </c>
      <c r="AA18" t="s">
        <v>54</v>
      </c>
      <c r="AB18" t="s">
        <v>46</v>
      </c>
      <c r="AC18">
        <f>IF(Cdacdata[[#This Row],[placement_status]]="Placed",1,0)</f>
        <v>1</v>
      </c>
      <c r="AD18" t="s">
        <v>37</v>
      </c>
      <c r="AE18" t="s">
        <v>47</v>
      </c>
      <c r="AF18" t="s">
        <v>39</v>
      </c>
      <c r="AG18">
        <v>2023</v>
      </c>
      <c r="AH18" t="s">
        <v>40</v>
      </c>
      <c r="AI18" t="str">
        <f>IF(Cdacdata[ccat_rank]&lt;=100,"Top 100",
IF(Cdacdata[ccat_rank]&lt;=500,"101–500",
IF(Cdacdata[ccat_rank]&lt;=1000,"501–1000",
"1000+")))</f>
        <v>1000+</v>
      </c>
    </row>
    <row r="19" spans="1:35" x14ac:dyDescent="0.3">
      <c r="A19" s="1" t="s">
        <v>25</v>
      </c>
      <c r="B19">
        <v>230602177</v>
      </c>
      <c r="C19" s="2">
        <v>45175</v>
      </c>
      <c r="D19" s="2" t="s">
        <v>391</v>
      </c>
      <c r="E19">
        <v>1630</v>
      </c>
      <c r="F19" s="2">
        <v>31461</v>
      </c>
      <c r="G19">
        <v>62.2</v>
      </c>
      <c r="H19">
        <v>62.8</v>
      </c>
      <c r="I19" t="s">
        <v>26</v>
      </c>
      <c r="J19">
        <v>63.57</v>
      </c>
      <c r="K19" s="3">
        <f t="shared" si="0"/>
        <v>62.856666666666662</v>
      </c>
      <c r="L19" t="s">
        <v>41</v>
      </c>
      <c r="M19" t="s">
        <v>27</v>
      </c>
      <c r="N19">
        <v>37</v>
      </c>
      <c r="O19" t="s">
        <v>28</v>
      </c>
      <c r="P19" t="s">
        <v>26</v>
      </c>
      <c r="Q19" t="s">
        <v>67</v>
      </c>
      <c r="R19">
        <v>131</v>
      </c>
      <c r="S19">
        <v>16.375</v>
      </c>
      <c r="T19" t="s">
        <v>31</v>
      </c>
      <c r="U19" t="s">
        <v>64</v>
      </c>
      <c r="V19" t="s">
        <v>31</v>
      </c>
      <c r="W19" t="s">
        <v>68</v>
      </c>
      <c r="X19" t="s">
        <v>34</v>
      </c>
      <c r="Y19" t="s">
        <v>64</v>
      </c>
      <c r="Z19" t="s">
        <v>36</v>
      </c>
      <c r="AA19" t="s">
        <v>1268</v>
      </c>
      <c r="AB19" t="s">
        <v>36</v>
      </c>
      <c r="AC19">
        <f>IF(Cdacdata[[#This Row],[placement_status]]="Placed",1,0)</f>
        <v>0</v>
      </c>
      <c r="AD19" t="s">
        <v>37</v>
      </c>
      <c r="AE19" t="s">
        <v>47</v>
      </c>
      <c r="AF19" t="s">
        <v>69</v>
      </c>
      <c r="AG19">
        <v>2023</v>
      </c>
      <c r="AH19" t="s">
        <v>40</v>
      </c>
      <c r="AI19" t="str">
        <f>IF(Cdacdata[ccat_rank]&lt;=100,"Top 100",
IF(Cdacdata[ccat_rank]&lt;=500,"101–500",
IF(Cdacdata[ccat_rank]&lt;=1000,"501–1000",
"1000+")))</f>
        <v>1000+</v>
      </c>
    </row>
    <row r="20" spans="1:35" x14ac:dyDescent="0.3">
      <c r="A20" s="1" t="s">
        <v>25</v>
      </c>
      <c r="B20">
        <v>230610513</v>
      </c>
      <c r="C20" s="2">
        <v>45164</v>
      </c>
      <c r="D20" s="2" t="s">
        <v>392</v>
      </c>
      <c r="E20">
        <v>1783</v>
      </c>
      <c r="F20" s="2">
        <v>36967</v>
      </c>
      <c r="G20">
        <v>89.2</v>
      </c>
      <c r="H20">
        <v>77.38</v>
      </c>
      <c r="I20" t="s">
        <v>26</v>
      </c>
      <c r="J20">
        <v>78.95</v>
      </c>
      <c r="K20" s="3">
        <f t="shared" si="0"/>
        <v>81.84333333333332</v>
      </c>
      <c r="L20" t="s">
        <v>27</v>
      </c>
      <c r="M20" t="s">
        <v>27</v>
      </c>
      <c r="N20">
        <v>22</v>
      </c>
      <c r="O20" t="s">
        <v>48</v>
      </c>
      <c r="P20" t="s">
        <v>65</v>
      </c>
      <c r="Q20" t="s">
        <v>43</v>
      </c>
      <c r="R20">
        <v>442</v>
      </c>
      <c r="S20">
        <v>55.25</v>
      </c>
      <c r="T20" t="s">
        <v>49</v>
      </c>
      <c r="U20" t="s">
        <v>32</v>
      </c>
      <c r="V20" t="s">
        <v>49</v>
      </c>
      <c r="W20" t="s">
        <v>33</v>
      </c>
      <c r="X20" t="s">
        <v>34</v>
      </c>
      <c r="Y20" t="s">
        <v>35</v>
      </c>
      <c r="Z20" t="s">
        <v>53</v>
      </c>
      <c r="AA20" t="s">
        <v>54</v>
      </c>
      <c r="AB20" t="s">
        <v>46</v>
      </c>
      <c r="AC20">
        <f>IF(Cdacdata[[#This Row],[placement_status]]="Placed",1,0)</f>
        <v>1</v>
      </c>
      <c r="AD20" t="s">
        <v>37</v>
      </c>
      <c r="AE20" t="s">
        <v>47</v>
      </c>
      <c r="AF20" t="s">
        <v>57</v>
      </c>
      <c r="AG20">
        <v>2023</v>
      </c>
      <c r="AH20" t="s">
        <v>40</v>
      </c>
      <c r="AI20" t="str">
        <f>IF(Cdacdata[ccat_rank]&lt;=100,"Top 100",
IF(Cdacdata[ccat_rank]&lt;=500,"101–500",
IF(Cdacdata[ccat_rank]&lt;=1000,"501–1000",
"1000+")))</f>
        <v>1000+</v>
      </c>
    </row>
    <row r="21" spans="1:35" x14ac:dyDescent="0.3">
      <c r="A21" s="1" t="s">
        <v>25</v>
      </c>
      <c r="B21">
        <v>230702324</v>
      </c>
      <c r="C21" s="2">
        <v>45173</v>
      </c>
      <c r="D21" s="2" t="s">
        <v>393</v>
      </c>
      <c r="E21">
        <v>2105</v>
      </c>
      <c r="F21" s="2">
        <v>36638</v>
      </c>
      <c r="G21">
        <v>68.400000000000006</v>
      </c>
      <c r="H21">
        <v>54.46</v>
      </c>
      <c r="I21">
        <v>79.31</v>
      </c>
      <c r="J21">
        <v>69.73</v>
      </c>
      <c r="K21" s="3">
        <f t="shared" si="0"/>
        <v>67.975000000000009</v>
      </c>
      <c r="L21" t="s">
        <v>27</v>
      </c>
      <c r="M21" t="s">
        <v>27</v>
      </c>
      <c r="N21">
        <v>23</v>
      </c>
      <c r="O21" t="s">
        <v>28</v>
      </c>
      <c r="P21" t="s">
        <v>65</v>
      </c>
      <c r="Q21" t="s">
        <v>30</v>
      </c>
      <c r="R21">
        <v>494</v>
      </c>
      <c r="S21">
        <v>61.75</v>
      </c>
      <c r="T21" t="s">
        <v>49</v>
      </c>
      <c r="U21" t="s">
        <v>32</v>
      </c>
      <c r="V21" t="s">
        <v>49</v>
      </c>
      <c r="W21" t="s">
        <v>33</v>
      </c>
      <c r="X21" t="s">
        <v>34</v>
      </c>
      <c r="Y21" t="s">
        <v>50</v>
      </c>
      <c r="Z21" t="s">
        <v>44</v>
      </c>
      <c r="AA21" t="s">
        <v>51</v>
      </c>
      <c r="AB21" t="s">
        <v>46</v>
      </c>
      <c r="AC21">
        <f>IF(Cdacdata[[#This Row],[placement_status]]="Placed",1,0)</f>
        <v>1</v>
      </c>
      <c r="AD21" t="s">
        <v>37</v>
      </c>
      <c r="AE21" t="s">
        <v>38</v>
      </c>
      <c r="AF21" t="s">
        <v>39</v>
      </c>
      <c r="AG21">
        <v>2023</v>
      </c>
      <c r="AH21" t="s">
        <v>40</v>
      </c>
      <c r="AI21" t="str">
        <f>IF(Cdacdata[ccat_rank]&lt;=100,"Top 100",
IF(Cdacdata[ccat_rank]&lt;=500,"101–500",
IF(Cdacdata[ccat_rank]&lt;=1000,"501–1000",
"1000+")))</f>
        <v>1000+</v>
      </c>
    </row>
    <row r="22" spans="1:35" x14ac:dyDescent="0.3">
      <c r="A22" s="1" t="s">
        <v>25</v>
      </c>
      <c r="B22">
        <v>230605889</v>
      </c>
      <c r="C22" s="2">
        <v>45175</v>
      </c>
      <c r="D22" s="2" t="s">
        <v>394</v>
      </c>
      <c r="E22">
        <v>2120</v>
      </c>
      <c r="F22" s="2">
        <v>37055</v>
      </c>
      <c r="G22">
        <v>85.6</v>
      </c>
      <c r="H22">
        <v>64.62</v>
      </c>
      <c r="I22" t="s">
        <v>26</v>
      </c>
      <c r="J22">
        <v>76.67</v>
      </c>
      <c r="K22" s="3">
        <f t="shared" si="0"/>
        <v>75.63</v>
      </c>
      <c r="L22" t="s">
        <v>27</v>
      </c>
      <c r="M22" t="s">
        <v>27</v>
      </c>
      <c r="N22">
        <v>22</v>
      </c>
      <c r="O22" t="s">
        <v>48</v>
      </c>
      <c r="P22" t="s">
        <v>65</v>
      </c>
      <c r="Q22" t="s">
        <v>30</v>
      </c>
      <c r="R22">
        <v>559</v>
      </c>
      <c r="S22">
        <v>69.875</v>
      </c>
      <c r="T22" t="s">
        <v>33</v>
      </c>
      <c r="U22" t="s">
        <v>32</v>
      </c>
      <c r="V22" t="s">
        <v>33</v>
      </c>
      <c r="W22" t="s">
        <v>49</v>
      </c>
      <c r="X22" t="s">
        <v>34</v>
      </c>
      <c r="Y22" t="s">
        <v>50</v>
      </c>
      <c r="Z22" t="s">
        <v>44</v>
      </c>
      <c r="AA22" t="s">
        <v>70</v>
      </c>
      <c r="AB22" t="s">
        <v>46</v>
      </c>
      <c r="AC22">
        <f>IF(Cdacdata[[#This Row],[placement_status]]="Placed",1,0)</f>
        <v>1</v>
      </c>
      <c r="AD22" t="s">
        <v>37</v>
      </c>
      <c r="AE22" t="s">
        <v>38</v>
      </c>
      <c r="AF22" t="s">
        <v>57</v>
      </c>
      <c r="AG22">
        <v>2023</v>
      </c>
      <c r="AH22" t="s">
        <v>40</v>
      </c>
      <c r="AI22" t="str">
        <f>IF(Cdacdata[ccat_rank]&lt;=100,"Top 100",
IF(Cdacdata[ccat_rank]&lt;=500,"101–500",
IF(Cdacdata[ccat_rank]&lt;=1000,"501–1000",
"1000+")))</f>
        <v>1000+</v>
      </c>
    </row>
    <row r="23" spans="1:35" x14ac:dyDescent="0.3">
      <c r="A23" s="1" t="s">
        <v>25</v>
      </c>
      <c r="B23">
        <v>230700203</v>
      </c>
      <c r="C23" s="2">
        <v>45176</v>
      </c>
      <c r="D23" s="2" t="s">
        <v>395</v>
      </c>
      <c r="E23">
        <v>1893</v>
      </c>
      <c r="F23" s="2">
        <v>37296</v>
      </c>
      <c r="G23">
        <v>95.4</v>
      </c>
      <c r="H23">
        <v>69.08</v>
      </c>
      <c r="I23" t="s">
        <v>26</v>
      </c>
      <c r="J23">
        <v>81.099999999999994</v>
      </c>
      <c r="K23" s="3">
        <f t="shared" si="0"/>
        <v>81.86</v>
      </c>
      <c r="L23" t="s">
        <v>27</v>
      </c>
      <c r="M23" t="s">
        <v>27</v>
      </c>
      <c r="N23">
        <v>21</v>
      </c>
      <c r="O23" t="s">
        <v>48</v>
      </c>
      <c r="P23" t="s">
        <v>56</v>
      </c>
      <c r="Q23" t="s">
        <v>43</v>
      </c>
      <c r="R23">
        <v>619</v>
      </c>
      <c r="S23">
        <v>77.375</v>
      </c>
      <c r="T23" t="s">
        <v>33</v>
      </c>
      <c r="U23" t="s">
        <v>32</v>
      </c>
      <c r="V23" t="s">
        <v>33</v>
      </c>
      <c r="W23" t="s">
        <v>49</v>
      </c>
      <c r="X23" t="s">
        <v>34</v>
      </c>
      <c r="Y23" t="s">
        <v>58</v>
      </c>
      <c r="Z23" t="s">
        <v>44</v>
      </c>
      <c r="AA23" t="s">
        <v>59</v>
      </c>
      <c r="AB23" t="s">
        <v>46</v>
      </c>
      <c r="AC23">
        <f>IF(Cdacdata[[#This Row],[placement_status]]="Placed",1,0)</f>
        <v>1</v>
      </c>
      <c r="AD23" t="s">
        <v>37</v>
      </c>
      <c r="AE23" t="s">
        <v>47</v>
      </c>
      <c r="AF23" t="s">
        <v>57</v>
      </c>
      <c r="AG23">
        <v>2023</v>
      </c>
      <c r="AH23" t="s">
        <v>40</v>
      </c>
      <c r="AI23" t="str">
        <f>IF(Cdacdata[ccat_rank]&lt;=100,"Top 100",
IF(Cdacdata[ccat_rank]&lt;=500,"101–500",
IF(Cdacdata[ccat_rank]&lt;=1000,"501–1000",
"1000+")))</f>
        <v>1000+</v>
      </c>
    </row>
    <row r="24" spans="1:35" x14ac:dyDescent="0.3">
      <c r="A24" s="1" t="s">
        <v>25</v>
      </c>
      <c r="B24">
        <v>230611962</v>
      </c>
      <c r="C24" s="2">
        <v>45172</v>
      </c>
      <c r="D24" s="2" t="s">
        <v>396</v>
      </c>
      <c r="E24">
        <v>1230</v>
      </c>
      <c r="F24" s="2">
        <v>36460</v>
      </c>
      <c r="G24">
        <v>87</v>
      </c>
      <c r="H24">
        <v>50</v>
      </c>
      <c r="I24" t="s">
        <v>26</v>
      </c>
      <c r="J24">
        <v>73</v>
      </c>
      <c r="K24" s="3">
        <f t="shared" si="0"/>
        <v>70</v>
      </c>
      <c r="L24" t="s">
        <v>41</v>
      </c>
      <c r="M24" t="s">
        <v>27</v>
      </c>
      <c r="N24">
        <v>23</v>
      </c>
      <c r="O24" t="s">
        <v>28</v>
      </c>
      <c r="P24" t="s">
        <v>56</v>
      </c>
      <c r="Q24" t="s">
        <v>71</v>
      </c>
      <c r="R24">
        <v>298</v>
      </c>
      <c r="S24">
        <v>37.25</v>
      </c>
      <c r="T24" t="s">
        <v>33</v>
      </c>
      <c r="U24" t="s">
        <v>64</v>
      </c>
      <c r="V24" t="s">
        <v>33</v>
      </c>
      <c r="W24" t="s">
        <v>31</v>
      </c>
      <c r="X24" t="s">
        <v>34</v>
      </c>
      <c r="Y24" t="s">
        <v>64</v>
      </c>
      <c r="Z24" t="s">
        <v>36</v>
      </c>
      <c r="AA24" t="s">
        <v>1268</v>
      </c>
      <c r="AB24" t="s">
        <v>36</v>
      </c>
      <c r="AC24">
        <f>IF(Cdacdata[[#This Row],[placement_status]]="Placed",1,0)</f>
        <v>0</v>
      </c>
      <c r="AD24" t="s">
        <v>37</v>
      </c>
      <c r="AE24" t="s">
        <v>47</v>
      </c>
      <c r="AF24" t="s">
        <v>39</v>
      </c>
      <c r="AG24">
        <v>2023</v>
      </c>
      <c r="AH24" t="s">
        <v>40</v>
      </c>
      <c r="AI24" t="str">
        <f>IF(Cdacdata[ccat_rank]&lt;=100,"Top 100",
IF(Cdacdata[ccat_rank]&lt;=500,"101–500",
IF(Cdacdata[ccat_rank]&lt;=1000,"501–1000",
"1000+")))</f>
        <v>1000+</v>
      </c>
    </row>
    <row r="25" spans="1:35" x14ac:dyDescent="0.3">
      <c r="A25" s="1" t="s">
        <v>25</v>
      </c>
      <c r="B25">
        <v>230701336</v>
      </c>
      <c r="C25" s="2">
        <v>45170</v>
      </c>
      <c r="D25" s="2" t="s">
        <v>397</v>
      </c>
      <c r="E25">
        <v>2118</v>
      </c>
      <c r="F25" s="2">
        <v>35871</v>
      </c>
      <c r="G25">
        <v>94</v>
      </c>
      <c r="H25">
        <v>67.849999999999994</v>
      </c>
      <c r="I25" t="s">
        <v>26</v>
      </c>
      <c r="J25">
        <v>63.54</v>
      </c>
      <c r="K25" s="3">
        <f t="shared" si="0"/>
        <v>75.13</v>
      </c>
      <c r="L25" t="s">
        <v>27</v>
      </c>
      <c r="M25" t="s">
        <v>41</v>
      </c>
      <c r="N25">
        <v>25</v>
      </c>
      <c r="O25" t="s">
        <v>28</v>
      </c>
      <c r="P25" t="s">
        <v>60</v>
      </c>
      <c r="Q25" t="s">
        <v>43</v>
      </c>
      <c r="R25">
        <v>419</v>
      </c>
      <c r="S25">
        <v>52.375</v>
      </c>
      <c r="T25" t="s">
        <v>31</v>
      </c>
      <c r="U25" t="s">
        <v>32</v>
      </c>
      <c r="V25" t="s">
        <v>31</v>
      </c>
      <c r="W25" t="s">
        <v>33</v>
      </c>
      <c r="X25" t="s">
        <v>34</v>
      </c>
      <c r="Y25" t="s">
        <v>35</v>
      </c>
      <c r="Z25" t="s">
        <v>36</v>
      </c>
      <c r="AA25" t="s">
        <v>1268</v>
      </c>
      <c r="AB25" t="s">
        <v>36</v>
      </c>
      <c r="AC25">
        <f>IF(Cdacdata[[#This Row],[placement_status]]="Placed",1,0)</f>
        <v>0</v>
      </c>
      <c r="AD25" t="s">
        <v>37</v>
      </c>
      <c r="AE25" t="s">
        <v>38</v>
      </c>
      <c r="AF25" t="s">
        <v>39</v>
      </c>
      <c r="AG25">
        <v>2023</v>
      </c>
      <c r="AH25" t="s">
        <v>40</v>
      </c>
      <c r="AI25" t="str">
        <f>IF(Cdacdata[ccat_rank]&lt;=100,"Top 100",
IF(Cdacdata[ccat_rank]&lt;=500,"101–500",
IF(Cdacdata[ccat_rank]&lt;=1000,"501–1000",
"1000+")))</f>
        <v>1000+</v>
      </c>
    </row>
    <row r="26" spans="1:35" x14ac:dyDescent="0.3">
      <c r="A26" s="1" t="s">
        <v>25</v>
      </c>
      <c r="B26">
        <v>230605709</v>
      </c>
      <c r="C26" s="2">
        <v>45168</v>
      </c>
      <c r="D26" s="2" t="s">
        <v>398</v>
      </c>
      <c r="E26">
        <v>2171</v>
      </c>
      <c r="F26" s="2">
        <v>36832</v>
      </c>
      <c r="G26">
        <v>88.6</v>
      </c>
      <c r="H26">
        <v>69.36</v>
      </c>
      <c r="I26" t="s">
        <v>26</v>
      </c>
      <c r="J26">
        <v>77.61</v>
      </c>
      <c r="K26" s="3">
        <f t="shared" si="0"/>
        <v>78.523333333333326</v>
      </c>
      <c r="L26" t="s">
        <v>27</v>
      </c>
      <c r="M26" t="s">
        <v>41</v>
      </c>
      <c r="N26">
        <v>22</v>
      </c>
      <c r="O26" t="s">
        <v>48</v>
      </c>
      <c r="P26" t="s">
        <v>60</v>
      </c>
      <c r="Q26" t="s">
        <v>30</v>
      </c>
      <c r="R26">
        <v>521</v>
      </c>
      <c r="S26">
        <v>65.125</v>
      </c>
      <c r="T26" t="s">
        <v>49</v>
      </c>
      <c r="U26" t="s">
        <v>32</v>
      </c>
      <c r="V26" t="s">
        <v>49</v>
      </c>
      <c r="W26" t="s">
        <v>33</v>
      </c>
      <c r="X26" t="s">
        <v>34</v>
      </c>
      <c r="Y26" t="s">
        <v>50</v>
      </c>
      <c r="Z26" t="s">
        <v>53</v>
      </c>
      <c r="AA26" t="s">
        <v>54</v>
      </c>
      <c r="AB26" t="s">
        <v>46</v>
      </c>
      <c r="AC26">
        <f>IF(Cdacdata[[#This Row],[placement_status]]="Placed",1,0)</f>
        <v>1</v>
      </c>
      <c r="AD26" t="s">
        <v>37</v>
      </c>
      <c r="AE26" t="s">
        <v>38</v>
      </c>
      <c r="AF26" t="s">
        <v>57</v>
      </c>
      <c r="AG26">
        <v>2023</v>
      </c>
      <c r="AH26" t="s">
        <v>40</v>
      </c>
      <c r="AI26" t="str">
        <f>IF(Cdacdata[ccat_rank]&lt;=100,"Top 100",
IF(Cdacdata[ccat_rank]&lt;=500,"101–500",
IF(Cdacdata[ccat_rank]&lt;=1000,"501–1000",
"1000+")))</f>
        <v>1000+</v>
      </c>
    </row>
    <row r="27" spans="1:35" x14ac:dyDescent="0.3">
      <c r="A27" s="1" t="s">
        <v>25</v>
      </c>
      <c r="B27">
        <v>230604117</v>
      </c>
      <c r="C27" s="2">
        <v>45169</v>
      </c>
      <c r="D27" s="2" t="s">
        <v>399</v>
      </c>
      <c r="E27">
        <v>1887</v>
      </c>
      <c r="F27" s="2">
        <v>36349</v>
      </c>
      <c r="G27">
        <v>88.2</v>
      </c>
      <c r="H27" t="s">
        <v>26</v>
      </c>
      <c r="I27">
        <v>87.94</v>
      </c>
      <c r="J27">
        <v>67</v>
      </c>
      <c r="K27" s="3">
        <f t="shared" si="0"/>
        <v>81.046666666666667</v>
      </c>
      <c r="L27" t="s">
        <v>27</v>
      </c>
      <c r="M27" t="s">
        <v>27</v>
      </c>
      <c r="N27">
        <v>24</v>
      </c>
      <c r="O27" t="s">
        <v>28</v>
      </c>
      <c r="P27" t="s">
        <v>26</v>
      </c>
      <c r="Q27" t="s">
        <v>43</v>
      </c>
      <c r="R27">
        <v>558</v>
      </c>
      <c r="S27">
        <v>69.75</v>
      </c>
      <c r="T27" t="s">
        <v>33</v>
      </c>
      <c r="U27" t="s">
        <v>32</v>
      </c>
      <c r="V27" t="s">
        <v>33</v>
      </c>
      <c r="W27" t="s">
        <v>33</v>
      </c>
      <c r="X27" t="s">
        <v>34</v>
      </c>
      <c r="Y27" t="s">
        <v>50</v>
      </c>
      <c r="Z27" t="s">
        <v>53</v>
      </c>
      <c r="AA27" t="s">
        <v>54</v>
      </c>
      <c r="AB27" t="s">
        <v>46</v>
      </c>
      <c r="AC27">
        <f>IF(Cdacdata[[#This Row],[placement_status]]="Placed",1,0)</f>
        <v>1</v>
      </c>
      <c r="AD27" t="s">
        <v>37</v>
      </c>
      <c r="AE27" t="s">
        <v>47</v>
      </c>
      <c r="AF27" t="s">
        <v>39</v>
      </c>
      <c r="AG27">
        <v>2023</v>
      </c>
      <c r="AH27" t="s">
        <v>40</v>
      </c>
      <c r="AI27" t="str">
        <f>IF(Cdacdata[ccat_rank]&lt;=100,"Top 100",
IF(Cdacdata[ccat_rank]&lt;=500,"101–500",
IF(Cdacdata[ccat_rank]&lt;=1000,"501–1000",
"1000+")))</f>
        <v>1000+</v>
      </c>
    </row>
    <row r="28" spans="1:35" x14ac:dyDescent="0.3">
      <c r="A28" s="1" t="s">
        <v>25</v>
      </c>
      <c r="B28">
        <v>230601568</v>
      </c>
      <c r="C28" s="2">
        <v>45170</v>
      </c>
      <c r="D28" s="2" t="s">
        <v>400</v>
      </c>
      <c r="E28">
        <v>2065</v>
      </c>
      <c r="F28" s="2">
        <v>36418</v>
      </c>
      <c r="G28">
        <v>81.16</v>
      </c>
      <c r="H28">
        <v>76.400000000000006</v>
      </c>
      <c r="I28" t="s">
        <v>26</v>
      </c>
      <c r="J28">
        <v>52.63</v>
      </c>
      <c r="K28" s="3">
        <f t="shared" si="0"/>
        <v>70.063333333333333</v>
      </c>
      <c r="L28" t="s">
        <v>41</v>
      </c>
      <c r="M28" t="s">
        <v>27</v>
      </c>
      <c r="N28">
        <v>23</v>
      </c>
      <c r="O28" t="s">
        <v>72</v>
      </c>
      <c r="P28" t="s">
        <v>56</v>
      </c>
      <c r="Q28" t="s">
        <v>71</v>
      </c>
      <c r="R28">
        <v>485</v>
      </c>
      <c r="S28">
        <v>60.625</v>
      </c>
      <c r="T28" t="s">
        <v>31</v>
      </c>
      <c r="U28" t="s">
        <v>32</v>
      </c>
      <c r="V28" t="s">
        <v>31</v>
      </c>
      <c r="W28" t="s">
        <v>31</v>
      </c>
      <c r="X28" t="s">
        <v>34</v>
      </c>
      <c r="Y28" t="s">
        <v>50</v>
      </c>
      <c r="Z28" t="s">
        <v>44</v>
      </c>
      <c r="AA28" t="s">
        <v>73</v>
      </c>
      <c r="AB28" t="s">
        <v>46</v>
      </c>
      <c r="AC28">
        <f>IF(Cdacdata[[#This Row],[placement_status]]="Placed",1,0)</f>
        <v>1</v>
      </c>
      <c r="AD28" t="s">
        <v>37</v>
      </c>
      <c r="AE28" t="s">
        <v>38</v>
      </c>
      <c r="AF28" t="s">
        <v>39</v>
      </c>
      <c r="AG28">
        <v>2023</v>
      </c>
      <c r="AH28" t="s">
        <v>40</v>
      </c>
      <c r="AI28" t="str">
        <f>IF(Cdacdata[ccat_rank]&lt;=100,"Top 100",
IF(Cdacdata[ccat_rank]&lt;=500,"101–500",
IF(Cdacdata[ccat_rank]&lt;=1000,"501–1000",
"1000+")))</f>
        <v>1000+</v>
      </c>
    </row>
    <row r="29" spans="1:35" x14ac:dyDescent="0.3">
      <c r="A29" s="1" t="s">
        <v>25</v>
      </c>
      <c r="B29">
        <v>230701770</v>
      </c>
      <c r="C29" s="2">
        <v>45173</v>
      </c>
      <c r="D29" s="2" t="s">
        <v>401</v>
      </c>
      <c r="E29">
        <v>1516</v>
      </c>
      <c r="F29" s="2">
        <v>35534</v>
      </c>
      <c r="G29">
        <v>90.73</v>
      </c>
      <c r="H29">
        <v>67.849999999999994</v>
      </c>
      <c r="I29" t="s">
        <v>26</v>
      </c>
      <c r="J29">
        <v>6.55</v>
      </c>
      <c r="K29" s="3">
        <f t="shared" si="0"/>
        <v>55.043333333333329</v>
      </c>
      <c r="L29" t="s">
        <v>27</v>
      </c>
      <c r="M29" t="s">
        <v>41</v>
      </c>
      <c r="N29">
        <v>26</v>
      </c>
      <c r="O29" t="s">
        <v>62</v>
      </c>
      <c r="P29" t="s">
        <v>65</v>
      </c>
      <c r="Q29" t="s">
        <v>30</v>
      </c>
      <c r="R29">
        <v>538</v>
      </c>
      <c r="S29">
        <v>67.25</v>
      </c>
      <c r="T29" t="s">
        <v>49</v>
      </c>
      <c r="U29" t="s">
        <v>32</v>
      </c>
      <c r="V29" t="s">
        <v>49</v>
      </c>
      <c r="W29" t="s">
        <v>33</v>
      </c>
      <c r="X29" t="s">
        <v>34</v>
      </c>
      <c r="Y29" t="s">
        <v>50</v>
      </c>
      <c r="Z29" t="s">
        <v>36</v>
      </c>
      <c r="AA29" t="s">
        <v>1268</v>
      </c>
      <c r="AB29" t="s">
        <v>36</v>
      </c>
      <c r="AC29">
        <f>IF(Cdacdata[[#This Row],[placement_status]]="Placed",1,0)</f>
        <v>0</v>
      </c>
      <c r="AD29" t="s">
        <v>37</v>
      </c>
      <c r="AE29" t="s">
        <v>47</v>
      </c>
      <c r="AF29" t="s">
        <v>55</v>
      </c>
      <c r="AG29">
        <v>2023</v>
      </c>
      <c r="AH29" t="s">
        <v>40</v>
      </c>
      <c r="AI29" t="str">
        <f>IF(Cdacdata[ccat_rank]&lt;=100,"Top 100",
IF(Cdacdata[ccat_rank]&lt;=500,"101–500",
IF(Cdacdata[ccat_rank]&lt;=1000,"501–1000",
"1000+")))</f>
        <v>1000+</v>
      </c>
    </row>
    <row r="30" spans="1:35" x14ac:dyDescent="0.3">
      <c r="A30" s="1" t="s">
        <v>25</v>
      </c>
      <c r="B30">
        <v>230611204</v>
      </c>
      <c r="C30" s="2">
        <v>45175</v>
      </c>
      <c r="D30" s="2" t="s">
        <v>402</v>
      </c>
      <c r="E30">
        <v>2060</v>
      </c>
      <c r="F30" s="2">
        <v>35032</v>
      </c>
      <c r="G30">
        <v>72.2</v>
      </c>
      <c r="H30">
        <v>72.400000000000006</v>
      </c>
      <c r="I30" t="s">
        <v>26</v>
      </c>
      <c r="J30">
        <v>66.5</v>
      </c>
      <c r="K30" s="3">
        <f t="shared" si="0"/>
        <v>70.366666666666674</v>
      </c>
      <c r="L30" t="s">
        <v>27</v>
      </c>
      <c r="M30" t="s">
        <v>41</v>
      </c>
      <c r="N30">
        <v>27</v>
      </c>
      <c r="O30" t="s">
        <v>28</v>
      </c>
      <c r="P30" t="s">
        <v>65</v>
      </c>
      <c r="Q30" t="s">
        <v>30</v>
      </c>
      <c r="R30">
        <v>424</v>
      </c>
      <c r="S30">
        <v>53</v>
      </c>
      <c r="T30" t="s">
        <v>31</v>
      </c>
      <c r="U30" t="s">
        <v>32</v>
      </c>
      <c r="V30" t="s">
        <v>31</v>
      </c>
      <c r="W30" t="s">
        <v>31</v>
      </c>
      <c r="X30" t="s">
        <v>34</v>
      </c>
      <c r="Y30" t="s">
        <v>35</v>
      </c>
      <c r="Z30" t="s">
        <v>36</v>
      </c>
      <c r="AA30" t="s">
        <v>1268</v>
      </c>
      <c r="AB30" t="s">
        <v>36</v>
      </c>
      <c r="AC30">
        <f>IF(Cdacdata[[#This Row],[placement_status]]="Placed",1,0)</f>
        <v>0</v>
      </c>
      <c r="AD30" t="s">
        <v>37</v>
      </c>
      <c r="AE30" t="s">
        <v>38</v>
      </c>
      <c r="AF30" t="s">
        <v>55</v>
      </c>
      <c r="AG30">
        <v>2023</v>
      </c>
      <c r="AH30" t="s">
        <v>40</v>
      </c>
      <c r="AI30" t="str">
        <f>IF(Cdacdata[ccat_rank]&lt;=100,"Top 100",
IF(Cdacdata[ccat_rank]&lt;=500,"101–500",
IF(Cdacdata[ccat_rank]&lt;=1000,"501–1000",
"1000+")))</f>
        <v>1000+</v>
      </c>
    </row>
    <row r="31" spans="1:35" x14ac:dyDescent="0.3">
      <c r="A31" s="1" t="s">
        <v>25</v>
      </c>
      <c r="B31">
        <v>230601752</v>
      </c>
      <c r="C31" s="2">
        <v>45175</v>
      </c>
      <c r="D31" s="2" t="s">
        <v>403</v>
      </c>
      <c r="E31">
        <v>504</v>
      </c>
      <c r="F31" s="2">
        <v>34967</v>
      </c>
      <c r="G31">
        <v>81.45</v>
      </c>
      <c r="H31" t="s">
        <v>26</v>
      </c>
      <c r="I31">
        <v>72.180000000000007</v>
      </c>
      <c r="J31">
        <v>70.53</v>
      </c>
      <c r="K31" s="3">
        <f t="shared" si="0"/>
        <v>74.72</v>
      </c>
      <c r="L31" t="s">
        <v>27</v>
      </c>
      <c r="M31" t="s">
        <v>41</v>
      </c>
      <c r="N31">
        <v>27</v>
      </c>
      <c r="O31" t="s">
        <v>28</v>
      </c>
      <c r="P31" t="s">
        <v>60</v>
      </c>
      <c r="Q31" t="s">
        <v>30</v>
      </c>
      <c r="R31">
        <v>613</v>
      </c>
      <c r="S31">
        <v>76.625</v>
      </c>
      <c r="T31" t="s">
        <v>33</v>
      </c>
      <c r="U31" t="s">
        <v>32</v>
      </c>
      <c r="V31" t="s">
        <v>33</v>
      </c>
      <c r="W31" t="s">
        <v>33</v>
      </c>
      <c r="X31" t="s">
        <v>34</v>
      </c>
      <c r="Y31" t="s">
        <v>58</v>
      </c>
      <c r="Z31" t="s">
        <v>44</v>
      </c>
      <c r="AA31" t="s">
        <v>74</v>
      </c>
      <c r="AB31" t="s">
        <v>46</v>
      </c>
      <c r="AC31">
        <f>IF(Cdacdata[[#This Row],[placement_status]]="Placed",1,0)</f>
        <v>1</v>
      </c>
      <c r="AD31" t="s">
        <v>37</v>
      </c>
      <c r="AE31" t="s">
        <v>75</v>
      </c>
      <c r="AF31" t="s">
        <v>55</v>
      </c>
      <c r="AG31">
        <v>2023</v>
      </c>
      <c r="AH31" t="s">
        <v>40</v>
      </c>
      <c r="AI31" t="str">
        <f>IF(Cdacdata[ccat_rank]&lt;=100,"Top 100",
IF(Cdacdata[ccat_rank]&lt;=500,"101–500",
IF(Cdacdata[ccat_rank]&lt;=1000,"501–1000",
"1000+")))</f>
        <v>501–1000</v>
      </c>
    </row>
    <row r="32" spans="1:35" x14ac:dyDescent="0.3">
      <c r="A32" s="1" t="s">
        <v>25</v>
      </c>
      <c r="B32">
        <v>230602422</v>
      </c>
      <c r="C32" s="2">
        <v>45164</v>
      </c>
      <c r="D32" s="2" t="s">
        <v>404</v>
      </c>
      <c r="E32">
        <v>1827</v>
      </c>
      <c r="F32" s="2">
        <v>36495</v>
      </c>
      <c r="G32">
        <v>92.6</v>
      </c>
      <c r="H32">
        <v>67.849999999999994</v>
      </c>
      <c r="I32" t="s">
        <v>26</v>
      </c>
      <c r="J32">
        <v>73.400000000000006</v>
      </c>
      <c r="K32" s="3">
        <f t="shared" si="0"/>
        <v>77.95</v>
      </c>
      <c r="L32" t="s">
        <v>27</v>
      </c>
      <c r="M32" t="s">
        <v>27</v>
      </c>
      <c r="N32">
        <v>23</v>
      </c>
      <c r="O32" t="s">
        <v>28</v>
      </c>
      <c r="P32" t="s">
        <v>26</v>
      </c>
      <c r="Q32" t="s">
        <v>43</v>
      </c>
      <c r="R32">
        <v>518</v>
      </c>
      <c r="S32">
        <v>64.75</v>
      </c>
      <c r="T32" t="s">
        <v>33</v>
      </c>
      <c r="U32" t="s">
        <v>32</v>
      </c>
      <c r="V32" t="s">
        <v>33</v>
      </c>
      <c r="W32" t="s">
        <v>33</v>
      </c>
      <c r="X32" t="s">
        <v>34</v>
      </c>
      <c r="Y32" t="s">
        <v>50</v>
      </c>
      <c r="Z32" t="s">
        <v>44</v>
      </c>
      <c r="AA32" t="s">
        <v>76</v>
      </c>
      <c r="AB32" t="s">
        <v>46</v>
      </c>
      <c r="AC32">
        <f>IF(Cdacdata[[#This Row],[placement_status]]="Placed",1,0)</f>
        <v>1</v>
      </c>
      <c r="AD32" t="s">
        <v>37</v>
      </c>
      <c r="AE32" t="s">
        <v>47</v>
      </c>
      <c r="AF32" t="s">
        <v>39</v>
      </c>
      <c r="AG32">
        <v>2023</v>
      </c>
      <c r="AH32" t="s">
        <v>40</v>
      </c>
      <c r="AI32" t="str">
        <f>IF(Cdacdata[ccat_rank]&lt;=100,"Top 100",
IF(Cdacdata[ccat_rank]&lt;=500,"101–500",
IF(Cdacdata[ccat_rank]&lt;=1000,"501–1000",
"1000+")))</f>
        <v>1000+</v>
      </c>
    </row>
    <row r="33" spans="1:35" x14ac:dyDescent="0.3">
      <c r="A33" s="1" t="s">
        <v>25</v>
      </c>
      <c r="B33">
        <v>230602968</v>
      </c>
      <c r="C33" s="2">
        <v>45170</v>
      </c>
      <c r="D33" s="2" t="s">
        <v>405</v>
      </c>
      <c r="E33">
        <v>1878</v>
      </c>
      <c r="F33" s="2">
        <v>37277</v>
      </c>
      <c r="G33">
        <v>91.2</v>
      </c>
      <c r="H33">
        <v>74.599999999999994</v>
      </c>
      <c r="I33" t="s">
        <v>26</v>
      </c>
      <c r="J33">
        <v>90.3</v>
      </c>
      <c r="K33" s="3">
        <f t="shared" si="0"/>
        <v>85.366666666666674</v>
      </c>
      <c r="L33" t="s">
        <v>27</v>
      </c>
      <c r="M33" t="s">
        <v>27</v>
      </c>
      <c r="N33">
        <v>21</v>
      </c>
      <c r="O33" t="s">
        <v>48</v>
      </c>
      <c r="P33" t="s">
        <v>56</v>
      </c>
      <c r="Q33" t="s">
        <v>43</v>
      </c>
      <c r="R33">
        <v>600</v>
      </c>
      <c r="S33">
        <v>75</v>
      </c>
      <c r="T33" t="s">
        <v>33</v>
      </c>
      <c r="U33" t="s">
        <v>32</v>
      </c>
      <c r="V33" t="s">
        <v>33</v>
      </c>
      <c r="W33" t="s">
        <v>33</v>
      </c>
      <c r="X33" t="s">
        <v>34</v>
      </c>
      <c r="Y33" t="s">
        <v>58</v>
      </c>
      <c r="Z33" t="s">
        <v>44</v>
      </c>
      <c r="AA33" t="s">
        <v>77</v>
      </c>
      <c r="AB33" t="s">
        <v>46</v>
      </c>
      <c r="AC33">
        <f>IF(Cdacdata[[#This Row],[placement_status]]="Placed",1,0)</f>
        <v>1</v>
      </c>
      <c r="AD33" t="s">
        <v>37</v>
      </c>
      <c r="AE33" t="s">
        <v>47</v>
      </c>
      <c r="AF33" t="s">
        <v>57</v>
      </c>
      <c r="AG33">
        <v>2023</v>
      </c>
      <c r="AH33" t="s">
        <v>40</v>
      </c>
      <c r="AI33" t="str">
        <f>IF(Cdacdata[ccat_rank]&lt;=100,"Top 100",
IF(Cdacdata[ccat_rank]&lt;=500,"101–500",
IF(Cdacdata[ccat_rank]&lt;=1000,"501–1000",
"1000+")))</f>
        <v>1000+</v>
      </c>
    </row>
    <row r="34" spans="1:35" x14ac:dyDescent="0.3">
      <c r="A34" s="1" t="s">
        <v>25</v>
      </c>
      <c r="B34">
        <v>230602128</v>
      </c>
      <c r="C34" s="2">
        <v>45165</v>
      </c>
      <c r="D34" s="2" t="s">
        <v>406</v>
      </c>
      <c r="E34">
        <v>1468</v>
      </c>
      <c r="F34" s="2">
        <v>36290</v>
      </c>
      <c r="G34">
        <v>88</v>
      </c>
      <c r="H34" t="s">
        <v>26</v>
      </c>
      <c r="I34">
        <v>82.07</v>
      </c>
      <c r="J34">
        <v>71.8</v>
      </c>
      <c r="K34" s="3">
        <f t="shared" si="0"/>
        <v>80.623333333333335</v>
      </c>
      <c r="L34" t="s">
        <v>27</v>
      </c>
      <c r="M34" t="s">
        <v>41</v>
      </c>
      <c r="N34">
        <v>24</v>
      </c>
      <c r="O34" t="s">
        <v>28</v>
      </c>
      <c r="P34" t="s">
        <v>42</v>
      </c>
      <c r="Q34" t="s">
        <v>30</v>
      </c>
      <c r="R34">
        <v>488</v>
      </c>
      <c r="S34">
        <v>61</v>
      </c>
      <c r="T34" t="s">
        <v>49</v>
      </c>
      <c r="U34" t="s">
        <v>32</v>
      </c>
      <c r="V34" t="s">
        <v>49</v>
      </c>
      <c r="W34" t="s">
        <v>33</v>
      </c>
      <c r="X34" t="s">
        <v>34</v>
      </c>
      <c r="Y34" t="s">
        <v>50</v>
      </c>
      <c r="Z34" t="s">
        <v>36</v>
      </c>
      <c r="AA34" t="s">
        <v>1268</v>
      </c>
      <c r="AB34" t="s">
        <v>36</v>
      </c>
      <c r="AC34">
        <f>IF(Cdacdata[[#This Row],[placement_status]]="Placed",1,0)</f>
        <v>0</v>
      </c>
      <c r="AD34" t="s">
        <v>37</v>
      </c>
      <c r="AE34" t="s">
        <v>47</v>
      </c>
      <c r="AF34" t="s">
        <v>39</v>
      </c>
      <c r="AG34">
        <v>2023</v>
      </c>
      <c r="AH34" t="s">
        <v>40</v>
      </c>
      <c r="AI34" t="str">
        <f>IF(Cdacdata[ccat_rank]&lt;=100,"Top 100",
IF(Cdacdata[ccat_rank]&lt;=500,"101–500",
IF(Cdacdata[ccat_rank]&lt;=1000,"501–1000",
"1000+")))</f>
        <v>1000+</v>
      </c>
    </row>
    <row r="35" spans="1:35" x14ac:dyDescent="0.3">
      <c r="A35" s="1" t="s">
        <v>25</v>
      </c>
      <c r="B35">
        <v>230610665</v>
      </c>
      <c r="C35" s="2">
        <v>45168</v>
      </c>
      <c r="D35" s="2" t="s">
        <v>407</v>
      </c>
      <c r="E35">
        <v>1625</v>
      </c>
      <c r="F35" s="2">
        <v>36553</v>
      </c>
      <c r="G35">
        <v>79.8</v>
      </c>
      <c r="H35">
        <v>71.23</v>
      </c>
      <c r="I35" t="s">
        <v>26</v>
      </c>
      <c r="J35">
        <v>7.51</v>
      </c>
      <c r="K35" s="3">
        <f t="shared" si="0"/>
        <v>52.846666666666664</v>
      </c>
      <c r="L35" t="s">
        <v>27</v>
      </c>
      <c r="M35" t="s">
        <v>27</v>
      </c>
      <c r="N35">
        <v>23</v>
      </c>
      <c r="O35" t="s">
        <v>62</v>
      </c>
      <c r="P35" t="s">
        <v>56</v>
      </c>
      <c r="Q35" t="s">
        <v>30</v>
      </c>
      <c r="R35">
        <v>597</v>
      </c>
      <c r="S35">
        <v>74.625</v>
      </c>
      <c r="T35" t="s">
        <v>49</v>
      </c>
      <c r="U35" t="s">
        <v>32</v>
      </c>
      <c r="V35" t="s">
        <v>49</v>
      </c>
      <c r="W35" t="s">
        <v>49</v>
      </c>
      <c r="X35" t="s">
        <v>34</v>
      </c>
      <c r="Y35" t="s">
        <v>58</v>
      </c>
      <c r="Z35" t="s">
        <v>44</v>
      </c>
      <c r="AA35" t="s">
        <v>74</v>
      </c>
      <c r="AB35" t="s">
        <v>46</v>
      </c>
      <c r="AC35">
        <f>IF(Cdacdata[[#This Row],[placement_status]]="Placed",1,0)</f>
        <v>1</v>
      </c>
      <c r="AD35" t="s">
        <v>37</v>
      </c>
      <c r="AE35" t="s">
        <v>47</v>
      </c>
      <c r="AF35" t="s">
        <v>39</v>
      </c>
      <c r="AG35">
        <v>2023</v>
      </c>
      <c r="AH35" t="s">
        <v>40</v>
      </c>
      <c r="AI35" t="str">
        <f>IF(Cdacdata[ccat_rank]&lt;=100,"Top 100",
IF(Cdacdata[ccat_rank]&lt;=500,"101–500",
IF(Cdacdata[ccat_rank]&lt;=1000,"501–1000",
"1000+")))</f>
        <v>1000+</v>
      </c>
    </row>
    <row r="36" spans="1:35" x14ac:dyDescent="0.3">
      <c r="A36" s="1" t="s">
        <v>25</v>
      </c>
      <c r="B36">
        <v>230605730</v>
      </c>
      <c r="C36" s="2">
        <v>45171</v>
      </c>
      <c r="D36" s="2" t="s">
        <v>408</v>
      </c>
      <c r="E36">
        <v>2183</v>
      </c>
      <c r="F36" s="2">
        <v>36875</v>
      </c>
      <c r="G36">
        <v>87.4</v>
      </c>
      <c r="H36">
        <v>71.23</v>
      </c>
      <c r="I36" t="s">
        <v>26</v>
      </c>
      <c r="J36">
        <v>88.5</v>
      </c>
      <c r="K36" s="3">
        <f t="shared" si="0"/>
        <v>82.376666666666665</v>
      </c>
      <c r="L36" t="s">
        <v>27</v>
      </c>
      <c r="M36" t="s">
        <v>41</v>
      </c>
      <c r="N36">
        <v>22</v>
      </c>
      <c r="O36" t="s">
        <v>48</v>
      </c>
      <c r="P36" t="s">
        <v>56</v>
      </c>
      <c r="Q36" t="s">
        <v>43</v>
      </c>
      <c r="R36">
        <v>625</v>
      </c>
      <c r="S36">
        <v>78.125</v>
      </c>
      <c r="T36" t="s">
        <v>33</v>
      </c>
      <c r="U36" t="s">
        <v>32</v>
      </c>
      <c r="V36" t="s">
        <v>33</v>
      </c>
      <c r="W36" t="s">
        <v>49</v>
      </c>
      <c r="X36" t="s">
        <v>34</v>
      </c>
      <c r="Y36" t="s">
        <v>58</v>
      </c>
      <c r="Z36" t="s">
        <v>44</v>
      </c>
      <c r="AA36" t="s">
        <v>78</v>
      </c>
      <c r="AB36" t="s">
        <v>46</v>
      </c>
      <c r="AC36">
        <f>IF(Cdacdata[[#This Row],[placement_status]]="Placed",1,0)</f>
        <v>1</v>
      </c>
      <c r="AD36" t="s">
        <v>37</v>
      </c>
      <c r="AE36" t="s">
        <v>38</v>
      </c>
      <c r="AF36" t="s">
        <v>57</v>
      </c>
      <c r="AG36">
        <v>2023</v>
      </c>
      <c r="AH36" t="s">
        <v>40</v>
      </c>
      <c r="AI36" t="str">
        <f>IF(Cdacdata[ccat_rank]&lt;=100,"Top 100",
IF(Cdacdata[ccat_rank]&lt;=500,"101–500",
IF(Cdacdata[ccat_rank]&lt;=1000,"501–1000",
"1000+")))</f>
        <v>1000+</v>
      </c>
    </row>
    <row r="37" spans="1:35" x14ac:dyDescent="0.3">
      <c r="A37" s="1" t="s">
        <v>25</v>
      </c>
      <c r="B37">
        <v>230601573</v>
      </c>
      <c r="C37" s="2">
        <v>45173</v>
      </c>
      <c r="D37" s="2" t="s">
        <v>409</v>
      </c>
      <c r="E37">
        <v>1803</v>
      </c>
      <c r="F37" s="2">
        <v>36508</v>
      </c>
      <c r="G37">
        <v>82</v>
      </c>
      <c r="H37">
        <v>64</v>
      </c>
      <c r="I37" t="s">
        <v>26</v>
      </c>
      <c r="J37">
        <v>57</v>
      </c>
      <c r="K37" s="3">
        <f t="shared" si="0"/>
        <v>67.666666666666671</v>
      </c>
      <c r="L37" t="s">
        <v>27</v>
      </c>
      <c r="M37" t="s">
        <v>27</v>
      </c>
      <c r="N37">
        <v>23</v>
      </c>
      <c r="O37" t="s">
        <v>72</v>
      </c>
      <c r="P37" t="s">
        <v>26</v>
      </c>
      <c r="Q37" t="s">
        <v>67</v>
      </c>
      <c r="R37">
        <v>512</v>
      </c>
      <c r="S37">
        <v>64</v>
      </c>
      <c r="T37" t="s">
        <v>33</v>
      </c>
      <c r="U37" t="s">
        <v>32</v>
      </c>
      <c r="V37" t="s">
        <v>33</v>
      </c>
      <c r="W37" t="s">
        <v>33</v>
      </c>
      <c r="X37" t="s">
        <v>34</v>
      </c>
      <c r="Y37" t="s">
        <v>50</v>
      </c>
      <c r="Z37" t="s">
        <v>44</v>
      </c>
      <c r="AA37" t="s">
        <v>79</v>
      </c>
      <c r="AB37" t="s">
        <v>46</v>
      </c>
      <c r="AC37">
        <f>IF(Cdacdata[[#This Row],[placement_status]]="Placed",1,0)</f>
        <v>1</v>
      </c>
      <c r="AD37" t="s">
        <v>37</v>
      </c>
      <c r="AE37" t="s">
        <v>47</v>
      </c>
      <c r="AF37" t="s">
        <v>39</v>
      </c>
      <c r="AG37">
        <v>2023</v>
      </c>
      <c r="AH37" t="s">
        <v>40</v>
      </c>
      <c r="AI37" t="str">
        <f>IF(Cdacdata[ccat_rank]&lt;=100,"Top 100",
IF(Cdacdata[ccat_rank]&lt;=500,"101–500",
IF(Cdacdata[ccat_rank]&lt;=1000,"501–1000",
"1000+")))</f>
        <v>1000+</v>
      </c>
    </row>
    <row r="38" spans="1:35" x14ac:dyDescent="0.3">
      <c r="A38" s="1" t="s">
        <v>25</v>
      </c>
      <c r="B38">
        <v>230603135</v>
      </c>
      <c r="C38" s="2">
        <v>45170</v>
      </c>
      <c r="D38" s="2" t="s">
        <v>410</v>
      </c>
      <c r="E38">
        <v>579</v>
      </c>
      <c r="F38" s="2">
        <v>35358</v>
      </c>
      <c r="G38">
        <v>75</v>
      </c>
      <c r="H38">
        <v>70</v>
      </c>
      <c r="I38" t="s">
        <v>26</v>
      </c>
      <c r="J38">
        <v>73</v>
      </c>
      <c r="K38" s="3">
        <f t="shared" si="0"/>
        <v>72.666666666666671</v>
      </c>
      <c r="L38" t="s">
        <v>27</v>
      </c>
      <c r="M38" t="s">
        <v>41</v>
      </c>
      <c r="N38">
        <v>26</v>
      </c>
      <c r="O38" t="s">
        <v>28</v>
      </c>
      <c r="P38" t="s">
        <v>56</v>
      </c>
      <c r="Q38" t="s">
        <v>30</v>
      </c>
      <c r="R38">
        <v>337</v>
      </c>
      <c r="S38">
        <v>42.125</v>
      </c>
      <c r="T38" t="s">
        <v>31</v>
      </c>
      <c r="U38" t="s">
        <v>64</v>
      </c>
      <c r="V38" t="s">
        <v>31</v>
      </c>
      <c r="W38" t="s">
        <v>31</v>
      </c>
      <c r="X38" t="s">
        <v>34</v>
      </c>
      <c r="Y38" t="s">
        <v>80</v>
      </c>
      <c r="Z38" t="s">
        <v>36</v>
      </c>
      <c r="AA38" t="s">
        <v>1268</v>
      </c>
      <c r="AB38" t="s">
        <v>36</v>
      </c>
      <c r="AC38">
        <f>IF(Cdacdata[[#This Row],[placement_status]]="Placed",1,0)</f>
        <v>0</v>
      </c>
      <c r="AD38" t="s">
        <v>37</v>
      </c>
      <c r="AE38" t="s">
        <v>75</v>
      </c>
      <c r="AF38" t="s">
        <v>55</v>
      </c>
      <c r="AG38">
        <v>2023</v>
      </c>
      <c r="AH38" t="s">
        <v>40</v>
      </c>
      <c r="AI38" t="str">
        <f>IF(Cdacdata[ccat_rank]&lt;=100,"Top 100",
IF(Cdacdata[ccat_rank]&lt;=500,"101–500",
IF(Cdacdata[ccat_rank]&lt;=1000,"501–1000",
"1000+")))</f>
        <v>501–1000</v>
      </c>
    </row>
    <row r="39" spans="1:35" x14ac:dyDescent="0.3">
      <c r="A39" s="1" t="s">
        <v>25</v>
      </c>
      <c r="B39">
        <v>230608212</v>
      </c>
      <c r="C39" s="2">
        <v>45174</v>
      </c>
      <c r="D39" s="2" t="s">
        <v>411</v>
      </c>
      <c r="E39">
        <v>1285</v>
      </c>
      <c r="F39" s="2">
        <v>36701</v>
      </c>
      <c r="G39">
        <v>82.6</v>
      </c>
      <c r="H39">
        <v>56.15</v>
      </c>
      <c r="I39" t="s">
        <v>26</v>
      </c>
      <c r="J39">
        <v>7.89</v>
      </c>
      <c r="K39" s="3">
        <f t="shared" si="0"/>
        <v>48.879999999999995</v>
      </c>
      <c r="L39" t="s">
        <v>41</v>
      </c>
      <c r="M39" t="s">
        <v>41</v>
      </c>
      <c r="N39">
        <v>23</v>
      </c>
      <c r="O39" t="s">
        <v>62</v>
      </c>
      <c r="P39" t="s">
        <v>56</v>
      </c>
      <c r="Q39" t="s">
        <v>71</v>
      </c>
      <c r="R39">
        <v>531</v>
      </c>
      <c r="S39">
        <v>66.375</v>
      </c>
      <c r="T39" t="s">
        <v>33</v>
      </c>
      <c r="U39" t="s">
        <v>32</v>
      </c>
      <c r="V39" t="s">
        <v>33</v>
      </c>
      <c r="W39" t="s">
        <v>49</v>
      </c>
      <c r="X39" t="s">
        <v>34</v>
      </c>
      <c r="Y39" t="s">
        <v>50</v>
      </c>
      <c r="Z39" t="s">
        <v>44</v>
      </c>
      <c r="AA39" t="s">
        <v>81</v>
      </c>
      <c r="AB39" t="s">
        <v>46</v>
      </c>
      <c r="AC39">
        <f>IF(Cdacdata[[#This Row],[placement_status]]="Placed",1,0)</f>
        <v>1</v>
      </c>
      <c r="AD39" t="s">
        <v>37</v>
      </c>
      <c r="AE39" t="s">
        <v>47</v>
      </c>
      <c r="AF39" t="s">
        <v>39</v>
      </c>
      <c r="AG39">
        <v>2023</v>
      </c>
      <c r="AH39" t="s">
        <v>40</v>
      </c>
      <c r="AI39" t="str">
        <f>IF(Cdacdata[ccat_rank]&lt;=100,"Top 100",
IF(Cdacdata[ccat_rank]&lt;=500,"101–500",
IF(Cdacdata[ccat_rank]&lt;=1000,"501–1000",
"1000+")))</f>
        <v>1000+</v>
      </c>
    </row>
    <row r="40" spans="1:35" x14ac:dyDescent="0.3">
      <c r="A40" s="1" t="s">
        <v>25</v>
      </c>
      <c r="B40">
        <v>230605975</v>
      </c>
      <c r="C40" s="2">
        <v>45163</v>
      </c>
      <c r="D40" s="2" t="s">
        <v>412</v>
      </c>
      <c r="E40">
        <v>1992</v>
      </c>
      <c r="F40" s="2">
        <v>36579</v>
      </c>
      <c r="G40">
        <v>80.8</v>
      </c>
      <c r="H40" t="s">
        <v>26</v>
      </c>
      <c r="I40">
        <v>70.430000000000007</v>
      </c>
      <c r="J40">
        <v>79.3</v>
      </c>
      <c r="K40" s="3">
        <f t="shared" si="0"/>
        <v>76.843333333333348</v>
      </c>
      <c r="L40" t="s">
        <v>27</v>
      </c>
      <c r="M40" t="s">
        <v>27</v>
      </c>
      <c r="N40">
        <v>23</v>
      </c>
      <c r="O40" t="s">
        <v>48</v>
      </c>
      <c r="P40" t="s">
        <v>26</v>
      </c>
      <c r="Q40" t="s">
        <v>43</v>
      </c>
      <c r="R40">
        <v>475</v>
      </c>
      <c r="S40">
        <v>59.375</v>
      </c>
      <c r="T40" t="s">
        <v>33</v>
      </c>
      <c r="U40" t="s">
        <v>32</v>
      </c>
      <c r="V40" t="s">
        <v>33</v>
      </c>
      <c r="W40" t="s">
        <v>33</v>
      </c>
      <c r="X40" t="s">
        <v>34</v>
      </c>
      <c r="Y40" t="s">
        <v>35</v>
      </c>
      <c r="Z40" t="s">
        <v>44</v>
      </c>
      <c r="AA40" t="s">
        <v>82</v>
      </c>
      <c r="AB40" t="s">
        <v>46</v>
      </c>
      <c r="AC40">
        <f>IF(Cdacdata[[#This Row],[placement_status]]="Placed",1,0)</f>
        <v>1</v>
      </c>
      <c r="AD40" t="s">
        <v>37</v>
      </c>
      <c r="AE40" t="s">
        <v>47</v>
      </c>
      <c r="AF40" t="s">
        <v>39</v>
      </c>
      <c r="AG40">
        <v>2023</v>
      </c>
      <c r="AH40" t="s">
        <v>40</v>
      </c>
      <c r="AI40" t="str">
        <f>IF(Cdacdata[ccat_rank]&lt;=100,"Top 100",
IF(Cdacdata[ccat_rank]&lt;=500,"101–500",
IF(Cdacdata[ccat_rank]&lt;=1000,"501–1000",
"1000+")))</f>
        <v>1000+</v>
      </c>
    </row>
    <row r="41" spans="1:35" x14ac:dyDescent="0.3">
      <c r="A41" s="1" t="s">
        <v>25</v>
      </c>
      <c r="B41">
        <v>230601774</v>
      </c>
      <c r="C41" s="2">
        <v>45169</v>
      </c>
      <c r="D41" s="2" t="s">
        <v>413</v>
      </c>
      <c r="E41">
        <v>1581</v>
      </c>
      <c r="F41" s="2">
        <v>36317</v>
      </c>
      <c r="G41">
        <v>79.400000000000006</v>
      </c>
      <c r="H41">
        <v>51.54</v>
      </c>
      <c r="I41">
        <v>67.819999999999993</v>
      </c>
      <c r="J41">
        <v>74.099999999999994</v>
      </c>
      <c r="K41" s="3">
        <f t="shared" si="0"/>
        <v>68.215000000000003</v>
      </c>
      <c r="L41" t="s">
        <v>27</v>
      </c>
      <c r="M41" t="s">
        <v>27</v>
      </c>
      <c r="N41">
        <v>24</v>
      </c>
      <c r="O41" t="s">
        <v>62</v>
      </c>
      <c r="P41" t="s">
        <v>26</v>
      </c>
      <c r="Q41" t="s">
        <v>30</v>
      </c>
      <c r="R41">
        <v>455</v>
      </c>
      <c r="S41">
        <v>56.875</v>
      </c>
      <c r="T41" t="s">
        <v>33</v>
      </c>
      <c r="U41" t="s">
        <v>32</v>
      </c>
      <c r="V41" t="s">
        <v>33</v>
      </c>
      <c r="W41" t="s">
        <v>33</v>
      </c>
      <c r="X41" t="s">
        <v>34</v>
      </c>
      <c r="Y41" t="s">
        <v>35</v>
      </c>
      <c r="Z41" t="s">
        <v>44</v>
      </c>
      <c r="AA41" t="s">
        <v>83</v>
      </c>
      <c r="AB41" t="s">
        <v>46</v>
      </c>
      <c r="AC41">
        <f>IF(Cdacdata[[#This Row],[placement_status]]="Placed",1,0)</f>
        <v>1</v>
      </c>
      <c r="AD41" t="s">
        <v>37</v>
      </c>
      <c r="AE41" t="s">
        <v>47</v>
      </c>
      <c r="AF41" t="s">
        <v>39</v>
      </c>
      <c r="AG41">
        <v>2023</v>
      </c>
      <c r="AH41" t="s">
        <v>40</v>
      </c>
      <c r="AI41" t="str">
        <f>IF(Cdacdata[ccat_rank]&lt;=100,"Top 100",
IF(Cdacdata[ccat_rank]&lt;=500,"101–500",
IF(Cdacdata[ccat_rank]&lt;=1000,"501–1000",
"1000+")))</f>
        <v>1000+</v>
      </c>
    </row>
    <row r="42" spans="1:35" x14ac:dyDescent="0.3">
      <c r="A42" s="1" t="s">
        <v>25</v>
      </c>
      <c r="B42">
        <v>230604591</v>
      </c>
      <c r="C42" s="2">
        <v>45174</v>
      </c>
      <c r="D42" s="2" t="s">
        <v>414</v>
      </c>
      <c r="E42">
        <v>1729</v>
      </c>
      <c r="F42" s="2">
        <v>36764</v>
      </c>
      <c r="G42">
        <v>67</v>
      </c>
      <c r="H42">
        <v>70</v>
      </c>
      <c r="I42" t="s">
        <v>26</v>
      </c>
      <c r="J42">
        <v>70</v>
      </c>
      <c r="K42" s="3">
        <f t="shared" si="0"/>
        <v>69</v>
      </c>
      <c r="L42" t="s">
        <v>27</v>
      </c>
      <c r="M42" t="s">
        <v>27</v>
      </c>
      <c r="N42">
        <v>23</v>
      </c>
      <c r="O42" t="s">
        <v>28</v>
      </c>
      <c r="P42" t="s">
        <v>56</v>
      </c>
      <c r="Q42" t="s">
        <v>30</v>
      </c>
      <c r="R42">
        <v>555</v>
      </c>
      <c r="S42">
        <v>69.375</v>
      </c>
      <c r="T42" t="s">
        <v>49</v>
      </c>
      <c r="U42" t="s">
        <v>32</v>
      </c>
      <c r="V42" t="s">
        <v>49</v>
      </c>
      <c r="W42" t="s">
        <v>33</v>
      </c>
      <c r="X42" t="s">
        <v>34</v>
      </c>
      <c r="Y42" t="s">
        <v>50</v>
      </c>
      <c r="Z42" t="s">
        <v>44</v>
      </c>
      <c r="AA42" t="s">
        <v>81</v>
      </c>
      <c r="AB42" t="s">
        <v>46</v>
      </c>
      <c r="AC42">
        <f>IF(Cdacdata[[#This Row],[placement_status]]="Placed",1,0)</f>
        <v>1</v>
      </c>
      <c r="AD42" t="s">
        <v>37</v>
      </c>
      <c r="AE42" t="s">
        <v>47</v>
      </c>
      <c r="AF42" t="s">
        <v>39</v>
      </c>
      <c r="AG42">
        <v>2023</v>
      </c>
      <c r="AH42" t="s">
        <v>40</v>
      </c>
      <c r="AI42" t="str">
        <f>IF(Cdacdata[ccat_rank]&lt;=100,"Top 100",
IF(Cdacdata[ccat_rank]&lt;=500,"101–500",
IF(Cdacdata[ccat_rank]&lt;=1000,"501–1000",
"1000+")))</f>
        <v>1000+</v>
      </c>
    </row>
    <row r="43" spans="1:35" x14ac:dyDescent="0.3">
      <c r="A43" s="1" t="s">
        <v>25</v>
      </c>
      <c r="B43">
        <v>230603046</v>
      </c>
      <c r="C43" s="2">
        <v>45171</v>
      </c>
      <c r="D43" s="2" t="s">
        <v>415</v>
      </c>
      <c r="E43">
        <v>2107</v>
      </c>
      <c r="F43" s="2">
        <v>36912</v>
      </c>
      <c r="G43">
        <v>77.400000000000006</v>
      </c>
      <c r="H43">
        <v>70.459999999999994</v>
      </c>
      <c r="I43" t="s">
        <v>26</v>
      </c>
      <c r="J43">
        <v>81.3</v>
      </c>
      <c r="K43" s="3">
        <f t="shared" si="0"/>
        <v>76.38666666666667</v>
      </c>
      <c r="L43" t="s">
        <v>27</v>
      </c>
      <c r="M43" t="s">
        <v>27</v>
      </c>
      <c r="N43">
        <v>22</v>
      </c>
      <c r="O43" t="s">
        <v>48</v>
      </c>
      <c r="P43" t="s">
        <v>52</v>
      </c>
      <c r="Q43" t="s">
        <v>30</v>
      </c>
      <c r="R43">
        <v>628</v>
      </c>
      <c r="S43">
        <v>78.5</v>
      </c>
      <c r="T43" t="s">
        <v>33</v>
      </c>
      <c r="U43" t="s">
        <v>32</v>
      </c>
      <c r="V43" t="s">
        <v>33</v>
      </c>
      <c r="W43" t="s">
        <v>49</v>
      </c>
      <c r="X43" t="s">
        <v>34</v>
      </c>
      <c r="Y43" t="s">
        <v>58</v>
      </c>
      <c r="Z43" t="s">
        <v>44</v>
      </c>
      <c r="AA43" t="s">
        <v>84</v>
      </c>
      <c r="AB43" t="s">
        <v>46</v>
      </c>
      <c r="AC43">
        <f>IF(Cdacdata[[#This Row],[placement_status]]="Placed",1,0)</f>
        <v>1</v>
      </c>
      <c r="AD43" t="s">
        <v>37</v>
      </c>
      <c r="AE43" t="s">
        <v>38</v>
      </c>
      <c r="AF43" t="s">
        <v>57</v>
      </c>
      <c r="AG43">
        <v>2023</v>
      </c>
      <c r="AH43" t="s">
        <v>40</v>
      </c>
      <c r="AI43" t="str">
        <f>IF(Cdacdata[ccat_rank]&lt;=100,"Top 100",
IF(Cdacdata[ccat_rank]&lt;=500,"101–500",
IF(Cdacdata[ccat_rank]&lt;=1000,"501–1000",
"1000+")))</f>
        <v>1000+</v>
      </c>
    </row>
    <row r="44" spans="1:35" x14ac:dyDescent="0.3">
      <c r="A44" s="1" t="s">
        <v>25</v>
      </c>
      <c r="B44">
        <v>230705215</v>
      </c>
      <c r="C44" s="2">
        <v>45176</v>
      </c>
      <c r="D44" s="2" t="s">
        <v>416</v>
      </c>
      <c r="E44">
        <v>1300</v>
      </c>
      <c r="F44" s="2">
        <v>36647</v>
      </c>
      <c r="G44">
        <v>73.2</v>
      </c>
      <c r="H44" t="s">
        <v>26</v>
      </c>
      <c r="I44">
        <v>71.38</v>
      </c>
      <c r="J44">
        <v>8.14</v>
      </c>
      <c r="K44" s="3">
        <f t="shared" si="0"/>
        <v>50.906666666666659</v>
      </c>
      <c r="L44" t="s">
        <v>27</v>
      </c>
      <c r="M44" t="s">
        <v>41</v>
      </c>
      <c r="N44">
        <v>23</v>
      </c>
      <c r="O44" t="s">
        <v>62</v>
      </c>
      <c r="P44" t="s">
        <v>56</v>
      </c>
      <c r="Q44" t="s">
        <v>30</v>
      </c>
      <c r="R44">
        <v>471</v>
      </c>
      <c r="S44">
        <v>58.875</v>
      </c>
      <c r="T44" t="s">
        <v>33</v>
      </c>
      <c r="U44" t="s">
        <v>32</v>
      </c>
      <c r="V44" t="s">
        <v>33</v>
      </c>
      <c r="W44" t="s">
        <v>49</v>
      </c>
      <c r="X44" t="s">
        <v>34</v>
      </c>
      <c r="Y44" t="s">
        <v>35</v>
      </c>
      <c r="Z44" t="s">
        <v>44</v>
      </c>
      <c r="AA44" t="s">
        <v>85</v>
      </c>
      <c r="AB44" t="s">
        <v>46</v>
      </c>
      <c r="AC44">
        <f>IF(Cdacdata[[#This Row],[placement_status]]="Placed",1,0)</f>
        <v>1</v>
      </c>
      <c r="AD44" t="s">
        <v>37</v>
      </c>
      <c r="AE44" t="s">
        <v>47</v>
      </c>
      <c r="AF44" t="s">
        <v>39</v>
      </c>
      <c r="AG44">
        <v>2023</v>
      </c>
      <c r="AH44" t="s">
        <v>40</v>
      </c>
      <c r="AI44" t="str">
        <f>IF(Cdacdata[ccat_rank]&lt;=100,"Top 100",
IF(Cdacdata[ccat_rank]&lt;=500,"101–500",
IF(Cdacdata[ccat_rank]&lt;=1000,"501–1000",
"1000+")))</f>
        <v>1000+</v>
      </c>
    </row>
    <row r="45" spans="1:35" x14ac:dyDescent="0.3">
      <c r="A45" s="1" t="s">
        <v>25</v>
      </c>
      <c r="B45">
        <v>230703417</v>
      </c>
      <c r="C45" s="2">
        <v>45173</v>
      </c>
      <c r="D45" s="2" t="s">
        <v>417</v>
      </c>
      <c r="E45">
        <v>1206</v>
      </c>
      <c r="F45" s="2">
        <v>36444</v>
      </c>
      <c r="G45">
        <v>80</v>
      </c>
      <c r="H45">
        <v>69.7</v>
      </c>
      <c r="I45" t="s">
        <v>26</v>
      </c>
      <c r="J45">
        <v>74.069999999999993</v>
      </c>
      <c r="K45" s="3">
        <f t="shared" si="0"/>
        <v>74.589999999999989</v>
      </c>
      <c r="L45" t="s">
        <v>27</v>
      </c>
      <c r="M45" t="s">
        <v>41</v>
      </c>
      <c r="N45">
        <v>23</v>
      </c>
      <c r="O45" t="s">
        <v>62</v>
      </c>
      <c r="P45" t="s">
        <v>42</v>
      </c>
      <c r="Q45" t="s">
        <v>43</v>
      </c>
      <c r="R45">
        <v>465</v>
      </c>
      <c r="S45">
        <v>58.125</v>
      </c>
      <c r="T45" t="s">
        <v>49</v>
      </c>
      <c r="U45" t="s">
        <v>32</v>
      </c>
      <c r="V45" t="s">
        <v>49</v>
      </c>
      <c r="W45" t="s">
        <v>31</v>
      </c>
      <c r="X45" t="s">
        <v>34</v>
      </c>
      <c r="Y45" t="s">
        <v>35</v>
      </c>
      <c r="Z45" t="s">
        <v>44</v>
      </c>
      <c r="AA45" t="s">
        <v>45</v>
      </c>
      <c r="AB45" t="s">
        <v>46</v>
      </c>
      <c r="AC45">
        <f>IF(Cdacdata[[#This Row],[placement_status]]="Placed",1,0)</f>
        <v>1</v>
      </c>
      <c r="AD45" t="s">
        <v>37</v>
      </c>
      <c r="AE45" t="s">
        <v>47</v>
      </c>
      <c r="AF45" t="s">
        <v>39</v>
      </c>
      <c r="AG45">
        <v>2023</v>
      </c>
      <c r="AH45" t="s">
        <v>40</v>
      </c>
      <c r="AI45" t="str">
        <f>IF(Cdacdata[ccat_rank]&lt;=100,"Top 100",
IF(Cdacdata[ccat_rank]&lt;=500,"101–500",
IF(Cdacdata[ccat_rank]&lt;=1000,"501–1000",
"1000+")))</f>
        <v>1000+</v>
      </c>
    </row>
    <row r="46" spans="1:35" x14ac:dyDescent="0.3">
      <c r="A46" s="1" t="s">
        <v>25</v>
      </c>
      <c r="B46">
        <v>230704845</v>
      </c>
      <c r="C46" s="2">
        <v>45178</v>
      </c>
      <c r="D46" s="2" t="s">
        <v>418</v>
      </c>
      <c r="E46">
        <v>852</v>
      </c>
      <c r="F46" s="2">
        <v>36254</v>
      </c>
      <c r="G46">
        <v>76.2</v>
      </c>
      <c r="H46">
        <v>52.46</v>
      </c>
      <c r="I46">
        <v>71.38</v>
      </c>
      <c r="J46">
        <v>79.099999999999994</v>
      </c>
      <c r="K46" s="3">
        <f t="shared" si="0"/>
        <v>69.784999999999997</v>
      </c>
      <c r="L46" t="s">
        <v>27</v>
      </c>
      <c r="M46" t="s">
        <v>41</v>
      </c>
      <c r="N46">
        <v>24</v>
      </c>
      <c r="O46" t="s">
        <v>48</v>
      </c>
      <c r="P46" t="s">
        <v>29</v>
      </c>
      <c r="Q46" t="s">
        <v>30</v>
      </c>
      <c r="R46">
        <v>515</v>
      </c>
      <c r="S46">
        <v>64.375</v>
      </c>
      <c r="T46" t="s">
        <v>49</v>
      </c>
      <c r="U46" t="s">
        <v>32</v>
      </c>
      <c r="V46" t="s">
        <v>49</v>
      </c>
      <c r="W46" t="s">
        <v>49</v>
      </c>
      <c r="X46" t="s">
        <v>34</v>
      </c>
      <c r="Y46" t="s">
        <v>50</v>
      </c>
      <c r="Z46" t="s">
        <v>53</v>
      </c>
      <c r="AA46" t="s">
        <v>54</v>
      </c>
      <c r="AB46" t="s">
        <v>46</v>
      </c>
      <c r="AC46">
        <f>IF(Cdacdata[[#This Row],[placement_status]]="Placed",1,0)</f>
        <v>1</v>
      </c>
      <c r="AD46" t="s">
        <v>37</v>
      </c>
      <c r="AE46" t="s">
        <v>75</v>
      </c>
      <c r="AF46" t="s">
        <v>39</v>
      </c>
      <c r="AG46">
        <v>2023</v>
      </c>
      <c r="AH46" t="s">
        <v>40</v>
      </c>
      <c r="AI46" t="str">
        <f>IF(Cdacdata[ccat_rank]&lt;=100,"Top 100",
IF(Cdacdata[ccat_rank]&lt;=500,"101–500",
IF(Cdacdata[ccat_rank]&lt;=1000,"501–1000",
"1000+")))</f>
        <v>501–1000</v>
      </c>
    </row>
    <row r="47" spans="1:35" x14ac:dyDescent="0.3">
      <c r="A47" s="1" t="s">
        <v>25</v>
      </c>
      <c r="B47">
        <v>230700614</v>
      </c>
      <c r="C47" s="2">
        <v>45177</v>
      </c>
      <c r="D47" s="2" t="s">
        <v>419</v>
      </c>
      <c r="E47">
        <v>548</v>
      </c>
      <c r="F47" s="2">
        <v>34347</v>
      </c>
      <c r="G47">
        <v>76.180000000000007</v>
      </c>
      <c r="H47">
        <v>57.17</v>
      </c>
      <c r="I47" t="s">
        <v>26</v>
      </c>
      <c r="J47">
        <v>60</v>
      </c>
      <c r="K47" s="3">
        <f t="shared" si="0"/>
        <v>64.45</v>
      </c>
      <c r="L47" t="s">
        <v>27</v>
      </c>
      <c r="M47" t="s">
        <v>41</v>
      </c>
      <c r="N47">
        <v>29</v>
      </c>
      <c r="O47" t="s">
        <v>28</v>
      </c>
      <c r="P47" t="s">
        <v>60</v>
      </c>
      <c r="Q47" t="s">
        <v>30</v>
      </c>
      <c r="R47">
        <v>357</v>
      </c>
      <c r="S47">
        <v>44.625</v>
      </c>
      <c r="T47" t="s">
        <v>33</v>
      </c>
      <c r="U47" t="s">
        <v>32</v>
      </c>
      <c r="V47" t="s">
        <v>33</v>
      </c>
      <c r="W47" t="s">
        <v>31</v>
      </c>
      <c r="X47" t="s">
        <v>34</v>
      </c>
      <c r="Y47" t="s">
        <v>80</v>
      </c>
      <c r="Z47" t="s">
        <v>36</v>
      </c>
      <c r="AA47" t="s">
        <v>1268</v>
      </c>
      <c r="AB47" t="s">
        <v>36</v>
      </c>
      <c r="AC47">
        <f>IF(Cdacdata[[#This Row],[placement_status]]="Placed",1,0)</f>
        <v>0</v>
      </c>
      <c r="AD47" t="s">
        <v>37</v>
      </c>
      <c r="AE47" t="s">
        <v>75</v>
      </c>
      <c r="AF47" t="s">
        <v>69</v>
      </c>
      <c r="AG47">
        <v>2023</v>
      </c>
      <c r="AH47" t="s">
        <v>40</v>
      </c>
      <c r="AI47" t="str">
        <f>IF(Cdacdata[ccat_rank]&lt;=100,"Top 100",
IF(Cdacdata[ccat_rank]&lt;=500,"101–500",
IF(Cdacdata[ccat_rank]&lt;=1000,"501–1000",
"1000+")))</f>
        <v>501–1000</v>
      </c>
    </row>
    <row r="48" spans="1:35" x14ac:dyDescent="0.3">
      <c r="A48" s="1" t="s">
        <v>25</v>
      </c>
      <c r="B48">
        <v>230613815</v>
      </c>
      <c r="C48" s="2">
        <v>45172</v>
      </c>
      <c r="D48" s="2" t="s">
        <v>420</v>
      </c>
      <c r="E48">
        <v>1686</v>
      </c>
      <c r="F48" s="2">
        <v>37177</v>
      </c>
      <c r="G48">
        <v>89.6</v>
      </c>
      <c r="H48">
        <v>72.459999999999994</v>
      </c>
      <c r="I48" t="s">
        <v>26</v>
      </c>
      <c r="J48">
        <v>81.790000000000006</v>
      </c>
      <c r="K48" s="3">
        <f t="shared" si="0"/>
        <v>81.283333333333346</v>
      </c>
      <c r="L48" t="s">
        <v>27</v>
      </c>
      <c r="M48" t="s">
        <v>27</v>
      </c>
      <c r="N48">
        <v>21</v>
      </c>
      <c r="O48" t="s">
        <v>48</v>
      </c>
      <c r="P48" t="s">
        <v>56</v>
      </c>
      <c r="Q48" t="s">
        <v>30</v>
      </c>
      <c r="R48">
        <v>522</v>
      </c>
      <c r="S48">
        <v>65.25</v>
      </c>
      <c r="T48" t="s">
        <v>33</v>
      </c>
      <c r="U48" t="s">
        <v>32</v>
      </c>
      <c r="V48" t="s">
        <v>33</v>
      </c>
      <c r="W48" t="s">
        <v>33</v>
      </c>
      <c r="X48" t="s">
        <v>34</v>
      </c>
      <c r="Y48" t="s">
        <v>50</v>
      </c>
      <c r="Z48" t="s">
        <v>44</v>
      </c>
      <c r="AA48" t="s">
        <v>86</v>
      </c>
      <c r="AB48" t="s">
        <v>46</v>
      </c>
      <c r="AC48">
        <f>IF(Cdacdata[[#This Row],[placement_status]]="Placed",1,0)</f>
        <v>1</v>
      </c>
      <c r="AD48" t="s">
        <v>37</v>
      </c>
      <c r="AE48" t="s">
        <v>47</v>
      </c>
      <c r="AF48" t="s">
        <v>57</v>
      </c>
      <c r="AG48">
        <v>2023</v>
      </c>
      <c r="AH48" t="s">
        <v>40</v>
      </c>
      <c r="AI48" t="str">
        <f>IF(Cdacdata[ccat_rank]&lt;=100,"Top 100",
IF(Cdacdata[ccat_rank]&lt;=500,"101–500",
IF(Cdacdata[ccat_rank]&lt;=1000,"501–1000",
"1000+")))</f>
        <v>1000+</v>
      </c>
    </row>
    <row r="49" spans="1:35" x14ac:dyDescent="0.3">
      <c r="A49" s="1" t="s">
        <v>25</v>
      </c>
      <c r="B49">
        <v>230606489</v>
      </c>
      <c r="C49" s="2">
        <v>45164</v>
      </c>
      <c r="D49" s="2" t="s">
        <v>421</v>
      </c>
      <c r="E49">
        <v>1896</v>
      </c>
      <c r="F49" s="2">
        <v>36434</v>
      </c>
      <c r="G49">
        <v>76</v>
      </c>
      <c r="H49">
        <v>63</v>
      </c>
      <c r="I49" t="s">
        <v>26</v>
      </c>
      <c r="J49">
        <v>82.1</v>
      </c>
      <c r="K49" s="3">
        <f t="shared" si="0"/>
        <v>73.7</v>
      </c>
      <c r="L49" t="s">
        <v>27</v>
      </c>
      <c r="M49" t="s">
        <v>27</v>
      </c>
      <c r="N49">
        <v>23</v>
      </c>
      <c r="O49" t="s">
        <v>48</v>
      </c>
      <c r="P49" t="s">
        <v>56</v>
      </c>
      <c r="Q49" t="s">
        <v>43</v>
      </c>
      <c r="R49">
        <v>510</v>
      </c>
      <c r="S49">
        <v>63.75</v>
      </c>
      <c r="T49" t="s">
        <v>33</v>
      </c>
      <c r="U49" t="s">
        <v>32</v>
      </c>
      <c r="V49" t="s">
        <v>33</v>
      </c>
      <c r="W49" t="s">
        <v>49</v>
      </c>
      <c r="X49" t="s">
        <v>34</v>
      </c>
      <c r="Y49" t="s">
        <v>50</v>
      </c>
      <c r="Z49" t="s">
        <v>44</v>
      </c>
      <c r="AA49" t="s">
        <v>86</v>
      </c>
      <c r="AB49" t="s">
        <v>46</v>
      </c>
      <c r="AC49">
        <f>IF(Cdacdata[[#This Row],[placement_status]]="Placed",1,0)</f>
        <v>1</v>
      </c>
      <c r="AD49" t="s">
        <v>37</v>
      </c>
      <c r="AE49" t="s">
        <v>47</v>
      </c>
      <c r="AF49" t="s">
        <v>39</v>
      </c>
      <c r="AG49">
        <v>2023</v>
      </c>
      <c r="AH49" t="s">
        <v>40</v>
      </c>
      <c r="AI49" t="str">
        <f>IF(Cdacdata[ccat_rank]&lt;=100,"Top 100",
IF(Cdacdata[ccat_rank]&lt;=500,"101–500",
IF(Cdacdata[ccat_rank]&lt;=1000,"501–1000",
"1000+")))</f>
        <v>1000+</v>
      </c>
    </row>
    <row r="50" spans="1:35" x14ac:dyDescent="0.3">
      <c r="A50" s="1" t="s">
        <v>25</v>
      </c>
      <c r="B50">
        <v>230611726</v>
      </c>
      <c r="C50" s="2">
        <v>45169</v>
      </c>
      <c r="D50" s="2" t="s">
        <v>422</v>
      </c>
      <c r="E50">
        <v>1777</v>
      </c>
      <c r="F50" s="2">
        <v>36226</v>
      </c>
      <c r="G50">
        <v>91.2</v>
      </c>
      <c r="H50" t="s">
        <v>26</v>
      </c>
      <c r="I50">
        <v>83.21</v>
      </c>
      <c r="J50">
        <v>77.59</v>
      </c>
      <c r="K50" s="3">
        <f t="shared" si="0"/>
        <v>84</v>
      </c>
      <c r="L50" t="s">
        <v>27</v>
      </c>
      <c r="M50" t="s">
        <v>41</v>
      </c>
      <c r="N50">
        <v>24</v>
      </c>
      <c r="O50" t="s">
        <v>48</v>
      </c>
      <c r="P50" t="s">
        <v>42</v>
      </c>
      <c r="Q50" t="s">
        <v>30</v>
      </c>
      <c r="R50">
        <v>563</v>
      </c>
      <c r="S50">
        <v>70.375</v>
      </c>
      <c r="T50" t="s">
        <v>49</v>
      </c>
      <c r="U50" t="s">
        <v>32</v>
      </c>
      <c r="V50" t="s">
        <v>49</v>
      </c>
      <c r="W50" t="s">
        <v>33</v>
      </c>
      <c r="X50" t="s">
        <v>34</v>
      </c>
      <c r="Y50" t="s">
        <v>58</v>
      </c>
      <c r="Z50" t="s">
        <v>44</v>
      </c>
      <c r="AA50" t="s">
        <v>74</v>
      </c>
      <c r="AB50" t="s">
        <v>46</v>
      </c>
      <c r="AC50">
        <f>IF(Cdacdata[[#This Row],[placement_status]]="Placed",1,0)</f>
        <v>1</v>
      </c>
      <c r="AD50" t="s">
        <v>37</v>
      </c>
      <c r="AE50" t="s">
        <v>47</v>
      </c>
      <c r="AF50" t="s">
        <v>39</v>
      </c>
      <c r="AG50">
        <v>2023</v>
      </c>
      <c r="AH50" t="s">
        <v>40</v>
      </c>
      <c r="AI50" t="str">
        <f>IF(Cdacdata[ccat_rank]&lt;=100,"Top 100",
IF(Cdacdata[ccat_rank]&lt;=500,"101–500",
IF(Cdacdata[ccat_rank]&lt;=1000,"501–1000",
"1000+")))</f>
        <v>1000+</v>
      </c>
    </row>
    <row r="51" spans="1:35" x14ac:dyDescent="0.3">
      <c r="A51" s="1" t="s">
        <v>25</v>
      </c>
      <c r="B51">
        <v>230603335</v>
      </c>
      <c r="C51" s="2">
        <v>45168</v>
      </c>
      <c r="D51" s="2" t="s">
        <v>423</v>
      </c>
      <c r="E51">
        <v>1394</v>
      </c>
      <c r="F51" s="2">
        <v>36235</v>
      </c>
      <c r="G51">
        <v>85.4</v>
      </c>
      <c r="H51" t="s">
        <v>26</v>
      </c>
      <c r="I51">
        <v>66.180000000000007</v>
      </c>
      <c r="J51">
        <v>69.400000000000006</v>
      </c>
      <c r="K51" s="3">
        <f t="shared" si="0"/>
        <v>73.660000000000011</v>
      </c>
      <c r="L51" t="s">
        <v>27</v>
      </c>
      <c r="M51" t="s">
        <v>27</v>
      </c>
      <c r="N51">
        <v>24</v>
      </c>
      <c r="O51" t="s">
        <v>28</v>
      </c>
      <c r="P51" t="s">
        <v>60</v>
      </c>
      <c r="Q51" t="s">
        <v>30</v>
      </c>
      <c r="R51">
        <v>411</v>
      </c>
      <c r="S51">
        <v>51.375</v>
      </c>
      <c r="T51" t="s">
        <v>33</v>
      </c>
      <c r="U51" t="s">
        <v>32</v>
      </c>
      <c r="V51" t="s">
        <v>33</v>
      </c>
      <c r="W51" t="s">
        <v>31</v>
      </c>
      <c r="X51" t="s">
        <v>34</v>
      </c>
      <c r="Y51" t="s">
        <v>35</v>
      </c>
      <c r="Z51" t="s">
        <v>36</v>
      </c>
      <c r="AA51" t="s">
        <v>1268</v>
      </c>
      <c r="AB51" t="s">
        <v>36</v>
      </c>
      <c r="AC51">
        <f>IF(Cdacdata[[#This Row],[placement_status]]="Placed",1,0)</f>
        <v>0</v>
      </c>
      <c r="AD51" t="s">
        <v>37</v>
      </c>
      <c r="AE51" t="s">
        <v>47</v>
      </c>
      <c r="AF51" t="s">
        <v>39</v>
      </c>
      <c r="AG51">
        <v>2023</v>
      </c>
      <c r="AH51" t="s">
        <v>40</v>
      </c>
      <c r="AI51" t="str">
        <f>IF(Cdacdata[ccat_rank]&lt;=100,"Top 100",
IF(Cdacdata[ccat_rank]&lt;=500,"101–500",
IF(Cdacdata[ccat_rank]&lt;=1000,"501–1000",
"1000+")))</f>
        <v>1000+</v>
      </c>
    </row>
    <row r="52" spans="1:35" x14ac:dyDescent="0.3">
      <c r="A52" s="1" t="s">
        <v>25</v>
      </c>
      <c r="B52">
        <v>230605622</v>
      </c>
      <c r="C52" s="2">
        <v>45163</v>
      </c>
      <c r="D52" s="2" t="s">
        <v>424</v>
      </c>
      <c r="E52">
        <v>1669</v>
      </c>
      <c r="F52" s="2">
        <v>37105</v>
      </c>
      <c r="G52">
        <v>74</v>
      </c>
      <c r="H52">
        <v>72</v>
      </c>
      <c r="I52" t="s">
        <v>26</v>
      </c>
      <c r="J52">
        <v>0</v>
      </c>
      <c r="K52" s="3">
        <f t="shared" si="0"/>
        <v>48.666666666666664</v>
      </c>
      <c r="L52" t="s">
        <v>27</v>
      </c>
      <c r="M52" t="s">
        <v>27</v>
      </c>
      <c r="N52">
        <v>22</v>
      </c>
      <c r="O52" t="s">
        <v>62</v>
      </c>
      <c r="P52" t="s">
        <v>26</v>
      </c>
      <c r="Q52" t="s">
        <v>374</v>
      </c>
      <c r="R52">
        <v>548</v>
      </c>
      <c r="S52">
        <v>68.5</v>
      </c>
      <c r="T52" t="s">
        <v>49</v>
      </c>
      <c r="U52" t="s">
        <v>32</v>
      </c>
      <c r="V52" t="s">
        <v>49</v>
      </c>
      <c r="W52" t="s">
        <v>49</v>
      </c>
      <c r="X52" t="s">
        <v>34</v>
      </c>
      <c r="Y52" t="s">
        <v>50</v>
      </c>
      <c r="Z52" t="s">
        <v>44</v>
      </c>
      <c r="AA52" t="s">
        <v>45</v>
      </c>
      <c r="AB52" t="s">
        <v>46</v>
      </c>
      <c r="AC52">
        <f>IF(Cdacdata[[#This Row],[placement_status]]="Placed",1,0)</f>
        <v>1</v>
      </c>
      <c r="AD52" t="s">
        <v>37</v>
      </c>
      <c r="AE52" t="s">
        <v>47</v>
      </c>
      <c r="AF52" t="s">
        <v>57</v>
      </c>
      <c r="AG52">
        <v>2023</v>
      </c>
      <c r="AH52" t="s">
        <v>40</v>
      </c>
      <c r="AI52" t="str">
        <f>IF(Cdacdata[ccat_rank]&lt;=100,"Top 100",
IF(Cdacdata[ccat_rank]&lt;=500,"101–500",
IF(Cdacdata[ccat_rank]&lt;=1000,"501–1000",
"1000+")))</f>
        <v>1000+</v>
      </c>
    </row>
    <row r="53" spans="1:35" x14ac:dyDescent="0.3">
      <c r="A53" s="1" t="s">
        <v>25</v>
      </c>
      <c r="B53">
        <v>230601416</v>
      </c>
      <c r="C53" s="2">
        <v>45165</v>
      </c>
      <c r="D53" s="2" t="s">
        <v>425</v>
      </c>
      <c r="E53">
        <v>2083</v>
      </c>
      <c r="F53" s="2">
        <v>37442</v>
      </c>
      <c r="G53">
        <v>93.8</v>
      </c>
      <c r="H53">
        <v>85.2</v>
      </c>
      <c r="I53" t="s">
        <v>26</v>
      </c>
      <c r="J53">
        <v>77</v>
      </c>
      <c r="K53" s="3">
        <f t="shared" si="0"/>
        <v>85.333333333333329</v>
      </c>
      <c r="L53" t="s">
        <v>27</v>
      </c>
      <c r="M53" t="s">
        <v>27</v>
      </c>
      <c r="N53">
        <v>21</v>
      </c>
      <c r="O53" t="s">
        <v>48</v>
      </c>
      <c r="P53" t="s">
        <v>56</v>
      </c>
      <c r="Q53" t="s">
        <v>30</v>
      </c>
      <c r="R53">
        <v>493</v>
      </c>
      <c r="S53">
        <v>61.625</v>
      </c>
      <c r="T53" t="s">
        <v>49</v>
      </c>
      <c r="U53" t="s">
        <v>32</v>
      </c>
      <c r="V53" t="s">
        <v>49</v>
      </c>
      <c r="W53" t="s">
        <v>49</v>
      </c>
      <c r="X53" t="s">
        <v>34</v>
      </c>
      <c r="Y53" t="s">
        <v>50</v>
      </c>
      <c r="Z53" t="s">
        <v>44</v>
      </c>
      <c r="AA53" t="s">
        <v>87</v>
      </c>
      <c r="AB53" t="s">
        <v>46</v>
      </c>
      <c r="AC53">
        <f>IF(Cdacdata[[#This Row],[placement_status]]="Placed",1,0)</f>
        <v>1</v>
      </c>
      <c r="AD53" t="s">
        <v>37</v>
      </c>
      <c r="AE53" t="s">
        <v>38</v>
      </c>
      <c r="AF53" t="s">
        <v>57</v>
      </c>
      <c r="AG53">
        <v>2023</v>
      </c>
      <c r="AH53" t="s">
        <v>40</v>
      </c>
      <c r="AI53" t="str">
        <f>IF(Cdacdata[ccat_rank]&lt;=100,"Top 100",
IF(Cdacdata[ccat_rank]&lt;=500,"101–500",
IF(Cdacdata[ccat_rank]&lt;=1000,"501–1000",
"1000+")))</f>
        <v>1000+</v>
      </c>
    </row>
    <row r="54" spans="1:35" x14ac:dyDescent="0.3">
      <c r="A54" s="1" t="s">
        <v>25</v>
      </c>
      <c r="B54">
        <v>230700611</v>
      </c>
      <c r="C54" s="2">
        <v>45175</v>
      </c>
      <c r="D54" s="2" t="s">
        <v>426</v>
      </c>
      <c r="E54">
        <v>923</v>
      </c>
      <c r="F54" s="2">
        <v>36799</v>
      </c>
      <c r="G54">
        <v>72.599999999999994</v>
      </c>
      <c r="H54">
        <v>56.77</v>
      </c>
      <c r="I54">
        <v>81.8</v>
      </c>
      <c r="J54">
        <v>0</v>
      </c>
      <c r="K54" s="3">
        <f t="shared" si="0"/>
        <v>52.792500000000004</v>
      </c>
      <c r="L54" t="s">
        <v>27</v>
      </c>
      <c r="M54" t="s">
        <v>27</v>
      </c>
      <c r="N54">
        <v>22</v>
      </c>
      <c r="O54" t="s">
        <v>62</v>
      </c>
      <c r="P54" t="s">
        <v>26</v>
      </c>
      <c r="Q54" t="s">
        <v>374</v>
      </c>
      <c r="R54">
        <v>408</v>
      </c>
      <c r="S54">
        <v>51</v>
      </c>
      <c r="T54" t="s">
        <v>31</v>
      </c>
      <c r="U54" t="s">
        <v>32</v>
      </c>
      <c r="V54" t="s">
        <v>31</v>
      </c>
      <c r="W54" t="s">
        <v>33</v>
      </c>
      <c r="X54" t="s">
        <v>34</v>
      </c>
      <c r="Y54" t="s">
        <v>35</v>
      </c>
      <c r="Z54" t="s">
        <v>36</v>
      </c>
      <c r="AA54" t="s">
        <v>1268</v>
      </c>
      <c r="AB54" t="s">
        <v>36</v>
      </c>
      <c r="AC54">
        <f>IF(Cdacdata[[#This Row],[placement_status]]="Placed",1,0)</f>
        <v>0</v>
      </c>
      <c r="AD54" t="s">
        <v>37</v>
      </c>
      <c r="AE54" t="s">
        <v>75</v>
      </c>
      <c r="AF54" t="s">
        <v>57</v>
      </c>
      <c r="AG54">
        <v>2023</v>
      </c>
      <c r="AH54" t="s">
        <v>40</v>
      </c>
      <c r="AI54" t="str">
        <f>IF(Cdacdata[ccat_rank]&lt;=100,"Top 100",
IF(Cdacdata[ccat_rank]&lt;=500,"101–500",
IF(Cdacdata[ccat_rank]&lt;=1000,"501–1000",
"1000+")))</f>
        <v>501–1000</v>
      </c>
    </row>
    <row r="55" spans="1:35" x14ac:dyDescent="0.3">
      <c r="A55" s="1" t="s">
        <v>25</v>
      </c>
      <c r="B55">
        <v>230700281</v>
      </c>
      <c r="C55" s="2">
        <v>45170</v>
      </c>
      <c r="D55" s="2" t="s">
        <v>427</v>
      </c>
      <c r="E55">
        <v>1904</v>
      </c>
      <c r="F55" s="2">
        <v>35954</v>
      </c>
      <c r="G55">
        <v>91.2</v>
      </c>
      <c r="H55">
        <v>78</v>
      </c>
      <c r="I55" t="s">
        <v>26</v>
      </c>
      <c r="J55">
        <v>80.2</v>
      </c>
      <c r="K55" s="3">
        <f t="shared" si="0"/>
        <v>83.133333333333326</v>
      </c>
      <c r="L55" t="s">
        <v>27</v>
      </c>
      <c r="M55" t="s">
        <v>41</v>
      </c>
      <c r="N55">
        <v>25</v>
      </c>
      <c r="O55" t="s">
        <v>48</v>
      </c>
      <c r="P55" t="s">
        <v>52</v>
      </c>
      <c r="Q55" t="s">
        <v>43</v>
      </c>
      <c r="R55">
        <v>577</v>
      </c>
      <c r="S55">
        <v>72.125</v>
      </c>
      <c r="T55" t="s">
        <v>49</v>
      </c>
      <c r="U55" t="s">
        <v>32</v>
      </c>
      <c r="V55" t="s">
        <v>49</v>
      </c>
      <c r="W55" t="s">
        <v>49</v>
      </c>
      <c r="X55" t="s">
        <v>34</v>
      </c>
      <c r="Y55" t="s">
        <v>58</v>
      </c>
      <c r="Z55" t="s">
        <v>44</v>
      </c>
      <c r="AA55" t="s">
        <v>88</v>
      </c>
      <c r="AB55" t="s">
        <v>46</v>
      </c>
      <c r="AC55">
        <f>IF(Cdacdata[[#This Row],[placement_status]]="Placed",1,0)</f>
        <v>1</v>
      </c>
      <c r="AD55" t="s">
        <v>37</v>
      </c>
      <c r="AE55" t="s">
        <v>47</v>
      </c>
      <c r="AF55" t="s">
        <v>39</v>
      </c>
      <c r="AG55">
        <v>2023</v>
      </c>
      <c r="AH55" t="s">
        <v>40</v>
      </c>
      <c r="AI55" t="str">
        <f>IF(Cdacdata[ccat_rank]&lt;=100,"Top 100",
IF(Cdacdata[ccat_rank]&lt;=500,"101–500",
IF(Cdacdata[ccat_rank]&lt;=1000,"501–1000",
"1000+")))</f>
        <v>1000+</v>
      </c>
    </row>
    <row r="56" spans="1:35" x14ac:dyDescent="0.3">
      <c r="A56" s="1" t="s">
        <v>25</v>
      </c>
      <c r="B56">
        <v>230608418</v>
      </c>
      <c r="C56" s="2">
        <v>45175</v>
      </c>
      <c r="D56" s="2" t="s">
        <v>428</v>
      </c>
      <c r="E56">
        <v>1600</v>
      </c>
      <c r="F56" s="2">
        <v>34699</v>
      </c>
      <c r="G56">
        <v>93.82</v>
      </c>
      <c r="H56">
        <v>70.33</v>
      </c>
      <c r="I56" t="s">
        <v>26</v>
      </c>
      <c r="J56">
        <v>0</v>
      </c>
      <c r="K56" s="3">
        <f t="shared" si="0"/>
        <v>54.716666666666661</v>
      </c>
      <c r="L56" t="s">
        <v>27</v>
      </c>
      <c r="M56" t="s">
        <v>27</v>
      </c>
      <c r="N56">
        <v>28</v>
      </c>
      <c r="O56" t="s">
        <v>62</v>
      </c>
      <c r="P56" t="s">
        <v>26</v>
      </c>
      <c r="Q56" t="s">
        <v>374</v>
      </c>
      <c r="R56">
        <v>547</v>
      </c>
      <c r="S56">
        <v>68.375</v>
      </c>
      <c r="T56" t="s">
        <v>31</v>
      </c>
      <c r="U56" t="s">
        <v>32</v>
      </c>
      <c r="V56" t="s">
        <v>31</v>
      </c>
      <c r="W56" t="s">
        <v>33</v>
      </c>
      <c r="X56" t="s">
        <v>34</v>
      </c>
      <c r="Y56" t="s">
        <v>50</v>
      </c>
      <c r="Z56" t="s">
        <v>36</v>
      </c>
      <c r="AA56" t="s">
        <v>1268</v>
      </c>
      <c r="AB56" t="s">
        <v>36</v>
      </c>
      <c r="AC56">
        <f>IF(Cdacdata[[#This Row],[placement_status]]="Placed",1,0)</f>
        <v>0</v>
      </c>
      <c r="AD56" t="s">
        <v>37</v>
      </c>
      <c r="AE56" t="s">
        <v>47</v>
      </c>
      <c r="AF56" t="s">
        <v>55</v>
      </c>
      <c r="AG56">
        <v>2023</v>
      </c>
      <c r="AH56" t="s">
        <v>40</v>
      </c>
      <c r="AI56" t="str">
        <f>IF(Cdacdata[ccat_rank]&lt;=100,"Top 100",
IF(Cdacdata[ccat_rank]&lt;=500,"101–500",
IF(Cdacdata[ccat_rank]&lt;=1000,"501–1000",
"1000+")))</f>
        <v>1000+</v>
      </c>
    </row>
    <row r="57" spans="1:35" x14ac:dyDescent="0.3">
      <c r="A57" s="1" t="s">
        <v>25</v>
      </c>
      <c r="B57">
        <v>230607622</v>
      </c>
      <c r="C57" s="2">
        <v>45169</v>
      </c>
      <c r="D57" s="2" t="s">
        <v>429</v>
      </c>
      <c r="E57">
        <v>2038</v>
      </c>
      <c r="F57" s="2">
        <v>37202</v>
      </c>
      <c r="G57">
        <v>86.6</v>
      </c>
      <c r="H57">
        <v>76.92</v>
      </c>
      <c r="I57" t="s">
        <v>26</v>
      </c>
      <c r="J57">
        <v>75.14</v>
      </c>
      <c r="K57" s="3">
        <f t="shared" si="0"/>
        <v>79.553333333333327</v>
      </c>
      <c r="L57" t="s">
        <v>27</v>
      </c>
      <c r="M57" t="s">
        <v>27</v>
      </c>
      <c r="N57">
        <v>21</v>
      </c>
      <c r="O57" t="s">
        <v>48</v>
      </c>
      <c r="P57" t="s">
        <v>29</v>
      </c>
      <c r="Q57" t="s">
        <v>30</v>
      </c>
      <c r="R57">
        <v>608</v>
      </c>
      <c r="S57">
        <v>76</v>
      </c>
      <c r="T57" t="s">
        <v>49</v>
      </c>
      <c r="U57" t="s">
        <v>32</v>
      </c>
      <c r="V57" t="s">
        <v>49</v>
      </c>
      <c r="W57" t="s">
        <v>49</v>
      </c>
      <c r="X57" t="s">
        <v>34</v>
      </c>
      <c r="Y57" t="s">
        <v>58</v>
      </c>
      <c r="Z57" t="s">
        <v>44</v>
      </c>
      <c r="AA57" t="s">
        <v>89</v>
      </c>
      <c r="AB57" t="s">
        <v>46</v>
      </c>
      <c r="AC57">
        <f>IF(Cdacdata[[#This Row],[placement_status]]="Placed",1,0)</f>
        <v>1</v>
      </c>
      <c r="AD57" t="s">
        <v>37</v>
      </c>
      <c r="AE57" t="s">
        <v>38</v>
      </c>
      <c r="AF57" t="s">
        <v>57</v>
      </c>
      <c r="AG57">
        <v>2023</v>
      </c>
      <c r="AH57" t="s">
        <v>40</v>
      </c>
      <c r="AI57" t="str">
        <f>IF(Cdacdata[ccat_rank]&lt;=100,"Top 100",
IF(Cdacdata[ccat_rank]&lt;=500,"101–500",
IF(Cdacdata[ccat_rank]&lt;=1000,"501–1000",
"1000+")))</f>
        <v>1000+</v>
      </c>
    </row>
    <row r="58" spans="1:35" x14ac:dyDescent="0.3">
      <c r="A58" s="1" t="s">
        <v>25</v>
      </c>
      <c r="B58">
        <v>230607836</v>
      </c>
      <c r="C58" s="2">
        <v>45168</v>
      </c>
      <c r="D58" s="2" t="s">
        <v>430</v>
      </c>
      <c r="E58">
        <v>1899</v>
      </c>
      <c r="F58" s="2">
        <v>34540</v>
      </c>
      <c r="G58">
        <v>93.64</v>
      </c>
      <c r="H58">
        <v>60.67</v>
      </c>
      <c r="I58" t="s">
        <v>26</v>
      </c>
      <c r="J58">
        <v>67.53</v>
      </c>
      <c r="K58" s="3">
        <f t="shared" si="0"/>
        <v>73.946666666666673</v>
      </c>
      <c r="L58" t="s">
        <v>27</v>
      </c>
      <c r="M58" t="s">
        <v>41</v>
      </c>
      <c r="N58">
        <v>29</v>
      </c>
      <c r="O58" t="s">
        <v>28</v>
      </c>
      <c r="P58" t="s">
        <v>60</v>
      </c>
      <c r="Q58" t="s">
        <v>30</v>
      </c>
      <c r="R58">
        <v>299</v>
      </c>
      <c r="S58">
        <v>37.375</v>
      </c>
      <c r="T58" t="s">
        <v>31</v>
      </c>
      <c r="U58" t="s">
        <v>64</v>
      </c>
      <c r="V58" t="s">
        <v>31</v>
      </c>
      <c r="W58" t="s">
        <v>31</v>
      </c>
      <c r="X58" t="s">
        <v>34</v>
      </c>
      <c r="Y58" t="s">
        <v>64</v>
      </c>
      <c r="Z58" t="s">
        <v>36</v>
      </c>
      <c r="AA58" t="s">
        <v>1268</v>
      </c>
      <c r="AB58" t="s">
        <v>36</v>
      </c>
      <c r="AC58">
        <f>IF(Cdacdata[[#This Row],[placement_status]]="Placed",1,0)</f>
        <v>0</v>
      </c>
      <c r="AD58" t="s">
        <v>37</v>
      </c>
      <c r="AE58" t="s">
        <v>47</v>
      </c>
      <c r="AF58" t="s">
        <v>69</v>
      </c>
      <c r="AG58">
        <v>2023</v>
      </c>
      <c r="AH58" t="s">
        <v>40</v>
      </c>
      <c r="AI58" t="str">
        <f>IF(Cdacdata[ccat_rank]&lt;=100,"Top 100",
IF(Cdacdata[ccat_rank]&lt;=500,"101–500",
IF(Cdacdata[ccat_rank]&lt;=1000,"501–1000",
"1000+")))</f>
        <v>1000+</v>
      </c>
    </row>
    <row r="59" spans="1:35" x14ac:dyDescent="0.3">
      <c r="A59" s="1" t="s">
        <v>25</v>
      </c>
      <c r="B59">
        <v>230602206</v>
      </c>
      <c r="C59" s="2">
        <v>45167</v>
      </c>
      <c r="D59" s="2" t="s">
        <v>431</v>
      </c>
      <c r="E59">
        <v>2142</v>
      </c>
      <c r="F59" s="2">
        <v>36111</v>
      </c>
      <c r="G59">
        <v>88</v>
      </c>
      <c r="H59" t="s">
        <v>26</v>
      </c>
      <c r="I59">
        <v>69.150000000000006</v>
      </c>
      <c r="J59">
        <v>71.900000000000006</v>
      </c>
      <c r="K59" s="3">
        <f t="shared" si="0"/>
        <v>76.350000000000009</v>
      </c>
      <c r="L59" t="s">
        <v>27</v>
      </c>
      <c r="M59" t="s">
        <v>41</v>
      </c>
      <c r="N59">
        <v>24</v>
      </c>
      <c r="O59" t="s">
        <v>28</v>
      </c>
      <c r="P59" t="s">
        <v>42</v>
      </c>
      <c r="Q59" t="s">
        <v>30</v>
      </c>
      <c r="R59">
        <v>405</v>
      </c>
      <c r="S59">
        <v>50.625</v>
      </c>
      <c r="T59" t="s">
        <v>31</v>
      </c>
      <c r="U59" t="s">
        <v>32</v>
      </c>
      <c r="V59" t="s">
        <v>31</v>
      </c>
      <c r="W59" t="s">
        <v>33</v>
      </c>
      <c r="X59" t="s">
        <v>34</v>
      </c>
      <c r="Y59" t="s">
        <v>35</v>
      </c>
      <c r="Z59" t="s">
        <v>36</v>
      </c>
      <c r="AA59" t="s">
        <v>1268</v>
      </c>
      <c r="AB59" t="s">
        <v>36</v>
      </c>
      <c r="AC59">
        <f>IF(Cdacdata[[#This Row],[placement_status]]="Placed",1,0)</f>
        <v>0</v>
      </c>
      <c r="AD59" t="s">
        <v>37</v>
      </c>
      <c r="AE59" t="s">
        <v>38</v>
      </c>
      <c r="AF59" t="s">
        <v>39</v>
      </c>
      <c r="AG59">
        <v>2023</v>
      </c>
      <c r="AH59" t="s">
        <v>40</v>
      </c>
      <c r="AI59" t="str">
        <f>IF(Cdacdata[ccat_rank]&lt;=100,"Top 100",
IF(Cdacdata[ccat_rank]&lt;=500,"101–500",
IF(Cdacdata[ccat_rank]&lt;=1000,"501–1000",
"1000+")))</f>
        <v>1000+</v>
      </c>
    </row>
    <row r="60" spans="1:35" x14ac:dyDescent="0.3">
      <c r="A60" s="1" t="s">
        <v>25</v>
      </c>
      <c r="B60">
        <v>230603225</v>
      </c>
      <c r="C60" s="2">
        <v>45168</v>
      </c>
      <c r="D60" s="2" t="s">
        <v>432</v>
      </c>
      <c r="E60">
        <v>1538</v>
      </c>
      <c r="F60" s="2">
        <v>36961</v>
      </c>
      <c r="G60">
        <v>85.4</v>
      </c>
      <c r="H60">
        <v>69.540000000000006</v>
      </c>
      <c r="I60" t="s">
        <v>26</v>
      </c>
      <c r="J60">
        <v>8.27</v>
      </c>
      <c r="K60" s="3">
        <f t="shared" si="0"/>
        <v>54.403333333333336</v>
      </c>
      <c r="L60" t="s">
        <v>27</v>
      </c>
      <c r="M60" t="s">
        <v>41</v>
      </c>
      <c r="N60">
        <v>22</v>
      </c>
      <c r="O60" t="s">
        <v>62</v>
      </c>
      <c r="P60" t="s">
        <v>26</v>
      </c>
      <c r="Q60" t="s">
        <v>43</v>
      </c>
      <c r="R60">
        <v>429</v>
      </c>
      <c r="S60">
        <v>53.625</v>
      </c>
      <c r="T60" t="s">
        <v>31</v>
      </c>
      <c r="U60" t="s">
        <v>32</v>
      </c>
      <c r="V60" t="s">
        <v>31</v>
      </c>
      <c r="W60" t="s">
        <v>33</v>
      </c>
      <c r="X60" t="s">
        <v>34</v>
      </c>
      <c r="Y60" t="s">
        <v>35</v>
      </c>
      <c r="Z60" t="s">
        <v>36</v>
      </c>
      <c r="AA60" t="s">
        <v>1268</v>
      </c>
      <c r="AB60" t="s">
        <v>36</v>
      </c>
      <c r="AC60">
        <f>IF(Cdacdata[[#This Row],[placement_status]]="Placed",1,0)</f>
        <v>0</v>
      </c>
      <c r="AD60" t="s">
        <v>37</v>
      </c>
      <c r="AE60" t="s">
        <v>47</v>
      </c>
      <c r="AF60" t="s">
        <v>57</v>
      </c>
      <c r="AG60">
        <v>2023</v>
      </c>
      <c r="AH60" t="s">
        <v>40</v>
      </c>
      <c r="AI60" t="str">
        <f>IF(Cdacdata[ccat_rank]&lt;=100,"Top 100",
IF(Cdacdata[ccat_rank]&lt;=500,"101–500",
IF(Cdacdata[ccat_rank]&lt;=1000,"501–1000",
"1000+")))</f>
        <v>1000+</v>
      </c>
    </row>
    <row r="61" spans="1:35" x14ac:dyDescent="0.3">
      <c r="A61" s="1" t="s">
        <v>25</v>
      </c>
      <c r="B61">
        <v>230603316</v>
      </c>
      <c r="C61" s="2">
        <v>45169</v>
      </c>
      <c r="D61" s="2" t="s">
        <v>433</v>
      </c>
      <c r="E61">
        <v>1984</v>
      </c>
      <c r="F61" s="2">
        <v>36794</v>
      </c>
      <c r="G61">
        <v>81.2</v>
      </c>
      <c r="H61">
        <v>71.400000000000006</v>
      </c>
      <c r="I61" t="s">
        <v>26</v>
      </c>
      <c r="J61">
        <v>60.3</v>
      </c>
      <c r="K61" s="3">
        <f t="shared" si="0"/>
        <v>70.966666666666683</v>
      </c>
      <c r="L61" t="s">
        <v>27</v>
      </c>
      <c r="M61" t="s">
        <v>41</v>
      </c>
      <c r="N61">
        <v>22</v>
      </c>
      <c r="O61" t="s">
        <v>28</v>
      </c>
      <c r="P61" t="s">
        <v>65</v>
      </c>
      <c r="Q61" t="s">
        <v>30</v>
      </c>
      <c r="R61">
        <v>389</v>
      </c>
      <c r="S61">
        <v>48.625</v>
      </c>
      <c r="T61" t="s">
        <v>31</v>
      </c>
      <c r="U61" t="s">
        <v>32</v>
      </c>
      <c r="V61" t="s">
        <v>31</v>
      </c>
      <c r="W61" t="s">
        <v>31</v>
      </c>
      <c r="X61" t="s">
        <v>34</v>
      </c>
      <c r="Y61" t="s">
        <v>80</v>
      </c>
      <c r="Z61" t="s">
        <v>36</v>
      </c>
      <c r="AA61" t="s">
        <v>1268</v>
      </c>
      <c r="AB61" t="s">
        <v>36</v>
      </c>
      <c r="AC61">
        <f>IF(Cdacdata[[#This Row],[placement_status]]="Placed",1,0)</f>
        <v>0</v>
      </c>
      <c r="AD61" t="s">
        <v>37</v>
      </c>
      <c r="AE61" t="s">
        <v>47</v>
      </c>
      <c r="AF61" t="s">
        <v>57</v>
      </c>
      <c r="AG61">
        <v>2023</v>
      </c>
      <c r="AH61" t="s">
        <v>40</v>
      </c>
      <c r="AI61" t="str">
        <f>IF(Cdacdata[ccat_rank]&lt;=100,"Top 100",
IF(Cdacdata[ccat_rank]&lt;=500,"101–500",
IF(Cdacdata[ccat_rank]&lt;=1000,"501–1000",
"1000+")))</f>
        <v>1000+</v>
      </c>
    </row>
    <row r="62" spans="1:35" x14ac:dyDescent="0.3">
      <c r="A62" s="1" t="s">
        <v>25</v>
      </c>
      <c r="B62">
        <v>230612994</v>
      </c>
      <c r="C62" s="2">
        <v>45175</v>
      </c>
      <c r="D62" s="2" t="s">
        <v>434</v>
      </c>
      <c r="E62">
        <v>1640</v>
      </c>
      <c r="F62" s="2">
        <v>36988</v>
      </c>
      <c r="G62">
        <v>89.6</v>
      </c>
      <c r="H62">
        <v>81.849999999999994</v>
      </c>
      <c r="I62" t="s">
        <v>26</v>
      </c>
      <c r="J62">
        <v>72.5</v>
      </c>
      <c r="K62" s="3">
        <f t="shared" si="0"/>
        <v>81.316666666666663</v>
      </c>
      <c r="L62" t="s">
        <v>27</v>
      </c>
      <c r="M62" t="s">
        <v>27</v>
      </c>
      <c r="N62">
        <v>22</v>
      </c>
      <c r="O62" t="s">
        <v>28</v>
      </c>
      <c r="P62" t="s">
        <v>56</v>
      </c>
      <c r="Q62" t="s">
        <v>43</v>
      </c>
      <c r="R62">
        <v>602</v>
      </c>
      <c r="S62">
        <v>75.25</v>
      </c>
      <c r="T62" t="s">
        <v>33</v>
      </c>
      <c r="U62" t="s">
        <v>32</v>
      </c>
      <c r="V62" t="s">
        <v>33</v>
      </c>
      <c r="W62" t="s">
        <v>49</v>
      </c>
      <c r="X62" t="s">
        <v>34</v>
      </c>
      <c r="Y62" t="s">
        <v>58</v>
      </c>
      <c r="Z62" t="s">
        <v>44</v>
      </c>
      <c r="AA62" t="s">
        <v>78</v>
      </c>
      <c r="AB62" t="s">
        <v>46</v>
      </c>
      <c r="AC62">
        <f>IF(Cdacdata[[#This Row],[placement_status]]="Placed",1,0)</f>
        <v>1</v>
      </c>
      <c r="AD62" t="s">
        <v>37</v>
      </c>
      <c r="AE62" t="s">
        <v>47</v>
      </c>
      <c r="AF62" t="s">
        <v>57</v>
      </c>
      <c r="AG62">
        <v>2023</v>
      </c>
      <c r="AH62" t="s">
        <v>40</v>
      </c>
      <c r="AI62" t="str">
        <f>IF(Cdacdata[ccat_rank]&lt;=100,"Top 100",
IF(Cdacdata[ccat_rank]&lt;=500,"101–500",
IF(Cdacdata[ccat_rank]&lt;=1000,"501–1000",
"1000+")))</f>
        <v>1000+</v>
      </c>
    </row>
    <row r="63" spans="1:35" x14ac:dyDescent="0.3">
      <c r="A63" s="1" t="s">
        <v>25</v>
      </c>
      <c r="B63">
        <v>230607010</v>
      </c>
      <c r="C63" s="2">
        <v>45175</v>
      </c>
      <c r="D63" s="2" t="s">
        <v>435</v>
      </c>
      <c r="E63">
        <v>1522</v>
      </c>
      <c r="F63" s="2">
        <v>36469</v>
      </c>
      <c r="G63">
        <v>77.8</v>
      </c>
      <c r="H63">
        <v>52.46</v>
      </c>
      <c r="I63" t="s">
        <v>26</v>
      </c>
      <c r="J63">
        <v>64.02</v>
      </c>
      <c r="K63" s="3">
        <f t="shared" si="0"/>
        <v>64.759999999999991</v>
      </c>
      <c r="L63" t="s">
        <v>27</v>
      </c>
      <c r="M63" t="s">
        <v>27</v>
      </c>
      <c r="N63">
        <v>23</v>
      </c>
      <c r="O63" t="s">
        <v>28</v>
      </c>
      <c r="P63" t="s">
        <v>65</v>
      </c>
      <c r="Q63" t="s">
        <v>30</v>
      </c>
      <c r="R63">
        <v>442</v>
      </c>
      <c r="S63">
        <v>55.25</v>
      </c>
      <c r="T63" t="s">
        <v>31</v>
      </c>
      <c r="U63" t="s">
        <v>32</v>
      </c>
      <c r="V63" t="s">
        <v>31</v>
      </c>
      <c r="W63" t="s">
        <v>33</v>
      </c>
      <c r="X63" t="s">
        <v>34</v>
      </c>
      <c r="Y63" t="s">
        <v>35</v>
      </c>
      <c r="Z63" t="s">
        <v>36</v>
      </c>
      <c r="AA63" t="s">
        <v>1268</v>
      </c>
      <c r="AB63" t="s">
        <v>36</v>
      </c>
      <c r="AC63">
        <f>IF(Cdacdata[[#This Row],[placement_status]]="Placed",1,0)</f>
        <v>0</v>
      </c>
      <c r="AD63" t="s">
        <v>37</v>
      </c>
      <c r="AE63" t="s">
        <v>47</v>
      </c>
      <c r="AF63" t="s">
        <v>39</v>
      </c>
      <c r="AG63">
        <v>2023</v>
      </c>
      <c r="AH63" t="s">
        <v>40</v>
      </c>
      <c r="AI63" t="str">
        <f>IF(Cdacdata[ccat_rank]&lt;=100,"Top 100",
IF(Cdacdata[ccat_rank]&lt;=500,"101–500",
IF(Cdacdata[ccat_rank]&lt;=1000,"501–1000",
"1000+")))</f>
        <v>1000+</v>
      </c>
    </row>
    <row r="64" spans="1:35" x14ac:dyDescent="0.3">
      <c r="A64" s="1" t="s">
        <v>25</v>
      </c>
      <c r="B64">
        <v>230703507</v>
      </c>
      <c r="C64" s="2">
        <v>45171</v>
      </c>
      <c r="D64" s="2" t="s">
        <v>436</v>
      </c>
      <c r="E64">
        <v>1180</v>
      </c>
      <c r="F64" s="2">
        <v>35839</v>
      </c>
      <c r="G64">
        <v>67.09</v>
      </c>
      <c r="H64">
        <v>55.08</v>
      </c>
      <c r="I64">
        <v>68.180000000000007</v>
      </c>
      <c r="J64">
        <v>64.78</v>
      </c>
      <c r="K64" s="3">
        <f t="shared" si="0"/>
        <v>63.782500000000006</v>
      </c>
      <c r="L64" t="s">
        <v>27</v>
      </c>
      <c r="M64" t="s">
        <v>27</v>
      </c>
      <c r="N64">
        <v>25</v>
      </c>
      <c r="O64" t="s">
        <v>28</v>
      </c>
      <c r="P64" t="s">
        <v>60</v>
      </c>
      <c r="Q64" t="s">
        <v>30</v>
      </c>
      <c r="R64">
        <v>533</v>
      </c>
      <c r="S64">
        <v>66.625</v>
      </c>
      <c r="T64" t="s">
        <v>33</v>
      </c>
      <c r="U64" t="s">
        <v>32</v>
      </c>
      <c r="V64" t="s">
        <v>33</v>
      </c>
      <c r="W64" t="s">
        <v>49</v>
      </c>
      <c r="X64" t="s">
        <v>34</v>
      </c>
      <c r="Y64" t="s">
        <v>50</v>
      </c>
      <c r="Z64" t="s">
        <v>53</v>
      </c>
      <c r="AA64" t="s">
        <v>54</v>
      </c>
      <c r="AB64" t="s">
        <v>46</v>
      </c>
      <c r="AC64">
        <f>IF(Cdacdata[[#This Row],[placement_status]]="Placed",1,0)</f>
        <v>1</v>
      </c>
      <c r="AD64" t="s">
        <v>37</v>
      </c>
      <c r="AE64" t="s">
        <v>47</v>
      </c>
      <c r="AF64" t="s">
        <v>39</v>
      </c>
      <c r="AG64">
        <v>2023</v>
      </c>
      <c r="AH64" t="s">
        <v>40</v>
      </c>
      <c r="AI64" t="str">
        <f>IF(Cdacdata[ccat_rank]&lt;=100,"Top 100",
IF(Cdacdata[ccat_rank]&lt;=500,"101–500",
IF(Cdacdata[ccat_rank]&lt;=1000,"501–1000",
"1000+")))</f>
        <v>1000+</v>
      </c>
    </row>
    <row r="65" spans="1:35" x14ac:dyDescent="0.3">
      <c r="A65" s="1" t="s">
        <v>25</v>
      </c>
      <c r="B65">
        <v>230602491</v>
      </c>
      <c r="C65" s="2">
        <v>45175</v>
      </c>
      <c r="D65" s="2" t="s">
        <v>437</v>
      </c>
      <c r="E65">
        <v>639</v>
      </c>
      <c r="F65" s="2">
        <v>37362</v>
      </c>
      <c r="G65">
        <v>87.6</v>
      </c>
      <c r="H65" t="s">
        <v>26</v>
      </c>
      <c r="I65">
        <v>91.94</v>
      </c>
      <c r="J65">
        <v>80.42</v>
      </c>
      <c r="K65" s="3">
        <f t="shared" si="0"/>
        <v>86.653333333333322</v>
      </c>
      <c r="L65" t="s">
        <v>27</v>
      </c>
      <c r="M65" t="s">
        <v>41</v>
      </c>
      <c r="N65">
        <v>21</v>
      </c>
      <c r="O65" t="s">
        <v>48</v>
      </c>
      <c r="P65" t="s">
        <v>65</v>
      </c>
      <c r="Q65" t="s">
        <v>30</v>
      </c>
      <c r="R65">
        <v>555</v>
      </c>
      <c r="S65">
        <v>69.375</v>
      </c>
      <c r="T65" t="s">
        <v>49</v>
      </c>
      <c r="U65" t="s">
        <v>32</v>
      </c>
      <c r="V65" t="s">
        <v>49</v>
      </c>
      <c r="W65" t="s">
        <v>33</v>
      </c>
      <c r="X65" t="s">
        <v>34</v>
      </c>
      <c r="Y65" t="s">
        <v>50</v>
      </c>
      <c r="Z65" t="s">
        <v>44</v>
      </c>
      <c r="AA65" t="s">
        <v>74</v>
      </c>
      <c r="AB65" t="s">
        <v>46</v>
      </c>
      <c r="AC65">
        <f>IF(Cdacdata[[#This Row],[placement_status]]="Placed",1,0)</f>
        <v>1</v>
      </c>
      <c r="AD65" t="s">
        <v>37</v>
      </c>
      <c r="AE65" t="s">
        <v>75</v>
      </c>
      <c r="AF65" t="s">
        <v>57</v>
      </c>
      <c r="AG65">
        <v>2023</v>
      </c>
      <c r="AH65" t="s">
        <v>40</v>
      </c>
      <c r="AI65" t="str">
        <f>IF(Cdacdata[ccat_rank]&lt;=100,"Top 100",
IF(Cdacdata[ccat_rank]&lt;=500,"101–500",
IF(Cdacdata[ccat_rank]&lt;=1000,"501–1000",
"1000+")))</f>
        <v>501–1000</v>
      </c>
    </row>
    <row r="66" spans="1:35" x14ac:dyDescent="0.3">
      <c r="A66" s="1" t="s">
        <v>25</v>
      </c>
      <c r="B66">
        <v>230704285</v>
      </c>
      <c r="C66" s="2">
        <v>45165</v>
      </c>
      <c r="D66" s="2" t="s">
        <v>438</v>
      </c>
      <c r="E66">
        <v>1194</v>
      </c>
      <c r="F66" s="2">
        <v>36973</v>
      </c>
      <c r="G66">
        <v>87.4</v>
      </c>
      <c r="H66">
        <v>57.69</v>
      </c>
      <c r="I66" t="s">
        <v>26</v>
      </c>
      <c r="J66">
        <v>70.680000000000007</v>
      </c>
      <c r="K66" s="3">
        <f t="shared" ref="K66:K129" si="1">AVERAGE(G66,H66,I66,J66)</f>
        <v>71.923333333333332</v>
      </c>
      <c r="L66" t="s">
        <v>27</v>
      </c>
      <c r="M66" t="s">
        <v>27</v>
      </c>
      <c r="N66">
        <v>22</v>
      </c>
      <c r="O66" t="s">
        <v>28</v>
      </c>
      <c r="P66" t="s">
        <v>60</v>
      </c>
      <c r="Q66" t="s">
        <v>30</v>
      </c>
      <c r="R66">
        <v>375</v>
      </c>
      <c r="S66">
        <v>46.875</v>
      </c>
      <c r="T66" t="s">
        <v>33</v>
      </c>
      <c r="U66" t="s">
        <v>32</v>
      </c>
      <c r="V66" t="s">
        <v>33</v>
      </c>
      <c r="W66" t="s">
        <v>33</v>
      </c>
      <c r="X66" t="s">
        <v>34</v>
      </c>
      <c r="Y66" t="s">
        <v>80</v>
      </c>
      <c r="Z66" t="s">
        <v>36</v>
      </c>
      <c r="AA66" t="s">
        <v>1268</v>
      </c>
      <c r="AB66" t="s">
        <v>36</v>
      </c>
      <c r="AC66">
        <f>IF(Cdacdata[[#This Row],[placement_status]]="Placed",1,0)</f>
        <v>0</v>
      </c>
      <c r="AD66" t="s">
        <v>37</v>
      </c>
      <c r="AE66" t="s">
        <v>47</v>
      </c>
      <c r="AF66" t="s">
        <v>57</v>
      </c>
      <c r="AG66">
        <v>2023</v>
      </c>
      <c r="AH66" t="s">
        <v>40</v>
      </c>
      <c r="AI66" t="str">
        <f>IF(Cdacdata[ccat_rank]&lt;=100,"Top 100",
IF(Cdacdata[ccat_rank]&lt;=500,"101–500",
IF(Cdacdata[ccat_rank]&lt;=1000,"501–1000",
"1000+")))</f>
        <v>1000+</v>
      </c>
    </row>
    <row r="67" spans="1:35" x14ac:dyDescent="0.3">
      <c r="A67" s="1" t="s">
        <v>25</v>
      </c>
      <c r="B67">
        <v>230701345</v>
      </c>
      <c r="C67" s="2">
        <v>45169</v>
      </c>
      <c r="D67" s="2" t="s">
        <v>439</v>
      </c>
      <c r="E67">
        <v>1115</v>
      </c>
      <c r="F67" s="2">
        <v>36564</v>
      </c>
      <c r="G67">
        <v>72.599999999999994</v>
      </c>
      <c r="H67" t="s">
        <v>26</v>
      </c>
      <c r="I67">
        <v>77.59</v>
      </c>
      <c r="J67">
        <v>8.6300000000000008</v>
      </c>
      <c r="K67" s="3">
        <f t="shared" si="1"/>
        <v>52.94</v>
      </c>
      <c r="L67" t="s">
        <v>27</v>
      </c>
      <c r="M67" t="s">
        <v>41</v>
      </c>
      <c r="N67">
        <v>23</v>
      </c>
      <c r="O67" t="s">
        <v>62</v>
      </c>
      <c r="P67" t="s">
        <v>60</v>
      </c>
      <c r="Q67" t="s">
        <v>43</v>
      </c>
      <c r="R67">
        <v>405</v>
      </c>
      <c r="S67">
        <v>50.625</v>
      </c>
      <c r="T67" t="s">
        <v>31</v>
      </c>
      <c r="U67" t="s">
        <v>32</v>
      </c>
      <c r="V67" t="s">
        <v>31</v>
      </c>
      <c r="W67" t="s">
        <v>49</v>
      </c>
      <c r="X67" t="s">
        <v>34</v>
      </c>
      <c r="Y67" t="s">
        <v>35</v>
      </c>
      <c r="Z67" t="s">
        <v>44</v>
      </c>
      <c r="AA67" t="s">
        <v>90</v>
      </c>
      <c r="AB67" t="s">
        <v>46</v>
      </c>
      <c r="AC67">
        <f>IF(Cdacdata[[#This Row],[placement_status]]="Placed",1,0)</f>
        <v>1</v>
      </c>
      <c r="AD67" t="s">
        <v>37</v>
      </c>
      <c r="AE67" t="s">
        <v>47</v>
      </c>
      <c r="AF67" t="s">
        <v>39</v>
      </c>
      <c r="AG67">
        <v>2023</v>
      </c>
      <c r="AH67" t="s">
        <v>40</v>
      </c>
      <c r="AI67" t="str">
        <f>IF(Cdacdata[ccat_rank]&lt;=100,"Top 100",
IF(Cdacdata[ccat_rank]&lt;=500,"101–500",
IF(Cdacdata[ccat_rank]&lt;=1000,"501–1000",
"1000+")))</f>
        <v>1000+</v>
      </c>
    </row>
    <row r="68" spans="1:35" x14ac:dyDescent="0.3">
      <c r="A68" s="1" t="s">
        <v>25</v>
      </c>
      <c r="B68">
        <v>230601941</v>
      </c>
      <c r="C68" s="2">
        <v>45175</v>
      </c>
      <c r="D68" s="2" t="s">
        <v>440</v>
      </c>
      <c r="E68">
        <v>1192</v>
      </c>
      <c r="F68" s="2">
        <v>36481</v>
      </c>
      <c r="G68">
        <v>84.6</v>
      </c>
      <c r="H68">
        <v>52.15</v>
      </c>
      <c r="I68" t="s">
        <v>26</v>
      </c>
      <c r="J68">
        <v>76.34</v>
      </c>
      <c r="K68" s="3">
        <f t="shared" si="1"/>
        <v>71.03</v>
      </c>
      <c r="L68" t="s">
        <v>41</v>
      </c>
      <c r="M68" t="s">
        <v>41</v>
      </c>
      <c r="N68">
        <v>23</v>
      </c>
      <c r="O68" t="s">
        <v>48</v>
      </c>
      <c r="P68" t="s">
        <v>56</v>
      </c>
      <c r="Q68" t="s">
        <v>67</v>
      </c>
      <c r="R68">
        <v>442</v>
      </c>
      <c r="S68">
        <v>55.25</v>
      </c>
      <c r="T68" t="s">
        <v>31</v>
      </c>
      <c r="U68" t="s">
        <v>32</v>
      </c>
      <c r="V68" t="s">
        <v>31</v>
      </c>
      <c r="W68" t="s">
        <v>31</v>
      </c>
      <c r="X68" t="s">
        <v>34</v>
      </c>
      <c r="Y68" t="s">
        <v>35</v>
      </c>
      <c r="Z68" t="s">
        <v>36</v>
      </c>
      <c r="AA68" t="s">
        <v>1268</v>
      </c>
      <c r="AB68" t="s">
        <v>36</v>
      </c>
      <c r="AC68">
        <f>IF(Cdacdata[[#This Row],[placement_status]]="Placed",1,0)</f>
        <v>0</v>
      </c>
      <c r="AD68" t="s">
        <v>37</v>
      </c>
      <c r="AE68" t="s">
        <v>47</v>
      </c>
      <c r="AF68" t="s">
        <v>39</v>
      </c>
      <c r="AG68">
        <v>2023</v>
      </c>
      <c r="AH68" t="s">
        <v>40</v>
      </c>
      <c r="AI68" t="str">
        <f>IF(Cdacdata[ccat_rank]&lt;=100,"Top 100",
IF(Cdacdata[ccat_rank]&lt;=500,"101–500",
IF(Cdacdata[ccat_rank]&lt;=1000,"501–1000",
"1000+")))</f>
        <v>1000+</v>
      </c>
    </row>
    <row r="69" spans="1:35" x14ac:dyDescent="0.3">
      <c r="A69" s="1" t="s">
        <v>25</v>
      </c>
      <c r="B69">
        <v>230603701</v>
      </c>
      <c r="C69" s="2">
        <v>45173</v>
      </c>
      <c r="D69" s="2" t="s">
        <v>441</v>
      </c>
      <c r="E69">
        <v>1979</v>
      </c>
      <c r="F69" s="2">
        <v>36637</v>
      </c>
      <c r="G69">
        <v>88.8</v>
      </c>
      <c r="H69">
        <v>77.540000000000006</v>
      </c>
      <c r="I69" t="s">
        <v>26</v>
      </c>
      <c r="J69">
        <v>68.819999999999993</v>
      </c>
      <c r="K69" s="3">
        <f t="shared" si="1"/>
        <v>78.38666666666667</v>
      </c>
      <c r="L69" t="s">
        <v>27</v>
      </c>
      <c r="M69" t="s">
        <v>41</v>
      </c>
      <c r="N69">
        <v>23</v>
      </c>
      <c r="O69" t="s">
        <v>28</v>
      </c>
      <c r="P69" t="s">
        <v>56</v>
      </c>
      <c r="Q69" t="s">
        <v>30</v>
      </c>
      <c r="R69">
        <v>393</v>
      </c>
      <c r="S69">
        <v>49.125</v>
      </c>
      <c r="T69" t="s">
        <v>49</v>
      </c>
      <c r="U69" t="s">
        <v>32</v>
      </c>
      <c r="V69" t="s">
        <v>49</v>
      </c>
      <c r="W69" t="s">
        <v>31</v>
      </c>
      <c r="X69" t="s">
        <v>34</v>
      </c>
      <c r="Y69" t="s">
        <v>80</v>
      </c>
      <c r="Z69" t="s">
        <v>36</v>
      </c>
      <c r="AA69" t="s">
        <v>1268</v>
      </c>
      <c r="AB69" t="s">
        <v>36</v>
      </c>
      <c r="AC69">
        <f>IF(Cdacdata[[#This Row],[placement_status]]="Placed",1,0)</f>
        <v>0</v>
      </c>
      <c r="AD69" t="s">
        <v>37</v>
      </c>
      <c r="AE69" t="s">
        <v>47</v>
      </c>
      <c r="AF69" t="s">
        <v>39</v>
      </c>
      <c r="AG69">
        <v>2023</v>
      </c>
      <c r="AH69" t="s">
        <v>40</v>
      </c>
      <c r="AI69" t="str">
        <f>IF(Cdacdata[ccat_rank]&lt;=100,"Top 100",
IF(Cdacdata[ccat_rank]&lt;=500,"101–500",
IF(Cdacdata[ccat_rank]&lt;=1000,"501–1000",
"1000+")))</f>
        <v>1000+</v>
      </c>
    </row>
    <row r="70" spans="1:35" x14ac:dyDescent="0.3">
      <c r="A70" s="1" t="s">
        <v>25</v>
      </c>
      <c r="B70">
        <v>230614683</v>
      </c>
      <c r="C70" s="2">
        <v>45172</v>
      </c>
      <c r="D70" s="2" t="s">
        <v>442</v>
      </c>
      <c r="E70">
        <v>1804</v>
      </c>
      <c r="F70" s="2">
        <v>36672</v>
      </c>
      <c r="G70">
        <v>90.2</v>
      </c>
      <c r="H70">
        <v>78.900000000000006</v>
      </c>
      <c r="I70" t="s">
        <v>26</v>
      </c>
      <c r="J70">
        <v>67.75</v>
      </c>
      <c r="K70" s="3">
        <f t="shared" si="1"/>
        <v>78.95</v>
      </c>
      <c r="L70" t="s">
        <v>27</v>
      </c>
      <c r="M70" t="s">
        <v>41</v>
      </c>
      <c r="N70">
        <v>23</v>
      </c>
      <c r="O70" t="s">
        <v>28</v>
      </c>
      <c r="P70" t="s">
        <v>65</v>
      </c>
      <c r="Q70" t="s">
        <v>30</v>
      </c>
      <c r="R70">
        <v>526</v>
      </c>
      <c r="S70">
        <v>65.75</v>
      </c>
      <c r="T70" t="s">
        <v>33</v>
      </c>
      <c r="U70" t="s">
        <v>32</v>
      </c>
      <c r="V70" t="s">
        <v>33</v>
      </c>
      <c r="W70" t="s">
        <v>33</v>
      </c>
      <c r="X70" t="s">
        <v>34</v>
      </c>
      <c r="Y70" t="s">
        <v>50</v>
      </c>
      <c r="Z70" t="s">
        <v>36</v>
      </c>
      <c r="AA70" t="s">
        <v>1268</v>
      </c>
      <c r="AB70" t="s">
        <v>36</v>
      </c>
      <c r="AC70">
        <f>IF(Cdacdata[[#This Row],[placement_status]]="Placed",1,0)</f>
        <v>0</v>
      </c>
      <c r="AD70" t="s">
        <v>37</v>
      </c>
      <c r="AE70" t="s">
        <v>47</v>
      </c>
      <c r="AF70" t="s">
        <v>39</v>
      </c>
      <c r="AG70">
        <v>2023</v>
      </c>
      <c r="AH70" t="s">
        <v>40</v>
      </c>
      <c r="AI70" t="str">
        <f>IF(Cdacdata[ccat_rank]&lt;=100,"Top 100",
IF(Cdacdata[ccat_rank]&lt;=500,"101–500",
IF(Cdacdata[ccat_rank]&lt;=1000,"501–1000",
"1000+")))</f>
        <v>1000+</v>
      </c>
    </row>
    <row r="71" spans="1:35" x14ac:dyDescent="0.3">
      <c r="A71" s="1" t="s">
        <v>25</v>
      </c>
      <c r="B71">
        <v>230602395</v>
      </c>
      <c r="C71" s="2">
        <v>45167</v>
      </c>
      <c r="D71" s="2" t="s">
        <v>443</v>
      </c>
      <c r="E71">
        <v>265</v>
      </c>
      <c r="F71" s="2">
        <v>36477</v>
      </c>
      <c r="G71">
        <v>72.2</v>
      </c>
      <c r="H71">
        <v>54.46</v>
      </c>
      <c r="I71">
        <v>92.31</v>
      </c>
      <c r="J71">
        <v>80.38</v>
      </c>
      <c r="K71" s="3">
        <f t="shared" si="1"/>
        <v>74.837500000000006</v>
      </c>
      <c r="L71" t="s">
        <v>27</v>
      </c>
      <c r="M71" t="s">
        <v>27</v>
      </c>
      <c r="N71">
        <v>23</v>
      </c>
      <c r="O71" t="s">
        <v>48</v>
      </c>
      <c r="P71" t="s">
        <v>56</v>
      </c>
      <c r="Q71" t="s">
        <v>30</v>
      </c>
      <c r="R71">
        <v>663</v>
      </c>
      <c r="S71">
        <v>82.875</v>
      </c>
      <c r="T71" t="s">
        <v>49</v>
      </c>
      <c r="U71" t="s">
        <v>32</v>
      </c>
      <c r="V71" t="s">
        <v>49</v>
      </c>
      <c r="W71" t="s">
        <v>49</v>
      </c>
      <c r="X71" t="s">
        <v>34</v>
      </c>
      <c r="Y71" t="s">
        <v>58</v>
      </c>
      <c r="Z71" t="s">
        <v>44</v>
      </c>
      <c r="AA71" t="s">
        <v>91</v>
      </c>
      <c r="AB71" t="s">
        <v>46</v>
      </c>
      <c r="AC71">
        <f>IF(Cdacdata[[#This Row],[placement_status]]="Placed",1,0)</f>
        <v>1</v>
      </c>
      <c r="AD71" t="s">
        <v>37</v>
      </c>
      <c r="AE71" t="s">
        <v>75</v>
      </c>
      <c r="AF71" t="s">
        <v>39</v>
      </c>
      <c r="AG71">
        <v>2023</v>
      </c>
      <c r="AH71" t="s">
        <v>40</v>
      </c>
      <c r="AI71" t="str">
        <f>IF(Cdacdata[ccat_rank]&lt;=100,"Top 100",
IF(Cdacdata[ccat_rank]&lt;=500,"101–500",
IF(Cdacdata[ccat_rank]&lt;=1000,"501–1000",
"1000+")))</f>
        <v>101–500</v>
      </c>
    </row>
    <row r="72" spans="1:35" x14ac:dyDescent="0.3">
      <c r="A72" s="1" t="s">
        <v>25</v>
      </c>
      <c r="B72">
        <v>230604440</v>
      </c>
      <c r="C72" s="2">
        <v>45166</v>
      </c>
      <c r="D72" s="2" t="s">
        <v>444</v>
      </c>
      <c r="E72">
        <v>1696</v>
      </c>
      <c r="F72" s="2">
        <v>37220</v>
      </c>
      <c r="G72">
        <v>88</v>
      </c>
      <c r="H72">
        <v>64.459999999999994</v>
      </c>
      <c r="I72" t="s">
        <v>26</v>
      </c>
      <c r="J72">
        <v>80</v>
      </c>
      <c r="K72" s="3">
        <f t="shared" si="1"/>
        <v>77.486666666666665</v>
      </c>
      <c r="L72" t="s">
        <v>27</v>
      </c>
      <c r="M72" t="s">
        <v>41</v>
      </c>
      <c r="N72">
        <v>21</v>
      </c>
      <c r="O72" t="s">
        <v>48</v>
      </c>
      <c r="P72" t="s">
        <v>29</v>
      </c>
      <c r="Q72" t="s">
        <v>30</v>
      </c>
      <c r="R72">
        <v>560</v>
      </c>
      <c r="S72">
        <v>70</v>
      </c>
      <c r="T72" t="s">
        <v>49</v>
      </c>
      <c r="U72" t="s">
        <v>32</v>
      </c>
      <c r="V72" t="s">
        <v>49</v>
      </c>
      <c r="W72" t="s">
        <v>49</v>
      </c>
      <c r="X72" t="s">
        <v>34</v>
      </c>
      <c r="Y72" t="s">
        <v>58</v>
      </c>
      <c r="Z72" t="s">
        <v>44</v>
      </c>
      <c r="AA72" t="s">
        <v>91</v>
      </c>
      <c r="AB72" t="s">
        <v>46</v>
      </c>
      <c r="AC72">
        <f>IF(Cdacdata[[#This Row],[placement_status]]="Placed",1,0)</f>
        <v>1</v>
      </c>
      <c r="AD72" t="s">
        <v>37</v>
      </c>
      <c r="AE72" t="s">
        <v>47</v>
      </c>
      <c r="AF72" t="s">
        <v>57</v>
      </c>
      <c r="AG72">
        <v>2023</v>
      </c>
      <c r="AH72" t="s">
        <v>40</v>
      </c>
      <c r="AI72" t="str">
        <f>IF(Cdacdata[ccat_rank]&lt;=100,"Top 100",
IF(Cdacdata[ccat_rank]&lt;=500,"101–500",
IF(Cdacdata[ccat_rank]&lt;=1000,"501–1000",
"1000+")))</f>
        <v>1000+</v>
      </c>
    </row>
    <row r="73" spans="1:35" x14ac:dyDescent="0.3">
      <c r="A73" s="1" t="s">
        <v>25</v>
      </c>
      <c r="B73">
        <v>230702134</v>
      </c>
      <c r="C73" s="2">
        <v>45175</v>
      </c>
      <c r="D73" s="2" t="s">
        <v>445</v>
      </c>
      <c r="E73">
        <v>995</v>
      </c>
      <c r="F73" s="2">
        <v>35977</v>
      </c>
      <c r="G73">
        <v>80.400000000000006</v>
      </c>
      <c r="H73">
        <v>65.540000000000006</v>
      </c>
      <c r="I73" t="s">
        <v>26</v>
      </c>
      <c r="J73">
        <v>86.15</v>
      </c>
      <c r="K73" s="3">
        <f t="shared" si="1"/>
        <v>77.36333333333333</v>
      </c>
      <c r="L73" t="s">
        <v>27</v>
      </c>
      <c r="M73" t="s">
        <v>27</v>
      </c>
      <c r="N73">
        <v>25</v>
      </c>
      <c r="O73" t="s">
        <v>48</v>
      </c>
      <c r="P73" t="s">
        <v>29</v>
      </c>
      <c r="Q73" t="s">
        <v>30</v>
      </c>
      <c r="R73">
        <v>503</v>
      </c>
      <c r="S73">
        <v>62.875</v>
      </c>
      <c r="T73" t="s">
        <v>31</v>
      </c>
      <c r="U73" t="s">
        <v>32</v>
      </c>
      <c r="V73" t="s">
        <v>31</v>
      </c>
      <c r="W73" t="s">
        <v>33</v>
      </c>
      <c r="X73" t="s">
        <v>34</v>
      </c>
      <c r="Y73" t="s">
        <v>50</v>
      </c>
      <c r="Z73" t="s">
        <v>36</v>
      </c>
      <c r="AA73" t="s">
        <v>1268</v>
      </c>
      <c r="AB73" t="s">
        <v>36</v>
      </c>
      <c r="AC73">
        <f>IF(Cdacdata[[#This Row],[placement_status]]="Placed",1,0)</f>
        <v>0</v>
      </c>
      <c r="AD73" t="s">
        <v>37</v>
      </c>
      <c r="AE73" t="s">
        <v>75</v>
      </c>
      <c r="AF73" t="s">
        <v>39</v>
      </c>
      <c r="AG73">
        <v>2023</v>
      </c>
      <c r="AH73" t="s">
        <v>40</v>
      </c>
      <c r="AI73" t="str">
        <f>IF(Cdacdata[ccat_rank]&lt;=100,"Top 100",
IF(Cdacdata[ccat_rank]&lt;=500,"101–500",
IF(Cdacdata[ccat_rank]&lt;=1000,"501–1000",
"1000+")))</f>
        <v>501–1000</v>
      </c>
    </row>
    <row r="74" spans="1:35" x14ac:dyDescent="0.3">
      <c r="A74" s="1" t="s">
        <v>25</v>
      </c>
      <c r="B74">
        <v>230702562</v>
      </c>
      <c r="C74" s="2">
        <v>45175</v>
      </c>
      <c r="D74" s="2" t="s">
        <v>446</v>
      </c>
      <c r="E74">
        <v>1236</v>
      </c>
      <c r="F74" s="2">
        <v>37032</v>
      </c>
      <c r="G74">
        <v>75.599999999999994</v>
      </c>
      <c r="H74">
        <v>69.540000000000006</v>
      </c>
      <c r="I74" t="s">
        <v>26</v>
      </c>
      <c r="J74">
        <v>73</v>
      </c>
      <c r="K74" s="3">
        <f t="shared" si="1"/>
        <v>72.713333333333324</v>
      </c>
      <c r="L74" t="s">
        <v>27</v>
      </c>
      <c r="M74" t="s">
        <v>41</v>
      </c>
      <c r="N74">
        <v>22</v>
      </c>
      <c r="O74" t="s">
        <v>28</v>
      </c>
      <c r="P74" t="s">
        <v>60</v>
      </c>
      <c r="Q74" t="s">
        <v>30</v>
      </c>
      <c r="R74">
        <v>532</v>
      </c>
      <c r="S74">
        <v>66.5</v>
      </c>
      <c r="T74" t="s">
        <v>31</v>
      </c>
      <c r="U74" t="s">
        <v>32</v>
      </c>
      <c r="V74" t="s">
        <v>31</v>
      </c>
      <c r="W74" t="s">
        <v>49</v>
      </c>
      <c r="X74" t="s">
        <v>34</v>
      </c>
      <c r="Y74" t="s">
        <v>50</v>
      </c>
      <c r="Z74" t="s">
        <v>53</v>
      </c>
      <c r="AA74" t="s">
        <v>54</v>
      </c>
      <c r="AB74" t="s">
        <v>46</v>
      </c>
      <c r="AC74">
        <f>IF(Cdacdata[[#This Row],[placement_status]]="Placed",1,0)</f>
        <v>1</v>
      </c>
      <c r="AD74" t="s">
        <v>37</v>
      </c>
      <c r="AE74" t="s">
        <v>47</v>
      </c>
      <c r="AF74" t="s">
        <v>57</v>
      </c>
      <c r="AG74">
        <v>2023</v>
      </c>
      <c r="AH74" t="s">
        <v>40</v>
      </c>
      <c r="AI74" t="str">
        <f>IF(Cdacdata[ccat_rank]&lt;=100,"Top 100",
IF(Cdacdata[ccat_rank]&lt;=500,"101–500",
IF(Cdacdata[ccat_rank]&lt;=1000,"501–1000",
"1000+")))</f>
        <v>1000+</v>
      </c>
    </row>
    <row r="75" spans="1:35" x14ac:dyDescent="0.3">
      <c r="A75" s="1" t="s">
        <v>25</v>
      </c>
      <c r="B75">
        <v>230702524</v>
      </c>
      <c r="C75" s="2">
        <v>45163</v>
      </c>
      <c r="D75" s="2" t="s">
        <v>447</v>
      </c>
      <c r="E75">
        <v>1632</v>
      </c>
      <c r="F75" s="2">
        <v>36810</v>
      </c>
      <c r="G75">
        <v>95.8</v>
      </c>
      <c r="H75">
        <v>81.849999999999994</v>
      </c>
      <c r="I75" t="s">
        <v>26</v>
      </c>
      <c r="J75">
        <v>77.06</v>
      </c>
      <c r="K75" s="3">
        <f t="shared" si="1"/>
        <v>84.903333333333322</v>
      </c>
      <c r="L75" t="s">
        <v>27</v>
      </c>
      <c r="M75" t="s">
        <v>27</v>
      </c>
      <c r="N75">
        <v>22</v>
      </c>
      <c r="O75" t="s">
        <v>48</v>
      </c>
      <c r="P75" t="s">
        <v>60</v>
      </c>
      <c r="Q75" t="s">
        <v>43</v>
      </c>
      <c r="R75">
        <v>638</v>
      </c>
      <c r="S75">
        <v>79.75</v>
      </c>
      <c r="T75" t="s">
        <v>49</v>
      </c>
      <c r="U75" t="s">
        <v>32</v>
      </c>
      <c r="V75" t="s">
        <v>49</v>
      </c>
      <c r="W75" t="s">
        <v>49</v>
      </c>
      <c r="X75" t="s">
        <v>34</v>
      </c>
      <c r="Y75" t="s">
        <v>58</v>
      </c>
      <c r="Z75" t="s">
        <v>44</v>
      </c>
      <c r="AA75" t="s">
        <v>91</v>
      </c>
      <c r="AB75" t="s">
        <v>46</v>
      </c>
      <c r="AC75">
        <f>IF(Cdacdata[[#This Row],[placement_status]]="Placed",1,0)</f>
        <v>1</v>
      </c>
      <c r="AD75" t="s">
        <v>37</v>
      </c>
      <c r="AE75" t="s">
        <v>47</v>
      </c>
      <c r="AF75" t="s">
        <v>57</v>
      </c>
      <c r="AG75">
        <v>2023</v>
      </c>
      <c r="AH75" t="s">
        <v>40</v>
      </c>
      <c r="AI75" t="str">
        <f>IF(Cdacdata[ccat_rank]&lt;=100,"Top 100",
IF(Cdacdata[ccat_rank]&lt;=500,"101–500",
IF(Cdacdata[ccat_rank]&lt;=1000,"501–1000",
"1000+")))</f>
        <v>1000+</v>
      </c>
    </row>
    <row r="76" spans="1:35" x14ac:dyDescent="0.3">
      <c r="A76" s="1" t="s">
        <v>25</v>
      </c>
      <c r="B76">
        <v>230600350</v>
      </c>
      <c r="C76" s="2">
        <v>45168</v>
      </c>
      <c r="D76" s="2" t="s">
        <v>448</v>
      </c>
      <c r="E76">
        <v>1170</v>
      </c>
      <c r="F76" s="2">
        <v>35547</v>
      </c>
      <c r="G76">
        <v>67</v>
      </c>
      <c r="H76">
        <v>53.85</v>
      </c>
      <c r="I76" t="s">
        <v>26</v>
      </c>
      <c r="J76">
        <v>53.17</v>
      </c>
      <c r="K76" s="3">
        <f t="shared" si="1"/>
        <v>58.006666666666661</v>
      </c>
      <c r="L76" t="s">
        <v>27</v>
      </c>
      <c r="M76" t="s">
        <v>41</v>
      </c>
      <c r="N76">
        <v>26</v>
      </c>
      <c r="O76" t="s">
        <v>72</v>
      </c>
      <c r="P76" t="s">
        <v>65</v>
      </c>
      <c r="Q76" t="s">
        <v>30</v>
      </c>
      <c r="R76">
        <v>518</v>
      </c>
      <c r="S76">
        <v>64.75</v>
      </c>
      <c r="T76" t="s">
        <v>31</v>
      </c>
      <c r="U76" t="s">
        <v>32</v>
      </c>
      <c r="V76" t="s">
        <v>31</v>
      </c>
      <c r="W76" t="s">
        <v>33</v>
      </c>
      <c r="X76" t="s">
        <v>34</v>
      </c>
      <c r="Y76" t="s">
        <v>50</v>
      </c>
      <c r="Z76" t="s">
        <v>36</v>
      </c>
      <c r="AA76" t="s">
        <v>1268</v>
      </c>
      <c r="AB76" t="s">
        <v>36</v>
      </c>
      <c r="AC76">
        <f>IF(Cdacdata[[#This Row],[placement_status]]="Placed",1,0)</f>
        <v>0</v>
      </c>
      <c r="AD76" t="s">
        <v>37</v>
      </c>
      <c r="AE76" t="s">
        <v>47</v>
      </c>
      <c r="AF76" t="s">
        <v>55</v>
      </c>
      <c r="AG76">
        <v>2023</v>
      </c>
      <c r="AH76" t="s">
        <v>40</v>
      </c>
      <c r="AI76" t="str">
        <f>IF(Cdacdata[ccat_rank]&lt;=100,"Top 100",
IF(Cdacdata[ccat_rank]&lt;=500,"101–500",
IF(Cdacdata[ccat_rank]&lt;=1000,"501–1000",
"1000+")))</f>
        <v>1000+</v>
      </c>
    </row>
    <row r="77" spans="1:35" x14ac:dyDescent="0.3">
      <c r="A77" s="1" t="s">
        <v>25</v>
      </c>
      <c r="B77">
        <v>230609145</v>
      </c>
      <c r="C77" s="2">
        <v>45162</v>
      </c>
      <c r="D77" s="2" t="s">
        <v>449</v>
      </c>
      <c r="E77">
        <v>1880</v>
      </c>
      <c r="F77" s="2">
        <v>37470</v>
      </c>
      <c r="G77">
        <v>90</v>
      </c>
      <c r="H77">
        <v>87.6</v>
      </c>
      <c r="I77" t="s">
        <v>26</v>
      </c>
      <c r="J77">
        <v>0</v>
      </c>
      <c r="K77" s="3">
        <f t="shared" si="1"/>
        <v>59.199999999999996</v>
      </c>
      <c r="L77" t="s">
        <v>27</v>
      </c>
      <c r="M77" t="s">
        <v>41</v>
      </c>
      <c r="N77">
        <v>21</v>
      </c>
      <c r="O77" t="s">
        <v>62</v>
      </c>
      <c r="P77" t="s">
        <v>60</v>
      </c>
      <c r="Q77" t="s">
        <v>43</v>
      </c>
      <c r="R77">
        <v>660</v>
      </c>
      <c r="S77">
        <v>82.5</v>
      </c>
      <c r="T77" t="s">
        <v>49</v>
      </c>
      <c r="U77" t="s">
        <v>32</v>
      </c>
      <c r="V77" t="s">
        <v>49</v>
      </c>
      <c r="W77" t="s">
        <v>33</v>
      </c>
      <c r="X77" t="s">
        <v>34</v>
      </c>
      <c r="Y77" t="s">
        <v>58</v>
      </c>
      <c r="Z77" t="s">
        <v>44</v>
      </c>
      <c r="AA77" t="s">
        <v>91</v>
      </c>
      <c r="AB77" t="s">
        <v>46</v>
      </c>
      <c r="AC77">
        <f>IF(Cdacdata[[#This Row],[placement_status]]="Placed",1,0)</f>
        <v>1</v>
      </c>
      <c r="AD77" t="s">
        <v>37</v>
      </c>
      <c r="AE77" t="s">
        <v>47</v>
      </c>
      <c r="AF77" t="s">
        <v>57</v>
      </c>
      <c r="AG77">
        <v>2023</v>
      </c>
      <c r="AH77" t="s">
        <v>40</v>
      </c>
      <c r="AI77" t="str">
        <f>IF(Cdacdata[ccat_rank]&lt;=100,"Top 100",
IF(Cdacdata[ccat_rank]&lt;=500,"101–500",
IF(Cdacdata[ccat_rank]&lt;=1000,"501–1000",
"1000+")))</f>
        <v>1000+</v>
      </c>
    </row>
    <row r="78" spans="1:35" x14ac:dyDescent="0.3">
      <c r="A78" s="1" t="s">
        <v>25</v>
      </c>
      <c r="B78">
        <v>230601775</v>
      </c>
      <c r="C78" s="2">
        <v>45168</v>
      </c>
      <c r="D78" s="2" t="s">
        <v>450</v>
      </c>
      <c r="E78">
        <v>1808</v>
      </c>
      <c r="F78" s="2">
        <v>36815</v>
      </c>
      <c r="G78">
        <v>81.400000000000006</v>
      </c>
      <c r="H78" t="s">
        <v>26</v>
      </c>
      <c r="I78">
        <v>71.64</v>
      </c>
      <c r="J78">
        <v>80.400000000000006</v>
      </c>
      <c r="K78" s="3">
        <f t="shared" si="1"/>
        <v>77.813333333333347</v>
      </c>
      <c r="L78" t="s">
        <v>27</v>
      </c>
      <c r="M78" t="s">
        <v>41</v>
      </c>
      <c r="N78">
        <v>22</v>
      </c>
      <c r="O78" t="s">
        <v>48</v>
      </c>
      <c r="P78" t="s">
        <v>42</v>
      </c>
      <c r="Q78" t="s">
        <v>30</v>
      </c>
      <c r="R78">
        <v>466</v>
      </c>
      <c r="S78">
        <v>58.25</v>
      </c>
      <c r="T78" t="s">
        <v>31</v>
      </c>
      <c r="U78" t="s">
        <v>32</v>
      </c>
      <c r="V78" t="s">
        <v>31</v>
      </c>
      <c r="W78" t="s">
        <v>33</v>
      </c>
      <c r="X78" t="s">
        <v>34</v>
      </c>
      <c r="Y78" t="s">
        <v>35</v>
      </c>
      <c r="Z78" t="s">
        <v>36</v>
      </c>
      <c r="AA78" t="s">
        <v>1268</v>
      </c>
      <c r="AB78" t="s">
        <v>36</v>
      </c>
      <c r="AC78">
        <f>IF(Cdacdata[[#This Row],[placement_status]]="Placed",1,0)</f>
        <v>0</v>
      </c>
      <c r="AD78" t="s">
        <v>37</v>
      </c>
      <c r="AE78" t="s">
        <v>47</v>
      </c>
      <c r="AF78" t="s">
        <v>57</v>
      </c>
      <c r="AG78">
        <v>2023</v>
      </c>
      <c r="AH78" t="s">
        <v>40</v>
      </c>
      <c r="AI78" t="str">
        <f>IF(Cdacdata[ccat_rank]&lt;=100,"Top 100",
IF(Cdacdata[ccat_rank]&lt;=500,"101–500",
IF(Cdacdata[ccat_rank]&lt;=1000,"501–1000",
"1000+")))</f>
        <v>1000+</v>
      </c>
    </row>
    <row r="79" spans="1:35" x14ac:dyDescent="0.3">
      <c r="A79" s="1" t="s">
        <v>25</v>
      </c>
      <c r="B79">
        <v>230600010</v>
      </c>
      <c r="C79" s="2">
        <v>45162</v>
      </c>
      <c r="D79" s="2" t="s">
        <v>451</v>
      </c>
      <c r="E79">
        <v>1586</v>
      </c>
      <c r="F79" s="2">
        <v>36466</v>
      </c>
      <c r="G79">
        <v>78.599999999999994</v>
      </c>
      <c r="H79" t="s">
        <v>26</v>
      </c>
      <c r="I79">
        <v>77.819999999999993</v>
      </c>
      <c r="J79">
        <v>86</v>
      </c>
      <c r="K79" s="3">
        <f t="shared" si="1"/>
        <v>80.806666666666658</v>
      </c>
      <c r="L79" t="s">
        <v>27</v>
      </c>
      <c r="M79" t="s">
        <v>41</v>
      </c>
      <c r="N79">
        <v>23</v>
      </c>
      <c r="O79" t="s">
        <v>48</v>
      </c>
      <c r="P79" t="s">
        <v>42</v>
      </c>
      <c r="Q79" t="s">
        <v>30</v>
      </c>
      <c r="R79">
        <v>489</v>
      </c>
      <c r="S79">
        <v>61.125</v>
      </c>
      <c r="T79" t="s">
        <v>33</v>
      </c>
      <c r="U79" t="s">
        <v>32</v>
      </c>
      <c r="V79" t="s">
        <v>33</v>
      </c>
      <c r="W79" t="s">
        <v>49</v>
      </c>
      <c r="X79" t="s">
        <v>34</v>
      </c>
      <c r="Y79" t="s">
        <v>50</v>
      </c>
      <c r="Z79" t="s">
        <v>44</v>
      </c>
      <c r="AA79" t="s">
        <v>92</v>
      </c>
      <c r="AB79" t="s">
        <v>46</v>
      </c>
      <c r="AC79">
        <f>IF(Cdacdata[[#This Row],[placement_status]]="Placed",1,0)</f>
        <v>1</v>
      </c>
      <c r="AD79" t="s">
        <v>37</v>
      </c>
      <c r="AE79" t="s">
        <v>47</v>
      </c>
      <c r="AF79" t="s">
        <v>39</v>
      </c>
      <c r="AG79">
        <v>2023</v>
      </c>
      <c r="AH79" t="s">
        <v>40</v>
      </c>
      <c r="AI79" t="str">
        <f>IF(Cdacdata[ccat_rank]&lt;=100,"Top 100",
IF(Cdacdata[ccat_rank]&lt;=500,"101–500",
IF(Cdacdata[ccat_rank]&lt;=1000,"501–1000",
"1000+")))</f>
        <v>1000+</v>
      </c>
    </row>
    <row r="80" spans="1:35" x14ac:dyDescent="0.3">
      <c r="A80" s="1" t="s">
        <v>25</v>
      </c>
      <c r="B80">
        <v>230705653</v>
      </c>
      <c r="C80" s="2">
        <v>45177</v>
      </c>
      <c r="D80" s="2" t="s">
        <v>452</v>
      </c>
      <c r="E80">
        <v>2091</v>
      </c>
      <c r="F80" s="2">
        <v>35932</v>
      </c>
      <c r="G80">
        <v>82.18</v>
      </c>
      <c r="H80" t="s">
        <v>26</v>
      </c>
      <c r="I80">
        <v>78.67</v>
      </c>
      <c r="J80">
        <v>68.75</v>
      </c>
      <c r="K80" s="3">
        <f t="shared" si="1"/>
        <v>76.533333333333346</v>
      </c>
      <c r="L80" t="s">
        <v>27</v>
      </c>
      <c r="M80" t="s">
        <v>27</v>
      </c>
      <c r="N80">
        <v>25</v>
      </c>
      <c r="O80" t="s">
        <v>28</v>
      </c>
      <c r="P80" t="s">
        <v>52</v>
      </c>
      <c r="Q80" t="s">
        <v>30</v>
      </c>
      <c r="R80">
        <v>423</v>
      </c>
      <c r="S80">
        <v>52.875</v>
      </c>
      <c r="T80" t="s">
        <v>49</v>
      </c>
      <c r="U80" t="s">
        <v>32</v>
      </c>
      <c r="V80" t="s">
        <v>49</v>
      </c>
      <c r="W80" t="s">
        <v>33</v>
      </c>
      <c r="X80" t="s">
        <v>34</v>
      </c>
      <c r="Y80" t="s">
        <v>35</v>
      </c>
      <c r="Z80" t="s">
        <v>36</v>
      </c>
      <c r="AA80" t="s">
        <v>1268</v>
      </c>
      <c r="AB80" t="s">
        <v>36</v>
      </c>
      <c r="AC80">
        <f>IF(Cdacdata[[#This Row],[placement_status]]="Placed",1,0)</f>
        <v>0</v>
      </c>
      <c r="AD80" t="s">
        <v>37</v>
      </c>
      <c r="AE80" t="s">
        <v>38</v>
      </c>
      <c r="AF80" t="s">
        <v>39</v>
      </c>
      <c r="AG80">
        <v>2023</v>
      </c>
      <c r="AH80" t="s">
        <v>40</v>
      </c>
      <c r="AI80" t="str">
        <f>IF(Cdacdata[ccat_rank]&lt;=100,"Top 100",
IF(Cdacdata[ccat_rank]&lt;=500,"101–500",
IF(Cdacdata[ccat_rank]&lt;=1000,"501–1000",
"1000+")))</f>
        <v>1000+</v>
      </c>
    </row>
    <row r="81" spans="1:35" x14ac:dyDescent="0.3">
      <c r="A81" s="1" t="s">
        <v>25</v>
      </c>
      <c r="B81">
        <v>230601605</v>
      </c>
      <c r="C81" s="2">
        <v>45166</v>
      </c>
      <c r="D81" s="2" t="s">
        <v>453</v>
      </c>
      <c r="E81">
        <v>1593</v>
      </c>
      <c r="F81" s="2">
        <v>35484</v>
      </c>
      <c r="G81">
        <v>76</v>
      </c>
      <c r="H81" t="s">
        <v>26</v>
      </c>
      <c r="I81">
        <v>64.099999999999994</v>
      </c>
      <c r="J81">
        <v>72.48</v>
      </c>
      <c r="K81" s="3">
        <f t="shared" si="1"/>
        <v>70.86</v>
      </c>
      <c r="L81" t="s">
        <v>27</v>
      </c>
      <c r="M81" t="s">
        <v>41</v>
      </c>
      <c r="N81">
        <v>26</v>
      </c>
      <c r="O81" t="s">
        <v>28</v>
      </c>
      <c r="P81" t="s">
        <v>56</v>
      </c>
      <c r="Q81" t="s">
        <v>43</v>
      </c>
      <c r="R81">
        <v>532</v>
      </c>
      <c r="S81">
        <v>66.5</v>
      </c>
      <c r="T81" t="s">
        <v>33</v>
      </c>
      <c r="U81" t="s">
        <v>32</v>
      </c>
      <c r="V81" t="s">
        <v>33</v>
      </c>
      <c r="W81" t="s">
        <v>33</v>
      </c>
      <c r="X81" t="s">
        <v>34</v>
      </c>
      <c r="Y81" t="s">
        <v>50</v>
      </c>
      <c r="Z81" t="s">
        <v>44</v>
      </c>
      <c r="AA81" t="s">
        <v>79</v>
      </c>
      <c r="AB81" t="s">
        <v>46</v>
      </c>
      <c r="AC81">
        <f>IF(Cdacdata[[#This Row],[placement_status]]="Placed",1,0)</f>
        <v>1</v>
      </c>
      <c r="AD81" t="s">
        <v>37</v>
      </c>
      <c r="AE81" t="s">
        <v>47</v>
      </c>
      <c r="AF81" t="s">
        <v>55</v>
      </c>
      <c r="AG81">
        <v>2023</v>
      </c>
      <c r="AH81" t="s">
        <v>40</v>
      </c>
      <c r="AI81" t="str">
        <f>IF(Cdacdata[ccat_rank]&lt;=100,"Top 100",
IF(Cdacdata[ccat_rank]&lt;=500,"101–500",
IF(Cdacdata[ccat_rank]&lt;=1000,"501–1000",
"1000+")))</f>
        <v>1000+</v>
      </c>
    </row>
    <row r="82" spans="1:35" x14ac:dyDescent="0.3">
      <c r="A82" s="1" t="s">
        <v>25</v>
      </c>
      <c r="B82">
        <v>230613414</v>
      </c>
      <c r="C82" s="2">
        <v>45164</v>
      </c>
      <c r="D82" s="2" t="s">
        <v>454</v>
      </c>
      <c r="E82">
        <v>780</v>
      </c>
      <c r="F82" s="2">
        <v>36752</v>
      </c>
      <c r="G82">
        <v>90.4</v>
      </c>
      <c r="H82" t="s">
        <v>26</v>
      </c>
      <c r="I82">
        <v>87.3</v>
      </c>
      <c r="J82">
        <v>81.599999999999994</v>
      </c>
      <c r="K82" s="3">
        <f t="shared" si="1"/>
        <v>86.433333333333323</v>
      </c>
      <c r="L82" t="s">
        <v>27</v>
      </c>
      <c r="M82" t="s">
        <v>41</v>
      </c>
      <c r="N82">
        <v>23</v>
      </c>
      <c r="O82" t="s">
        <v>48</v>
      </c>
      <c r="P82" t="s">
        <v>42</v>
      </c>
      <c r="Q82" t="s">
        <v>43</v>
      </c>
      <c r="R82">
        <v>655</v>
      </c>
      <c r="S82">
        <v>81.875</v>
      </c>
      <c r="T82" t="s">
        <v>33</v>
      </c>
      <c r="U82" t="s">
        <v>32</v>
      </c>
      <c r="V82" t="s">
        <v>33</v>
      </c>
      <c r="W82" t="s">
        <v>49</v>
      </c>
      <c r="X82" t="s">
        <v>34</v>
      </c>
      <c r="Y82" t="s">
        <v>58</v>
      </c>
      <c r="Z82" t="s">
        <v>44</v>
      </c>
      <c r="AA82" t="s">
        <v>61</v>
      </c>
      <c r="AB82" t="s">
        <v>46</v>
      </c>
      <c r="AC82">
        <f>IF(Cdacdata[[#This Row],[placement_status]]="Placed",1,0)</f>
        <v>1</v>
      </c>
      <c r="AD82" t="s">
        <v>37</v>
      </c>
      <c r="AE82" t="s">
        <v>75</v>
      </c>
      <c r="AF82" t="s">
        <v>39</v>
      </c>
      <c r="AG82">
        <v>2023</v>
      </c>
      <c r="AH82" t="s">
        <v>40</v>
      </c>
      <c r="AI82" t="str">
        <f>IF(Cdacdata[ccat_rank]&lt;=100,"Top 100",
IF(Cdacdata[ccat_rank]&lt;=500,"101–500",
IF(Cdacdata[ccat_rank]&lt;=1000,"501–1000",
"1000+")))</f>
        <v>501–1000</v>
      </c>
    </row>
    <row r="83" spans="1:35" x14ac:dyDescent="0.3">
      <c r="A83" s="1" t="s">
        <v>25</v>
      </c>
      <c r="B83">
        <v>230613411</v>
      </c>
      <c r="C83" s="2">
        <v>45163</v>
      </c>
      <c r="D83" s="2" t="s">
        <v>455</v>
      </c>
      <c r="E83">
        <v>491</v>
      </c>
      <c r="F83" s="2">
        <v>36567</v>
      </c>
      <c r="G83">
        <v>90.4</v>
      </c>
      <c r="H83">
        <v>64.150000000000006</v>
      </c>
      <c r="I83" t="s">
        <v>26</v>
      </c>
      <c r="J83">
        <v>82.4</v>
      </c>
      <c r="K83" s="3">
        <f t="shared" si="1"/>
        <v>78.983333333333334</v>
      </c>
      <c r="L83" t="s">
        <v>27</v>
      </c>
      <c r="M83" t="s">
        <v>27</v>
      </c>
      <c r="N83">
        <v>23</v>
      </c>
      <c r="O83" t="s">
        <v>48</v>
      </c>
      <c r="P83" t="s">
        <v>42</v>
      </c>
      <c r="Q83" t="s">
        <v>43</v>
      </c>
      <c r="R83">
        <v>574</v>
      </c>
      <c r="S83">
        <v>71.75</v>
      </c>
      <c r="T83" t="s">
        <v>49</v>
      </c>
      <c r="U83" t="s">
        <v>32</v>
      </c>
      <c r="V83" t="s">
        <v>49</v>
      </c>
      <c r="W83" t="s">
        <v>49</v>
      </c>
      <c r="X83" t="s">
        <v>34</v>
      </c>
      <c r="Y83" t="s">
        <v>58</v>
      </c>
      <c r="Z83" t="s">
        <v>44</v>
      </c>
      <c r="AA83" t="s">
        <v>74</v>
      </c>
      <c r="AB83" t="s">
        <v>46</v>
      </c>
      <c r="AC83">
        <f>IF(Cdacdata[[#This Row],[placement_status]]="Placed",1,0)</f>
        <v>1</v>
      </c>
      <c r="AD83" t="s">
        <v>37</v>
      </c>
      <c r="AE83" t="s">
        <v>75</v>
      </c>
      <c r="AF83" t="s">
        <v>39</v>
      </c>
      <c r="AG83">
        <v>2023</v>
      </c>
      <c r="AH83" t="s">
        <v>40</v>
      </c>
      <c r="AI83" t="str">
        <f>IF(Cdacdata[ccat_rank]&lt;=100,"Top 100",
IF(Cdacdata[ccat_rank]&lt;=500,"101–500",
IF(Cdacdata[ccat_rank]&lt;=1000,"501–1000",
"1000+")))</f>
        <v>101–500</v>
      </c>
    </row>
    <row r="84" spans="1:35" x14ac:dyDescent="0.3">
      <c r="A84" s="1" t="s">
        <v>25</v>
      </c>
      <c r="B84">
        <v>230702886</v>
      </c>
      <c r="C84" s="2">
        <v>45166</v>
      </c>
      <c r="D84" s="2" t="s">
        <v>456</v>
      </c>
      <c r="E84">
        <v>1283</v>
      </c>
      <c r="F84" s="2">
        <v>36862</v>
      </c>
      <c r="G84">
        <v>86.4</v>
      </c>
      <c r="H84">
        <v>61.23</v>
      </c>
      <c r="I84" t="s">
        <v>26</v>
      </c>
      <c r="J84">
        <v>74.84</v>
      </c>
      <c r="K84" s="3">
        <f t="shared" si="1"/>
        <v>74.156666666666666</v>
      </c>
      <c r="L84" t="s">
        <v>27</v>
      </c>
      <c r="M84" t="s">
        <v>41</v>
      </c>
      <c r="N84">
        <v>22</v>
      </c>
      <c r="O84" t="s">
        <v>62</v>
      </c>
      <c r="P84" t="s">
        <v>60</v>
      </c>
      <c r="Q84" t="s">
        <v>30</v>
      </c>
      <c r="R84">
        <v>587</v>
      </c>
      <c r="S84">
        <v>73.375</v>
      </c>
      <c r="T84" t="s">
        <v>33</v>
      </c>
      <c r="U84" t="s">
        <v>32</v>
      </c>
      <c r="V84" t="s">
        <v>33</v>
      </c>
      <c r="W84" t="s">
        <v>33</v>
      </c>
      <c r="X84" t="s">
        <v>34</v>
      </c>
      <c r="Y84" t="s">
        <v>58</v>
      </c>
      <c r="Z84" t="s">
        <v>44</v>
      </c>
      <c r="AA84" t="s">
        <v>83</v>
      </c>
      <c r="AB84" t="s">
        <v>46</v>
      </c>
      <c r="AC84">
        <f>IF(Cdacdata[[#This Row],[placement_status]]="Placed",1,0)</f>
        <v>1</v>
      </c>
      <c r="AD84" t="s">
        <v>37</v>
      </c>
      <c r="AE84" t="s">
        <v>47</v>
      </c>
      <c r="AF84" t="s">
        <v>57</v>
      </c>
      <c r="AG84">
        <v>2023</v>
      </c>
      <c r="AH84" t="s">
        <v>40</v>
      </c>
      <c r="AI84" t="str">
        <f>IF(Cdacdata[ccat_rank]&lt;=100,"Top 100",
IF(Cdacdata[ccat_rank]&lt;=500,"101–500",
IF(Cdacdata[ccat_rank]&lt;=1000,"501–1000",
"1000+")))</f>
        <v>1000+</v>
      </c>
    </row>
    <row r="85" spans="1:35" x14ac:dyDescent="0.3">
      <c r="A85" s="1" t="s">
        <v>25</v>
      </c>
      <c r="B85">
        <v>230608091</v>
      </c>
      <c r="C85" s="2">
        <v>45170</v>
      </c>
      <c r="D85" s="2" t="s">
        <v>457</v>
      </c>
      <c r="E85">
        <v>1871</v>
      </c>
      <c r="F85" s="2">
        <v>36325</v>
      </c>
      <c r="G85">
        <v>70.3</v>
      </c>
      <c r="H85">
        <v>65.8</v>
      </c>
      <c r="I85" t="s">
        <v>26</v>
      </c>
      <c r="J85">
        <v>84.6</v>
      </c>
      <c r="K85" s="3">
        <f t="shared" si="1"/>
        <v>73.566666666666663</v>
      </c>
      <c r="L85" t="s">
        <v>27</v>
      </c>
      <c r="M85" t="s">
        <v>27</v>
      </c>
      <c r="N85">
        <v>24</v>
      </c>
      <c r="O85" t="s">
        <v>48</v>
      </c>
      <c r="P85" t="s">
        <v>60</v>
      </c>
      <c r="Q85" t="s">
        <v>43</v>
      </c>
      <c r="R85">
        <v>497</v>
      </c>
      <c r="S85">
        <v>62.125</v>
      </c>
      <c r="T85" t="s">
        <v>49</v>
      </c>
      <c r="U85" t="s">
        <v>32</v>
      </c>
      <c r="V85" t="s">
        <v>49</v>
      </c>
      <c r="W85" t="s">
        <v>49</v>
      </c>
      <c r="X85" t="s">
        <v>34</v>
      </c>
      <c r="Y85" t="s">
        <v>50</v>
      </c>
      <c r="Z85" t="s">
        <v>44</v>
      </c>
      <c r="AA85" t="s">
        <v>45</v>
      </c>
      <c r="AB85" t="s">
        <v>46</v>
      </c>
      <c r="AC85">
        <f>IF(Cdacdata[[#This Row],[placement_status]]="Placed",1,0)</f>
        <v>1</v>
      </c>
      <c r="AD85" t="s">
        <v>37</v>
      </c>
      <c r="AE85" t="s">
        <v>47</v>
      </c>
      <c r="AF85" t="s">
        <v>39</v>
      </c>
      <c r="AG85">
        <v>2023</v>
      </c>
      <c r="AH85" t="s">
        <v>40</v>
      </c>
      <c r="AI85" t="str">
        <f>IF(Cdacdata[ccat_rank]&lt;=100,"Top 100",
IF(Cdacdata[ccat_rank]&lt;=500,"101–500",
IF(Cdacdata[ccat_rank]&lt;=1000,"501–1000",
"1000+")))</f>
        <v>1000+</v>
      </c>
    </row>
    <row r="86" spans="1:35" x14ac:dyDescent="0.3">
      <c r="A86" s="1" t="s">
        <v>25</v>
      </c>
      <c r="B86">
        <v>230605976</v>
      </c>
      <c r="C86" s="2">
        <v>45167</v>
      </c>
      <c r="D86" s="2" t="s">
        <v>458</v>
      </c>
      <c r="E86">
        <v>2087</v>
      </c>
      <c r="F86" s="2">
        <v>36530</v>
      </c>
      <c r="G86">
        <v>82.4</v>
      </c>
      <c r="H86" t="s">
        <v>26</v>
      </c>
      <c r="I86">
        <v>63.47</v>
      </c>
      <c r="J86">
        <v>83.9</v>
      </c>
      <c r="K86" s="3">
        <f t="shared" si="1"/>
        <v>76.59</v>
      </c>
      <c r="L86" t="s">
        <v>27</v>
      </c>
      <c r="M86" t="s">
        <v>27</v>
      </c>
      <c r="N86">
        <v>23</v>
      </c>
      <c r="O86" t="s">
        <v>48</v>
      </c>
      <c r="P86" t="s">
        <v>60</v>
      </c>
      <c r="Q86" t="s">
        <v>30</v>
      </c>
      <c r="R86">
        <v>498</v>
      </c>
      <c r="S86">
        <v>62.25</v>
      </c>
      <c r="T86" t="s">
        <v>33</v>
      </c>
      <c r="U86" t="s">
        <v>32</v>
      </c>
      <c r="V86" t="s">
        <v>33</v>
      </c>
      <c r="W86" t="s">
        <v>49</v>
      </c>
      <c r="X86" t="s">
        <v>34</v>
      </c>
      <c r="Y86" t="s">
        <v>50</v>
      </c>
      <c r="Z86" t="s">
        <v>36</v>
      </c>
      <c r="AA86" t="s">
        <v>1268</v>
      </c>
      <c r="AB86" t="s">
        <v>36</v>
      </c>
      <c r="AC86">
        <f>IF(Cdacdata[[#This Row],[placement_status]]="Placed",1,0)</f>
        <v>0</v>
      </c>
      <c r="AD86" t="s">
        <v>37</v>
      </c>
      <c r="AE86" t="s">
        <v>38</v>
      </c>
      <c r="AF86" t="s">
        <v>39</v>
      </c>
      <c r="AG86">
        <v>2023</v>
      </c>
      <c r="AH86" t="s">
        <v>40</v>
      </c>
      <c r="AI86" t="str">
        <f>IF(Cdacdata[ccat_rank]&lt;=100,"Top 100",
IF(Cdacdata[ccat_rank]&lt;=500,"101–500",
IF(Cdacdata[ccat_rank]&lt;=1000,"501–1000",
"1000+")))</f>
        <v>1000+</v>
      </c>
    </row>
    <row r="87" spans="1:35" x14ac:dyDescent="0.3">
      <c r="A87" s="1" t="s">
        <v>25</v>
      </c>
      <c r="B87">
        <v>230702186</v>
      </c>
      <c r="C87" s="2">
        <v>45167</v>
      </c>
      <c r="D87" s="2" t="s">
        <v>459</v>
      </c>
      <c r="E87">
        <v>1636</v>
      </c>
      <c r="F87" s="2">
        <v>36745</v>
      </c>
      <c r="G87">
        <v>62.2</v>
      </c>
      <c r="H87">
        <v>56.77</v>
      </c>
      <c r="I87" t="s">
        <v>26</v>
      </c>
      <c r="J87">
        <v>73.19</v>
      </c>
      <c r="K87" s="3">
        <f t="shared" si="1"/>
        <v>64.053333333333327</v>
      </c>
      <c r="L87" t="s">
        <v>27</v>
      </c>
      <c r="M87" t="s">
        <v>41</v>
      </c>
      <c r="N87">
        <v>23</v>
      </c>
      <c r="O87" t="s">
        <v>28</v>
      </c>
      <c r="P87" t="s">
        <v>60</v>
      </c>
      <c r="Q87" t="s">
        <v>30</v>
      </c>
      <c r="R87">
        <v>258</v>
      </c>
      <c r="S87">
        <v>32.25</v>
      </c>
      <c r="T87" t="s">
        <v>33</v>
      </c>
      <c r="U87" t="s">
        <v>64</v>
      </c>
      <c r="V87" t="s">
        <v>33</v>
      </c>
      <c r="W87" t="s">
        <v>31</v>
      </c>
      <c r="X87" t="s">
        <v>34</v>
      </c>
      <c r="Y87" t="s">
        <v>64</v>
      </c>
      <c r="Z87" t="s">
        <v>36</v>
      </c>
      <c r="AA87" t="s">
        <v>1268</v>
      </c>
      <c r="AB87" t="s">
        <v>36</v>
      </c>
      <c r="AC87">
        <f>IF(Cdacdata[[#This Row],[placement_status]]="Placed",1,0)</f>
        <v>0</v>
      </c>
      <c r="AD87" t="s">
        <v>37</v>
      </c>
      <c r="AE87" t="s">
        <v>47</v>
      </c>
      <c r="AF87" t="s">
        <v>39</v>
      </c>
      <c r="AG87">
        <v>2023</v>
      </c>
      <c r="AH87" t="s">
        <v>40</v>
      </c>
      <c r="AI87" t="str">
        <f>IF(Cdacdata[ccat_rank]&lt;=100,"Top 100",
IF(Cdacdata[ccat_rank]&lt;=500,"101–500",
IF(Cdacdata[ccat_rank]&lt;=1000,"501–1000",
"1000+")))</f>
        <v>1000+</v>
      </c>
    </row>
    <row r="88" spans="1:35" x14ac:dyDescent="0.3">
      <c r="A88" s="1" t="s">
        <v>25</v>
      </c>
      <c r="B88">
        <v>230611497</v>
      </c>
      <c r="C88" s="2">
        <v>45175</v>
      </c>
      <c r="D88" s="2" t="s">
        <v>460</v>
      </c>
      <c r="E88">
        <v>1739</v>
      </c>
      <c r="F88" s="2">
        <v>35575</v>
      </c>
      <c r="G88">
        <v>85.45</v>
      </c>
      <c r="H88">
        <v>74</v>
      </c>
      <c r="I88" t="s">
        <v>26</v>
      </c>
      <c r="J88">
        <v>77.17</v>
      </c>
      <c r="K88" s="3">
        <f t="shared" si="1"/>
        <v>78.873333333333335</v>
      </c>
      <c r="L88" t="s">
        <v>27</v>
      </c>
      <c r="M88" t="s">
        <v>27</v>
      </c>
      <c r="N88">
        <v>26</v>
      </c>
      <c r="O88" t="s">
        <v>48</v>
      </c>
      <c r="P88" t="s">
        <v>60</v>
      </c>
      <c r="Q88" t="s">
        <v>30</v>
      </c>
      <c r="R88">
        <v>592</v>
      </c>
      <c r="S88">
        <v>74</v>
      </c>
      <c r="T88" t="s">
        <v>49</v>
      </c>
      <c r="U88" t="s">
        <v>32</v>
      </c>
      <c r="V88" t="s">
        <v>49</v>
      </c>
      <c r="W88" t="s">
        <v>49</v>
      </c>
      <c r="X88" t="s">
        <v>34</v>
      </c>
      <c r="Y88" t="s">
        <v>58</v>
      </c>
      <c r="Z88" t="s">
        <v>44</v>
      </c>
      <c r="AA88" t="s">
        <v>45</v>
      </c>
      <c r="AB88" t="s">
        <v>46</v>
      </c>
      <c r="AC88">
        <f>IF(Cdacdata[[#This Row],[placement_status]]="Placed",1,0)</f>
        <v>1</v>
      </c>
      <c r="AD88" t="s">
        <v>37</v>
      </c>
      <c r="AE88" t="s">
        <v>47</v>
      </c>
      <c r="AF88" t="s">
        <v>55</v>
      </c>
      <c r="AG88">
        <v>2023</v>
      </c>
      <c r="AH88" t="s">
        <v>40</v>
      </c>
      <c r="AI88" t="str">
        <f>IF(Cdacdata[ccat_rank]&lt;=100,"Top 100",
IF(Cdacdata[ccat_rank]&lt;=500,"101–500",
IF(Cdacdata[ccat_rank]&lt;=1000,"501–1000",
"1000+")))</f>
        <v>1000+</v>
      </c>
    </row>
    <row r="89" spans="1:35" x14ac:dyDescent="0.3">
      <c r="A89" s="1" t="s">
        <v>25</v>
      </c>
      <c r="B89">
        <v>230601213</v>
      </c>
      <c r="C89" s="2">
        <v>45167</v>
      </c>
      <c r="D89" s="2" t="s">
        <v>461</v>
      </c>
      <c r="E89">
        <v>1291</v>
      </c>
      <c r="F89" s="2">
        <v>35735</v>
      </c>
      <c r="G89">
        <v>89</v>
      </c>
      <c r="H89">
        <v>87</v>
      </c>
      <c r="I89" t="s">
        <v>26</v>
      </c>
      <c r="J89">
        <v>63.8</v>
      </c>
      <c r="K89" s="3">
        <f t="shared" si="1"/>
        <v>79.933333333333337</v>
      </c>
      <c r="L89" t="s">
        <v>27</v>
      </c>
      <c r="M89" t="s">
        <v>27</v>
      </c>
      <c r="N89">
        <v>25</v>
      </c>
      <c r="O89" t="s">
        <v>28</v>
      </c>
      <c r="P89" t="s">
        <v>60</v>
      </c>
      <c r="Q89" t="s">
        <v>43</v>
      </c>
      <c r="R89">
        <v>446</v>
      </c>
      <c r="S89">
        <v>55.75</v>
      </c>
      <c r="T89" t="s">
        <v>49</v>
      </c>
      <c r="U89" t="s">
        <v>32</v>
      </c>
      <c r="V89" t="s">
        <v>49</v>
      </c>
      <c r="W89" t="s">
        <v>33</v>
      </c>
      <c r="X89" t="s">
        <v>34</v>
      </c>
      <c r="Y89" t="s">
        <v>35</v>
      </c>
      <c r="Z89" t="s">
        <v>44</v>
      </c>
      <c r="AA89" t="s">
        <v>88</v>
      </c>
      <c r="AB89" t="s">
        <v>46</v>
      </c>
      <c r="AC89">
        <f>IF(Cdacdata[[#This Row],[placement_status]]="Placed",1,0)</f>
        <v>1</v>
      </c>
      <c r="AD89" t="s">
        <v>37</v>
      </c>
      <c r="AE89" t="s">
        <v>47</v>
      </c>
      <c r="AF89" t="s">
        <v>39</v>
      </c>
      <c r="AG89">
        <v>2023</v>
      </c>
      <c r="AH89" t="s">
        <v>40</v>
      </c>
      <c r="AI89" t="str">
        <f>IF(Cdacdata[ccat_rank]&lt;=100,"Top 100",
IF(Cdacdata[ccat_rank]&lt;=500,"101–500",
IF(Cdacdata[ccat_rank]&lt;=1000,"501–1000",
"1000+")))</f>
        <v>1000+</v>
      </c>
    </row>
    <row r="90" spans="1:35" x14ac:dyDescent="0.3">
      <c r="A90" s="1" t="s">
        <v>25</v>
      </c>
      <c r="B90">
        <v>230600924</v>
      </c>
      <c r="C90" s="2">
        <v>45176</v>
      </c>
      <c r="D90" s="2" t="s">
        <v>462</v>
      </c>
      <c r="E90">
        <v>133</v>
      </c>
      <c r="F90" s="2">
        <v>37074</v>
      </c>
      <c r="G90">
        <v>85.6</v>
      </c>
      <c r="H90">
        <v>67.540000000000006</v>
      </c>
      <c r="I90" t="s">
        <v>26</v>
      </c>
      <c r="J90">
        <v>69.42</v>
      </c>
      <c r="K90" s="3">
        <f t="shared" si="1"/>
        <v>74.186666666666667</v>
      </c>
      <c r="L90" t="s">
        <v>27</v>
      </c>
      <c r="M90" t="s">
        <v>41</v>
      </c>
      <c r="N90">
        <v>22</v>
      </c>
      <c r="O90" t="s">
        <v>28</v>
      </c>
      <c r="P90" t="s">
        <v>65</v>
      </c>
      <c r="Q90" t="s">
        <v>30</v>
      </c>
      <c r="R90">
        <v>602</v>
      </c>
      <c r="S90">
        <v>75.25</v>
      </c>
      <c r="T90" t="s">
        <v>49</v>
      </c>
      <c r="U90" t="s">
        <v>32</v>
      </c>
      <c r="V90" t="s">
        <v>49</v>
      </c>
      <c r="W90" t="s">
        <v>49</v>
      </c>
      <c r="X90" t="s">
        <v>34</v>
      </c>
      <c r="Y90" t="s">
        <v>58</v>
      </c>
      <c r="Z90" t="s">
        <v>44</v>
      </c>
      <c r="AA90" t="s">
        <v>74</v>
      </c>
      <c r="AB90" t="s">
        <v>46</v>
      </c>
      <c r="AC90">
        <f>IF(Cdacdata[[#This Row],[placement_status]]="Placed",1,0)</f>
        <v>1</v>
      </c>
      <c r="AD90" t="s">
        <v>37</v>
      </c>
      <c r="AE90" t="s">
        <v>75</v>
      </c>
      <c r="AF90" t="s">
        <v>57</v>
      </c>
      <c r="AG90">
        <v>2023</v>
      </c>
      <c r="AH90" t="s">
        <v>40</v>
      </c>
      <c r="AI90" t="str">
        <f>IF(Cdacdata[ccat_rank]&lt;=100,"Top 100",
IF(Cdacdata[ccat_rank]&lt;=500,"101–500",
IF(Cdacdata[ccat_rank]&lt;=1000,"501–1000",
"1000+")))</f>
        <v>101–500</v>
      </c>
    </row>
    <row r="91" spans="1:35" x14ac:dyDescent="0.3">
      <c r="A91" s="1" t="s">
        <v>25</v>
      </c>
      <c r="B91">
        <v>230607011</v>
      </c>
      <c r="C91" s="2">
        <v>45175</v>
      </c>
      <c r="D91" s="2" t="s">
        <v>463</v>
      </c>
      <c r="E91">
        <v>1756</v>
      </c>
      <c r="F91" s="2">
        <v>35154</v>
      </c>
      <c r="G91">
        <v>70.400000000000006</v>
      </c>
      <c r="H91">
        <v>59.17</v>
      </c>
      <c r="I91" t="s">
        <v>26</v>
      </c>
      <c r="J91">
        <v>69.08</v>
      </c>
      <c r="K91" s="3">
        <f t="shared" si="1"/>
        <v>66.216666666666654</v>
      </c>
      <c r="L91" t="s">
        <v>27</v>
      </c>
      <c r="M91" t="s">
        <v>27</v>
      </c>
      <c r="N91">
        <v>27</v>
      </c>
      <c r="O91" t="s">
        <v>28</v>
      </c>
      <c r="P91" t="s">
        <v>65</v>
      </c>
      <c r="Q91" t="s">
        <v>30</v>
      </c>
      <c r="R91">
        <v>382</v>
      </c>
      <c r="S91">
        <v>47.75</v>
      </c>
      <c r="T91" t="s">
        <v>31</v>
      </c>
      <c r="U91" t="s">
        <v>32</v>
      </c>
      <c r="V91" t="s">
        <v>31</v>
      </c>
      <c r="W91" t="s">
        <v>33</v>
      </c>
      <c r="X91" t="s">
        <v>34</v>
      </c>
      <c r="Y91" t="s">
        <v>80</v>
      </c>
      <c r="Z91" t="s">
        <v>36</v>
      </c>
      <c r="AA91" t="s">
        <v>1268</v>
      </c>
      <c r="AB91" t="s">
        <v>36</v>
      </c>
      <c r="AC91">
        <f>IF(Cdacdata[[#This Row],[placement_status]]="Placed",1,0)</f>
        <v>0</v>
      </c>
      <c r="AD91" t="s">
        <v>37</v>
      </c>
      <c r="AE91" t="s">
        <v>47</v>
      </c>
      <c r="AF91" t="s">
        <v>55</v>
      </c>
      <c r="AG91">
        <v>2023</v>
      </c>
      <c r="AH91" t="s">
        <v>40</v>
      </c>
      <c r="AI91" t="str">
        <f>IF(Cdacdata[ccat_rank]&lt;=100,"Top 100",
IF(Cdacdata[ccat_rank]&lt;=500,"101–500",
IF(Cdacdata[ccat_rank]&lt;=1000,"501–1000",
"1000+")))</f>
        <v>1000+</v>
      </c>
    </row>
    <row r="92" spans="1:35" x14ac:dyDescent="0.3">
      <c r="A92" s="1" t="s">
        <v>25</v>
      </c>
      <c r="B92">
        <v>230705023</v>
      </c>
      <c r="C92" s="2">
        <v>45176</v>
      </c>
      <c r="D92" s="2" t="s">
        <v>464</v>
      </c>
      <c r="E92">
        <v>581</v>
      </c>
      <c r="F92" s="2">
        <v>36397</v>
      </c>
      <c r="G92">
        <v>91.4</v>
      </c>
      <c r="H92">
        <v>66.62</v>
      </c>
      <c r="I92" t="s">
        <v>26</v>
      </c>
      <c r="J92">
        <v>72.459999999999994</v>
      </c>
      <c r="K92" s="3">
        <f t="shared" si="1"/>
        <v>76.826666666666668</v>
      </c>
      <c r="L92" t="s">
        <v>27</v>
      </c>
      <c r="M92" t="s">
        <v>41</v>
      </c>
      <c r="N92">
        <v>24</v>
      </c>
      <c r="O92" t="s">
        <v>28</v>
      </c>
      <c r="P92" t="s">
        <v>29</v>
      </c>
      <c r="Q92" t="s">
        <v>30</v>
      </c>
      <c r="R92">
        <v>557</v>
      </c>
      <c r="S92">
        <v>69.625</v>
      </c>
      <c r="T92" t="s">
        <v>49</v>
      </c>
      <c r="U92" t="s">
        <v>32</v>
      </c>
      <c r="V92" t="s">
        <v>49</v>
      </c>
      <c r="W92" t="s">
        <v>49</v>
      </c>
      <c r="X92" t="s">
        <v>34</v>
      </c>
      <c r="Y92" t="s">
        <v>50</v>
      </c>
      <c r="Z92" t="s">
        <v>44</v>
      </c>
      <c r="AA92" t="s">
        <v>73</v>
      </c>
      <c r="AB92" t="s">
        <v>46</v>
      </c>
      <c r="AC92">
        <f>IF(Cdacdata[[#This Row],[placement_status]]="Placed",1,0)</f>
        <v>1</v>
      </c>
      <c r="AD92" t="s">
        <v>37</v>
      </c>
      <c r="AE92" t="s">
        <v>75</v>
      </c>
      <c r="AF92" t="s">
        <v>39</v>
      </c>
      <c r="AG92">
        <v>2023</v>
      </c>
      <c r="AH92" t="s">
        <v>40</v>
      </c>
      <c r="AI92" t="str">
        <f>IF(Cdacdata[ccat_rank]&lt;=100,"Top 100",
IF(Cdacdata[ccat_rank]&lt;=500,"101–500",
IF(Cdacdata[ccat_rank]&lt;=1000,"501–1000",
"1000+")))</f>
        <v>501–1000</v>
      </c>
    </row>
    <row r="93" spans="1:35" x14ac:dyDescent="0.3">
      <c r="A93" s="1" t="s">
        <v>25</v>
      </c>
      <c r="B93">
        <v>230700612</v>
      </c>
      <c r="C93" s="2">
        <v>45164</v>
      </c>
      <c r="D93" s="2" t="s">
        <v>465</v>
      </c>
      <c r="E93">
        <v>1407</v>
      </c>
      <c r="F93" s="2">
        <v>36615</v>
      </c>
      <c r="G93">
        <v>80.400000000000006</v>
      </c>
      <c r="H93">
        <v>60</v>
      </c>
      <c r="I93" t="s">
        <v>26</v>
      </c>
      <c r="J93">
        <v>75.5</v>
      </c>
      <c r="K93" s="3">
        <f t="shared" si="1"/>
        <v>71.966666666666669</v>
      </c>
      <c r="L93" t="s">
        <v>27</v>
      </c>
      <c r="M93" t="s">
        <v>41</v>
      </c>
      <c r="N93">
        <v>23</v>
      </c>
      <c r="O93" t="s">
        <v>48</v>
      </c>
      <c r="P93" t="s">
        <v>60</v>
      </c>
      <c r="Q93" t="s">
        <v>30</v>
      </c>
      <c r="R93">
        <v>296</v>
      </c>
      <c r="S93">
        <v>37</v>
      </c>
      <c r="T93" t="s">
        <v>33</v>
      </c>
      <c r="U93" t="s">
        <v>64</v>
      </c>
      <c r="V93" t="s">
        <v>33</v>
      </c>
      <c r="W93" t="s">
        <v>31</v>
      </c>
      <c r="X93" t="s">
        <v>34</v>
      </c>
      <c r="Y93" t="s">
        <v>64</v>
      </c>
      <c r="Z93" t="s">
        <v>36</v>
      </c>
      <c r="AA93" t="s">
        <v>1268</v>
      </c>
      <c r="AB93" t="s">
        <v>36</v>
      </c>
      <c r="AC93">
        <f>IF(Cdacdata[[#This Row],[placement_status]]="Placed",1,0)</f>
        <v>0</v>
      </c>
      <c r="AD93" t="s">
        <v>37</v>
      </c>
      <c r="AE93" t="s">
        <v>47</v>
      </c>
      <c r="AF93" t="s">
        <v>39</v>
      </c>
      <c r="AG93">
        <v>2023</v>
      </c>
      <c r="AH93" t="s">
        <v>40</v>
      </c>
      <c r="AI93" t="str">
        <f>IF(Cdacdata[ccat_rank]&lt;=100,"Top 100",
IF(Cdacdata[ccat_rank]&lt;=500,"101–500",
IF(Cdacdata[ccat_rank]&lt;=1000,"501–1000",
"1000+")))</f>
        <v>1000+</v>
      </c>
    </row>
    <row r="94" spans="1:35" x14ac:dyDescent="0.3">
      <c r="A94" s="1" t="s">
        <v>25</v>
      </c>
      <c r="B94">
        <v>230603003</v>
      </c>
      <c r="C94" s="2">
        <v>45163</v>
      </c>
      <c r="D94" s="2" t="s">
        <v>466</v>
      </c>
      <c r="E94">
        <v>2143</v>
      </c>
      <c r="F94" s="2">
        <v>35889</v>
      </c>
      <c r="G94">
        <v>88.2</v>
      </c>
      <c r="H94">
        <v>64.77</v>
      </c>
      <c r="I94" t="s">
        <v>26</v>
      </c>
      <c r="J94">
        <v>65.62</v>
      </c>
      <c r="K94" s="3">
        <f t="shared" si="1"/>
        <v>72.86333333333333</v>
      </c>
      <c r="L94" t="s">
        <v>27</v>
      </c>
      <c r="M94" t="s">
        <v>41</v>
      </c>
      <c r="N94">
        <v>25</v>
      </c>
      <c r="O94" t="s">
        <v>28</v>
      </c>
      <c r="P94" t="s">
        <v>60</v>
      </c>
      <c r="Q94" t="s">
        <v>30</v>
      </c>
      <c r="R94">
        <v>550</v>
      </c>
      <c r="S94">
        <v>68.75</v>
      </c>
      <c r="T94" t="s">
        <v>33</v>
      </c>
      <c r="U94" t="s">
        <v>32</v>
      </c>
      <c r="V94" t="s">
        <v>33</v>
      </c>
      <c r="W94" t="s">
        <v>33</v>
      </c>
      <c r="X94" t="s">
        <v>34</v>
      </c>
      <c r="Y94" t="s">
        <v>50</v>
      </c>
      <c r="Z94" t="s">
        <v>44</v>
      </c>
      <c r="AA94" t="s">
        <v>51</v>
      </c>
      <c r="AB94" t="s">
        <v>46</v>
      </c>
      <c r="AC94">
        <f>IF(Cdacdata[[#This Row],[placement_status]]="Placed",1,0)</f>
        <v>1</v>
      </c>
      <c r="AD94" t="s">
        <v>37</v>
      </c>
      <c r="AE94" t="s">
        <v>38</v>
      </c>
      <c r="AF94" t="s">
        <v>39</v>
      </c>
      <c r="AG94">
        <v>2023</v>
      </c>
      <c r="AH94" t="s">
        <v>40</v>
      </c>
      <c r="AI94" t="str">
        <f>IF(Cdacdata[ccat_rank]&lt;=100,"Top 100",
IF(Cdacdata[ccat_rank]&lt;=500,"101–500",
IF(Cdacdata[ccat_rank]&lt;=1000,"501–1000",
"1000+")))</f>
        <v>1000+</v>
      </c>
    </row>
    <row r="95" spans="1:35" x14ac:dyDescent="0.3">
      <c r="A95" s="1" t="s">
        <v>25</v>
      </c>
      <c r="B95">
        <v>230704897</v>
      </c>
      <c r="C95" s="2">
        <v>45177</v>
      </c>
      <c r="D95" s="2" t="s">
        <v>467</v>
      </c>
      <c r="E95">
        <v>1921</v>
      </c>
      <c r="F95" s="2">
        <v>36410</v>
      </c>
      <c r="G95">
        <v>91.4</v>
      </c>
      <c r="H95" t="s">
        <v>26</v>
      </c>
      <c r="I95" t="s">
        <v>26</v>
      </c>
      <c r="J95">
        <v>71.599999999999994</v>
      </c>
      <c r="K95" s="3">
        <f t="shared" si="1"/>
        <v>81.5</v>
      </c>
      <c r="L95" t="s">
        <v>27</v>
      </c>
      <c r="M95" t="s">
        <v>27</v>
      </c>
      <c r="N95">
        <v>24</v>
      </c>
      <c r="O95" t="s">
        <v>28</v>
      </c>
      <c r="P95" t="s">
        <v>29</v>
      </c>
      <c r="Q95" t="s">
        <v>30</v>
      </c>
      <c r="R95">
        <v>406</v>
      </c>
      <c r="S95">
        <v>50.75</v>
      </c>
      <c r="T95" t="s">
        <v>33</v>
      </c>
      <c r="U95" t="s">
        <v>32</v>
      </c>
      <c r="V95" t="s">
        <v>33</v>
      </c>
      <c r="W95" t="s">
        <v>33</v>
      </c>
      <c r="X95" t="s">
        <v>34</v>
      </c>
      <c r="Y95" t="s">
        <v>35</v>
      </c>
      <c r="Z95" t="s">
        <v>36</v>
      </c>
      <c r="AA95" t="s">
        <v>1268</v>
      </c>
      <c r="AB95" t="s">
        <v>36</v>
      </c>
      <c r="AC95">
        <f>IF(Cdacdata[[#This Row],[placement_status]]="Placed",1,0)</f>
        <v>0</v>
      </c>
      <c r="AD95" t="s">
        <v>37</v>
      </c>
      <c r="AE95" t="s">
        <v>47</v>
      </c>
      <c r="AF95" t="s">
        <v>39</v>
      </c>
      <c r="AG95">
        <v>2023</v>
      </c>
      <c r="AH95" t="s">
        <v>40</v>
      </c>
      <c r="AI95" t="str">
        <f>IF(Cdacdata[ccat_rank]&lt;=100,"Top 100",
IF(Cdacdata[ccat_rank]&lt;=500,"101–500",
IF(Cdacdata[ccat_rank]&lt;=1000,"501–1000",
"1000+")))</f>
        <v>1000+</v>
      </c>
    </row>
    <row r="96" spans="1:35" x14ac:dyDescent="0.3">
      <c r="A96" s="1" t="s">
        <v>25</v>
      </c>
      <c r="B96">
        <v>230702139</v>
      </c>
      <c r="C96" s="2">
        <v>45171</v>
      </c>
      <c r="D96" s="2" t="s">
        <v>468</v>
      </c>
      <c r="E96">
        <v>1191</v>
      </c>
      <c r="F96" s="2">
        <v>36620</v>
      </c>
      <c r="G96">
        <v>74.400000000000006</v>
      </c>
      <c r="H96" t="s">
        <v>26</v>
      </c>
      <c r="I96">
        <v>68.180000000000007</v>
      </c>
      <c r="J96">
        <v>88.2</v>
      </c>
      <c r="K96" s="3">
        <f t="shared" si="1"/>
        <v>76.926666666666677</v>
      </c>
      <c r="L96" t="s">
        <v>27</v>
      </c>
      <c r="M96" t="s">
        <v>27</v>
      </c>
      <c r="N96">
        <v>23</v>
      </c>
      <c r="O96" t="s">
        <v>48</v>
      </c>
      <c r="P96" t="s">
        <v>29</v>
      </c>
      <c r="Q96" t="s">
        <v>30</v>
      </c>
      <c r="R96">
        <v>407</v>
      </c>
      <c r="S96">
        <v>50.875</v>
      </c>
      <c r="T96" t="s">
        <v>31</v>
      </c>
      <c r="U96" t="s">
        <v>32</v>
      </c>
      <c r="V96" t="s">
        <v>31</v>
      </c>
      <c r="W96" t="s">
        <v>31</v>
      </c>
      <c r="X96" t="s">
        <v>34</v>
      </c>
      <c r="Y96" t="s">
        <v>35</v>
      </c>
      <c r="Z96" t="s">
        <v>36</v>
      </c>
      <c r="AA96" t="s">
        <v>1268</v>
      </c>
      <c r="AB96" t="s">
        <v>36</v>
      </c>
      <c r="AC96">
        <f>IF(Cdacdata[[#This Row],[placement_status]]="Placed",1,0)</f>
        <v>0</v>
      </c>
      <c r="AD96" t="s">
        <v>37</v>
      </c>
      <c r="AE96" t="s">
        <v>47</v>
      </c>
      <c r="AF96" t="s">
        <v>39</v>
      </c>
      <c r="AG96">
        <v>2023</v>
      </c>
      <c r="AH96" t="s">
        <v>40</v>
      </c>
      <c r="AI96" t="str">
        <f>IF(Cdacdata[ccat_rank]&lt;=100,"Top 100",
IF(Cdacdata[ccat_rank]&lt;=500,"101–500",
IF(Cdacdata[ccat_rank]&lt;=1000,"501–1000",
"1000+")))</f>
        <v>1000+</v>
      </c>
    </row>
    <row r="97" spans="1:35" x14ac:dyDescent="0.3">
      <c r="A97" s="1" t="s">
        <v>25</v>
      </c>
      <c r="B97">
        <v>230607957</v>
      </c>
      <c r="C97" s="2">
        <v>45162</v>
      </c>
      <c r="D97" s="2" t="s">
        <v>469</v>
      </c>
      <c r="E97">
        <v>1813</v>
      </c>
      <c r="F97" s="2">
        <v>37205</v>
      </c>
      <c r="G97">
        <v>95</v>
      </c>
      <c r="H97">
        <v>70.8</v>
      </c>
      <c r="I97" t="s">
        <v>26</v>
      </c>
      <c r="J97">
        <v>70.599999999999994</v>
      </c>
      <c r="K97" s="3">
        <f t="shared" si="1"/>
        <v>78.8</v>
      </c>
      <c r="L97" t="s">
        <v>27</v>
      </c>
      <c r="M97" t="s">
        <v>27</v>
      </c>
      <c r="N97">
        <v>21</v>
      </c>
      <c r="O97" t="s">
        <v>28</v>
      </c>
      <c r="P97" t="s">
        <v>56</v>
      </c>
      <c r="Q97" t="s">
        <v>43</v>
      </c>
      <c r="R97">
        <v>396</v>
      </c>
      <c r="S97">
        <v>49.5</v>
      </c>
      <c r="T97" t="s">
        <v>31</v>
      </c>
      <c r="U97" t="s">
        <v>32</v>
      </c>
      <c r="V97" t="s">
        <v>31</v>
      </c>
      <c r="W97" t="s">
        <v>31</v>
      </c>
      <c r="X97" t="s">
        <v>34</v>
      </c>
      <c r="Y97" t="s">
        <v>80</v>
      </c>
      <c r="Z97" t="s">
        <v>44</v>
      </c>
      <c r="AA97" t="s">
        <v>92</v>
      </c>
      <c r="AB97" t="s">
        <v>46</v>
      </c>
      <c r="AC97">
        <f>IF(Cdacdata[[#This Row],[placement_status]]="Placed",1,0)</f>
        <v>1</v>
      </c>
      <c r="AD97" t="s">
        <v>37</v>
      </c>
      <c r="AE97" t="s">
        <v>47</v>
      </c>
      <c r="AF97" t="s">
        <v>57</v>
      </c>
      <c r="AG97">
        <v>2023</v>
      </c>
      <c r="AH97" t="s">
        <v>40</v>
      </c>
      <c r="AI97" t="str">
        <f>IF(Cdacdata[ccat_rank]&lt;=100,"Top 100",
IF(Cdacdata[ccat_rank]&lt;=500,"101–500",
IF(Cdacdata[ccat_rank]&lt;=1000,"501–1000",
"1000+")))</f>
        <v>1000+</v>
      </c>
    </row>
    <row r="98" spans="1:35" x14ac:dyDescent="0.3">
      <c r="A98" s="1" t="s">
        <v>25</v>
      </c>
      <c r="B98">
        <v>230600823</v>
      </c>
      <c r="C98" s="2">
        <v>45172</v>
      </c>
      <c r="D98" s="2" t="s">
        <v>470</v>
      </c>
      <c r="E98">
        <v>2012</v>
      </c>
      <c r="F98" s="2">
        <v>33533</v>
      </c>
      <c r="G98">
        <v>80.459999999999994</v>
      </c>
      <c r="H98" t="s">
        <v>26</v>
      </c>
      <c r="I98">
        <v>76.47</v>
      </c>
      <c r="J98">
        <v>68</v>
      </c>
      <c r="K98" s="3">
        <f t="shared" si="1"/>
        <v>74.976666666666674</v>
      </c>
      <c r="L98" t="s">
        <v>27</v>
      </c>
      <c r="M98" t="s">
        <v>27</v>
      </c>
      <c r="N98">
        <v>31</v>
      </c>
      <c r="O98" t="s">
        <v>28</v>
      </c>
      <c r="P98" t="s">
        <v>29</v>
      </c>
      <c r="Q98" t="s">
        <v>30</v>
      </c>
      <c r="R98">
        <v>481</v>
      </c>
      <c r="S98">
        <v>60.125</v>
      </c>
      <c r="T98" t="s">
        <v>31</v>
      </c>
      <c r="U98" t="s">
        <v>32</v>
      </c>
      <c r="V98" t="s">
        <v>31</v>
      </c>
      <c r="W98" t="s">
        <v>33</v>
      </c>
      <c r="X98" t="s">
        <v>34</v>
      </c>
      <c r="Y98" t="s">
        <v>50</v>
      </c>
      <c r="Z98" t="s">
        <v>44</v>
      </c>
      <c r="AA98" t="s">
        <v>51</v>
      </c>
      <c r="AB98" t="s">
        <v>46</v>
      </c>
      <c r="AC98">
        <f>IF(Cdacdata[[#This Row],[placement_status]]="Placed",1,0)</f>
        <v>1</v>
      </c>
      <c r="AD98" t="s">
        <v>37</v>
      </c>
      <c r="AE98" t="s">
        <v>38</v>
      </c>
      <c r="AF98" t="s">
        <v>69</v>
      </c>
      <c r="AG98">
        <v>2023</v>
      </c>
      <c r="AH98" t="s">
        <v>40</v>
      </c>
      <c r="AI98" t="str">
        <f>IF(Cdacdata[ccat_rank]&lt;=100,"Top 100",
IF(Cdacdata[ccat_rank]&lt;=500,"101–500",
IF(Cdacdata[ccat_rank]&lt;=1000,"501–1000",
"1000+")))</f>
        <v>1000+</v>
      </c>
    </row>
    <row r="99" spans="1:35" x14ac:dyDescent="0.3">
      <c r="A99" s="1" t="s">
        <v>25</v>
      </c>
      <c r="B99">
        <v>230611265</v>
      </c>
      <c r="C99" s="2">
        <v>45164</v>
      </c>
      <c r="D99" s="2" t="s">
        <v>471</v>
      </c>
      <c r="E99">
        <v>2184</v>
      </c>
      <c r="F99" s="2">
        <v>35598</v>
      </c>
      <c r="G99">
        <v>68</v>
      </c>
      <c r="H99">
        <v>58.4</v>
      </c>
      <c r="I99" t="s">
        <v>26</v>
      </c>
      <c r="J99">
        <v>74.3</v>
      </c>
      <c r="K99" s="3">
        <f t="shared" si="1"/>
        <v>66.899999999999991</v>
      </c>
      <c r="L99" t="s">
        <v>27</v>
      </c>
      <c r="M99" t="s">
        <v>27</v>
      </c>
      <c r="N99">
        <v>26</v>
      </c>
      <c r="O99" t="s">
        <v>62</v>
      </c>
      <c r="P99" t="s">
        <v>26</v>
      </c>
      <c r="Q99" t="s">
        <v>30</v>
      </c>
      <c r="R99">
        <v>575</v>
      </c>
      <c r="S99">
        <v>71.875</v>
      </c>
      <c r="T99" t="s">
        <v>49</v>
      </c>
      <c r="U99" t="s">
        <v>32</v>
      </c>
      <c r="V99" t="s">
        <v>49</v>
      </c>
      <c r="W99" t="s">
        <v>33</v>
      </c>
      <c r="X99" t="s">
        <v>34</v>
      </c>
      <c r="Y99" t="s">
        <v>58</v>
      </c>
      <c r="Z99" t="s">
        <v>44</v>
      </c>
      <c r="AA99" t="s">
        <v>91</v>
      </c>
      <c r="AB99" t="s">
        <v>46</v>
      </c>
      <c r="AC99">
        <f>IF(Cdacdata[[#This Row],[placement_status]]="Placed",1,0)</f>
        <v>1</v>
      </c>
      <c r="AD99" t="s">
        <v>37</v>
      </c>
      <c r="AE99" t="s">
        <v>38</v>
      </c>
      <c r="AF99" t="s">
        <v>55</v>
      </c>
      <c r="AG99">
        <v>2023</v>
      </c>
      <c r="AH99" t="s">
        <v>40</v>
      </c>
      <c r="AI99" t="str">
        <f>IF(Cdacdata[ccat_rank]&lt;=100,"Top 100",
IF(Cdacdata[ccat_rank]&lt;=500,"101–500",
IF(Cdacdata[ccat_rank]&lt;=1000,"501–1000",
"1000+")))</f>
        <v>1000+</v>
      </c>
    </row>
    <row r="100" spans="1:35" x14ac:dyDescent="0.3">
      <c r="A100" s="1" t="s">
        <v>25</v>
      </c>
      <c r="B100">
        <v>230615241</v>
      </c>
      <c r="C100" s="2">
        <v>45174</v>
      </c>
      <c r="D100" s="2" t="s">
        <v>472</v>
      </c>
      <c r="E100">
        <v>1720</v>
      </c>
      <c r="F100" s="2">
        <v>36746</v>
      </c>
      <c r="G100">
        <v>68.400000000000006</v>
      </c>
      <c r="H100">
        <v>75</v>
      </c>
      <c r="I100" t="s">
        <v>26</v>
      </c>
      <c r="J100">
        <v>79.98</v>
      </c>
      <c r="K100" s="3">
        <f t="shared" si="1"/>
        <v>74.459999999999994</v>
      </c>
      <c r="L100" t="s">
        <v>27</v>
      </c>
      <c r="M100" t="s">
        <v>27</v>
      </c>
      <c r="N100">
        <v>23</v>
      </c>
      <c r="O100" t="s">
        <v>48</v>
      </c>
      <c r="P100" t="s">
        <v>56</v>
      </c>
      <c r="Q100" t="s">
        <v>43</v>
      </c>
      <c r="R100">
        <v>631</v>
      </c>
      <c r="S100">
        <v>78.875</v>
      </c>
      <c r="T100" t="s">
        <v>49</v>
      </c>
      <c r="U100" t="s">
        <v>32</v>
      </c>
      <c r="V100" t="s">
        <v>49</v>
      </c>
      <c r="W100" t="s">
        <v>49</v>
      </c>
      <c r="X100" t="s">
        <v>34</v>
      </c>
      <c r="Y100" t="s">
        <v>58</v>
      </c>
      <c r="Z100" t="s">
        <v>44</v>
      </c>
      <c r="AA100" t="s">
        <v>93</v>
      </c>
      <c r="AB100" t="s">
        <v>46</v>
      </c>
      <c r="AC100">
        <f>IF(Cdacdata[[#This Row],[placement_status]]="Placed",1,0)</f>
        <v>1</v>
      </c>
      <c r="AD100" t="s">
        <v>37</v>
      </c>
      <c r="AE100" t="s">
        <v>47</v>
      </c>
      <c r="AF100" t="s">
        <v>39</v>
      </c>
      <c r="AG100">
        <v>2023</v>
      </c>
      <c r="AH100" t="s">
        <v>40</v>
      </c>
      <c r="AI100" t="str">
        <f>IF(Cdacdata[ccat_rank]&lt;=100,"Top 100",
IF(Cdacdata[ccat_rank]&lt;=500,"101–500",
IF(Cdacdata[ccat_rank]&lt;=1000,"501–1000",
"1000+")))</f>
        <v>1000+</v>
      </c>
    </row>
    <row r="101" spans="1:35" x14ac:dyDescent="0.3">
      <c r="A101" s="1" t="s">
        <v>25</v>
      </c>
      <c r="B101">
        <v>230610015</v>
      </c>
      <c r="C101" s="2">
        <v>45175</v>
      </c>
      <c r="D101" s="2" t="s">
        <v>473</v>
      </c>
      <c r="E101">
        <v>1690</v>
      </c>
      <c r="F101" s="2">
        <v>37183</v>
      </c>
      <c r="G101">
        <v>91.6</v>
      </c>
      <c r="H101">
        <v>71.38</v>
      </c>
      <c r="I101" t="s">
        <v>26</v>
      </c>
      <c r="J101">
        <v>77.209999999999994</v>
      </c>
      <c r="K101" s="3">
        <f t="shared" si="1"/>
        <v>80.063333333333333</v>
      </c>
      <c r="L101" t="s">
        <v>27</v>
      </c>
      <c r="M101" t="s">
        <v>27</v>
      </c>
      <c r="N101">
        <v>21</v>
      </c>
      <c r="O101" t="s">
        <v>48</v>
      </c>
      <c r="P101" t="s">
        <v>29</v>
      </c>
      <c r="Q101" t="s">
        <v>30</v>
      </c>
      <c r="R101">
        <v>547</v>
      </c>
      <c r="S101">
        <v>68.375</v>
      </c>
      <c r="T101" t="s">
        <v>33</v>
      </c>
      <c r="U101" t="s">
        <v>32</v>
      </c>
      <c r="V101" t="s">
        <v>33</v>
      </c>
      <c r="W101" t="s">
        <v>33</v>
      </c>
      <c r="X101" t="s">
        <v>34</v>
      </c>
      <c r="Y101" t="s">
        <v>50</v>
      </c>
      <c r="Z101" t="s">
        <v>44</v>
      </c>
      <c r="AA101" t="s">
        <v>59</v>
      </c>
      <c r="AB101" t="s">
        <v>46</v>
      </c>
      <c r="AC101">
        <f>IF(Cdacdata[[#This Row],[placement_status]]="Placed",1,0)</f>
        <v>1</v>
      </c>
      <c r="AD101" t="s">
        <v>37</v>
      </c>
      <c r="AE101" t="s">
        <v>47</v>
      </c>
      <c r="AF101" t="s">
        <v>57</v>
      </c>
      <c r="AG101">
        <v>2023</v>
      </c>
      <c r="AH101" t="s">
        <v>40</v>
      </c>
      <c r="AI101" t="str">
        <f>IF(Cdacdata[ccat_rank]&lt;=100,"Top 100",
IF(Cdacdata[ccat_rank]&lt;=500,"101–500",
IF(Cdacdata[ccat_rank]&lt;=1000,"501–1000",
"1000+")))</f>
        <v>1000+</v>
      </c>
    </row>
    <row r="102" spans="1:35" x14ac:dyDescent="0.3">
      <c r="A102" s="1" t="s">
        <v>25</v>
      </c>
      <c r="B102">
        <v>230603341</v>
      </c>
      <c r="C102" s="2">
        <v>45163</v>
      </c>
      <c r="D102" s="2" t="s">
        <v>474</v>
      </c>
      <c r="E102">
        <v>68</v>
      </c>
      <c r="F102" s="2">
        <v>37099</v>
      </c>
      <c r="G102">
        <v>95</v>
      </c>
      <c r="H102">
        <v>93.4</v>
      </c>
      <c r="I102" t="s">
        <v>26</v>
      </c>
      <c r="J102">
        <v>76.95</v>
      </c>
      <c r="K102" s="3">
        <f t="shared" si="1"/>
        <v>88.45</v>
      </c>
      <c r="L102" t="s">
        <v>27</v>
      </c>
      <c r="M102" t="s">
        <v>27</v>
      </c>
      <c r="N102">
        <v>22</v>
      </c>
      <c r="O102" t="s">
        <v>48</v>
      </c>
      <c r="P102" t="s">
        <v>56</v>
      </c>
      <c r="Q102" t="s">
        <v>43</v>
      </c>
      <c r="R102">
        <v>709</v>
      </c>
      <c r="S102">
        <v>88.625</v>
      </c>
      <c r="T102" t="s">
        <v>49</v>
      </c>
      <c r="U102" t="s">
        <v>32</v>
      </c>
      <c r="V102" t="s">
        <v>49</v>
      </c>
      <c r="W102" t="s">
        <v>33</v>
      </c>
      <c r="X102" t="s">
        <v>34</v>
      </c>
      <c r="Y102" t="s">
        <v>94</v>
      </c>
      <c r="Z102" t="s">
        <v>44</v>
      </c>
      <c r="AA102" t="s">
        <v>95</v>
      </c>
      <c r="AB102" t="s">
        <v>46</v>
      </c>
      <c r="AC102">
        <f>IF(Cdacdata[[#This Row],[placement_status]]="Placed",1,0)</f>
        <v>1</v>
      </c>
      <c r="AD102" t="s">
        <v>37</v>
      </c>
      <c r="AE102" t="s">
        <v>75</v>
      </c>
      <c r="AF102" t="s">
        <v>57</v>
      </c>
      <c r="AG102">
        <v>2023</v>
      </c>
      <c r="AH102" t="s">
        <v>40</v>
      </c>
      <c r="AI102" t="str">
        <f>IF(Cdacdata[ccat_rank]&lt;=100,"Top 100",
IF(Cdacdata[ccat_rank]&lt;=500,"101–500",
IF(Cdacdata[ccat_rank]&lt;=1000,"501–1000",
"1000+")))</f>
        <v>Top 100</v>
      </c>
    </row>
    <row r="103" spans="1:35" x14ac:dyDescent="0.3">
      <c r="A103" s="1" t="s">
        <v>25</v>
      </c>
      <c r="B103">
        <v>230702563</v>
      </c>
      <c r="C103" s="2">
        <v>45174</v>
      </c>
      <c r="D103" s="2" t="s">
        <v>475</v>
      </c>
      <c r="E103">
        <v>1204</v>
      </c>
      <c r="F103" s="2">
        <v>35348</v>
      </c>
      <c r="G103">
        <v>88.6</v>
      </c>
      <c r="H103" t="s">
        <v>26</v>
      </c>
      <c r="I103" t="s">
        <v>26</v>
      </c>
      <c r="J103">
        <v>61.6</v>
      </c>
      <c r="K103" s="3">
        <f t="shared" si="1"/>
        <v>75.099999999999994</v>
      </c>
      <c r="L103" t="s">
        <v>27</v>
      </c>
      <c r="M103" t="s">
        <v>41</v>
      </c>
      <c r="N103">
        <v>26</v>
      </c>
      <c r="O103" t="s">
        <v>28</v>
      </c>
      <c r="P103" t="s">
        <v>60</v>
      </c>
      <c r="Q103" t="s">
        <v>30</v>
      </c>
      <c r="R103">
        <v>533</v>
      </c>
      <c r="S103">
        <v>66.625</v>
      </c>
      <c r="T103" t="s">
        <v>33</v>
      </c>
      <c r="U103" t="s">
        <v>32</v>
      </c>
      <c r="V103" t="s">
        <v>33</v>
      </c>
      <c r="W103" t="s">
        <v>33</v>
      </c>
      <c r="X103" t="s">
        <v>34</v>
      </c>
      <c r="Y103" t="s">
        <v>50</v>
      </c>
      <c r="Z103" t="s">
        <v>53</v>
      </c>
      <c r="AA103" t="s">
        <v>54</v>
      </c>
      <c r="AB103" t="s">
        <v>46</v>
      </c>
      <c r="AC103">
        <f>IF(Cdacdata[[#This Row],[placement_status]]="Placed",1,0)</f>
        <v>1</v>
      </c>
      <c r="AD103" t="s">
        <v>37</v>
      </c>
      <c r="AE103" t="s">
        <v>47</v>
      </c>
      <c r="AF103" t="s">
        <v>55</v>
      </c>
      <c r="AG103">
        <v>2023</v>
      </c>
      <c r="AH103" t="s">
        <v>40</v>
      </c>
      <c r="AI103" t="str">
        <f>IF(Cdacdata[ccat_rank]&lt;=100,"Top 100",
IF(Cdacdata[ccat_rank]&lt;=500,"101–500",
IF(Cdacdata[ccat_rank]&lt;=1000,"501–1000",
"1000+")))</f>
        <v>1000+</v>
      </c>
    </row>
    <row r="104" spans="1:35" x14ac:dyDescent="0.3">
      <c r="A104" s="1" t="s">
        <v>25</v>
      </c>
      <c r="B104">
        <v>230701309</v>
      </c>
      <c r="C104" s="2">
        <v>45175</v>
      </c>
      <c r="D104" s="2" t="s">
        <v>476</v>
      </c>
      <c r="E104">
        <v>1611</v>
      </c>
      <c r="F104" s="2">
        <v>35462</v>
      </c>
      <c r="G104">
        <v>74.73</v>
      </c>
      <c r="H104">
        <v>68.150000000000006</v>
      </c>
      <c r="I104" t="s">
        <v>26</v>
      </c>
      <c r="J104">
        <v>58.6</v>
      </c>
      <c r="K104" s="3">
        <f t="shared" si="1"/>
        <v>67.16</v>
      </c>
      <c r="L104" t="s">
        <v>27</v>
      </c>
      <c r="M104" t="s">
        <v>27</v>
      </c>
      <c r="N104">
        <v>26</v>
      </c>
      <c r="O104" t="s">
        <v>72</v>
      </c>
      <c r="P104" t="s">
        <v>65</v>
      </c>
      <c r="Q104" t="s">
        <v>30</v>
      </c>
      <c r="R104">
        <v>505</v>
      </c>
      <c r="S104">
        <v>63.125</v>
      </c>
      <c r="T104" t="s">
        <v>31</v>
      </c>
      <c r="U104" t="s">
        <v>32</v>
      </c>
      <c r="V104" t="s">
        <v>31</v>
      </c>
      <c r="W104" t="s">
        <v>33</v>
      </c>
      <c r="X104" t="s">
        <v>34</v>
      </c>
      <c r="Y104" t="s">
        <v>50</v>
      </c>
      <c r="Z104" t="s">
        <v>44</v>
      </c>
      <c r="AA104" t="s">
        <v>93</v>
      </c>
      <c r="AB104" t="s">
        <v>46</v>
      </c>
      <c r="AC104">
        <f>IF(Cdacdata[[#This Row],[placement_status]]="Placed",1,0)</f>
        <v>1</v>
      </c>
      <c r="AD104" t="s">
        <v>37</v>
      </c>
      <c r="AE104" t="s">
        <v>47</v>
      </c>
      <c r="AF104" t="s">
        <v>55</v>
      </c>
      <c r="AG104">
        <v>2023</v>
      </c>
      <c r="AH104" t="s">
        <v>40</v>
      </c>
      <c r="AI104" t="str">
        <f>IF(Cdacdata[ccat_rank]&lt;=100,"Top 100",
IF(Cdacdata[ccat_rank]&lt;=500,"101–500",
IF(Cdacdata[ccat_rank]&lt;=1000,"501–1000",
"1000+")))</f>
        <v>1000+</v>
      </c>
    </row>
    <row r="105" spans="1:35" x14ac:dyDescent="0.3">
      <c r="A105" s="1" t="s">
        <v>25</v>
      </c>
      <c r="B105">
        <v>230602392</v>
      </c>
      <c r="C105" s="2">
        <v>45165</v>
      </c>
      <c r="D105" s="2" t="s">
        <v>477</v>
      </c>
      <c r="E105">
        <v>1885</v>
      </c>
      <c r="F105" s="2">
        <v>35749</v>
      </c>
      <c r="G105">
        <v>73.2</v>
      </c>
      <c r="H105" t="s">
        <v>26</v>
      </c>
      <c r="I105">
        <v>65.33</v>
      </c>
      <c r="J105">
        <v>59.94</v>
      </c>
      <c r="K105" s="3">
        <f t="shared" si="1"/>
        <v>66.156666666666666</v>
      </c>
      <c r="L105" t="s">
        <v>27</v>
      </c>
      <c r="M105" t="s">
        <v>27</v>
      </c>
      <c r="N105">
        <v>25</v>
      </c>
      <c r="O105" t="s">
        <v>62</v>
      </c>
      <c r="P105" t="s">
        <v>42</v>
      </c>
      <c r="Q105" t="s">
        <v>30</v>
      </c>
      <c r="R105">
        <v>324</v>
      </c>
      <c r="S105">
        <v>40.5</v>
      </c>
      <c r="T105" t="s">
        <v>31</v>
      </c>
      <c r="U105" t="s">
        <v>64</v>
      </c>
      <c r="V105" t="s">
        <v>31</v>
      </c>
      <c r="W105" t="s">
        <v>31</v>
      </c>
      <c r="X105" t="s">
        <v>34</v>
      </c>
      <c r="Y105" t="s">
        <v>80</v>
      </c>
      <c r="Z105" t="s">
        <v>36</v>
      </c>
      <c r="AA105" t="s">
        <v>1268</v>
      </c>
      <c r="AB105" t="s">
        <v>36</v>
      </c>
      <c r="AC105">
        <f>IF(Cdacdata[[#This Row],[placement_status]]="Placed",1,0)</f>
        <v>0</v>
      </c>
      <c r="AD105" t="s">
        <v>37</v>
      </c>
      <c r="AE105" t="s">
        <v>47</v>
      </c>
      <c r="AF105" t="s">
        <v>39</v>
      </c>
      <c r="AG105">
        <v>2023</v>
      </c>
      <c r="AH105" t="s">
        <v>40</v>
      </c>
      <c r="AI105" t="str">
        <f>IF(Cdacdata[ccat_rank]&lt;=100,"Top 100",
IF(Cdacdata[ccat_rank]&lt;=500,"101–500",
IF(Cdacdata[ccat_rank]&lt;=1000,"501–1000",
"1000+")))</f>
        <v>1000+</v>
      </c>
    </row>
    <row r="106" spans="1:35" x14ac:dyDescent="0.3">
      <c r="A106" s="1" t="s">
        <v>25</v>
      </c>
      <c r="B106">
        <v>230614156</v>
      </c>
      <c r="C106" s="2">
        <v>45162</v>
      </c>
      <c r="D106" s="2" t="s">
        <v>478</v>
      </c>
      <c r="E106">
        <v>1941</v>
      </c>
      <c r="F106" s="2">
        <v>36833</v>
      </c>
      <c r="G106">
        <v>88.4</v>
      </c>
      <c r="H106" t="s">
        <v>26</v>
      </c>
      <c r="I106">
        <v>78.75</v>
      </c>
      <c r="J106">
        <v>98.4</v>
      </c>
      <c r="K106" s="3">
        <f t="shared" si="1"/>
        <v>88.516666666666666</v>
      </c>
      <c r="L106" t="s">
        <v>27</v>
      </c>
      <c r="M106" t="s">
        <v>27</v>
      </c>
      <c r="N106">
        <v>22</v>
      </c>
      <c r="O106" t="s">
        <v>48</v>
      </c>
      <c r="P106" t="s">
        <v>52</v>
      </c>
      <c r="Q106" t="s">
        <v>30</v>
      </c>
      <c r="R106">
        <v>591</v>
      </c>
      <c r="S106">
        <v>73.875</v>
      </c>
      <c r="T106" t="s">
        <v>49</v>
      </c>
      <c r="U106" t="s">
        <v>32</v>
      </c>
      <c r="V106" t="s">
        <v>49</v>
      </c>
      <c r="W106" t="s">
        <v>33</v>
      </c>
      <c r="X106" t="s">
        <v>34</v>
      </c>
      <c r="Y106" t="s">
        <v>58</v>
      </c>
      <c r="Z106" t="s">
        <v>44</v>
      </c>
      <c r="AA106" t="s">
        <v>81</v>
      </c>
      <c r="AB106" t="s">
        <v>46</v>
      </c>
      <c r="AC106">
        <f>IF(Cdacdata[[#This Row],[placement_status]]="Placed",1,0)</f>
        <v>1</v>
      </c>
      <c r="AD106" t="s">
        <v>37</v>
      </c>
      <c r="AE106" t="s">
        <v>47</v>
      </c>
      <c r="AF106" t="s">
        <v>57</v>
      </c>
      <c r="AG106">
        <v>2023</v>
      </c>
      <c r="AH106" t="s">
        <v>40</v>
      </c>
      <c r="AI106" t="str">
        <f>IF(Cdacdata[ccat_rank]&lt;=100,"Top 100",
IF(Cdacdata[ccat_rank]&lt;=500,"101–500",
IF(Cdacdata[ccat_rank]&lt;=1000,"501–1000",
"1000+")))</f>
        <v>1000+</v>
      </c>
    </row>
    <row r="107" spans="1:35" x14ac:dyDescent="0.3">
      <c r="A107" s="1" t="s">
        <v>25</v>
      </c>
      <c r="B107">
        <v>230601777</v>
      </c>
      <c r="C107" s="2">
        <v>45171</v>
      </c>
      <c r="D107" s="2" t="s">
        <v>479</v>
      </c>
      <c r="E107">
        <v>629</v>
      </c>
      <c r="F107" s="2">
        <v>36674</v>
      </c>
      <c r="G107">
        <v>85.8</v>
      </c>
      <c r="H107" t="s">
        <v>26</v>
      </c>
      <c r="I107">
        <v>64.239999999999995</v>
      </c>
      <c r="J107">
        <v>81.790000000000006</v>
      </c>
      <c r="K107" s="3">
        <f t="shared" si="1"/>
        <v>77.276666666666657</v>
      </c>
      <c r="L107" t="s">
        <v>27</v>
      </c>
      <c r="M107" t="s">
        <v>41</v>
      </c>
      <c r="N107">
        <v>23</v>
      </c>
      <c r="O107" t="s">
        <v>48</v>
      </c>
      <c r="P107" t="s">
        <v>42</v>
      </c>
      <c r="Q107" t="s">
        <v>30</v>
      </c>
      <c r="R107">
        <v>365</v>
      </c>
      <c r="S107">
        <v>45.625</v>
      </c>
      <c r="T107" t="s">
        <v>33</v>
      </c>
      <c r="U107" t="s">
        <v>32</v>
      </c>
      <c r="V107" t="s">
        <v>33</v>
      </c>
      <c r="W107" t="s">
        <v>31</v>
      </c>
      <c r="X107" t="s">
        <v>34</v>
      </c>
      <c r="Y107" t="s">
        <v>80</v>
      </c>
      <c r="Z107" t="s">
        <v>36</v>
      </c>
      <c r="AA107" t="s">
        <v>1268</v>
      </c>
      <c r="AB107" t="s">
        <v>36</v>
      </c>
      <c r="AC107">
        <f>IF(Cdacdata[[#This Row],[placement_status]]="Placed",1,0)</f>
        <v>0</v>
      </c>
      <c r="AD107" t="s">
        <v>37</v>
      </c>
      <c r="AE107" t="s">
        <v>75</v>
      </c>
      <c r="AF107" t="s">
        <v>39</v>
      </c>
      <c r="AG107">
        <v>2023</v>
      </c>
      <c r="AH107" t="s">
        <v>40</v>
      </c>
      <c r="AI107" t="str">
        <f>IF(Cdacdata[ccat_rank]&lt;=100,"Top 100",
IF(Cdacdata[ccat_rank]&lt;=500,"101–500",
IF(Cdacdata[ccat_rank]&lt;=1000,"501–1000",
"1000+")))</f>
        <v>501–1000</v>
      </c>
    </row>
    <row r="108" spans="1:35" x14ac:dyDescent="0.3">
      <c r="A108" s="1" t="s">
        <v>25</v>
      </c>
      <c r="B108">
        <v>230606729</v>
      </c>
      <c r="C108" s="2">
        <v>45173</v>
      </c>
      <c r="D108" s="2" t="s">
        <v>480</v>
      </c>
      <c r="E108">
        <v>2582</v>
      </c>
      <c r="F108" s="2">
        <v>37056</v>
      </c>
      <c r="G108">
        <v>74.400000000000006</v>
      </c>
      <c r="H108">
        <v>70.599999999999994</v>
      </c>
      <c r="I108" t="s">
        <v>26</v>
      </c>
      <c r="J108">
        <v>80.540000000000006</v>
      </c>
      <c r="K108" s="3">
        <f t="shared" si="1"/>
        <v>75.180000000000007</v>
      </c>
      <c r="L108" t="s">
        <v>27</v>
      </c>
      <c r="M108" t="s">
        <v>27</v>
      </c>
      <c r="N108">
        <v>22</v>
      </c>
      <c r="O108" t="s">
        <v>48</v>
      </c>
      <c r="P108" t="s">
        <v>56</v>
      </c>
      <c r="Q108" t="s">
        <v>43</v>
      </c>
      <c r="R108">
        <v>600</v>
      </c>
      <c r="S108">
        <v>75</v>
      </c>
      <c r="T108" t="s">
        <v>49</v>
      </c>
      <c r="U108" t="s">
        <v>32</v>
      </c>
      <c r="V108" t="s">
        <v>49</v>
      </c>
      <c r="W108" t="s">
        <v>49</v>
      </c>
      <c r="X108" t="s">
        <v>96</v>
      </c>
      <c r="Y108" t="s">
        <v>58</v>
      </c>
      <c r="Z108" t="s">
        <v>44</v>
      </c>
      <c r="AA108" t="s">
        <v>97</v>
      </c>
      <c r="AB108" t="s">
        <v>46</v>
      </c>
      <c r="AC108">
        <f>IF(Cdacdata[[#This Row],[placement_status]]="Placed",1,0)</f>
        <v>1</v>
      </c>
      <c r="AD108" t="s">
        <v>37</v>
      </c>
      <c r="AE108" t="s">
        <v>38</v>
      </c>
      <c r="AF108" t="s">
        <v>57</v>
      </c>
      <c r="AG108">
        <v>2023</v>
      </c>
      <c r="AH108" t="s">
        <v>40</v>
      </c>
      <c r="AI108" t="str">
        <f>IF(Cdacdata[ccat_rank]&lt;=100,"Top 100",
IF(Cdacdata[ccat_rank]&lt;=500,"101–500",
IF(Cdacdata[ccat_rank]&lt;=1000,"501–1000",
"1000+")))</f>
        <v>1000+</v>
      </c>
    </row>
    <row r="109" spans="1:35" x14ac:dyDescent="0.3">
      <c r="A109" s="1" t="s">
        <v>25</v>
      </c>
      <c r="B109">
        <v>230600348</v>
      </c>
      <c r="C109" s="2">
        <v>45173</v>
      </c>
      <c r="D109" s="2" t="s">
        <v>481</v>
      </c>
      <c r="E109">
        <v>3001</v>
      </c>
      <c r="F109" s="2">
        <v>35958</v>
      </c>
      <c r="G109">
        <v>93.4</v>
      </c>
      <c r="H109">
        <v>73.849999999999994</v>
      </c>
      <c r="I109" t="s">
        <v>26</v>
      </c>
      <c r="J109">
        <v>64.58</v>
      </c>
      <c r="K109" s="3">
        <f t="shared" si="1"/>
        <v>77.276666666666657</v>
      </c>
      <c r="L109" t="s">
        <v>27</v>
      </c>
      <c r="M109" t="s">
        <v>41</v>
      </c>
      <c r="N109">
        <v>25</v>
      </c>
      <c r="O109" t="s">
        <v>28</v>
      </c>
      <c r="P109" t="s">
        <v>60</v>
      </c>
      <c r="Q109" t="s">
        <v>30</v>
      </c>
      <c r="R109">
        <v>517</v>
      </c>
      <c r="S109">
        <v>64.625</v>
      </c>
      <c r="T109" t="s">
        <v>49</v>
      </c>
      <c r="U109" t="s">
        <v>32</v>
      </c>
      <c r="V109" t="s">
        <v>49</v>
      </c>
      <c r="W109" t="s">
        <v>49</v>
      </c>
      <c r="X109" t="s">
        <v>96</v>
      </c>
      <c r="Y109" t="s">
        <v>50</v>
      </c>
      <c r="Z109" t="s">
        <v>44</v>
      </c>
      <c r="AA109" t="s">
        <v>97</v>
      </c>
      <c r="AB109" t="s">
        <v>46</v>
      </c>
      <c r="AC109">
        <f>IF(Cdacdata[[#This Row],[placement_status]]="Placed",1,0)</f>
        <v>1</v>
      </c>
      <c r="AD109" t="s">
        <v>37</v>
      </c>
      <c r="AE109" t="s">
        <v>98</v>
      </c>
      <c r="AF109" t="s">
        <v>39</v>
      </c>
      <c r="AG109">
        <v>2023</v>
      </c>
      <c r="AH109" t="s">
        <v>40</v>
      </c>
      <c r="AI109" t="str">
        <f>IF(Cdacdata[ccat_rank]&lt;=100,"Top 100",
IF(Cdacdata[ccat_rank]&lt;=500,"101–500",
IF(Cdacdata[ccat_rank]&lt;=1000,"501–1000",
"1000+")))</f>
        <v>1000+</v>
      </c>
    </row>
    <row r="110" spans="1:35" x14ac:dyDescent="0.3">
      <c r="A110" s="1" t="s">
        <v>25</v>
      </c>
      <c r="B110">
        <v>230606312</v>
      </c>
      <c r="C110" s="2">
        <v>45173</v>
      </c>
      <c r="D110" s="2" t="s">
        <v>482</v>
      </c>
      <c r="E110">
        <v>2123</v>
      </c>
      <c r="F110" s="2">
        <v>36749</v>
      </c>
      <c r="G110">
        <v>78.8</v>
      </c>
      <c r="H110">
        <v>63.85</v>
      </c>
      <c r="I110" t="s">
        <v>26</v>
      </c>
      <c r="J110">
        <v>74.400000000000006</v>
      </c>
      <c r="K110" s="3">
        <f t="shared" si="1"/>
        <v>72.350000000000009</v>
      </c>
      <c r="L110" t="s">
        <v>27</v>
      </c>
      <c r="M110" t="s">
        <v>27</v>
      </c>
      <c r="N110">
        <v>23</v>
      </c>
      <c r="O110" t="s">
        <v>62</v>
      </c>
      <c r="P110" t="s">
        <v>60</v>
      </c>
      <c r="Q110" t="s">
        <v>30</v>
      </c>
      <c r="R110">
        <v>520</v>
      </c>
      <c r="S110">
        <v>65</v>
      </c>
      <c r="T110" t="s">
        <v>33</v>
      </c>
      <c r="U110" t="s">
        <v>32</v>
      </c>
      <c r="V110" t="s">
        <v>33</v>
      </c>
      <c r="W110" t="s">
        <v>31</v>
      </c>
      <c r="X110" t="s">
        <v>96</v>
      </c>
      <c r="Y110" t="s">
        <v>50</v>
      </c>
      <c r="Z110" t="s">
        <v>44</v>
      </c>
      <c r="AA110" t="s">
        <v>99</v>
      </c>
      <c r="AB110" t="s">
        <v>46</v>
      </c>
      <c r="AC110">
        <f>IF(Cdacdata[[#This Row],[placement_status]]="Placed",1,0)</f>
        <v>1</v>
      </c>
      <c r="AD110" t="s">
        <v>37</v>
      </c>
      <c r="AE110" t="s">
        <v>38</v>
      </c>
      <c r="AF110" t="s">
        <v>39</v>
      </c>
      <c r="AG110">
        <v>2023</v>
      </c>
      <c r="AH110" t="s">
        <v>40</v>
      </c>
      <c r="AI110" t="str">
        <f>IF(Cdacdata[ccat_rank]&lt;=100,"Top 100",
IF(Cdacdata[ccat_rank]&lt;=500,"101–500",
IF(Cdacdata[ccat_rank]&lt;=1000,"501–1000",
"1000+")))</f>
        <v>1000+</v>
      </c>
    </row>
    <row r="111" spans="1:35" x14ac:dyDescent="0.3">
      <c r="A111" s="1" t="s">
        <v>25</v>
      </c>
      <c r="B111">
        <v>230704666</v>
      </c>
      <c r="C111" s="2">
        <v>45174</v>
      </c>
      <c r="D111" s="2" t="s">
        <v>483</v>
      </c>
      <c r="E111">
        <v>2112</v>
      </c>
      <c r="F111" s="2">
        <v>36094</v>
      </c>
      <c r="G111">
        <v>78.8</v>
      </c>
      <c r="H111">
        <v>59.08</v>
      </c>
      <c r="I111" t="s">
        <v>26</v>
      </c>
      <c r="J111">
        <v>76.760000000000005</v>
      </c>
      <c r="K111" s="3">
        <f t="shared" si="1"/>
        <v>71.546666666666667</v>
      </c>
      <c r="L111" t="s">
        <v>41</v>
      </c>
      <c r="M111" t="s">
        <v>41</v>
      </c>
      <c r="N111">
        <v>24</v>
      </c>
      <c r="O111" t="s">
        <v>48</v>
      </c>
      <c r="P111" t="s">
        <v>56</v>
      </c>
      <c r="Q111" t="s">
        <v>67</v>
      </c>
      <c r="R111">
        <v>528</v>
      </c>
      <c r="S111">
        <v>66</v>
      </c>
      <c r="T111" t="s">
        <v>49</v>
      </c>
      <c r="U111" t="s">
        <v>32</v>
      </c>
      <c r="V111" t="s">
        <v>49</v>
      </c>
      <c r="W111" t="s">
        <v>33</v>
      </c>
      <c r="X111" t="s">
        <v>96</v>
      </c>
      <c r="Y111" t="s">
        <v>50</v>
      </c>
      <c r="Z111" t="s">
        <v>36</v>
      </c>
      <c r="AA111" t="s">
        <v>1268</v>
      </c>
      <c r="AB111" t="s">
        <v>36</v>
      </c>
      <c r="AC111">
        <f>IF(Cdacdata[[#This Row],[placement_status]]="Placed",1,0)</f>
        <v>0</v>
      </c>
      <c r="AD111" t="s">
        <v>37</v>
      </c>
      <c r="AE111" t="s">
        <v>38</v>
      </c>
      <c r="AF111" t="s">
        <v>39</v>
      </c>
      <c r="AG111">
        <v>2023</v>
      </c>
      <c r="AH111" t="s">
        <v>40</v>
      </c>
      <c r="AI111" t="str">
        <f>IF(Cdacdata[ccat_rank]&lt;=100,"Top 100",
IF(Cdacdata[ccat_rank]&lt;=500,"101–500",
IF(Cdacdata[ccat_rank]&lt;=1000,"501–1000",
"1000+")))</f>
        <v>1000+</v>
      </c>
    </row>
    <row r="112" spans="1:35" x14ac:dyDescent="0.3">
      <c r="A112" s="1" t="s">
        <v>25</v>
      </c>
      <c r="B112">
        <v>230703947</v>
      </c>
      <c r="C112" s="2">
        <v>45164</v>
      </c>
      <c r="D112" s="2" t="s">
        <v>484</v>
      </c>
      <c r="E112">
        <v>2833</v>
      </c>
      <c r="F112" s="2">
        <v>36517</v>
      </c>
      <c r="G112">
        <v>85.8</v>
      </c>
      <c r="H112" t="s">
        <v>26</v>
      </c>
      <c r="I112">
        <v>82</v>
      </c>
      <c r="J112">
        <v>80</v>
      </c>
      <c r="K112" s="3">
        <f t="shared" si="1"/>
        <v>82.600000000000009</v>
      </c>
      <c r="L112" t="s">
        <v>27</v>
      </c>
      <c r="M112" t="s">
        <v>41</v>
      </c>
      <c r="N112">
        <v>23</v>
      </c>
      <c r="O112" t="s">
        <v>48</v>
      </c>
      <c r="P112" t="s">
        <v>56</v>
      </c>
      <c r="Q112" t="s">
        <v>30</v>
      </c>
      <c r="R112">
        <v>486</v>
      </c>
      <c r="S112">
        <v>60.75</v>
      </c>
      <c r="T112" t="s">
        <v>31</v>
      </c>
      <c r="U112" t="s">
        <v>32</v>
      </c>
      <c r="V112" t="s">
        <v>31</v>
      </c>
      <c r="W112" t="s">
        <v>49</v>
      </c>
      <c r="X112" t="s">
        <v>96</v>
      </c>
      <c r="Y112" t="s">
        <v>50</v>
      </c>
      <c r="Z112" t="s">
        <v>36</v>
      </c>
      <c r="AA112" t="s">
        <v>1268</v>
      </c>
      <c r="AB112" t="s">
        <v>36</v>
      </c>
      <c r="AC112">
        <f>IF(Cdacdata[[#This Row],[placement_status]]="Placed",1,0)</f>
        <v>0</v>
      </c>
      <c r="AD112" t="s">
        <v>37</v>
      </c>
      <c r="AE112" t="s">
        <v>38</v>
      </c>
      <c r="AF112" t="s">
        <v>39</v>
      </c>
      <c r="AG112">
        <v>2023</v>
      </c>
      <c r="AH112" t="s">
        <v>40</v>
      </c>
      <c r="AI112" t="str">
        <f>IF(Cdacdata[ccat_rank]&lt;=100,"Top 100",
IF(Cdacdata[ccat_rank]&lt;=500,"101–500",
IF(Cdacdata[ccat_rank]&lt;=1000,"501–1000",
"1000+")))</f>
        <v>1000+</v>
      </c>
    </row>
    <row r="113" spans="1:35" x14ac:dyDescent="0.3">
      <c r="A113" s="1" t="s">
        <v>25</v>
      </c>
      <c r="B113">
        <v>230700620</v>
      </c>
      <c r="C113" s="2">
        <v>45173</v>
      </c>
      <c r="D113" s="2" t="s">
        <v>485</v>
      </c>
      <c r="E113">
        <v>1386</v>
      </c>
      <c r="F113" s="2">
        <v>33941</v>
      </c>
      <c r="G113">
        <v>67.84</v>
      </c>
      <c r="H113">
        <v>46.17</v>
      </c>
      <c r="I113">
        <v>55.52</v>
      </c>
      <c r="J113">
        <v>63.46</v>
      </c>
      <c r="K113" s="3">
        <f t="shared" si="1"/>
        <v>58.247500000000002</v>
      </c>
      <c r="L113" t="s">
        <v>27</v>
      </c>
      <c r="M113" t="s">
        <v>41</v>
      </c>
      <c r="N113">
        <v>30</v>
      </c>
      <c r="O113" t="s">
        <v>28</v>
      </c>
      <c r="P113" t="s">
        <v>26</v>
      </c>
      <c r="Q113" t="s">
        <v>30</v>
      </c>
      <c r="R113">
        <v>387</v>
      </c>
      <c r="S113">
        <v>48.375</v>
      </c>
      <c r="T113" t="s">
        <v>31</v>
      </c>
      <c r="U113" t="s">
        <v>32</v>
      </c>
      <c r="V113" t="s">
        <v>31</v>
      </c>
      <c r="W113" t="s">
        <v>33</v>
      </c>
      <c r="X113" t="s">
        <v>96</v>
      </c>
      <c r="Y113" t="s">
        <v>80</v>
      </c>
      <c r="Z113" t="s">
        <v>36</v>
      </c>
      <c r="AA113" t="s">
        <v>1268</v>
      </c>
      <c r="AB113" t="s">
        <v>36</v>
      </c>
      <c r="AC113">
        <f>IF(Cdacdata[[#This Row],[placement_status]]="Placed",1,0)</f>
        <v>0</v>
      </c>
      <c r="AD113" t="s">
        <v>37</v>
      </c>
      <c r="AE113" t="s">
        <v>47</v>
      </c>
      <c r="AF113" t="s">
        <v>69</v>
      </c>
      <c r="AG113">
        <v>2023</v>
      </c>
      <c r="AH113" t="s">
        <v>40</v>
      </c>
      <c r="AI113" t="str">
        <f>IF(Cdacdata[ccat_rank]&lt;=100,"Top 100",
IF(Cdacdata[ccat_rank]&lt;=500,"101–500",
IF(Cdacdata[ccat_rank]&lt;=1000,"501–1000",
"1000+")))</f>
        <v>1000+</v>
      </c>
    </row>
    <row r="114" spans="1:35" x14ac:dyDescent="0.3">
      <c r="A114" s="1" t="s">
        <v>25</v>
      </c>
      <c r="B114">
        <v>230615130</v>
      </c>
      <c r="C114" s="2">
        <v>45175</v>
      </c>
      <c r="D114" s="2" t="s">
        <v>486</v>
      </c>
      <c r="E114">
        <v>2960</v>
      </c>
      <c r="F114" s="2">
        <v>36774</v>
      </c>
      <c r="G114">
        <v>93.4</v>
      </c>
      <c r="H114">
        <v>63.85</v>
      </c>
      <c r="I114" t="s">
        <v>26</v>
      </c>
      <c r="J114">
        <v>61.2</v>
      </c>
      <c r="K114" s="3">
        <f t="shared" si="1"/>
        <v>72.816666666666663</v>
      </c>
      <c r="L114" t="s">
        <v>41</v>
      </c>
      <c r="M114" t="s">
        <v>27</v>
      </c>
      <c r="N114">
        <v>23</v>
      </c>
      <c r="O114" t="s">
        <v>28</v>
      </c>
      <c r="P114" t="s">
        <v>26</v>
      </c>
      <c r="Q114" t="s">
        <v>67</v>
      </c>
      <c r="R114">
        <v>477</v>
      </c>
      <c r="S114">
        <v>59.625</v>
      </c>
      <c r="T114" t="s">
        <v>31</v>
      </c>
      <c r="U114" t="s">
        <v>32</v>
      </c>
      <c r="V114" t="s">
        <v>31</v>
      </c>
      <c r="W114" t="s">
        <v>31</v>
      </c>
      <c r="X114" t="s">
        <v>96</v>
      </c>
      <c r="Y114" t="s">
        <v>35</v>
      </c>
      <c r="Z114" t="s">
        <v>44</v>
      </c>
      <c r="AA114" t="s">
        <v>51</v>
      </c>
      <c r="AB114" t="s">
        <v>46</v>
      </c>
      <c r="AC114">
        <f>IF(Cdacdata[[#This Row],[placement_status]]="Placed",1,0)</f>
        <v>1</v>
      </c>
      <c r="AD114" t="s">
        <v>37</v>
      </c>
      <c r="AE114" t="s">
        <v>38</v>
      </c>
      <c r="AF114" t="s">
        <v>39</v>
      </c>
      <c r="AG114">
        <v>2023</v>
      </c>
      <c r="AH114" t="s">
        <v>40</v>
      </c>
      <c r="AI114" t="str">
        <f>IF(Cdacdata[ccat_rank]&lt;=100,"Top 100",
IF(Cdacdata[ccat_rank]&lt;=500,"101–500",
IF(Cdacdata[ccat_rank]&lt;=1000,"501–1000",
"1000+")))</f>
        <v>1000+</v>
      </c>
    </row>
    <row r="115" spans="1:35" x14ac:dyDescent="0.3">
      <c r="A115" s="1" t="s">
        <v>25</v>
      </c>
      <c r="B115">
        <v>230609730</v>
      </c>
      <c r="C115" s="2">
        <v>45173</v>
      </c>
      <c r="D115" s="2" t="s">
        <v>487</v>
      </c>
      <c r="E115">
        <v>2729</v>
      </c>
      <c r="F115" s="2">
        <v>37010</v>
      </c>
      <c r="G115">
        <v>86</v>
      </c>
      <c r="H115">
        <v>60</v>
      </c>
      <c r="I115" t="s">
        <v>26</v>
      </c>
      <c r="J115">
        <v>83</v>
      </c>
      <c r="K115" s="3">
        <f t="shared" si="1"/>
        <v>76.333333333333329</v>
      </c>
      <c r="L115" t="s">
        <v>27</v>
      </c>
      <c r="M115" t="s">
        <v>41</v>
      </c>
      <c r="N115">
        <v>22</v>
      </c>
      <c r="O115" t="s">
        <v>48</v>
      </c>
      <c r="P115" t="s">
        <v>29</v>
      </c>
      <c r="Q115" t="s">
        <v>30</v>
      </c>
      <c r="R115">
        <v>59</v>
      </c>
      <c r="S115">
        <v>7.375</v>
      </c>
      <c r="T115" t="s">
        <v>64</v>
      </c>
      <c r="U115" t="s">
        <v>64</v>
      </c>
      <c r="V115" t="s">
        <v>64</v>
      </c>
      <c r="W115" t="s">
        <v>68</v>
      </c>
      <c r="X115" t="s">
        <v>96</v>
      </c>
      <c r="Y115" t="s">
        <v>64</v>
      </c>
      <c r="Z115" t="s">
        <v>36</v>
      </c>
      <c r="AA115" t="s">
        <v>1268</v>
      </c>
      <c r="AB115" t="s">
        <v>36</v>
      </c>
      <c r="AC115">
        <f>IF(Cdacdata[[#This Row],[placement_status]]="Placed",1,0)</f>
        <v>0</v>
      </c>
      <c r="AD115" t="s">
        <v>37</v>
      </c>
      <c r="AE115" t="s">
        <v>38</v>
      </c>
      <c r="AF115" t="s">
        <v>57</v>
      </c>
      <c r="AG115">
        <v>2023</v>
      </c>
      <c r="AH115" t="s">
        <v>40</v>
      </c>
      <c r="AI115" t="str">
        <f>IF(Cdacdata[ccat_rank]&lt;=100,"Top 100",
IF(Cdacdata[ccat_rank]&lt;=500,"101–500",
IF(Cdacdata[ccat_rank]&lt;=1000,"501–1000",
"1000+")))</f>
        <v>1000+</v>
      </c>
    </row>
    <row r="116" spans="1:35" x14ac:dyDescent="0.3">
      <c r="A116" s="1" t="s">
        <v>25</v>
      </c>
      <c r="B116">
        <v>230602141</v>
      </c>
      <c r="C116" s="2">
        <v>45163</v>
      </c>
      <c r="D116" s="2" t="s">
        <v>488</v>
      </c>
      <c r="E116">
        <v>3211</v>
      </c>
      <c r="F116" s="2">
        <v>35921</v>
      </c>
      <c r="G116">
        <v>73</v>
      </c>
      <c r="H116" t="s">
        <v>26</v>
      </c>
      <c r="I116">
        <v>54.12</v>
      </c>
      <c r="J116">
        <v>68.78</v>
      </c>
      <c r="K116" s="3">
        <f t="shared" si="1"/>
        <v>65.3</v>
      </c>
      <c r="L116" t="s">
        <v>27</v>
      </c>
      <c r="M116" t="s">
        <v>41</v>
      </c>
      <c r="N116">
        <v>25</v>
      </c>
      <c r="O116" t="s">
        <v>28</v>
      </c>
      <c r="P116" t="s">
        <v>60</v>
      </c>
      <c r="Q116" t="s">
        <v>43</v>
      </c>
      <c r="R116">
        <v>399</v>
      </c>
      <c r="S116">
        <v>49.875</v>
      </c>
      <c r="T116" t="s">
        <v>49</v>
      </c>
      <c r="U116" t="s">
        <v>32</v>
      </c>
      <c r="V116" t="s">
        <v>49</v>
      </c>
      <c r="W116" t="s">
        <v>49</v>
      </c>
      <c r="X116" t="s">
        <v>96</v>
      </c>
      <c r="Y116" t="s">
        <v>80</v>
      </c>
      <c r="Z116" t="s">
        <v>44</v>
      </c>
      <c r="AA116" t="s">
        <v>100</v>
      </c>
      <c r="AB116" t="s">
        <v>46</v>
      </c>
      <c r="AC116">
        <f>IF(Cdacdata[[#This Row],[placement_status]]="Placed",1,0)</f>
        <v>1</v>
      </c>
      <c r="AD116" t="s">
        <v>37</v>
      </c>
      <c r="AE116" t="s">
        <v>98</v>
      </c>
      <c r="AF116" t="s">
        <v>39</v>
      </c>
      <c r="AG116">
        <v>2023</v>
      </c>
      <c r="AH116" t="s">
        <v>40</v>
      </c>
      <c r="AI116" t="str">
        <f>IF(Cdacdata[ccat_rank]&lt;=100,"Top 100",
IF(Cdacdata[ccat_rank]&lt;=500,"101–500",
IF(Cdacdata[ccat_rank]&lt;=1000,"501–1000",
"1000+")))</f>
        <v>1000+</v>
      </c>
    </row>
    <row r="117" spans="1:35" x14ac:dyDescent="0.3">
      <c r="A117" s="1" t="s">
        <v>25</v>
      </c>
      <c r="B117">
        <v>230602366</v>
      </c>
      <c r="C117" s="2">
        <v>45162</v>
      </c>
      <c r="D117" s="2" t="s">
        <v>489</v>
      </c>
      <c r="E117">
        <v>1629</v>
      </c>
      <c r="F117" s="2">
        <v>37245</v>
      </c>
      <c r="G117">
        <v>76.8</v>
      </c>
      <c r="H117">
        <v>68.31</v>
      </c>
      <c r="I117" t="s">
        <v>26</v>
      </c>
      <c r="J117">
        <v>72.41</v>
      </c>
      <c r="K117" s="3">
        <f t="shared" si="1"/>
        <v>72.506666666666675</v>
      </c>
      <c r="L117" t="s">
        <v>27</v>
      </c>
      <c r="M117" t="s">
        <v>41</v>
      </c>
      <c r="N117">
        <v>21</v>
      </c>
      <c r="O117" t="s">
        <v>28</v>
      </c>
      <c r="P117" t="s">
        <v>56</v>
      </c>
      <c r="Q117" t="s">
        <v>30</v>
      </c>
      <c r="R117">
        <v>605</v>
      </c>
      <c r="S117">
        <v>75.625</v>
      </c>
      <c r="T117" t="s">
        <v>49</v>
      </c>
      <c r="U117" t="s">
        <v>32</v>
      </c>
      <c r="V117" t="s">
        <v>49</v>
      </c>
      <c r="W117" t="s">
        <v>49</v>
      </c>
      <c r="X117" t="s">
        <v>96</v>
      </c>
      <c r="Y117" t="s">
        <v>58</v>
      </c>
      <c r="Z117" t="s">
        <v>44</v>
      </c>
      <c r="AA117" t="s">
        <v>93</v>
      </c>
      <c r="AB117" t="s">
        <v>46</v>
      </c>
      <c r="AC117">
        <f>IF(Cdacdata[[#This Row],[placement_status]]="Placed",1,0)</f>
        <v>1</v>
      </c>
      <c r="AD117" t="s">
        <v>37</v>
      </c>
      <c r="AE117" t="s">
        <v>47</v>
      </c>
      <c r="AF117" t="s">
        <v>57</v>
      </c>
      <c r="AG117">
        <v>2023</v>
      </c>
      <c r="AH117" t="s">
        <v>40</v>
      </c>
      <c r="AI117" t="str">
        <f>IF(Cdacdata[ccat_rank]&lt;=100,"Top 100",
IF(Cdacdata[ccat_rank]&lt;=500,"101–500",
IF(Cdacdata[ccat_rank]&lt;=1000,"501–1000",
"1000+")))</f>
        <v>1000+</v>
      </c>
    </row>
    <row r="118" spans="1:35" x14ac:dyDescent="0.3">
      <c r="A118" s="1" t="s">
        <v>25</v>
      </c>
      <c r="B118">
        <v>230607352</v>
      </c>
      <c r="C118" s="2">
        <v>45173</v>
      </c>
      <c r="D118" s="2" t="s">
        <v>490</v>
      </c>
      <c r="E118">
        <v>1985</v>
      </c>
      <c r="F118" s="2">
        <v>36980</v>
      </c>
      <c r="G118">
        <v>90</v>
      </c>
      <c r="H118">
        <v>79.599999999999994</v>
      </c>
      <c r="I118" t="s">
        <v>26</v>
      </c>
      <c r="J118">
        <v>87</v>
      </c>
      <c r="K118" s="3">
        <f t="shared" si="1"/>
        <v>85.533333333333346</v>
      </c>
      <c r="L118" t="s">
        <v>27</v>
      </c>
      <c r="M118" t="s">
        <v>27</v>
      </c>
      <c r="N118">
        <v>22</v>
      </c>
      <c r="O118" t="s">
        <v>48</v>
      </c>
      <c r="P118" t="s">
        <v>60</v>
      </c>
      <c r="Q118" t="s">
        <v>30</v>
      </c>
      <c r="R118">
        <v>671</v>
      </c>
      <c r="S118">
        <v>83.875</v>
      </c>
      <c r="T118" t="s">
        <v>49</v>
      </c>
      <c r="U118" t="s">
        <v>32</v>
      </c>
      <c r="V118" t="s">
        <v>49</v>
      </c>
      <c r="W118" t="s">
        <v>49</v>
      </c>
      <c r="X118" t="s">
        <v>96</v>
      </c>
      <c r="Y118" t="s">
        <v>58</v>
      </c>
      <c r="Z118" t="s">
        <v>44</v>
      </c>
      <c r="AA118" t="s">
        <v>101</v>
      </c>
      <c r="AB118" t="s">
        <v>46</v>
      </c>
      <c r="AC118">
        <f>IF(Cdacdata[[#This Row],[placement_status]]="Placed",1,0)</f>
        <v>1</v>
      </c>
      <c r="AD118" t="s">
        <v>37</v>
      </c>
      <c r="AE118" t="s">
        <v>47</v>
      </c>
      <c r="AF118" t="s">
        <v>57</v>
      </c>
      <c r="AG118">
        <v>2023</v>
      </c>
      <c r="AH118" t="s">
        <v>40</v>
      </c>
      <c r="AI118" t="str">
        <f>IF(Cdacdata[ccat_rank]&lt;=100,"Top 100",
IF(Cdacdata[ccat_rank]&lt;=500,"101–500",
IF(Cdacdata[ccat_rank]&lt;=1000,"501–1000",
"1000+")))</f>
        <v>1000+</v>
      </c>
    </row>
    <row r="119" spans="1:35" x14ac:dyDescent="0.3">
      <c r="A119" s="1" t="s">
        <v>25</v>
      </c>
      <c r="B119">
        <v>230609477</v>
      </c>
      <c r="C119" s="2">
        <v>45163</v>
      </c>
      <c r="D119" s="2" t="s">
        <v>491</v>
      </c>
      <c r="E119">
        <v>1025</v>
      </c>
      <c r="F119" s="2">
        <v>36688</v>
      </c>
      <c r="G119">
        <v>88</v>
      </c>
      <c r="H119">
        <v>75.69</v>
      </c>
      <c r="I119" t="s">
        <v>26</v>
      </c>
      <c r="J119">
        <v>82.81</v>
      </c>
      <c r="K119" s="3">
        <f t="shared" si="1"/>
        <v>82.166666666666671</v>
      </c>
      <c r="L119" t="s">
        <v>41</v>
      </c>
      <c r="M119" t="s">
        <v>27</v>
      </c>
      <c r="N119">
        <v>23</v>
      </c>
      <c r="O119" t="s">
        <v>48</v>
      </c>
      <c r="P119" t="s">
        <v>26</v>
      </c>
      <c r="Q119" t="s">
        <v>67</v>
      </c>
      <c r="R119">
        <v>543</v>
      </c>
      <c r="S119">
        <v>67.875</v>
      </c>
      <c r="T119" t="s">
        <v>49</v>
      </c>
      <c r="U119" t="s">
        <v>32</v>
      </c>
      <c r="V119" t="s">
        <v>49</v>
      </c>
      <c r="W119" t="s">
        <v>49</v>
      </c>
      <c r="X119" t="s">
        <v>96</v>
      </c>
      <c r="Y119" t="s">
        <v>50</v>
      </c>
      <c r="Z119" t="s">
        <v>53</v>
      </c>
      <c r="AA119" t="s">
        <v>54</v>
      </c>
      <c r="AB119" t="s">
        <v>46</v>
      </c>
      <c r="AC119">
        <f>IF(Cdacdata[[#This Row],[placement_status]]="Placed",1,0)</f>
        <v>1</v>
      </c>
      <c r="AD119" t="s">
        <v>37</v>
      </c>
      <c r="AE119" t="s">
        <v>47</v>
      </c>
      <c r="AF119" t="s">
        <v>39</v>
      </c>
      <c r="AG119">
        <v>2023</v>
      </c>
      <c r="AH119" t="s">
        <v>40</v>
      </c>
      <c r="AI119" t="str">
        <f>IF(Cdacdata[ccat_rank]&lt;=100,"Top 100",
IF(Cdacdata[ccat_rank]&lt;=500,"101–500",
IF(Cdacdata[ccat_rank]&lt;=1000,"501–1000",
"1000+")))</f>
        <v>1000+</v>
      </c>
    </row>
    <row r="120" spans="1:35" x14ac:dyDescent="0.3">
      <c r="A120" s="1" t="s">
        <v>25</v>
      </c>
      <c r="B120">
        <v>230602427</v>
      </c>
      <c r="C120" s="2">
        <v>45173</v>
      </c>
      <c r="D120" s="2" t="s">
        <v>492</v>
      </c>
      <c r="E120">
        <v>1765</v>
      </c>
      <c r="F120" s="2">
        <v>35341</v>
      </c>
      <c r="G120">
        <v>83.6</v>
      </c>
      <c r="H120">
        <v>57</v>
      </c>
      <c r="I120" t="s">
        <v>26</v>
      </c>
      <c r="J120">
        <v>60</v>
      </c>
      <c r="K120" s="3">
        <f t="shared" si="1"/>
        <v>66.86666666666666</v>
      </c>
      <c r="L120" t="s">
        <v>27</v>
      </c>
      <c r="M120" t="s">
        <v>41</v>
      </c>
      <c r="N120">
        <v>26</v>
      </c>
      <c r="O120" t="s">
        <v>28</v>
      </c>
      <c r="P120" t="s">
        <v>60</v>
      </c>
      <c r="Q120" t="s">
        <v>30</v>
      </c>
      <c r="R120">
        <v>506</v>
      </c>
      <c r="S120">
        <v>63.25</v>
      </c>
      <c r="T120" t="s">
        <v>33</v>
      </c>
      <c r="U120" t="s">
        <v>32</v>
      </c>
      <c r="V120" t="s">
        <v>33</v>
      </c>
      <c r="W120" t="s">
        <v>49</v>
      </c>
      <c r="X120" t="s">
        <v>96</v>
      </c>
      <c r="Y120" t="s">
        <v>50</v>
      </c>
      <c r="Z120" t="s">
        <v>36</v>
      </c>
      <c r="AA120" t="s">
        <v>1268</v>
      </c>
      <c r="AB120" t="s">
        <v>36</v>
      </c>
      <c r="AC120">
        <f>IF(Cdacdata[[#This Row],[placement_status]]="Placed",1,0)</f>
        <v>0</v>
      </c>
      <c r="AD120" t="s">
        <v>37</v>
      </c>
      <c r="AE120" t="s">
        <v>47</v>
      </c>
      <c r="AF120" t="s">
        <v>55</v>
      </c>
      <c r="AG120">
        <v>2023</v>
      </c>
      <c r="AH120" t="s">
        <v>40</v>
      </c>
      <c r="AI120" t="str">
        <f>IF(Cdacdata[ccat_rank]&lt;=100,"Top 100",
IF(Cdacdata[ccat_rank]&lt;=500,"101–500",
IF(Cdacdata[ccat_rank]&lt;=1000,"501–1000",
"1000+")))</f>
        <v>1000+</v>
      </c>
    </row>
    <row r="121" spans="1:35" x14ac:dyDescent="0.3">
      <c r="A121" s="1" t="s">
        <v>25</v>
      </c>
      <c r="B121">
        <v>230701693</v>
      </c>
      <c r="C121" s="2">
        <v>45173</v>
      </c>
      <c r="D121" s="2" t="s">
        <v>493</v>
      </c>
      <c r="E121">
        <v>2230</v>
      </c>
      <c r="F121" s="2">
        <v>36405</v>
      </c>
      <c r="G121">
        <v>84</v>
      </c>
      <c r="H121">
        <v>54.46</v>
      </c>
      <c r="I121" t="s">
        <v>26</v>
      </c>
      <c r="J121">
        <v>83.84</v>
      </c>
      <c r="K121" s="3">
        <f t="shared" si="1"/>
        <v>74.100000000000009</v>
      </c>
      <c r="L121" t="s">
        <v>27</v>
      </c>
      <c r="M121" t="s">
        <v>41</v>
      </c>
      <c r="N121">
        <v>24</v>
      </c>
      <c r="O121" t="s">
        <v>48</v>
      </c>
      <c r="P121" t="s">
        <v>26</v>
      </c>
      <c r="Q121" t="s">
        <v>30</v>
      </c>
      <c r="R121">
        <v>580</v>
      </c>
      <c r="S121">
        <v>72.5</v>
      </c>
      <c r="T121" t="s">
        <v>31</v>
      </c>
      <c r="U121" t="s">
        <v>32</v>
      </c>
      <c r="V121" t="s">
        <v>31</v>
      </c>
      <c r="W121" t="s">
        <v>33</v>
      </c>
      <c r="X121" t="s">
        <v>96</v>
      </c>
      <c r="Y121" t="s">
        <v>58</v>
      </c>
      <c r="Z121" t="s">
        <v>44</v>
      </c>
      <c r="AA121" t="s">
        <v>102</v>
      </c>
      <c r="AB121" t="s">
        <v>46</v>
      </c>
      <c r="AC121">
        <f>IF(Cdacdata[[#This Row],[placement_status]]="Placed",1,0)</f>
        <v>1</v>
      </c>
      <c r="AD121" t="s">
        <v>37</v>
      </c>
      <c r="AE121" t="s">
        <v>38</v>
      </c>
      <c r="AF121" t="s">
        <v>39</v>
      </c>
      <c r="AG121">
        <v>2023</v>
      </c>
      <c r="AH121" t="s">
        <v>40</v>
      </c>
      <c r="AI121" t="str">
        <f>IF(Cdacdata[ccat_rank]&lt;=100,"Top 100",
IF(Cdacdata[ccat_rank]&lt;=500,"101–500",
IF(Cdacdata[ccat_rank]&lt;=1000,"501–1000",
"1000+")))</f>
        <v>1000+</v>
      </c>
    </row>
    <row r="122" spans="1:35" x14ac:dyDescent="0.3">
      <c r="A122" s="1" t="s">
        <v>25</v>
      </c>
      <c r="B122">
        <v>230611471</v>
      </c>
      <c r="C122" s="2">
        <v>45164</v>
      </c>
      <c r="D122" s="2" t="s">
        <v>494</v>
      </c>
      <c r="E122">
        <v>3002</v>
      </c>
      <c r="F122" s="2">
        <v>36571</v>
      </c>
      <c r="G122">
        <v>95</v>
      </c>
      <c r="H122">
        <v>81.8</v>
      </c>
      <c r="I122" t="s">
        <v>26</v>
      </c>
      <c r="J122">
        <v>82.8</v>
      </c>
      <c r="K122" s="3">
        <f t="shared" si="1"/>
        <v>86.533333333333346</v>
      </c>
      <c r="L122" t="s">
        <v>27</v>
      </c>
      <c r="M122" t="s">
        <v>27</v>
      </c>
      <c r="N122">
        <v>23</v>
      </c>
      <c r="O122" t="s">
        <v>48</v>
      </c>
      <c r="P122" t="s">
        <v>65</v>
      </c>
      <c r="Q122" t="s">
        <v>43</v>
      </c>
      <c r="R122">
        <v>531</v>
      </c>
      <c r="S122">
        <v>66.375</v>
      </c>
      <c r="T122" t="s">
        <v>49</v>
      </c>
      <c r="U122" t="s">
        <v>32</v>
      </c>
      <c r="V122" t="s">
        <v>49</v>
      </c>
      <c r="W122" t="s">
        <v>49</v>
      </c>
      <c r="X122" t="s">
        <v>96</v>
      </c>
      <c r="Y122" t="s">
        <v>50</v>
      </c>
      <c r="Z122" t="s">
        <v>44</v>
      </c>
      <c r="AA122" t="s">
        <v>78</v>
      </c>
      <c r="AB122" t="s">
        <v>46</v>
      </c>
      <c r="AC122">
        <f>IF(Cdacdata[[#This Row],[placement_status]]="Placed",1,0)</f>
        <v>1</v>
      </c>
      <c r="AD122" t="s">
        <v>37</v>
      </c>
      <c r="AE122" t="s">
        <v>98</v>
      </c>
      <c r="AF122" t="s">
        <v>39</v>
      </c>
      <c r="AG122">
        <v>2023</v>
      </c>
      <c r="AH122" t="s">
        <v>40</v>
      </c>
      <c r="AI122" t="str">
        <f>IF(Cdacdata[ccat_rank]&lt;=100,"Top 100",
IF(Cdacdata[ccat_rank]&lt;=500,"101–500",
IF(Cdacdata[ccat_rank]&lt;=1000,"501–1000",
"1000+")))</f>
        <v>1000+</v>
      </c>
    </row>
    <row r="123" spans="1:35" x14ac:dyDescent="0.3">
      <c r="A123" s="1" t="s">
        <v>25</v>
      </c>
      <c r="B123">
        <v>230702906</v>
      </c>
      <c r="C123" s="2">
        <v>45174</v>
      </c>
      <c r="D123" s="2" t="s">
        <v>495</v>
      </c>
      <c r="E123">
        <v>2499</v>
      </c>
      <c r="F123" s="2">
        <v>36234</v>
      </c>
      <c r="G123">
        <v>77.900000000000006</v>
      </c>
      <c r="H123">
        <v>57.4</v>
      </c>
      <c r="I123" t="s">
        <v>26</v>
      </c>
      <c r="J123">
        <v>78.56</v>
      </c>
      <c r="K123" s="3">
        <f t="shared" si="1"/>
        <v>71.286666666666676</v>
      </c>
      <c r="L123" t="s">
        <v>27</v>
      </c>
      <c r="M123" t="s">
        <v>27</v>
      </c>
      <c r="N123">
        <v>24</v>
      </c>
      <c r="O123" t="s">
        <v>48</v>
      </c>
      <c r="P123" t="s">
        <v>26</v>
      </c>
      <c r="Q123" t="s">
        <v>43</v>
      </c>
      <c r="R123">
        <v>483</v>
      </c>
      <c r="S123">
        <v>60.375</v>
      </c>
      <c r="T123" t="s">
        <v>33</v>
      </c>
      <c r="U123" t="s">
        <v>32</v>
      </c>
      <c r="V123" t="s">
        <v>33</v>
      </c>
      <c r="W123" t="s">
        <v>31</v>
      </c>
      <c r="X123" t="s">
        <v>96</v>
      </c>
      <c r="Y123" t="s">
        <v>50</v>
      </c>
      <c r="Z123" t="s">
        <v>36</v>
      </c>
      <c r="AA123" t="s">
        <v>1268</v>
      </c>
      <c r="AB123" t="s">
        <v>36</v>
      </c>
      <c r="AC123">
        <f>IF(Cdacdata[[#This Row],[placement_status]]="Placed",1,0)</f>
        <v>0</v>
      </c>
      <c r="AD123" t="s">
        <v>37</v>
      </c>
      <c r="AE123" t="s">
        <v>38</v>
      </c>
      <c r="AF123" t="s">
        <v>39</v>
      </c>
      <c r="AG123">
        <v>2023</v>
      </c>
      <c r="AH123" t="s">
        <v>40</v>
      </c>
      <c r="AI123" t="str">
        <f>IF(Cdacdata[ccat_rank]&lt;=100,"Top 100",
IF(Cdacdata[ccat_rank]&lt;=500,"101–500",
IF(Cdacdata[ccat_rank]&lt;=1000,"501–1000",
"1000+")))</f>
        <v>1000+</v>
      </c>
    </row>
    <row r="124" spans="1:35" x14ac:dyDescent="0.3">
      <c r="A124" s="1" t="s">
        <v>25</v>
      </c>
      <c r="B124">
        <v>230705026</v>
      </c>
      <c r="C124" s="2">
        <v>45175</v>
      </c>
      <c r="D124" s="2" t="s">
        <v>496</v>
      </c>
      <c r="E124">
        <v>2006</v>
      </c>
      <c r="F124" s="2">
        <v>36709</v>
      </c>
      <c r="G124">
        <v>77.8</v>
      </c>
      <c r="H124">
        <v>51.38</v>
      </c>
      <c r="I124" t="s">
        <v>26</v>
      </c>
      <c r="J124">
        <v>66.010000000000005</v>
      </c>
      <c r="K124" s="3">
        <f t="shared" si="1"/>
        <v>65.063333333333333</v>
      </c>
      <c r="L124" t="s">
        <v>27</v>
      </c>
      <c r="M124" t="s">
        <v>41</v>
      </c>
      <c r="N124">
        <v>23</v>
      </c>
      <c r="O124" t="s">
        <v>28</v>
      </c>
      <c r="P124" t="s">
        <v>52</v>
      </c>
      <c r="Q124" t="s">
        <v>30</v>
      </c>
      <c r="R124">
        <v>210</v>
      </c>
      <c r="S124">
        <v>26.25</v>
      </c>
      <c r="T124" t="s">
        <v>31</v>
      </c>
      <c r="U124" t="s">
        <v>64</v>
      </c>
      <c r="V124" t="s">
        <v>31</v>
      </c>
      <c r="W124" t="s">
        <v>31</v>
      </c>
      <c r="X124" t="s">
        <v>96</v>
      </c>
      <c r="Y124" t="s">
        <v>64</v>
      </c>
      <c r="Z124" t="s">
        <v>36</v>
      </c>
      <c r="AA124" t="s">
        <v>1268</v>
      </c>
      <c r="AB124" t="s">
        <v>36</v>
      </c>
      <c r="AC124">
        <f>IF(Cdacdata[[#This Row],[placement_status]]="Placed",1,0)</f>
        <v>0</v>
      </c>
      <c r="AD124" t="s">
        <v>37</v>
      </c>
      <c r="AE124" t="s">
        <v>38</v>
      </c>
      <c r="AF124" t="s">
        <v>39</v>
      </c>
      <c r="AG124">
        <v>2023</v>
      </c>
      <c r="AH124" t="s">
        <v>40</v>
      </c>
      <c r="AI124" t="str">
        <f>IF(Cdacdata[ccat_rank]&lt;=100,"Top 100",
IF(Cdacdata[ccat_rank]&lt;=500,"101–500",
IF(Cdacdata[ccat_rank]&lt;=1000,"501–1000",
"1000+")))</f>
        <v>1000+</v>
      </c>
    </row>
    <row r="125" spans="1:35" x14ac:dyDescent="0.3">
      <c r="A125" s="1" t="s">
        <v>25</v>
      </c>
      <c r="B125">
        <v>230701000</v>
      </c>
      <c r="C125" s="2">
        <v>45173</v>
      </c>
      <c r="D125" s="2" t="s">
        <v>497</v>
      </c>
      <c r="E125">
        <v>1972</v>
      </c>
      <c r="F125" s="2">
        <v>36802</v>
      </c>
      <c r="G125">
        <v>67.599999999999994</v>
      </c>
      <c r="H125">
        <v>55.69</v>
      </c>
      <c r="I125" t="s">
        <v>26</v>
      </c>
      <c r="J125">
        <v>62.98</v>
      </c>
      <c r="K125" s="3">
        <f t="shared" si="1"/>
        <v>62.089999999999996</v>
      </c>
      <c r="L125" t="s">
        <v>27</v>
      </c>
      <c r="M125" t="s">
        <v>41</v>
      </c>
      <c r="N125">
        <v>22</v>
      </c>
      <c r="O125" t="s">
        <v>28</v>
      </c>
      <c r="P125" t="s">
        <v>65</v>
      </c>
      <c r="Q125" t="s">
        <v>30</v>
      </c>
      <c r="R125">
        <v>387</v>
      </c>
      <c r="S125">
        <v>48.375</v>
      </c>
      <c r="T125" t="s">
        <v>31</v>
      </c>
      <c r="U125" t="s">
        <v>32</v>
      </c>
      <c r="V125" t="s">
        <v>31</v>
      </c>
      <c r="W125" t="s">
        <v>103</v>
      </c>
      <c r="X125" t="s">
        <v>96</v>
      </c>
      <c r="Y125" t="s">
        <v>80</v>
      </c>
      <c r="Z125" t="s">
        <v>36</v>
      </c>
      <c r="AA125" t="s">
        <v>1268</v>
      </c>
      <c r="AB125" t="s">
        <v>36</v>
      </c>
      <c r="AC125">
        <f>IF(Cdacdata[[#This Row],[placement_status]]="Placed",1,0)</f>
        <v>0</v>
      </c>
      <c r="AD125" t="s">
        <v>37</v>
      </c>
      <c r="AE125" t="s">
        <v>47</v>
      </c>
      <c r="AF125" t="s">
        <v>57</v>
      </c>
      <c r="AG125">
        <v>2023</v>
      </c>
      <c r="AH125" t="s">
        <v>40</v>
      </c>
      <c r="AI125" t="str">
        <f>IF(Cdacdata[ccat_rank]&lt;=100,"Top 100",
IF(Cdacdata[ccat_rank]&lt;=500,"101–500",
IF(Cdacdata[ccat_rank]&lt;=1000,"501–1000",
"1000+")))</f>
        <v>1000+</v>
      </c>
    </row>
    <row r="126" spans="1:35" x14ac:dyDescent="0.3">
      <c r="A126" s="1" t="s">
        <v>25</v>
      </c>
      <c r="B126">
        <v>230610372</v>
      </c>
      <c r="C126" s="2">
        <v>45170</v>
      </c>
      <c r="D126" s="2" t="s">
        <v>498</v>
      </c>
      <c r="E126">
        <v>3087</v>
      </c>
      <c r="F126" s="2">
        <v>35567</v>
      </c>
      <c r="G126">
        <v>86.6</v>
      </c>
      <c r="H126">
        <v>74.31</v>
      </c>
      <c r="I126" t="s">
        <v>26</v>
      </c>
      <c r="J126">
        <v>67.540000000000006</v>
      </c>
      <c r="K126" s="3">
        <f t="shared" si="1"/>
        <v>76.149999999999991</v>
      </c>
      <c r="L126" t="s">
        <v>27</v>
      </c>
      <c r="M126" t="s">
        <v>41</v>
      </c>
      <c r="N126">
        <v>26</v>
      </c>
      <c r="O126" t="s">
        <v>28</v>
      </c>
      <c r="P126" t="s">
        <v>60</v>
      </c>
      <c r="Q126" t="s">
        <v>30</v>
      </c>
      <c r="R126">
        <v>470</v>
      </c>
      <c r="S126">
        <v>58.75</v>
      </c>
      <c r="T126" t="s">
        <v>31</v>
      </c>
      <c r="U126" t="s">
        <v>32</v>
      </c>
      <c r="V126" t="s">
        <v>31</v>
      </c>
      <c r="W126" t="s">
        <v>49</v>
      </c>
      <c r="X126" t="s">
        <v>96</v>
      </c>
      <c r="Y126" t="s">
        <v>35</v>
      </c>
      <c r="Z126" t="s">
        <v>36</v>
      </c>
      <c r="AA126" t="s">
        <v>1268</v>
      </c>
      <c r="AB126" t="s">
        <v>36</v>
      </c>
      <c r="AC126">
        <f>IF(Cdacdata[[#This Row],[placement_status]]="Placed",1,0)</f>
        <v>0</v>
      </c>
      <c r="AD126" t="s">
        <v>37</v>
      </c>
      <c r="AE126" t="s">
        <v>98</v>
      </c>
      <c r="AF126" t="s">
        <v>55</v>
      </c>
      <c r="AG126">
        <v>2023</v>
      </c>
      <c r="AH126" t="s">
        <v>40</v>
      </c>
      <c r="AI126" t="str">
        <f>IF(Cdacdata[ccat_rank]&lt;=100,"Top 100",
IF(Cdacdata[ccat_rank]&lt;=500,"101–500",
IF(Cdacdata[ccat_rank]&lt;=1000,"501–1000",
"1000+")))</f>
        <v>1000+</v>
      </c>
    </row>
    <row r="127" spans="1:35" x14ac:dyDescent="0.3">
      <c r="A127" s="1" t="s">
        <v>25</v>
      </c>
      <c r="B127">
        <v>230700664</v>
      </c>
      <c r="C127" s="2">
        <v>45173</v>
      </c>
      <c r="D127" s="2" t="s">
        <v>499</v>
      </c>
      <c r="E127">
        <v>3188</v>
      </c>
      <c r="F127" s="2">
        <v>37105</v>
      </c>
      <c r="G127">
        <v>89</v>
      </c>
      <c r="H127">
        <v>64.150000000000006</v>
      </c>
      <c r="I127" t="s">
        <v>26</v>
      </c>
      <c r="J127">
        <v>70.5</v>
      </c>
      <c r="K127" s="3">
        <f t="shared" si="1"/>
        <v>74.55</v>
      </c>
      <c r="L127" t="s">
        <v>27</v>
      </c>
      <c r="M127" t="s">
        <v>27</v>
      </c>
      <c r="N127">
        <v>22</v>
      </c>
      <c r="O127" t="s">
        <v>28</v>
      </c>
      <c r="P127" t="s">
        <v>56</v>
      </c>
      <c r="Q127" t="s">
        <v>30</v>
      </c>
      <c r="R127">
        <v>436</v>
      </c>
      <c r="S127">
        <v>54.5</v>
      </c>
      <c r="T127" t="s">
        <v>33</v>
      </c>
      <c r="U127" t="s">
        <v>32</v>
      </c>
      <c r="V127" t="s">
        <v>33</v>
      </c>
      <c r="W127" t="s">
        <v>31</v>
      </c>
      <c r="X127" t="s">
        <v>96</v>
      </c>
      <c r="Y127" t="s">
        <v>35</v>
      </c>
      <c r="Z127" t="s">
        <v>36</v>
      </c>
      <c r="AA127" t="s">
        <v>1268</v>
      </c>
      <c r="AB127" t="s">
        <v>36</v>
      </c>
      <c r="AC127">
        <f>IF(Cdacdata[[#This Row],[placement_status]]="Placed",1,0)</f>
        <v>0</v>
      </c>
      <c r="AD127" t="s">
        <v>37</v>
      </c>
      <c r="AE127" t="s">
        <v>98</v>
      </c>
      <c r="AF127" t="s">
        <v>57</v>
      </c>
      <c r="AG127">
        <v>2023</v>
      </c>
      <c r="AH127" t="s">
        <v>40</v>
      </c>
      <c r="AI127" t="str">
        <f>IF(Cdacdata[ccat_rank]&lt;=100,"Top 100",
IF(Cdacdata[ccat_rank]&lt;=500,"101–500",
IF(Cdacdata[ccat_rank]&lt;=1000,"501–1000",
"1000+")))</f>
        <v>1000+</v>
      </c>
    </row>
    <row r="128" spans="1:35" x14ac:dyDescent="0.3">
      <c r="A128" s="1" t="s">
        <v>25</v>
      </c>
      <c r="B128">
        <v>230601217</v>
      </c>
      <c r="C128" s="2">
        <v>45173</v>
      </c>
      <c r="D128" s="2" t="s">
        <v>500</v>
      </c>
      <c r="E128">
        <v>2674</v>
      </c>
      <c r="F128" s="2">
        <v>35260</v>
      </c>
      <c r="G128">
        <v>89.64</v>
      </c>
      <c r="H128" t="s">
        <v>26</v>
      </c>
      <c r="I128">
        <v>64.59</v>
      </c>
      <c r="J128">
        <v>58.79</v>
      </c>
      <c r="K128" s="3">
        <f t="shared" si="1"/>
        <v>71.006666666666675</v>
      </c>
      <c r="L128" t="s">
        <v>27</v>
      </c>
      <c r="M128" t="s">
        <v>41</v>
      </c>
      <c r="N128">
        <v>27</v>
      </c>
      <c r="O128" t="s">
        <v>72</v>
      </c>
      <c r="P128" t="s">
        <v>42</v>
      </c>
      <c r="Q128" t="s">
        <v>30</v>
      </c>
      <c r="R128">
        <v>515</v>
      </c>
      <c r="S128">
        <v>64.375</v>
      </c>
      <c r="T128" t="s">
        <v>49</v>
      </c>
      <c r="U128" t="s">
        <v>32</v>
      </c>
      <c r="V128" t="s">
        <v>49</v>
      </c>
      <c r="W128" t="s">
        <v>31</v>
      </c>
      <c r="X128" t="s">
        <v>96</v>
      </c>
      <c r="Y128" t="s">
        <v>50</v>
      </c>
      <c r="Z128" t="s">
        <v>44</v>
      </c>
      <c r="AA128" t="s">
        <v>99</v>
      </c>
      <c r="AB128" t="s">
        <v>46</v>
      </c>
      <c r="AC128">
        <f>IF(Cdacdata[[#This Row],[placement_status]]="Placed",1,0)</f>
        <v>1</v>
      </c>
      <c r="AD128" t="s">
        <v>37</v>
      </c>
      <c r="AE128" t="s">
        <v>38</v>
      </c>
      <c r="AF128" t="s">
        <v>55</v>
      </c>
      <c r="AG128">
        <v>2023</v>
      </c>
      <c r="AH128" t="s">
        <v>40</v>
      </c>
      <c r="AI128" t="str">
        <f>IF(Cdacdata[ccat_rank]&lt;=100,"Top 100",
IF(Cdacdata[ccat_rank]&lt;=500,"101–500",
IF(Cdacdata[ccat_rank]&lt;=1000,"501–1000",
"1000+")))</f>
        <v>1000+</v>
      </c>
    </row>
    <row r="129" spans="1:35" x14ac:dyDescent="0.3">
      <c r="A129" s="1" t="s">
        <v>25</v>
      </c>
      <c r="B129">
        <v>230609228</v>
      </c>
      <c r="C129" s="2">
        <v>45163</v>
      </c>
      <c r="D129" s="2" t="s">
        <v>501</v>
      </c>
      <c r="E129">
        <v>2848</v>
      </c>
      <c r="F129" s="2">
        <v>36506</v>
      </c>
      <c r="G129">
        <v>91</v>
      </c>
      <c r="H129">
        <v>92.31</v>
      </c>
      <c r="I129" t="s">
        <v>26</v>
      </c>
      <c r="J129">
        <v>78.930000000000007</v>
      </c>
      <c r="K129" s="3">
        <f t="shared" si="1"/>
        <v>87.413333333333341</v>
      </c>
      <c r="L129" t="s">
        <v>27</v>
      </c>
      <c r="M129" t="s">
        <v>27</v>
      </c>
      <c r="N129">
        <v>23</v>
      </c>
      <c r="O129" t="s">
        <v>48</v>
      </c>
      <c r="P129" t="s">
        <v>65</v>
      </c>
      <c r="Q129" t="s">
        <v>43</v>
      </c>
      <c r="R129">
        <v>607</v>
      </c>
      <c r="S129">
        <v>75.875</v>
      </c>
      <c r="T129" t="s">
        <v>49</v>
      </c>
      <c r="U129" t="s">
        <v>32</v>
      </c>
      <c r="V129" t="s">
        <v>49</v>
      </c>
      <c r="W129" t="s">
        <v>49</v>
      </c>
      <c r="X129" t="s">
        <v>96</v>
      </c>
      <c r="Y129" t="s">
        <v>58</v>
      </c>
      <c r="Z129" t="s">
        <v>44</v>
      </c>
      <c r="AA129" t="s">
        <v>104</v>
      </c>
      <c r="AB129" t="s">
        <v>46</v>
      </c>
      <c r="AC129">
        <f>IF(Cdacdata[[#This Row],[placement_status]]="Placed",1,0)</f>
        <v>1</v>
      </c>
      <c r="AD129" t="s">
        <v>37</v>
      </c>
      <c r="AE129" t="s">
        <v>38</v>
      </c>
      <c r="AF129" t="s">
        <v>39</v>
      </c>
      <c r="AG129">
        <v>2023</v>
      </c>
      <c r="AH129" t="s">
        <v>40</v>
      </c>
      <c r="AI129" t="str">
        <f>IF(Cdacdata[ccat_rank]&lt;=100,"Top 100",
IF(Cdacdata[ccat_rank]&lt;=500,"101–500",
IF(Cdacdata[ccat_rank]&lt;=1000,"501–1000",
"1000+")))</f>
        <v>1000+</v>
      </c>
    </row>
    <row r="130" spans="1:35" x14ac:dyDescent="0.3">
      <c r="A130" s="1" t="s">
        <v>25</v>
      </c>
      <c r="B130">
        <v>230701126</v>
      </c>
      <c r="C130" s="2">
        <v>45163</v>
      </c>
      <c r="D130" s="2" t="s">
        <v>502</v>
      </c>
      <c r="E130">
        <v>2672</v>
      </c>
      <c r="F130" s="2">
        <v>37235</v>
      </c>
      <c r="G130">
        <v>91.2</v>
      </c>
      <c r="H130">
        <v>63.23</v>
      </c>
      <c r="I130" t="s">
        <v>26</v>
      </c>
      <c r="J130">
        <v>72.7</v>
      </c>
      <c r="K130" s="3">
        <f t="shared" ref="K130:K193" si="2">AVERAGE(G130,H130,I130,J130)</f>
        <v>75.709999999999994</v>
      </c>
      <c r="L130" t="s">
        <v>27</v>
      </c>
      <c r="M130" t="s">
        <v>27</v>
      </c>
      <c r="N130">
        <v>21</v>
      </c>
      <c r="O130" t="s">
        <v>28</v>
      </c>
      <c r="P130" t="s">
        <v>65</v>
      </c>
      <c r="Q130" t="s">
        <v>30</v>
      </c>
      <c r="R130">
        <v>482</v>
      </c>
      <c r="S130">
        <v>60.25</v>
      </c>
      <c r="T130" t="s">
        <v>31</v>
      </c>
      <c r="U130" t="s">
        <v>32</v>
      </c>
      <c r="V130" t="s">
        <v>31</v>
      </c>
      <c r="W130" t="s">
        <v>103</v>
      </c>
      <c r="X130" t="s">
        <v>96</v>
      </c>
      <c r="Y130" t="s">
        <v>50</v>
      </c>
      <c r="Z130" t="s">
        <v>53</v>
      </c>
      <c r="AA130" t="s">
        <v>54</v>
      </c>
      <c r="AB130" t="s">
        <v>46</v>
      </c>
      <c r="AC130">
        <f>IF(Cdacdata[[#This Row],[placement_status]]="Placed",1,0)</f>
        <v>1</v>
      </c>
      <c r="AD130" t="s">
        <v>37</v>
      </c>
      <c r="AE130" t="s">
        <v>38</v>
      </c>
      <c r="AF130" t="s">
        <v>57</v>
      </c>
      <c r="AG130">
        <v>2023</v>
      </c>
      <c r="AH130" t="s">
        <v>40</v>
      </c>
      <c r="AI130" t="str">
        <f>IF(Cdacdata[ccat_rank]&lt;=100,"Top 100",
IF(Cdacdata[ccat_rank]&lt;=500,"101–500",
IF(Cdacdata[ccat_rank]&lt;=1000,"501–1000",
"1000+")))</f>
        <v>1000+</v>
      </c>
    </row>
    <row r="131" spans="1:35" x14ac:dyDescent="0.3">
      <c r="A131" s="1" t="s">
        <v>25</v>
      </c>
      <c r="B131">
        <v>230606568</v>
      </c>
      <c r="C131" s="2">
        <v>45162</v>
      </c>
      <c r="D131" s="2" t="s">
        <v>503</v>
      </c>
      <c r="E131">
        <v>3104</v>
      </c>
      <c r="F131" s="2">
        <v>36398</v>
      </c>
      <c r="G131">
        <v>81.599999999999994</v>
      </c>
      <c r="H131">
        <v>75.08</v>
      </c>
      <c r="I131" t="s">
        <v>26</v>
      </c>
      <c r="J131">
        <v>70.69</v>
      </c>
      <c r="K131" s="3">
        <f t="shared" si="2"/>
        <v>75.790000000000006</v>
      </c>
      <c r="L131" t="s">
        <v>27</v>
      </c>
      <c r="M131" t="s">
        <v>27</v>
      </c>
      <c r="N131">
        <v>23</v>
      </c>
      <c r="O131" t="s">
        <v>28</v>
      </c>
      <c r="P131" t="s">
        <v>60</v>
      </c>
      <c r="Q131" t="s">
        <v>43</v>
      </c>
      <c r="R131">
        <v>580</v>
      </c>
      <c r="S131">
        <v>72.5</v>
      </c>
      <c r="T131" t="s">
        <v>49</v>
      </c>
      <c r="U131" t="s">
        <v>32</v>
      </c>
      <c r="V131" t="s">
        <v>49</v>
      </c>
      <c r="W131" t="s">
        <v>49</v>
      </c>
      <c r="X131" t="s">
        <v>96</v>
      </c>
      <c r="Y131" t="s">
        <v>58</v>
      </c>
      <c r="Z131" t="s">
        <v>44</v>
      </c>
      <c r="AA131" t="s">
        <v>93</v>
      </c>
      <c r="AB131" t="s">
        <v>46</v>
      </c>
      <c r="AC131">
        <f>IF(Cdacdata[[#This Row],[placement_status]]="Placed",1,0)</f>
        <v>1</v>
      </c>
      <c r="AD131" t="s">
        <v>37</v>
      </c>
      <c r="AE131" t="s">
        <v>98</v>
      </c>
      <c r="AF131" t="s">
        <v>39</v>
      </c>
      <c r="AG131">
        <v>2023</v>
      </c>
      <c r="AH131" t="s">
        <v>40</v>
      </c>
      <c r="AI131" t="str">
        <f>IF(Cdacdata[ccat_rank]&lt;=100,"Top 100",
IF(Cdacdata[ccat_rank]&lt;=500,"101–500",
IF(Cdacdata[ccat_rank]&lt;=1000,"501–1000",
"1000+")))</f>
        <v>1000+</v>
      </c>
    </row>
    <row r="132" spans="1:35" x14ac:dyDescent="0.3">
      <c r="A132" s="1" t="s">
        <v>25</v>
      </c>
      <c r="B132">
        <v>230604657</v>
      </c>
      <c r="C132" s="2">
        <v>45170</v>
      </c>
      <c r="D132" s="2" t="s">
        <v>504</v>
      </c>
      <c r="E132">
        <v>2008</v>
      </c>
      <c r="F132" s="2">
        <v>36585</v>
      </c>
      <c r="G132">
        <v>81</v>
      </c>
      <c r="H132">
        <v>68</v>
      </c>
      <c r="I132" t="s">
        <v>26</v>
      </c>
      <c r="J132">
        <v>65.52</v>
      </c>
      <c r="K132" s="3">
        <f t="shared" si="2"/>
        <v>71.506666666666661</v>
      </c>
      <c r="L132" t="s">
        <v>27</v>
      </c>
      <c r="M132" t="s">
        <v>41</v>
      </c>
      <c r="N132">
        <v>23</v>
      </c>
      <c r="O132" t="s">
        <v>28</v>
      </c>
      <c r="P132" t="s">
        <v>60</v>
      </c>
      <c r="Q132" t="s">
        <v>30</v>
      </c>
      <c r="R132">
        <v>452</v>
      </c>
      <c r="S132">
        <v>56.5</v>
      </c>
      <c r="T132" t="s">
        <v>33</v>
      </c>
      <c r="U132" t="s">
        <v>32</v>
      </c>
      <c r="V132" t="s">
        <v>33</v>
      </c>
      <c r="W132" t="s">
        <v>49</v>
      </c>
      <c r="X132" t="s">
        <v>96</v>
      </c>
      <c r="Y132" t="s">
        <v>35</v>
      </c>
      <c r="Z132" t="s">
        <v>36</v>
      </c>
      <c r="AA132" t="s">
        <v>1268</v>
      </c>
      <c r="AB132" t="s">
        <v>36</v>
      </c>
      <c r="AC132">
        <f>IF(Cdacdata[[#This Row],[placement_status]]="Placed",1,0)</f>
        <v>0</v>
      </c>
      <c r="AD132" t="s">
        <v>37</v>
      </c>
      <c r="AE132" t="s">
        <v>38</v>
      </c>
      <c r="AF132" t="s">
        <v>39</v>
      </c>
      <c r="AG132">
        <v>2023</v>
      </c>
      <c r="AH132" t="s">
        <v>40</v>
      </c>
      <c r="AI132" t="str">
        <f>IF(Cdacdata[ccat_rank]&lt;=100,"Top 100",
IF(Cdacdata[ccat_rank]&lt;=500,"101–500",
IF(Cdacdata[ccat_rank]&lt;=1000,"501–1000",
"1000+")))</f>
        <v>1000+</v>
      </c>
    </row>
    <row r="133" spans="1:35" x14ac:dyDescent="0.3">
      <c r="A133" s="1" t="s">
        <v>25</v>
      </c>
      <c r="B133">
        <v>230610845</v>
      </c>
      <c r="C133" s="2">
        <v>45162</v>
      </c>
      <c r="D133" s="2" t="s">
        <v>505</v>
      </c>
      <c r="E133">
        <v>1592</v>
      </c>
      <c r="F133" s="2">
        <v>34695</v>
      </c>
      <c r="G133">
        <v>85.27</v>
      </c>
      <c r="H133">
        <v>70.5</v>
      </c>
      <c r="I133" t="s">
        <v>26</v>
      </c>
      <c r="J133">
        <v>0</v>
      </c>
      <c r="K133" s="3">
        <f t="shared" si="2"/>
        <v>51.923333333333325</v>
      </c>
      <c r="L133" t="s">
        <v>41</v>
      </c>
      <c r="M133" t="s">
        <v>27</v>
      </c>
      <c r="N133">
        <v>28</v>
      </c>
      <c r="O133" t="s">
        <v>62</v>
      </c>
      <c r="P133" t="s">
        <v>65</v>
      </c>
      <c r="Q133" t="s">
        <v>30</v>
      </c>
      <c r="R133">
        <v>518</v>
      </c>
      <c r="S133">
        <v>64.75</v>
      </c>
      <c r="T133" t="s">
        <v>33</v>
      </c>
      <c r="U133" t="s">
        <v>32</v>
      </c>
      <c r="V133" t="s">
        <v>33</v>
      </c>
      <c r="W133" t="s">
        <v>103</v>
      </c>
      <c r="X133" t="s">
        <v>96</v>
      </c>
      <c r="Y133" t="s">
        <v>50</v>
      </c>
      <c r="Z133" t="s">
        <v>36</v>
      </c>
      <c r="AA133" t="s">
        <v>1268</v>
      </c>
      <c r="AB133" t="s">
        <v>36</v>
      </c>
      <c r="AC133">
        <f>IF(Cdacdata[[#This Row],[placement_status]]="Placed",1,0)</f>
        <v>0</v>
      </c>
      <c r="AD133" t="s">
        <v>37</v>
      </c>
      <c r="AE133" t="s">
        <v>47</v>
      </c>
      <c r="AF133" t="s">
        <v>55</v>
      </c>
      <c r="AG133">
        <v>2023</v>
      </c>
      <c r="AH133" t="s">
        <v>40</v>
      </c>
      <c r="AI133" t="str">
        <f>IF(Cdacdata[ccat_rank]&lt;=100,"Top 100",
IF(Cdacdata[ccat_rank]&lt;=500,"101–500",
IF(Cdacdata[ccat_rank]&lt;=1000,"501–1000",
"1000+")))</f>
        <v>1000+</v>
      </c>
    </row>
    <row r="134" spans="1:35" x14ac:dyDescent="0.3">
      <c r="A134" s="1" t="s">
        <v>25</v>
      </c>
      <c r="B134">
        <v>230606037</v>
      </c>
      <c r="C134" s="2">
        <v>45174</v>
      </c>
      <c r="D134" s="2" t="s">
        <v>506</v>
      </c>
      <c r="E134">
        <v>1745</v>
      </c>
      <c r="F134" s="2">
        <v>35264</v>
      </c>
      <c r="G134">
        <v>85</v>
      </c>
      <c r="H134">
        <v>76</v>
      </c>
      <c r="I134" t="s">
        <v>26</v>
      </c>
      <c r="J134">
        <v>64.14</v>
      </c>
      <c r="K134" s="3">
        <f t="shared" si="2"/>
        <v>75.046666666666667</v>
      </c>
      <c r="L134" t="s">
        <v>27</v>
      </c>
      <c r="M134" t="s">
        <v>27</v>
      </c>
      <c r="N134">
        <v>27</v>
      </c>
      <c r="O134" t="s">
        <v>28</v>
      </c>
      <c r="P134" t="s">
        <v>65</v>
      </c>
      <c r="Q134" t="s">
        <v>43</v>
      </c>
      <c r="R134">
        <v>522</v>
      </c>
      <c r="S134">
        <v>65.25</v>
      </c>
      <c r="T134" t="s">
        <v>49</v>
      </c>
      <c r="U134" t="s">
        <v>32</v>
      </c>
      <c r="V134" t="s">
        <v>49</v>
      </c>
      <c r="W134" t="s">
        <v>49</v>
      </c>
      <c r="X134" t="s">
        <v>96</v>
      </c>
      <c r="Y134" t="s">
        <v>50</v>
      </c>
      <c r="Z134" t="s">
        <v>44</v>
      </c>
      <c r="AA134" t="s">
        <v>101</v>
      </c>
      <c r="AB134" t="s">
        <v>46</v>
      </c>
      <c r="AC134">
        <f>IF(Cdacdata[[#This Row],[placement_status]]="Placed",1,0)</f>
        <v>1</v>
      </c>
      <c r="AD134" t="s">
        <v>37</v>
      </c>
      <c r="AE134" t="s">
        <v>47</v>
      </c>
      <c r="AF134" t="s">
        <v>55</v>
      </c>
      <c r="AG134">
        <v>2023</v>
      </c>
      <c r="AH134" t="s">
        <v>40</v>
      </c>
      <c r="AI134" t="str">
        <f>IF(Cdacdata[ccat_rank]&lt;=100,"Top 100",
IF(Cdacdata[ccat_rank]&lt;=500,"101–500",
IF(Cdacdata[ccat_rank]&lt;=1000,"501–1000",
"1000+")))</f>
        <v>1000+</v>
      </c>
    </row>
    <row r="135" spans="1:35" x14ac:dyDescent="0.3">
      <c r="A135" s="1" t="s">
        <v>25</v>
      </c>
      <c r="B135">
        <v>230608117</v>
      </c>
      <c r="C135" s="2">
        <v>45175</v>
      </c>
      <c r="D135" s="2" t="s">
        <v>507</v>
      </c>
      <c r="E135">
        <v>2819</v>
      </c>
      <c r="F135" s="2">
        <v>37051</v>
      </c>
      <c r="G135">
        <v>82</v>
      </c>
      <c r="H135">
        <v>65.8</v>
      </c>
      <c r="I135" t="s">
        <v>26</v>
      </c>
      <c r="J135">
        <v>0</v>
      </c>
      <c r="K135" s="3">
        <f t="shared" si="2"/>
        <v>49.266666666666673</v>
      </c>
      <c r="L135" t="s">
        <v>27</v>
      </c>
      <c r="M135" t="s">
        <v>27</v>
      </c>
      <c r="N135">
        <v>22</v>
      </c>
      <c r="O135" t="s">
        <v>62</v>
      </c>
      <c r="P135" t="s">
        <v>56</v>
      </c>
      <c r="Q135" t="s">
        <v>43</v>
      </c>
      <c r="R135">
        <v>536</v>
      </c>
      <c r="S135">
        <v>67</v>
      </c>
      <c r="T135" t="s">
        <v>33</v>
      </c>
      <c r="U135" t="s">
        <v>32</v>
      </c>
      <c r="V135" t="s">
        <v>33</v>
      </c>
      <c r="W135" t="s">
        <v>31</v>
      </c>
      <c r="X135" t="s">
        <v>96</v>
      </c>
      <c r="Y135" t="s">
        <v>50</v>
      </c>
      <c r="Z135" t="s">
        <v>44</v>
      </c>
      <c r="AA135" t="s">
        <v>105</v>
      </c>
      <c r="AB135" t="s">
        <v>46</v>
      </c>
      <c r="AC135">
        <f>IF(Cdacdata[[#This Row],[placement_status]]="Placed",1,0)</f>
        <v>1</v>
      </c>
      <c r="AD135" t="s">
        <v>37</v>
      </c>
      <c r="AE135" t="s">
        <v>38</v>
      </c>
      <c r="AF135" t="s">
        <v>57</v>
      </c>
      <c r="AG135">
        <v>2023</v>
      </c>
      <c r="AH135" t="s">
        <v>40</v>
      </c>
      <c r="AI135" t="str">
        <f>IF(Cdacdata[ccat_rank]&lt;=100,"Top 100",
IF(Cdacdata[ccat_rank]&lt;=500,"101–500",
IF(Cdacdata[ccat_rank]&lt;=1000,"501–1000",
"1000+")))</f>
        <v>1000+</v>
      </c>
    </row>
    <row r="136" spans="1:35" x14ac:dyDescent="0.3">
      <c r="A136" s="1" t="s">
        <v>25</v>
      </c>
      <c r="B136">
        <v>230603057</v>
      </c>
      <c r="C136" s="2">
        <v>45162</v>
      </c>
      <c r="D136" s="2" t="s">
        <v>508</v>
      </c>
      <c r="E136">
        <v>2789</v>
      </c>
      <c r="F136" s="2">
        <v>36662</v>
      </c>
      <c r="G136">
        <v>95</v>
      </c>
      <c r="H136">
        <v>79.28</v>
      </c>
      <c r="I136" t="s">
        <v>26</v>
      </c>
      <c r="J136">
        <v>80.47</v>
      </c>
      <c r="K136" s="3">
        <f t="shared" si="2"/>
        <v>84.916666666666671</v>
      </c>
      <c r="L136" t="s">
        <v>27</v>
      </c>
      <c r="M136" t="s">
        <v>41</v>
      </c>
      <c r="N136">
        <v>23</v>
      </c>
      <c r="O136" t="s">
        <v>48</v>
      </c>
      <c r="P136" t="s">
        <v>56</v>
      </c>
      <c r="Q136" t="s">
        <v>43</v>
      </c>
      <c r="R136">
        <v>573</v>
      </c>
      <c r="S136">
        <v>71.625</v>
      </c>
      <c r="T136" t="s">
        <v>31</v>
      </c>
      <c r="U136" t="s">
        <v>32</v>
      </c>
      <c r="V136" t="s">
        <v>31</v>
      </c>
      <c r="W136" t="s">
        <v>49</v>
      </c>
      <c r="X136" t="s">
        <v>96</v>
      </c>
      <c r="Y136" t="s">
        <v>58</v>
      </c>
      <c r="Z136" t="s">
        <v>44</v>
      </c>
      <c r="AA136" t="s">
        <v>97</v>
      </c>
      <c r="AB136" t="s">
        <v>46</v>
      </c>
      <c r="AC136">
        <f>IF(Cdacdata[[#This Row],[placement_status]]="Placed",1,0)</f>
        <v>1</v>
      </c>
      <c r="AD136" t="s">
        <v>37</v>
      </c>
      <c r="AE136" t="s">
        <v>38</v>
      </c>
      <c r="AF136" t="s">
        <v>39</v>
      </c>
      <c r="AG136">
        <v>2023</v>
      </c>
      <c r="AH136" t="s">
        <v>40</v>
      </c>
      <c r="AI136" t="str">
        <f>IF(Cdacdata[ccat_rank]&lt;=100,"Top 100",
IF(Cdacdata[ccat_rank]&lt;=500,"101–500",
IF(Cdacdata[ccat_rank]&lt;=1000,"501–1000",
"1000+")))</f>
        <v>1000+</v>
      </c>
    </row>
    <row r="137" spans="1:35" x14ac:dyDescent="0.3">
      <c r="A137" s="1" t="s">
        <v>25</v>
      </c>
      <c r="B137">
        <v>230604012</v>
      </c>
      <c r="C137" s="2">
        <v>45165</v>
      </c>
      <c r="D137" s="2" t="s">
        <v>509</v>
      </c>
      <c r="E137">
        <v>2288</v>
      </c>
      <c r="F137" s="2">
        <v>35856</v>
      </c>
      <c r="G137">
        <v>86.4</v>
      </c>
      <c r="H137">
        <v>67.540000000000006</v>
      </c>
      <c r="I137" t="s">
        <v>26</v>
      </c>
      <c r="J137">
        <v>63.55</v>
      </c>
      <c r="K137" s="3">
        <f t="shared" si="2"/>
        <v>72.49666666666667</v>
      </c>
      <c r="L137" t="s">
        <v>27</v>
      </c>
      <c r="M137" t="s">
        <v>27</v>
      </c>
      <c r="N137">
        <v>25</v>
      </c>
      <c r="O137" t="s">
        <v>28</v>
      </c>
      <c r="P137" t="s">
        <v>60</v>
      </c>
      <c r="Q137" t="s">
        <v>30</v>
      </c>
      <c r="R137">
        <v>469</v>
      </c>
      <c r="S137">
        <v>58.625</v>
      </c>
      <c r="T137" t="s">
        <v>49</v>
      </c>
      <c r="U137" t="s">
        <v>32</v>
      </c>
      <c r="V137" t="s">
        <v>49</v>
      </c>
      <c r="W137" t="s">
        <v>49</v>
      </c>
      <c r="X137" t="s">
        <v>96</v>
      </c>
      <c r="Y137" t="s">
        <v>35</v>
      </c>
      <c r="Z137" t="s">
        <v>44</v>
      </c>
      <c r="AA137" t="s">
        <v>101</v>
      </c>
      <c r="AB137" t="s">
        <v>46</v>
      </c>
      <c r="AC137">
        <f>IF(Cdacdata[[#This Row],[placement_status]]="Placed",1,0)</f>
        <v>1</v>
      </c>
      <c r="AD137" t="s">
        <v>37</v>
      </c>
      <c r="AE137" t="s">
        <v>38</v>
      </c>
      <c r="AF137" t="s">
        <v>39</v>
      </c>
      <c r="AG137">
        <v>2023</v>
      </c>
      <c r="AH137" t="s">
        <v>40</v>
      </c>
      <c r="AI137" t="str">
        <f>IF(Cdacdata[ccat_rank]&lt;=100,"Top 100",
IF(Cdacdata[ccat_rank]&lt;=500,"101–500",
IF(Cdacdata[ccat_rank]&lt;=1000,"501–1000",
"1000+")))</f>
        <v>1000+</v>
      </c>
    </row>
    <row r="138" spans="1:35" x14ac:dyDescent="0.3">
      <c r="A138" s="1" t="s">
        <v>25</v>
      </c>
      <c r="B138">
        <v>230609890</v>
      </c>
      <c r="C138" s="2">
        <v>45166</v>
      </c>
      <c r="D138" s="2" t="s">
        <v>510</v>
      </c>
      <c r="E138">
        <v>2022</v>
      </c>
      <c r="F138" s="2">
        <v>36709</v>
      </c>
      <c r="G138">
        <v>94</v>
      </c>
      <c r="H138">
        <v>74</v>
      </c>
      <c r="I138" t="s">
        <v>26</v>
      </c>
      <c r="J138">
        <v>86.3</v>
      </c>
      <c r="K138" s="3">
        <f t="shared" si="2"/>
        <v>84.766666666666666</v>
      </c>
      <c r="L138" t="s">
        <v>27</v>
      </c>
      <c r="M138" t="s">
        <v>27</v>
      </c>
      <c r="N138">
        <v>23</v>
      </c>
      <c r="O138" t="s">
        <v>48</v>
      </c>
      <c r="P138" t="s">
        <v>56</v>
      </c>
      <c r="Q138" t="s">
        <v>43</v>
      </c>
      <c r="R138">
        <v>535</v>
      </c>
      <c r="S138">
        <v>66.875</v>
      </c>
      <c r="T138" t="s">
        <v>33</v>
      </c>
      <c r="U138" t="s">
        <v>32</v>
      </c>
      <c r="V138" t="s">
        <v>33</v>
      </c>
      <c r="W138" t="s">
        <v>49</v>
      </c>
      <c r="X138" t="s">
        <v>96</v>
      </c>
      <c r="Y138" t="s">
        <v>50</v>
      </c>
      <c r="Z138" t="s">
        <v>44</v>
      </c>
      <c r="AA138" t="s">
        <v>51</v>
      </c>
      <c r="AB138" t="s">
        <v>46</v>
      </c>
      <c r="AC138">
        <f>IF(Cdacdata[[#This Row],[placement_status]]="Placed",1,0)</f>
        <v>1</v>
      </c>
      <c r="AD138" t="s">
        <v>37</v>
      </c>
      <c r="AE138" t="s">
        <v>38</v>
      </c>
      <c r="AF138" t="s">
        <v>39</v>
      </c>
      <c r="AG138">
        <v>2023</v>
      </c>
      <c r="AH138" t="s">
        <v>40</v>
      </c>
      <c r="AI138" t="str">
        <f>IF(Cdacdata[ccat_rank]&lt;=100,"Top 100",
IF(Cdacdata[ccat_rank]&lt;=500,"101–500",
IF(Cdacdata[ccat_rank]&lt;=1000,"501–1000",
"1000+")))</f>
        <v>1000+</v>
      </c>
    </row>
    <row r="139" spans="1:35" x14ac:dyDescent="0.3">
      <c r="A139" s="1" t="s">
        <v>25</v>
      </c>
      <c r="B139">
        <v>230701566</v>
      </c>
      <c r="C139" s="2">
        <v>45173</v>
      </c>
      <c r="D139" s="2" t="s">
        <v>511</v>
      </c>
      <c r="E139">
        <v>2800</v>
      </c>
      <c r="F139" s="2">
        <v>36425</v>
      </c>
      <c r="G139">
        <v>90.4</v>
      </c>
      <c r="H139">
        <v>70</v>
      </c>
      <c r="I139" t="s">
        <v>26</v>
      </c>
      <c r="J139">
        <v>6.76</v>
      </c>
      <c r="K139" s="3">
        <f t="shared" si="2"/>
        <v>55.72</v>
      </c>
      <c r="L139" t="s">
        <v>27</v>
      </c>
      <c r="M139" t="s">
        <v>41</v>
      </c>
      <c r="N139">
        <v>23</v>
      </c>
      <c r="O139" t="s">
        <v>62</v>
      </c>
      <c r="P139" t="s">
        <v>52</v>
      </c>
      <c r="Q139" t="s">
        <v>43</v>
      </c>
      <c r="R139">
        <v>497</v>
      </c>
      <c r="S139">
        <v>62.125</v>
      </c>
      <c r="T139" t="s">
        <v>33</v>
      </c>
      <c r="U139" t="s">
        <v>32</v>
      </c>
      <c r="V139" t="s">
        <v>33</v>
      </c>
      <c r="W139" t="s">
        <v>103</v>
      </c>
      <c r="X139" t="s">
        <v>96</v>
      </c>
      <c r="Y139" t="s">
        <v>50</v>
      </c>
      <c r="Z139" t="s">
        <v>44</v>
      </c>
      <c r="AA139" t="s">
        <v>97</v>
      </c>
      <c r="AB139" t="s">
        <v>46</v>
      </c>
      <c r="AC139">
        <f>IF(Cdacdata[[#This Row],[placement_status]]="Placed",1,0)</f>
        <v>1</v>
      </c>
      <c r="AD139" t="s">
        <v>37</v>
      </c>
      <c r="AE139" t="s">
        <v>38</v>
      </c>
      <c r="AF139" t="s">
        <v>39</v>
      </c>
      <c r="AG139">
        <v>2023</v>
      </c>
      <c r="AH139" t="s">
        <v>40</v>
      </c>
      <c r="AI139" t="str">
        <f>IF(Cdacdata[ccat_rank]&lt;=100,"Top 100",
IF(Cdacdata[ccat_rank]&lt;=500,"101–500",
IF(Cdacdata[ccat_rank]&lt;=1000,"501–1000",
"1000+")))</f>
        <v>1000+</v>
      </c>
    </row>
    <row r="140" spans="1:35" x14ac:dyDescent="0.3">
      <c r="A140" s="1" t="s">
        <v>25</v>
      </c>
      <c r="B140">
        <v>230600988</v>
      </c>
      <c r="C140" s="2">
        <v>45175</v>
      </c>
      <c r="D140" s="2" t="s">
        <v>512</v>
      </c>
      <c r="E140">
        <v>2342</v>
      </c>
      <c r="F140" s="2">
        <v>37180</v>
      </c>
      <c r="G140">
        <v>86.8</v>
      </c>
      <c r="H140">
        <v>68.150000000000006</v>
      </c>
      <c r="I140">
        <v>88.44</v>
      </c>
      <c r="J140">
        <v>75.599999999999994</v>
      </c>
      <c r="K140" s="3">
        <f t="shared" si="2"/>
        <v>79.747500000000002</v>
      </c>
      <c r="L140" t="s">
        <v>27</v>
      </c>
      <c r="M140" t="s">
        <v>27</v>
      </c>
      <c r="N140">
        <v>21</v>
      </c>
      <c r="O140" t="s">
        <v>48</v>
      </c>
      <c r="P140" t="s">
        <v>56</v>
      </c>
      <c r="Q140" t="s">
        <v>30</v>
      </c>
      <c r="R140">
        <v>549</v>
      </c>
      <c r="S140">
        <v>68.625</v>
      </c>
      <c r="T140" t="s">
        <v>49</v>
      </c>
      <c r="U140" t="s">
        <v>32</v>
      </c>
      <c r="V140" t="s">
        <v>49</v>
      </c>
      <c r="W140" t="s">
        <v>49</v>
      </c>
      <c r="X140" t="s">
        <v>96</v>
      </c>
      <c r="Y140" t="s">
        <v>50</v>
      </c>
      <c r="Z140" t="s">
        <v>53</v>
      </c>
      <c r="AA140" t="s">
        <v>54</v>
      </c>
      <c r="AB140" t="s">
        <v>46</v>
      </c>
      <c r="AC140">
        <f>IF(Cdacdata[[#This Row],[placement_status]]="Placed",1,0)</f>
        <v>1</v>
      </c>
      <c r="AD140" t="s">
        <v>37</v>
      </c>
      <c r="AE140" t="s">
        <v>38</v>
      </c>
      <c r="AF140" t="s">
        <v>57</v>
      </c>
      <c r="AG140">
        <v>2023</v>
      </c>
      <c r="AH140" t="s">
        <v>40</v>
      </c>
      <c r="AI140" t="str">
        <f>IF(Cdacdata[ccat_rank]&lt;=100,"Top 100",
IF(Cdacdata[ccat_rank]&lt;=500,"101–500",
IF(Cdacdata[ccat_rank]&lt;=1000,"501–1000",
"1000+")))</f>
        <v>1000+</v>
      </c>
    </row>
    <row r="141" spans="1:35" x14ac:dyDescent="0.3">
      <c r="A141" s="1" t="s">
        <v>25</v>
      </c>
      <c r="B141">
        <v>230608115</v>
      </c>
      <c r="C141" s="2">
        <v>45175</v>
      </c>
      <c r="D141" s="2" t="s">
        <v>513</v>
      </c>
      <c r="E141">
        <v>2158</v>
      </c>
      <c r="F141" s="2">
        <v>36576</v>
      </c>
      <c r="G141">
        <v>78.599999999999994</v>
      </c>
      <c r="H141">
        <v>65.599999999999994</v>
      </c>
      <c r="I141" t="s">
        <v>26</v>
      </c>
      <c r="J141">
        <v>75</v>
      </c>
      <c r="K141" s="3">
        <f t="shared" si="2"/>
        <v>73.066666666666663</v>
      </c>
      <c r="L141" t="s">
        <v>27</v>
      </c>
      <c r="M141" t="s">
        <v>27</v>
      </c>
      <c r="N141">
        <v>23</v>
      </c>
      <c r="O141" t="s">
        <v>48</v>
      </c>
      <c r="P141" t="s">
        <v>56</v>
      </c>
      <c r="Q141" t="s">
        <v>43</v>
      </c>
      <c r="R141">
        <v>400</v>
      </c>
      <c r="S141">
        <v>50</v>
      </c>
      <c r="T141" t="s">
        <v>31</v>
      </c>
      <c r="U141" t="s">
        <v>32</v>
      </c>
      <c r="V141" t="s">
        <v>31</v>
      </c>
      <c r="W141" t="s">
        <v>33</v>
      </c>
      <c r="X141" t="s">
        <v>96</v>
      </c>
      <c r="Y141" t="s">
        <v>35</v>
      </c>
      <c r="Z141" t="s">
        <v>36</v>
      </c>
      <c r="AA141" t="s">
        <v>1268</v>
      </c>
      <c r="AB141" t="s">
        <v>36</v>
      </c>
      <c r="AC141">
        <f>IF(Cdacdata[[#This Row],[placement_status]]="Placed",1,0)</f>
        <v>0</v>
      </c>
      <c r="AD141" t="s">
        <v>37</v>
      </c>
      <c r="AE141" t="s">
        <v>38</v>
      </c>
      <c r="AF141" t="s">
        <v>39</v>
      </c>
      <c r="AG141">
        <v>2023</v>
      </c>
      <c r="AH141" t="s">
        <v>40</v>
      </c>
      <c r="AI141" t="str">
        <f>IF(Cdacdata[ccat_rank]&lt;=100,"Top 100",
IF(Cdacdata[ccat_rank]&lt;=500,"101–500",
IF(Cdacdata[ccat_rank]&lt;=1000,"501–1000",
"1000+")))</f>
        <v>1000+</v>
      </c>
    </row>
    <row r="142" spans="1:35" x14ac:dyDescent="0.3">
      <c r="A142" s="1" t="s">
        <v>25</v>
      </c>
      <c r="B142">
        <v>230700616</v>
      </c>
      <c r="C142" s="2">
        <v>45165</v>
      </c>
      <c r="D142" s="2" t="s">
        <v>514</v>
      </c>
      <c r="E142">
        <v>329</v>
      </c>
      <c r="F142" s="2">
        <v>37109</v>
      </c>
      <c r="G142">
        <v>89</v>
      </c>
      <c r="H142" t="s">
        <v>26</v>
      </c>
      <c r="I142">
        <v>93.77</v>
      </c>
      <c r="J142">
        <v>87.25</v>
      </c>
      <c r="K142" s="3">
        <f t="shared" si="2"/>
        <v>90.006666666666661</v>
      </c>
      <c r="L142" t="s">
        <v>27</v>
      </c>
      <c r="M142" t="s">
        <v>41</v>
      </c>
      <c r="N142">
        <v>22</v>
      </c>
      <c r="O142" t="s">
        <v>48</v>
      </c>
      <c r="P142" t="s">
        <v>56</v>
      </c>
      <c r="Q142" t="s">
        <v>43</v>
      </c>
      <c r="R142">
        <v>598</v>
      </c>
      <c r="S142">
        <v>74.75</v>
      </c>
      <c r="T142" t="s">
        <v>49</v>
      </c>
      <c r="U142" t="s">
        <v>32</v>
      </c>
      <c r="V142" t="s">
        <v>49</v>
      </c>
      <c r="W142" t="s">
        <v>49</v>
      </c>
      <c r="X142" t="s">
        <v>96</v>
      </c>
      <c r="Y142" t="s">
        <v>58</v>
      </c>
      <c r="Z142" t="s">
        <v>44</v>
      </c>
      <c r="AA142" t="s">
        <v>93</v>
      </c>
      <c r="AB142" t="s">
        <v>46</v>
      </c>
      <c r="AC142">
        <f>IF(Cdacdata[[#This Row],[placement_status]]="Placed",1,0)</f>
        <v>1</v>
      </c>
      <c r="AD142" t="s">
        <v>37</v>
      </c>
      <c r="AE142" t="s">
        <v>75</v>
      </c>
      <c r="AF142" t="s">
        <v>57</v>
      </c>
      <c r="AG142">
        <v>2023</v>
      </c>
      <c r="AH142" t="s">
        <v>40</v>
      </c>
      <c r="AI142" t="str">
        <f>IF(Cdacdata[ccat_rank]&lt;=100,"Top 100",
IF(Cdacdata[ccat_rank]&lt;=500,"101–500",
IF(Cdacdata[ccat_rank]&lt;=1000,"501–1000",
"1000+")))</f>
        <v>101–500</v>
      </c>
    </row>
    <row r="143" spans="1:35" x14ac:dyDescent="0.3">
      <c r="A143" s="1" t="s">
        <v>25</v>
      </c>
      <c r="B143">
        <v>230604347</v>
      </c>
      <c r="C143" s="2">
        <v>45172</v>
      </c>
      <c r="D143" s="2" t="s">
        <v>515</v>
      </c>
      <c r="E143">
        <v>3224</v>
      </c>
      <c r="F143" s="2">
        <v>37191</v>
      </c>
      <c r="G143">
        <v>71.2</v>
      </c>
      <c r="H143">
        <v>77.2</v>
      </c>
      <c r="I143" t="s">
        <v>26</v>
      </c>
      <c r="J143">
        <v>83</v>
      </c>
      <c r="K143" s="3">
        <f t="shared" si="2"/>
        <v>77.13333333333334</v>
      </c>
      <c r="L143" t="s">
        <v>27</v>
      </c>
      <c r="M143" t="s">
        <v>27</v>
      </c>
      <c r="N143">
        <v>21</v>
      </c>
      <c r="O143" t="s">
        <v>48</v>
      </c>
      <c r="P143" t="s">
        <v>56</v>
      </c>
      <c r="Q143" t="s">
        <v>30</v>
      </c>
      <c r="R143">
        <v>588</v>
      </c>
      <c r="S143">
        <v>73.5</v>
      </c>
      <c r="T143" t="s">
        <v>31</v>
      </c>
      <c r="U143" t="s">
        <v>32</v>
      </c>
      <c r="V143" t="s">
        <v>31</v>
      </c>
      <c r="W143" t="s">
        <v>31</v>
      </c>
      <c r="X143" t="s">
        <v>96</v>
      </c>
      <c r="Y143" t="s">
        <v>58</v>
      </c>
      <c r="Z143" t="s">
        <v>44</v>
      </c>
      <c r="AA143" t="s">
        <v>102</v>
      </c>
      <c r="AB143" t="s">
        <v>46</v>
      </c>
      <c r="AC143">
        <f>IF(Cdacdata[[#This Row],[placement_status]]="Placed",1,0)</f>
        <v>1</v>
      </c>
      <c r="AD143" t="s">
        <v>37</v>
      </c>
      <c r="AE143" t="s">
        <v>98</v>
      </c>
      <c r="AF143" t="s">
        <v>57</v>
      </c>
      <c r="AG143">
        <v>2023</v>
      </c>
      <c r="AH143" t="s">
        <v>40</v>
      </c>
      <c r="AI143" t="str">
        <f>IF(Cdacdata[ccat_rank]&lt;=100,"Top 100",
IF(Cdacdata[ccat_rank]&lt;=500,"101–500",
IF(Cdacdata[ccat_rank]&lt;=1000,"501–1000",
"1000+")))</f>
        <v>1000+</v>
      </c>
    </row>
    <row r="144" spans="1:35" x14ac:dyDescent="0.3">
      <c r="A144" s="1" t="s">
        <v>25</v>
      </c>
      <c r="B144">
        <v>230701131</v>
      </c>
      <c r="C144" s="2">
        <v>45165</v>
      </c>
      <c r="D144" s="2" t="s">
        <v>516</v>
      </c>
      <c r="E144">
        <v>3210</v>
      </c>
      <c r="F144" s="2">
        <v>36683</v>
      </c>
      <c r="G144">
        <v>91</v>
      </c>
      <c r="H144">
        <v>71.08</v>
      </c>
      <c r="I144" t="s">
        <v>26</v>
      </c>
      <c r="J144">
        <v>81.900000000000006</v>
      </c>
      <c r="K144" s="3">
        <f t="shared" si="2"/>
        <v>81.326666666666668</v>
      </c>
      <c r="L144" t="s">
        <v>27</v>
      </c>
      <c r="M144" t="s">
        <v>27</v>
      </c>
      <c r="N144">
        <v>23</v>
      </c>
      <c r="O144" t="s">
        <v>48</v>
      </c>
      <c r="P144" t="s">
        <v>56</v>
      </c>
      <c r="Q144" t="s">
        <v>30</v>
      </c>
      <c r="R144">
        <v>611</v>
      </c>
      <c r="S144">
        <v>76.375</v>
      </c>
      <c r="T144" t="s">
        <v>49</v>
      </c>
      <c r="U144" t="s">
        <v>32</v>
      </c>
      <c r="V144" t="s">
        <v>49</v>
      </c>
      <c r="W144" t="s">
        <v>49</v>
      </c>
      <c r="X144" t="s">
        <v>96</v>
      </c>
      <c r="Y144" t="s">
        <v>58</v>
      </c>
      <c r="Z144" t="s">
        <v>44</v>
      </c>
      <c r="AA144" t="s">
        <v>102</v>
      </c>
      <c r="AB144" t="s">
        <v>46</v>
      </c>
      <c r="AC144">
        <f>IF(Cdacdata[[#This Row],[placement_status]]="Placed",1,0)</f>
        <v>1</v>
      </c>
      <c r="AD144" t="s">
        <v>37</v>
      </c>
      <c r="AE144" t="s">
        <v>98</v>
      </c>
      <c r="AF144" t="s">
        <v>39</v>
      </c>
      <c r="AG144">
        <v>2023</v>
      </c>
      <c r="AH144" t="s">
        <v>40</v>
      </c>
      <c r="AI144" t="str">
        <f>IF(Cdacdata[ccat_rank]&lt;=100,"Top 100",
IF(Cdacdata[ccat_rank]&lt;=500,"101–500",
IF(Cdacdata[ccat_rank]&lt;=1000,"501–1000",
"1000+")))</f>
        <v>1000+</v>
      </c>
    </row>
    <row r="145" spans="1:35" x14ac:dyDescent="0.3">
      <c r="A145" s="1" t="s">
        <v>25</v>
      </c>
      <c r="B145">
        <v>230610919</v>
      </c>
      <c r="C145" s="2">
        <v>45174</v>
      </c>
      <c r="D145" s="2" t="s">
        <v>517</v>
      </c>
      <c r="E145">
        <v>3008</v>
      </c>
      <c r="F145" s="2">
        <v>34756</v>
      </c>
      <c r="G145">
        <v>86.18</v>
      </c>
      <c r="H145">
        <v>64.33</v>
      </c>
      <c r="I145" t="s">
        <v>26</v>
      </c>
      <c r="J145">
        <v>60.26</v>
      </c>
      <c r="K145" s="3">
        <f t="shared" si="2"/>
        <v>70.256666666666661</v>
      </c>
      <c r="L145" t="s">
        <v>41</v>
      </c>
      <c r="M145" t="s">
        <v>27</v>
      </c>
      <c r="N145">
        <v>28</v>
      </c>
      <c r="O145" t="s">
        <v>28</v>
      </c>
      <c r="P145" t="s">
        <v>60</v>
      </c>
      <c r="Q145" t="s">
        <v>30</v>
      </c>
      <c r="R145">
        <v>388</v>
      </c>
      <c r="S145">
        <v>48.5</v>
      </c>
      <c r="T145" t="s">
        <v>33</v>
      </c>
      <c r="U145" t="s">
        <v>32</v>
      </c>
      <c r="V145" t="s">
        <v>33</v>
      </c>
      <c r="W145" t="s">
        <v>31</v>
      </c>
      <c r="X145" t="s">
        <v>96</v>
      </c>
      <c r="Y145" t="s">
        <v>80</v>
      </c>
      <c r="Z145" t="s">
        <v>36</v>
      </c>
      <c r="AA145" t="s">
        <v>1268</v>
      </c>
      <c r="AB145" t="s">
        <v>36</v>
      </c>
      <c r="AC145">
        <f>IF(Cdacdata[[#This Row],[placement_status]]="Placed",1,0)</f>
        <v>0</v>
      </c>
      <c r="AD145" t="s">
        <v>37</v>
      </c>
      <c r="AE145" t="s">
        <v>98</v>
      </c>
      <c r="AF145" t="s">
        <v>55</v>
      </c>
      <c r="AG145">
        <v>2023</v>
      </c>
      <c r="AH145" t="s">
        <v>40</v>
      </c>
      <c r="AI145" t="str">
        <f>IF(Cdacdata[ccat_rank]&lt;=100,"Top 100",
IF(Cdacdata[ccat_rank]&lt;=500,"101–500",
IF(Cdacdata[ccat_rank]&lt;=1000,"501–1000",
"1000+")))</f>
        <v>1000+</v>
      </c>
    </row>
    <row r="146" spans="1:35" x14ac:dyDescent="0.3">
      <c r="A146" s="1" t="s">
        <v>25</v>
      </c>
      <c r="B146">
        <v>230605032</v>
      </c>
      <c r="C146" s="2">
        <v>45174</v>
      </c>
      <c r="D146" s="2" t="s">
        <v>518</v>
      </c>
      <c r="E146">
        <v>2094</v>
      </c>
      <c r="F146" s="2">
        <v>35823</v>
      </c>
      <c r="G146">
        <v>77.900000000000006</v>
      </c>
      <c r="H146">
        <v>67.400000000000006</v>
      </c>
      <c r="I146" t="s">
        <v>26</v>
      </c>
      <c r="J146">
        <v>70.09</v>
      </c>
      <c r="K146" s="3">
        <f t="shared" si="2"/>
        <v>71.796666666666667</v>
      </c>
      <c r="L146" t="s">
        <v>27</v>
      </c>
      <c r="M146" t="s">
        <v>41</v>
      </c>
      <c r="N146">
        <v>25</v>
      </c>
      <c r="O146" t="s">
        <v>28</v>
      </c>
      <c r="P146" t="s">
        <v>56</v>
      </c>
      <c r="Q146" t="s">
        <v>43</v>
      </c>
      <c r="R146">
        <v>450</v>
      </c>
      <c r="S146">
        <v>56.25</v>
      </c>
      <c r="T146" t="s">
        <v>31</v>
      </c>
      <c r="U146" t="s">
        <v>32</v>
      </c>
      <c r="V146" t="s">
        <v>31</v>
      </c>
      <c r="W146" t="s">
        <v>33</v>
      </c>
      <c r="X146" t="s">
        <v>96</v>
      </c>
      <c r="Y146" t="s">
        <v>35</v>
      </c>
      <c r="Z146" t="s">
        <v>36</v>
      </c>
      <c r="AA146" t="s">
        <v>1268</v>
      </c>
      <c r="AB146" t="s">
        <v>36</v>
      </c>
      <c r="AC146">
        <f>IF(Cdacdata[[#This Row],[placement_status]]="Placed",1,0)</f>
        <v>0</v>
      </c>
      <c r="AD146" t="s">
        <v>37</v>
      </c>
      <c r="AE146" t="s">
        <v>38</v>
      </c>
      <c r="AF146" t="s">
        <v>39</v>
      </c>
      <c r="AG146">
        <v>2023</v>
      </c>
      <c r="AH146" t="s">
        <v>40</v>
      </c>
      <c r="AI146" t="str">
        <f>IF(Cdacdata[ccat_rank]&lt;=100,"Top 100",
IF(Cdacdata[ccat_rank]&lt;=500,"101–500",
IF(Cdacdata[ccat_rank]&lt;=1000,"501–1000",
"1000+")))</f>
        <v>1000+</v>
      </c>
    </row>
    <row r="147" spans="1:35" x14ac:dyDescent="0.3">
      <c r="A147" s="1" t="s">
        <v>25</v>
      </c>
      <c r="B147">
        <v>230610046</v>
      </c>
      <c r="C147" s="2">
        <v>45173</v>
      </c>
      <c r="D147" s="2" t="s">
        <v>519</v>
      </c>
      <c r="E147">
        <v>2542</v>
      </c>
      <c r="F147" s="2">
        <v>36486</v>
      </c>
      <c r="G147">
        <v>83.6</v>
      </c>
      <c r="H147">
        <v>62.2</v>
      </c>
      <c r="I147" t="s">
        <v>26</v>
      </c>
      <c r="J147">
        <v>72.959999999999994</v>
      </c>
      <c r="K147" s="3">
        <f t="shared" si="2"/>
        <v>72.92</v>
      </c>
      <c r="L147" t="s">
        <v>27</v>
      </c>
      <c r="M147" t="s">
        <v>41</v>
      </c>
      <c r="N147">
        <v>23</v>
      </c>
      <c r="O147" t="s">
        <v>28</v>
      </c>
      <c r="P147" t="s">
        <v>29</v>
      </c>
      <c r="Q147" t="s">
        <v>43</v>
      </c>
      <c r="R147">
        <v>559</v>
      </c>
      <c r="S147">
        <v>69.875</v>
      </c>
      <c r="T147" t="s">
        <v>33</v>
      </c>
      <c r="U147" t="s">
        <v>32</v>
      </c>
      <c r="V147" t="s">
        <v>33</v>
      </c>
      <c r="W147" t="s">
        <v>103</v>
      </c>
      <c r="X147" t="s">
        <v>96</v>
      </c>
      <c r="Y147" t="s">
        <v>50</v>
      </c>
      <c r="Z147" t="s">
        <v>44</v>
      </c>
      <c r="AA147" t="s">
        <v>97</v>
      </c>
      <c r="AB147" t="s">
        <v>46</v>
      </c>
      <c r="AC147">
        <f>IF(Cdacdata[[#This Row],[placement_status]]="Placed",1,0)</f>
        <v>1</v>
      </c>
      <c r="AD147" t="s">
        <v>37</v>
      </c>
      <c r="AE147" t="s">
        <v>38</v>
      </c>
      <c r="AF147" t="s">
        <v>39</v>
      </c>
      <c r="AG147">
        <v>2023</v>
      </c>
      <c r="AH147" t="s">
        <v>40</v>
      </c>
      <c r="AI147" t="str">
        <f>IF(Cdacdata[ccat_rank]&lt;=100,"Top 100",
IF(Cdacdata[ccat_rank]&lt;=500,"101–500",
IF(Cdacdata[ccat_rank]&lt;=1000,"501–1000",
"1000+")))</f>
        <v>1000+</v>
      </c>
    </row>
    <row r="148" spans="1:35" x14ac:dyDescent="0.3">
      <c r="A148" s="1" t="s">
        <v>25</v>
      </c>
      <c r="B148">
        <v>230602302</v>
      </c>
      <c r="C148" s="2"/>
      <c r="D148" s="2"/>
      <c r="E148" t="s">
        <v>63</v>
      </c>
      <c r="G148">
        <v>0</v>
      </c>
      <c r="H148">
        <v>0</v>
      </c>
      <c r="I148">
        <v>0</v>
      </c>
      <c r="J148">
        <v>0</v>
      </c>
      <c r="K148" s="3">
        <f t="shared" si="2"/>
        <v>0</v>
      </c>
      <c r="L148" t="s">
        <v>27</v>
      </c>
      <c r="M148" t="s">
        <v>27</v>
      </c>
      <c r="N148">
        <v>23</v>
      </c>
      <c r="O148" t="s">
        <v>373</v>
      </c>
      <c r="P148" t="s">
        <v>26</v>
      </c>
      <c r="Q148" t="s">
        <v>374</v>
      </c>
      <c r="R148">
        <v>371</v>
      </c>
      <c r="S148">
        <v>46.375</v>
      </c>
      <c r="T148" t="s">
        <v>33</v>
      </c>
      <c r="U148" t="s">
        <v>32</v>
      </c>
      <c r="V148" t="s">
        <v>33</v>
      </c>
      <c r="W148" t="s">
        <v>103</v>
      </c>
      <c r="X148" t="s">
        <v>96</v>
      </c>
      <c r="Y148" t="s">
        <v>80</v>
      </c>
      <c r="Z148" t="s">
        <v>36</v>
      </c>
      <c r="AA148" t="s">
        <v>1268</v>
      </c>
      <c r="AB148" t="s">
        <v>36</v>
      </c>
      <c r="AC148">
        <f>IF(Cdacdata[[#This Row],[placement_status]]="Placed",1,0)</f>
        <v>0</v>
      </c>
      <c r="AD148" t="s">
        <v>37</v>
      </c>
      <c r="AE148" t="s">
        <v>63</v>
      </c>
      <c r="AF148" t="s">
        <v>63</v>
      </c>
      <c r="AG148">
        <v>2023</v>
      </c>
      <c r="AH148" t="s">
        <v>40</v>
      </c>
      <c r="AI148" t="str">
        <f>IF(Cdacdata[ccat_rank]&lt;=100,"Top 100",
IF(Cdacdata[ccat_rank]&lt;=500,"101–500",
IF(Cdacdata[ccat_rank]&lt;=1000,"501–1000",
"1000+")))</f>
        <v>1000+</v>
      </c>
    </row>
    <row r="149" spans="1:35" x14ac:dyDescent="0.3">
      <c r="A149" s="1" t="s">
        <v>25</v>
      </c>
      <c r="B149">
        <v>230601376</v>
      </c>
      <c r="C149" s="2">
        <v>45162</v>
      </c>
      <c r="D149" s="2" t="s">
        <v>520</v>
      </c>
      <c r="E149">
        <v>3023</v>
      </c>
      <c r="F149" s="2">
        <v>36960</v>
      </c>
      <c r="G149">
        <v>65</v>
      </c>
      <c r="H149">
        <v>75</v>
      </c>
      <c r="I149" t="s">
        <v>26</v>
      </c>
      <c r="J149">
        <v>70</v>
      </c>
      <c r="K149" s="3">
        <f t="shared" si="2"/>
        <v>70</v>
      </c>
      <c r="L149" t="s">
        <v>27</v>
      </c>
      <c r="M149" t="s">
        <v>41</v>
      </c>
      <c r="N149">
        <v>22</v>
      </c>
      <c r="O149" t="s">
        <v>28</v>
      </c>
      <c r="P149" t="s">
        <v>56</v>
      </c>
      <c r="Q149" t="s">
        <v>43</v>
      </c>
      <c r="R149">
        <v>445</v>
      </c>
      <c r="S149">
        <v>55.625</v>
      </c>
      <c r="T149" t="s">
        <v>33</v>
      </c>
      <c r="U149" t="s">
        <v>32</v>
      </c>
      <c r="V149" t="s">
        <v>33</v>
      </c>
      <c r="W149" t="s">
        <v>33</v>
      </c>
      <c r="X149" t="s">
        <v>96</v>
      </c>
      <c r="Y149" t="s">
        <v>35</v>
      </c>
      <c r="Z149" t="s">
        <v>44</v>
      </c>
      <c r="AA149" t="s">
        <v>106</v>
      </c>
      <c r="AB149" t="s">
        <v>46</v>
      </c>
      <c r="AC149">
        <f>IF(Cdacdata[[#This Row],[placement_status]]="Placed",1,0)</f>
        <v>1</v>
      </c>
      <c r="AD149" t="s">
        <v>37</v>
      </c>
      <c r="AE149" t="s">
        <v>98</v>
      </c>
      <c r="AF149" t="s">
        <v>57</v>
      </c>
      <c r="AG149">
        <v>2023</v>
      </c>
      <c r="AH149" t="s">
        <v>40</v>
      </c>
      <c r="AI149" t="str">
        <f>IF(Cdacdata[ccat_rank]&lt;=100,"Top 100",
IF(Cdacdata[ccat_rank]&lt;=500,"101–500",
IF(Cdacdata[ccat_rank]&lt;=1000,"501–1000",
"1000+")))</f>
        <v>1000+</v>
      </c>
    </row>
    <row r="150" spans="1:35" x14ac:dyDescent="0.3">
      <c r="A150" s="1" t="s">
        <v>25</v>
      </c>
      <c r="B150">
        <v>230609765</v>
      </c>
      <c r="C150" s="2">
        <v>45173</v>
      </c>
      <c r="D150" s="2" t="s">
        <v>521</v>
      </c>
      <c r="E150">
        <v>3143</v>
      </c>
      <c r="F150" s="2">
        <v>37043</v>
      </c>
      <c r="G150">
        <v>89</v>
      </c>
      <c r="H150">
        <v>63.54</v>
      </c>
      <c r="I150" t="s">
        <v>26</v>
      </c>
      <c r="J150">
        <v>81.3</v>
      </c>
      <c r="K150" s="3">
        <f t="shared" si="2"/>
        <v>77.946666666666658</v>
      </c>
      <c r="L150" t="s">
        <v>27</v>
      </c>
      <c r="M150" t="s">
        <v>27</v>
      </c>
      <c r="N150">
        <v>22</v>
      </c>
      <c r="O150" t="s">
        <v>48</v>
      </c>
      <c r="P150" t="s">
        <v>29</v>
      </c>
      <c r="Q150" t="s">
        <v>30</v>
      </c>
      <c r="R150">
        <v>487</v>
      </c>
      <c r="S150">
        <v>60.875</v>
      </c>
      <c r="T150" t="s">
        <v>33</v>
      </c>
      <c r="U150" t="s">
        <v>32</v>
      </c>
      <c r="V150" t="s">
        <v>33</v>
      </c>
      <c r="W150" t="s">
        <v>31</v>
      </c>
      <c r="X150" t="s">
        <v>96</v>
      </c>
      <c r="Y150" t="s">
        <v>50</v>
      </c>
      <c r="Z150" t="s">
        <v>44</v>
      </c>
      <c r="AA150" t="s">
        <v>107</v>
      </c>
      <c r="AB150" t="s">
        <v>46</v>
      </c>
      <c r="AC150">
        <f>IF(Cdacdata[[#This Row],[placement_status]]="Placed",1,0)</f>
        <v>1</v>
      </c>
      <c r="AD150" t="s">
        <v>37</v>
      </c>
      <c r="AE150" t="s">
        <v>98</v>
      </c>
      <c r="AF150" t="s">
        <v>57</v>
      </c>
      <c r="AG150">
        <v>2023</v>
      </c>
      <c r="AH150" t="s">
        <v>40</v>
      </c>
      <c r="AI150" t="str">
        <f>IF(Cdacdata[ccat_rank]&lt;=100,"Top 100",
IF(Cdacdata[ccat_rank]&lt;=500,"101–500",
IF(Cdacdata[ccat_rank]&lt;=1000,"501–1000",
"1000+")))</f>
        <v>1000+</v>
      </c>
    </row>
    <row r="151" spans="1:35" x14ac:dyDescent="0.3">
      <c r="A151" s="1" t="s">
        <v>25</v>
      </c>
      <c r="B151">
        <v>230602460</v>
      </c>
      <c r="C151" s="2">
        <v>45174</v>
      </c>
      <c r="D151" s="2" t="s">
        <v>522</v>
      </c>
      <c r="E151">
        <v>2577</v>
      </c>
      <c r="F151" s="2">
        <v>34839</v>
      </c>
      <c r="G151">
        <v>84.36</v>
      </c>
      <c r="H151">
        <v>53.67</v>
      </c>
      <c r="I151" t="s">
        <v>26</v>
      </c>
      <c r="J151">
        <v>70.06</v>
      </c>
      <c r="K151" s="3">
        <f t="shared" si="2"/>
        <v>69.36333333333333</v>
      </c>
      <c r="L151" t="s">
        <v>27</v>
      </c>
      <c r="M151" t="s">
        <v>41</v>
      </c>
      <c r="N151">
        <v>28</v>
      </c>
      <c r="O151" t="s">
        <v>28</v>
      </c>
      <c r="P151" t="s">
        <v>56</v>
      </c>
      <c r="Q151" t="s">
        <v>30</v>
      </c>
      <c r="R151">
        <v>470</v>
      </c>
      <c r="S151">
        <v>58.75</v>
      </c>
      <c r="T151" t="s">
        <v>49</v>
      </c>
      <c r="U151" t="s">
        <v>32</v>
      </c>
      <c r="V151" t="s">
        <v>49</v>
      </c>
      <c r="W151" t="s">
        <v>49</v>
      </c>
      <c r="X151" t="s">
        <v>96</v>
      </c>
      <c r="Y151" t="s">
        <v>35</v>
      </c>
      <c r="Z151" t="s">
        <v>36</v>
      </c>
      <c r="AA151" t="s">
        <v>1268</v>
      </c>
      <c r="AB151" t="s">
        <v>36</v>
      </c>
      <c r="AC151">
        <f>IF(Cdacdata[[#This Row],[placement_status]]="Placed",1,0)</f>
        <v>0</v>
      </c>
      <c r="AD151" t="s">
        <v>37</v>
      </c>
      <c r="AE151" t="s">
        <v>38</v>
      </c>
      <c r="AF151" t="s">
        <v>55</v>
      </c>
      <c r="AG151">
        <v>2023</v>
      </c>
      <c r="AH151" t="s">
        <v>40</v>
      </c>
      <c r="AI151" t="str">
        <f>IF(Cdacdata[ccat_rank]&lt;=100,"Top 100",
IF(Cdacdata[ccat_rank]&lt;=500,"101–500",
IF(Cdacdata[ccat_rank]&lt;=1000,"501–1000",
"1000+")))</f>
        <v>1000+</v>
      </c>
    </row>
    <row r="152" spans="1:35" x14ac:dyDescent="0.3">
      <c r="A152" s="1" t="s">
        <v>25</v>
      </c>
      <c r="B152">
        <v>230603450</v>
      </c>
      <c r="C152" s="2">
        <v>45174</v>
      </c>
      <c r="D152" s="2" t="s">
        <v>523</v>
      </c>
      <c r="E152">
        <v>2896</v>
      </c>
      <c r="F152" s="2">
        <v>37186</v>
      </c>
      <c r="G152">
        <v>81.400000000000006</v>
      </c>
      <c r="H152">
        <v>54.46</v>
      </c>
      <c r="I152" t="s">
        <v>26</v>
      </c>
      <c r="J152">
        <v>71.42</v>
      </c>
      <c r="K152" s="3">
        <f t="shared" si="2"/>
        <v>69.093333333333348</v>
      </c>
      <c r="L152" t="s">
        <v>41</v>
      </c>
      <c r="M152" t="s">
        <v>27</v>
      </c>
      <c r="N152">
        <v>21</v>
      </c>
      <c r="O152" t="s">
        <v>28</v>
      </c>
      <c r="P152" t="s">
        <v>26</v>
      </c>
      <c r="Q152" t="s">
        <v>67</v>
      </c>
      <c r="R152">
        <v>539</v>
      </c>
      <c r="S152">
        <v>67.375</v>
      </c>
      <c r="T152" t="s">
        <v>31</v>
      </c>
      <c r="U152" t="s">
        <v>32</v>
      </c>
      <c r="V152" t="s">
        <v>31</v>
      </c>
      <c r="W152" t="s">
        <v>49</v>
      </c>
      <c r="X152" t="s">
        <v>96</v>
      </c>
      <c r="Y152" t="s">
        <v>50</v>
      </c>
      <c r="Z152" t="s">
        <v>44</v>
      </c>
      <c r="AA152" t="s">
        <v>51</v>
      </c>
      <c r="AB152" t="s">
        <v>46</v>
      </c>
      <c r="AC152">
        <f>IF(Cdacdata[[#This Row],[placement_status]]="Placed",1,0)</f>
        <v>1</v>
      </c>
      <c r="AD152" t="s">
        <v>37</v>
      </c>
      <c r="AE152" t="s">
        <v>38</v>
      </c>
      <c r="AF152" t="s">
        <v>57</v>
      </c>
      <c r="AG152">
        <v>2023</v>
      </c>
      <c r="AH152" t="s">
        <v>40</v>
      </c>
      <c r="AI152" t="str">
        <f>IF(Cdacdata[ccat_rank]&lt;=100,"Top 100",
IF(Cdacdata[ccat_rank]&lt;=500,"101–500",
IF(Cdacdata[ccat_rank]&lt;=1000,"501–1000",
"1000+")))</f>
        <v>1000+</v>
      </c>
    </row>
    <row r="153" spans="1:35" x14ac:dyDescent="0.3">
      <c r="A153" s="1" t="s">
        <v>25</v>
      </c>
      <c r="B153">
        <v>230604231</v>
      </c>
      <c r="C153" s="2">
        <v>45175</v>
      </c>
      <c r="D153" s="2" t="s">
        <v>524</v>
      </c>
      <c r="E153">
        <v>1855</v>
      </c>
      <c r="F153" s="2">
        <v>36773</v>
      </c>
      <c r="G153">
        <v>95.4</v>
      </c>
      <c r="H153">
        <v>88.15</v>
      </c>
      <c r="I153" t="s">
        <v>26</v>
      </c>
      <c r="J153">
        <v>81.150000000000006</v>
      </c>
      <c r="K153" s="3">
        <f t="shared" si="2"/>
        <v>88.233333333333348</v>
      </c>
      <c r="L153" t="s">
        <v>41</v>
      </c>
      <c r="M153" t="s">
        <v>27</v>
      </c>
      <c r="N153">
        <v>23</v>
      </c>
      <c r="O153" t="s">
        <v>48</v>
      </c>
      <c r="P153" t="s">
        <v>26</v>
      </c>
      <c r="Q153" t="s">
        <v>67</v>
      </c>
      <c r="R153">
        <v>604</v>
      </c>
      <c r="S153">
        <v>75.5</v>
      </c>
      <c r="T153" t="s">
        <v>33</v>
      </c>
      <c r="U153" t="s">
        <v>32</v>
      </c>
      <c r="V153" t="s">
        <v>33</v>
      </c>
      <c r="W153" t="s">
        <v>49</v>
      </c>
      <c r="X153" t="s">
        <v>96</v>
      </c>
      <c r="Y153" t="s">
        <v>58</v>
      </c>
      <c r="Z153" t="s">
        <v>44</v>
      </c>
      <c r="AA153" t="s">
        <v>108</v>
      </c>
      <c r="AB153" t="s">
        <v>46</v>
      </c>
      <c r="AC153">
        <f>IF(Cdacdata[[#This Row],[placement_status]]="Placed",1,0)</f>
        <v>1</v>
      </c>
      <c r="AD153" t="s">
        <v>37</v>
      </c>
      <c r="AE153" t="s">
        <v>47</v>
      </c>
      <c r="AF153" t="s">
        <v>39</v>
      </c>
      <c r="AG153">
        <v>2023</v>
      </c>
      <c r="AH153" t="s">
        <v>40</v>
      </c>
      <c r="AI153" t="str">
        <f>IF(Cdacdata[ccat_rank]&lt;=100,"Top 100",
IF(Cdacdata[ccat_rank]&lt;=500,"101–500",
IF(Cdacdata[ccat_rank]&lt;=1000,"501–1000",
"1000+")))</f>
        <v>1000+</v>
      </c>
    </row>
    <row r="154" spans="1:35" x14ac:dyDescent="0.3">
      <c r="A154" s="1" t="s">
        <v>25</v>
      </c>
      <c r="B154">
        <v>230600418</v>
      </c>
      <c r="C154" s="2">
        <v>45162</v>
      </c>
      <c r="D154" s="2" t="s">
        <v>525</v>
      </c>
      <c r="E154">
        <v>3030</v>
      </c>
      <c r="F154" s="2">
        <v>37114</v>
      </c>
      <c r="G154">
        <v>87.6</v>
      </c>
      <c r="H154">
        <v>81.400000000000006</v>
      </c>
      <c r="I154" t="s">
        <v>26</v>
      </c>
      <c r="J154">
        <v>8037</v>
      </c>
      <c r="K154" s="3">
        <f t="shared" si="2"/>
        <v>2735.3333333333335</v>
      </c>
      <c r="L154" t="s">
        <v>27</v>
      </c>
      <c r="M154" t="s">
        <v>27</v>
      </c>
      <c r="N154">
        <v>22</v>
      </c>
      <c r="O154" t="s">
        <v>48</v>
      </c>
      <c r="P154" t="s">
        <v>56</v>
      </c>
      <c r="Q154" t="s">
        <v>30</v>
      </c>
      <c r="R154">
        <v>576</v>
      </c>
      <c r="S154">
        <v>72</v>
      </c>
      <c r="T154" t="s">
        <v>49</v>
      </c>
      <c r="U154" t="s">
        <v>32</v>
      </c>
      <c r="V154" t="s">
        <v>49</v>
      </c>
      <c r="W154" t="s">
        <v>31</v>
      </c>
      <c r="X154" t="s">
        <v>96</v>
      </c>
      <c r="Y154" t="s">
        <v>58</v>
      </c>
      <c r="Z154" t="s">
        <v>44</v>
      </c>
      <c r="AA154" t="s">
        <v>59</v>
      </c>
      <c r="AB154" t="s">
        <v>46</v>
      </c>
      <c r="AC154">
        <f>IF(Cdacdata[[#This Row],[placement_status]]="Placed",1,0)</f>
        <v>1</v>
      </c>
      <c r="AD154" t="s">
        <v>37</v>
      </c>
      <c r="AE154" t="s">
        <v>98</v>
      </c>
      <c r="AF154" t="s">
        <v>57</v>
      </c>
      <c r="AG154">
        <v>2023</v>
      </c>
      <c r="AH154" t="s">
        <v>40</v>
      </c>
      <c r="AI154" t="str">
        <f>IF(Cdacdata[ccat_rank]&lt;=100,"Top 100",
IF(Cdacdata[ccat_rank]&lt;=500,"101–500",
IF(Cdacdata[ccat_rank]&lt;=1000,"501–1000",
"1000+")))</f>
        <v>1000+</v>
      </c>
    </row>
    <row r="155" spans="1:35" x14ac:dyDescent="0.3">
      <c r="A155" s="1" t="s">
        <v>25</v>
      </c>
      <c r="B155">
        <v>230604165</v>
      </c>
      <c r="C155" s="2">
        <v>45175</v>
      </c>
      <c r="D155" s="2" t="s">
        <v>526</v>
      </c>
      <c r="E155">
        <v>3091</v>
      </c>
      <c r="F155" s="2">
        <v>32391</v>
      </c>
      <c r="G155">
        <v>61.6</v>
      </c>
      <c r="H155">
        <v>52.2</v>
      </c>
      <c r="I155" t="s">
        <v>26</v>
      </c>
      <c r="J155">
        <v>62.62</v>
      </c>
      <c r="K155" s="3">
        <f t="shared" si="2"/>
        <v>58.806666666666672</v>
      </c>
      <c r="L155" t="s">
        <v>27</v>
      </c>
      <c r="M155" t="s">
        <v>27</v>
      </c>
      <c r="N155">
        <v>35</v>
      </c>
      <c r="O155" t="s">
        <v>28</v>
      </c>
      <c r="P155" t="s">
        <v>52</v>
      </c>
      <c r="Q155" t="s">
        <v>43</v>
      </c>
      <c r="R155">
        <v>469</v>
      </c>
      <c r="S155">
        <v>58.625</v>
      </c>
      <c r="T155" t="s">
        <v>31</v>
      </c>
      <c r="U155" t="s">
        <v>32</v>
      </c>
      <c r="V155" t="s">
        <v>31</v>
      </c>
      <c r="W155" t="s">
        <v>33</v>
      </c>
      <c r="X155" t="s">
        <v>96</v>
      </c>
      <c r="Y155" t="s">
        <v>35</v>
      </c>
      <c r="Z155" t="s">
        <v>36</v>
      </c>
      <c r="AA155" t="s">
        <v>1268</v>
      </c>
      <c r="AB155" t="s">
        <v>36</v>
      </c>
      <c r="AC155">
        <f>IF(Cdacdata[[#This Row],[placement_status]]="Placed",1,0)</f>
        <v>0</v>
      </c>
      <c r="AD155" t="s">
        <v>37</v>
      </c>
      <c r="AE155" t="s">
        <v>98</v>
      </c>
      <c r="AF155" t="s">
        <v>69</v>
      </c>
      <c r="AG155">
        <v>2023</v>
      </c>
      <c r="AH155" t="s">
        <v>40</v>
      </c>
      <c r="AI155" t="str">
        <f>IF(Cdacdata[ccat_rank]&lt;=100,"Top 100",
IF(Cdacdata[ccat_rank]&lt;=500,"101–500",
IF(Cdacdata[ccat_rank]&lt;=1000,"501–1000",
"1000+")))</f>
        <v>1000+</v>
      </c>
    </row>
    <row r="156" spans="1:35" x14ac:dyDescent="0.3">
      <c r="A156" s="1" t="s">
        <v>25</v>
      </c>
      <c r="B156">
        <v>230614323</v>
      </c>
      <c r="C156" s="2">
        <v>45175</v>
      </c>
      <c r="D156" s="2" t="s">
        <v>527</v>
      </c>
      <c r="E156">
        <v>2610</v>
      </c>
      <c r="F156" s="2">
        <v>36211</v>
      </c>
      <c r="G156">
        <v>91.2</v>
      </c>
      <c r="H156">
        <v>75</v>
      </c>
      <c r="I156" t="s">
        <v>26</v>
      </c>
      <c r="J156">
        <v>74</v>
      </c>
      <c r="K156" s="3">
        <f t="shared" si="2"/>
        <v>80.066666666666663</v>
      </c>
      <c r="L156" t="s">
        <v>27</v>
      </c>
      <c r="M156" t="s">
        <v>41</v>
      </c>
      <c r="N156">
        <v>24</v>
      </c>
      <c r="O156" t="s">
        <v>28</v>
      </c>
      <c r="P156" t="s">
        <v>29</v>
      </c>
      <c r="Q156" t="s">
        <v>43</v>
      </c>
      <c r="R156">
        <v>542</v>
      </c>
      <c r="S156">
        <v>67.75</v>
      </c>
      <c r="T156" t="s">
        <v>33</v>
      </c>
      <c r="U156" t="s">
        <v>32</v>
      </c>
      <c r="V156" t="s">
        <v>33</v>
      </c>
      <c r="W156" t="s">
        <v>31</v>
      </c>
      <c r="X156" t="s">
        <v>96</v>
      </c>
      <c r="Y156" t="s">
        <v>50</v>
      </c>
      <c r="Z156" t="s">
        <v>36</v>
      </c>
      <c r="AA156" t="s">
        <v>1268</v>
      </c>
      <c r="AB156" t="s">
        <v>36</v>
      </c>
      <c r="AC156">
        <f>IF(Cdacdata[[#This Row],[placement_status]]="Placed",1,0)</f>
        <v>0</v>
      </c>
      <c r="AD156" t="s">
        <v>37</v>
      </c>
      <c r="AE156" t="s">
        <v>38</v>
      </c>
      <c r="AF156" t="s">
        <v>39</v>
      </c>
      <c r="AG156">
        <v>2023</v>
      </c>
      <c r="AH156" t="s">
        <v>40</v>
      </c>
      <c r="AI156" t="str">
        <f>IF(Cdacdata[ccat_rank]&lt;=100,"Top 100",
IF(Cdacdata[ccat_rank]&lt;=500,"101–500",
IF(Cdacdata[ccat_rank]&lt;=1000,"501–1000",
"1000+")))</f>
        <v>1000+</v>
      </c>
    </row>
    <row r="157" spans="1:35" x14ac:dyDescent="0.3">
      <c r="A157" s="1" t="s">
        <v>109</v>
      </c>
      <c r="B157">
        <v>220108473</v>
      </c>
      <c r="C157" s="2">
        <v>44615</v>
      </c>
      <c r="D157" s="2" t="s">
        <v>528</v>
      </c>
      <c r="E157">
        <v>1390</v>
      </c>
      <c r="F157" s="2">
        <v>34768</v>
      </c>
      <c r="G157">
        <v>82.2</v>
      </c>
      <c r="H157">
        <v>64</v>
      </c>
      <c r="I157" t="s">
        <v>26</v>
      </c>
      <c r="J157">
        <v>55.9</v>
      </c>
      <c r="K157" s="3">
        <f t="shared" si="2"/>
        <v>67.36666666666666</v>
      </c>
      <c r="L157" t="s">
        <v>27</v>
      </c>
      <c r="M157" t="s">
        <v>27</v>
      </c>
      <c r="N157">
        <v>26</v>
      </c>
      <c r="O157" t="s">
        <v>72</v>
      </c>
      <c r="P157" t="s">
        <v>26</v>
      </c>
      <c r="Q157" t="s">
        <v>43</v>
      </c>
      <c r="R157">
        <v>487</v>
      </c>
      <c r="S157">
        <v>60.875</v>
      </c>
      <c r="T157" t="s">
        <v>31</v>
      </c>
      <c r="U157" t="s">
        <v>32</v>
      </c>
      <c r="V157" t="s">
        <v>31</v>
      </c>
      <c r="W157" t="s">
        <v>49</v>
      </c>
      <c r="X157" t="s">
        <v>34</v>
      </c>
      <c r="Y157" t="s">
        <v>50</v>
      </c>
      <c r="Z157" t="s">
        <v>36</v>
      </c>
      <c r="AA157" t="s">
        <v>1268</v>
      </c>
      <c r="AB157" t="s">
        <v>36</v>
      </c>
      <c r="AC157">
        <f>IF(Cdacdata[[#This Row],[placement_status]]="Placed",1,0)</f>
        <v>0</v>
      </c>
      <c r="AD157" t="s">
        <v>110</v>
      </c>
      <c r="AE157" t="s">
        <v>47</v>
      </c>
      <c r="AF157" t="s">
        <v>55</v>
      </c>
      <c r="AG157">
        <v>2022</v>
      </c>
      <c r="AH157" t="s">
        <v>111</v>
      </c>
      <c r="AI157" t="str">
        <f>IF(Cdacdata[ccat_rank]&lt;=100,"Top 100",
IF(Cdacdata[ccat_rank]&lt;=500,"101–500",
IF(Cdacdata[ccat_rank]&lt;=1000,"501–1000",
"1000+")))</f>
        <v>1000+</v>
      </c>
    </row>
    <row r="158" spans="1:35" x14ac:dyDescent="0.3">
      <c r="A158" s="1" t="s">
        <v>109</v>
      </c>
      <c r="B158">
        <v>220104071</v>
      </c>
      <c r="C158" s="2"/>
      <c r="D158" s="2"/>
      <c r="E158" t="s">
        <v>63</v>
      </c>
      <c r="G158">
        <v>0</v>
      </c>
      <c r="H158">
        <v>0</v>
      </c>
      <c r="I158">
        <v>0</v>
      </c>
      <c r="J158">
        <v>0</v>
      </c>
      <c r="K158" s="3">
        <f t="shared" si="2"/>
        <v>0</v>
      </c>
      <c r="L158" t="s">
        <v>27</v>
      </c>
      <c r="M158" t="s">
        <v>27</v>
      </c>
      <c r="N158">
        <v>23</v>
      </c>
      <c r="O158" t="s">
        <v>373</v>
      </c>
      <c r="P158" t="s">
        <v>26</v>
      </c>
      <c r="Q158" t="s">
        <v>374</v>
      </c>
      <c r="R158">
        <v>585</v>
      </c>
      <c r="S158">
        <v>73.125</v>
      </c>
      <c r="T158" t="s">
        <v>31</v>
      </c>
      <c r="U158" t="s">
        <v>32</v>
      </c>
      <c r="V158" t="s">
        <v>31</v>
      </c>
      <c r="W158" t="s">
        <v>49</v>
      </c>
      <c r="X158" t="s">
        <v>34</v>
      </c>
      <c r="Y158" t="s">
        <v>58</v>
      </c>
      <c r="Z158" t="s">
        <v>44</v>
      </c>
      <c r="AA158" t="s">
        <v>112</v>
      </c>
      <c r="AB158" t="s">
        <v>46</v>
      </c>
      <c r="AC158">
        <f>IF(Cdacdata[[#This Row],[placement_status]]="Placed",1,0)</f>
        <v>1</v>
      </c>
      <c r="AD158" t="s">
        <v>110</v>
      </c>
      <c r="AE158" t="s">
        <v>63</v>
      </c>
      <c r="AF158" t="s">
        <v>63</v>
      </c>
      <c r="AG158">
        <v>2022</v>
      </c>
      <c r="AH158" t="s">
        <v>111</v>
      </c>
      <c r="AI158" t="str">
        <f>IF(Cdacdata[ccat_rank]&lt;=100,"Top 100",
IF(Cdacdata[ccat_rank]&lt;=500,"101–500",
IF(Cdacdata[ccat_rank]&lt;=1000,"501–1000",
"1000+")))</f>
        <v>1000+</v>
      </c>
    </row>
    <row r="159" spans="1:35" x14ac:dyDescent="0.3">
      <c r="A159" s="1" t="s">
        <v>109</v>
      </c>
      <c r="B159">
        <v>211205578</v>
      </c>
      <c r="C159" s="2"/>
      <c r="D159" s="2"/>
      <c r="E159" t="s">
        <v>63</v>
      </c>
      <c r="G159">
        <v>0</v>
      </c>
      <c r="H159">
        <v>0</v>
      </c>
      <c r="I159">
        <v>0</v>
      </c>
      <c r="J159">
        <v>0</v>
      </c>
      <c r="K159" s="3">
        <f t="shared" si="2"/>
        <v>0</v>
      </c>
      <c r="L159" t="s">
        <v>27</v>
      </c>
      <c r="M159" t="s">
        <v>27</v>
      </c>
      <c r="N159">
        <v>23</v>
      </c>
      <c r="O159" t="s">
        <v>373</v>
      </c>
      <c r="P159" t="s">
        <v>26</v>
      </c>
      <c r="Q159" t="s">
        <v>374</v>
      </c>
      <c r="R159">
        <v>446</v>
      </c>
      <c r="S159">
        <v>55.75</v>
      </c>
      <c r="T159" t="s">
        <v>103</v>
      </c>
      <c r="U159" t="s">
        <v>32</v>
      </c>
      <c r="V159" t="s">
        <v>103</v>
      </c>
      <c r="W159" t="s">
        <v>33</v>
      </c>
      <c r="X159" t="s">
        <v>34</v>
      </c>
      <c r="Y159" t="s">
        <v>35</v>
      </c>
      <c r="Z159" t="s">
        <v>44</v>
      </c>
      <c r="AA159" t="s">
        <v>113</v>
      </c>
      <c r="AB159" t="s">
        <v>46</v>
      </c>
      <c r="AC159">
        <f>IF(Cdacdata[[#This Row],[placement_status]]="Placed",1,0)</f>
        <v>1</v>
      </c>
      <c r="AD159" t="s">
        <v>110</v>
      </c>
      <c r="AE159" t="s">
        <v>63</v>
      </c>
      <c r="AF159" t="s">
        <v>63</v>
      </c>
      <c r="AG159">
        <v>2022</v>
      </c>
      <c r="AH159" t="s">
        <v>111</v>
      </c>
      <c r="AI159" t="str">
        <f>IF(Cdacdata[ccat_rank]&lt;=100,"Top 100",
IF(Cdacdata[ccat_rank]&lt;=500,"101–500",
IF(Cdacdata[ccat_rank]&lt;=1000,"501–1000",
"1000+")))</f>
        <v>1000+</v>
      </c>
    </row>
    <row r="160" spans="1:35" x14ac:dyDescent="0.3">
      <c r="A160" s="1" t="s">
        <v>109</v>
      </c>
      <c r="B160">
        <v>211200656</v>
      </c>
      <c r="C160" s="2">
        <v>44614</v>
      </c>
      <c r="D160" s="2" t="s">
        <v>529</v>
      </c>
      <c r="E160">
        <v>1124</v>
      </c>
      <c r="F160" s="2">
        <v>35691</v>
      </c>
      <c r="G160">
        <v>94.73</v>
      </c>
      <c r="H160">
        <v>88.62</v>
      </c>
      <c r="I160" t="s">
        <v>26</v>
      </c>
      <c r="J160">
        <v>76.45</v>
      </c>
      <c r="K160" s="3">
        <f t="shared" si="2"/>
        <v>86.600000000000009</v>
      </c>
      <c r="L160" t="s">
        <v>27</v>
      </c>
      <c r="M160" t="s">
        <v>27</v>
      </c>
      <c r="N160">
        <v>24</v>
      </c>
      <c r="O160" t="s">
        <v>48</v>
      </c>
      <c r="P160" t="s">
        <v>60</v>
      </c>
      <c r="Q160" t="s">
        <v>30</v>
      </c>
      <c r="R160">
        <v>611</v>
      </c>
      <c r="S160">
        <v>76.375</v>
      </c>
      <c r="T160" t="s">
        <v>33</v>
      </c>
      <c r="U160" t="s">
        <v>32</v>
      </c>
      <c r="V160" t="s">
        <v>33</v>
      </c>
      <c r="W160" t="s">
        <v>33</v>
      </c>
      <c r="X160" t="s">
        <v>34</v>
      </c>
      <c r="Y160" t="s">
        <v>58</v>
      </c>
      <c r="Z160" t="s">
        <v>44</v>
      </c>
      <c r="AA160" t="s">
        <v>114</v>
      </c>
      <c r="AB160" t="s">
        <v>46</v>
      </c>
      <c r="AC160">
        <f>IF(Cdacdata[[#This Row],[placement_status]]="Placed",1,0)</f>
        <v>1</v>
      </c>
      <c r="AD160" t="s">
        <v>110</v>
      </c>
      <c r="AE160" t="s">
        <v>47</v>
      </c>
      <c r="AF160" t="s">
        <v>39</v>
      </c>
      <c r="AG160">
        <v>2022</v>
      </c>
      <c r="AH160" t="s">
        <v>111</v>
      </c>
      <c r="AI160" t="str">
        <f>IF(Cdacdata[ccat_rank]&lt;=100,"Top 100",
IF(Cdacdata[ccat_rank]&lt;=500,"101–500",
IF(Cdacdata[ccat_rank]&lt;=1000,"501–1000",
"1000+")))</f>
        <v>1000+</v>
      </c>
    </row>
    <row r="161" spans="1:35" x14ac:dyDescent="0.3">
      <c r="A161" s="1" t="s">
        <v>109</v>
      </c>
      <c r="B161">
        <v>220103975</v>
      </c>
      <c r="C161" s="2"/>
      <c r="D161" s="2"/>
      <c r="E161" t="s">
        <v>63</v>
      </c>
      <c r="G161">
        <v>0</v>
      </c>
      <c r="H161">
        <v>0</v>
      </c>
      <c r="I161">
        <v>0</v>
      </c>
      <c r="J161">
        <v>0</v>
      </c>
      <c r="K161" s="3">
        <f t="shared" si="2"/>
        <v>0</v>
      </c>
      <c r="L161" t="s">
        <v>27</v>
      </c>
      <c r="M161" t="s">
        <v>27</v>
      </c>
      <c r="N161">
        <v>23</v>
      </c>
      <c r="O161" t="s">
        <v>373</v>
      </c>
      <c r="P161" t="s">
        <v>26</v>
      </c>
      <c r="Q161" t="s">
        <v>374</v>
      </c>
      <c r="R161">
        <v>634</v>
      </c>
      <c r="S161">
        <v>79.25</v>
      </c>
      <c r="T161" t="s">
        <v>33</v>
      </c>
      <c r="U161" t="s">
        <v>32</v>
      </c>
      <c r="V161" t="s">
        <v>33</v>
      </c>
      <c r="W161" t="s">
        <v>49</v>
      </c>
      <c r="X161" t="s">
        <v>34</v>
      </c>
      <c r="Y161" t="s">
        <v>58</v>
      </c>
      <c r="Z161" t="s">
        <v>44</v>
      </c>
      <c r="AA161" t="s">
        <v>115</v>
      </c>
      <c r="AB161" t="s">
        <v>46</v>
      </c>
      <c r="AC161">
        <f>IF(Cdacdata[[#This Row],[placement_status]]="Placed",1,0)</f>
        <v>1</v>
      </c>
      <c r="AD161" t="s">
        <v>110</v>
      </c>
      <c r="AE161" t="s">
        <v>63</v>
      </c>
      <c r="AF161" t="s">
        <v>63</v>
      </c>
      <c r="AG161">
        <v>2022</v>
      </c>
      <c r="AH161" t="s">
        <v>111</v>
      </c>
      <c r="AI161" t="str">
        <f>IF(Cdacdata[ccat_rank]&lt;=100,"Top 100",
IF(Cdacdata[ccat_rank]&lt;=500,"101–500",
IF(Cdacdata[ccat_rank]&lt;=1000,"501–1000",
"1000+")))</f>
        <v>1000+</v>
      </c>
    </row>
    <row r="162" spans="1:35" x14ac:dyDescent="0.3">
      <c r="A162" s="1" t="s">
        <v>109</v>
      </c>
      <c r="B162">
        <v>211200391</v>
      </c>
      <c r="C162" s="2"/>
      <c r="D162" s="2"/>
      <c r="E162" t="s">
        <v>63</v>
      </c>
      <c r="G162">
        <v>0</v>
      </c>
      <c r="H162">
        <v>0</v>
      </c>
      <c r="I162">
        <v>0</v>
      </c>
      <c r="J162">
        <v>0</v>
      </c>
      <c r="K162" s="3">
        <f t="shared" si="2"/>
        <v>0</v>
      </c>
      <c r="L162" t="s">
        <v>27</v>
      </c>
      <c r="M162" t="s">
        <v>27</v>
      </c>
      <c r="N162">
        <v>23</v>
      </c>
      <c r="O162" t="s">
        <v>373</v>
      </c>
      <c r="P162" t="s">
        <v>26</v>
      </c>
      <c r="Q162" t="s">
        <v>374</v>
      </c>
      <c r="R162">
        <v>594</v>
      </c>
      <c r="S162">
        <v>74.25</v>
      </c>
      <c r="T162" t="s">
        <v>49</v>
      </c>
      <c r="U162" t="s">
        <v>32</v>
      </c>
      <c r="V162" t="s">
        <v>49</v>
      </c>
      <c r="W162" t="s">
        <v>49</v>
      </c>
      <c r="X162" t="s">
        <v>34</v>
      </c>
      <c r="Y162" t="s">
        <v>58</v>
      </c>
      <c r="Z162" t="s">
        <v>44</v>
      </c>
      <c r="AA162" t="s">
        <v>93</v>
      </c>
      <c r="AB162" t="s">
        <v>46</v>
      </c>
      <c r="AC162">
        <f>IF(Cdacdata[[#This Row],[placement_status]]="Placed",1,0)</f>
        <v>1</v>
      </c>
      <c r="AD162" t="s">
        <v>110</v>
      </c>
      <c r="AE162" t="s">
        <v>63</v>
      </c>
      <c r="AF162" t="s">
        <v>63</v>
      </c>
      <c r="AG162">
        <v>2022</v>
      </c>
      <c r="AH162" t="s">
        <v>111</v>
      </c>
      <c r="AI162" t="str">
        <f>IF(Cdacdata[ccat_rank]&lt;=100,"Top 100",
IF(Cdacdata[ccat_rank]&lt;=500,"101–500",
IF(Cdacdata[ccat_rank]&lt;=1000,"501–1000",
"1000+")))</f>
        <v>1000+</v>
      </c>
    </row>
    <row r="163" spans="1:35" x14ac:dyDescent="0.3">
      <c r="A163" s="1" t="s">
        <v>109</v>
      </c>
      <c r="B163">
        <v>211202396</v>
      </c>
      <c r="C163" s="2"/>
      <c r="D163" s="2"/>
      <c r="E163" t="s">
        <v>63</v>
      </c>
      <c r="G163">
        <v>0</v>
      </c>
      <c r="H163">
        <v>0</v>
      </c>
      <c r="I163">
        <v>0</v>
      </c>
      <c r="J163">
        <v>0</v>
      </c>
      <c r="K163" s="3">
        <f t="shared" si="2"/>
        <v>0</v>
      </c>
      <c r="L163" t="s">
        <v>27</v>
      </c>
      <c r="M163" t="s">
        <v>27</v>
      </c>
      <c r="N163">
        <v>23</v>
      </c>
      <c r="O163" t="s">
        <v>373</v>
      </c>
      <c r="P163" t="s">
        <v>26</v>
      </c>
      <c r="Q163" t="s">
        <v>374</v>
      </c>
      <c r="R163">
        <v>558</v>
      </c>
      <c r="S163">
        <v>69.75</v>
      </c>
      <c r="T163" t="s">
        <v>31</v>
      </c>
      <c r="U163" t="s">
        <v>32</v>
      </c>
      <c r="V163" t="s">
        <v>31</v>
      </c>
      <c r="W163" t="s">
        <v>31</v>
      </c>
      <c r="X163" t="s">
        <v>34</v>
      </c>
      <c r="Y163" t="s">
        <v>50</v>
      </c>
      <c r="Z163" t="s">
        <v>44</v>
      </c>
      <c r="AA163" t="s">
        <v>116</v>
      </c>
      <c r="AB163" t="s">
        <v>46</v>
      </c>
      <c r="AC163">
        <f>IF(Cdacdata[[#This Row],[placement_status]]="Placed",1,0)</f>
        <v>1</v>
      </c>
      <c r="AD163" t="s">
        <v>110</v>
      </c>
      <c r="AE163" t="s">
        <v>63</v>
      </c>
      <c r="AF163" t="s">
        <v>63</v>
      </c>
      <c r="AG163">
        <v>2022</v>
      </c>
      <c r="AH163" t="s">
        <v>111</v>
      </c>
      <c r="AI163" t="str">
        <f>IF(Cdacdata[ccat_rank]&lt;=100,"Top 100",
IF(Cdacdata[ccat_rank]&lt;=500,"101–500",
IF(Cdacdata[ccat_rank]&lt;=1000,"501–1000",
"1000+")))</f>
        <v>1000+</v>
      </c>
    </row>
    <row r="164" spans="1:35" x14ac:dyDescent="0.3">
      <c r="A164" s="1" t="s">
        <v>109</v>
      </c>
      <c r="B164">
        <v>211200052</v>
      </c>
      <c r="C164" s="2"/>
      <c r="D164" s="2"/>
      <c r="E164" t="s">
        <v>63</v>
      </c>
      <c r="G164">
        <v>0</v>
      </c>
      <c r="H164">
        <v>0</v>
      </c>
      <c r="I164">
        <v>0</v>
      </c>
      <c r="J164">
        <v>0</v>
      </c>
      <c r="K164" s="3">
        <f t="shared" si="2"/>
        <v>0</v>
      </c>
      <c r="L164" t="s">
        <v>27</v>
      </c>
      <c r="M164" t="s">
        <v>27</v>
      </c>
      <c r="N164">
        <v>23</v>
      </c>
      <c r="O164" t="s">
        <v>373</v>
      </c>
      <c r="P164" t="s">
        <v>26</v>
      </c>
      <c r="Q164" t="s">
        <v>374</v>
      </c>
      <c r="R164">
        <v>451</v>
      </c>
      <c r="S164">
        <v>56.375</v>
      </c>
      <c r="T164" t="s">
        <v>103</v>
      </c>
      <c r="U164" t="s">
        <v>32</v>
      </c>
      <c r="V164" t="s">
        <v>103</v>
      </c>
      <c r="W164" t="s">
        <v>31</v>
      </c>
      <c r="X164" t="s">
        <v>34</v>
      </c>
      <c r="Y164" t="s">
        <v>35</v>
      </c>
      <c r="Z164" t="s">
        <v>36</v>
      </c>
      <c r="AA164" t="s">
        <v>1268</v>
      </c>
      <c r="AB164" t="s">
        <v>36</v>
      </c>
      <c r="AC164">
        <f>IF(Cdacdata[[#This Row],[placement_status]]="Placed",1,0)</f>
        <v>0</v>
      </c>
      <c r="AD164" t="s">
        <v>110</v>
      </c>
      <c r="AE164" t="s">
        <v>63</v>
      </c>
      <c r="AF164" t="s">
        <v>63</v>
      </c>
      <c r="AG164">
        <v>2022</v>
      </c>
      <c r="AH164" t="s">
        <v>111</v>
      </c>
      <c r="AI164" t="str">
        <f>IF(Cdacdata[ccat_rank]&lt;=100,"Top 100",
IF(Cdacdata[ccat_rank]&lt;=500,"101–500",
IF(Cdacdata[ccat_rank]&lt;=1000,"501–1000",
"1000+")))</f>
        <v>1000+</v>
      </c>
    </row>
    <row r="165" spans="1:35" x14ac:dyDescent="0.3">
      <c r="A165" s="1" t="s">
        <v>109</v>
      </c>
      <c r="B165">
        <v>211201093</v>
      </c>
      <c r="C165" s="2"/>
      <c r="D165" s="2"/>
      <c r="E165" t="s">
        <v>63</v>
      </c>
      <c r="G165">
        <v>0</v>
      </c>
      <c r="H165">
        <v>0</v>
      </c>
      <c r="I165">
        <v>0</v>
      </c>
      <c r="J165">
        <v>0</v>
      </c>
      <c r="K165" s="3">
        <f t="shared" si="2"/>
        <v>0</v>
      </c>
      <c r="L165" t="s">
        <v>27</v>
      </c>
      <c r="M165" t="s">
        <v>27</v>
      </c>
      <c r="N165">
        <v>23</v>
      </c>
      <c r="O165" t="s">
        <v>373</v>
      </c>
      <c r="P165" t="s">
        <v>26</v>
      </c>
      <c r="Q165" t="s">
        <v>374</v>
      </c>
      <c r="R165">
        <v>606</v>
      </c>
      <c r="S165">
        <v>75.75</v>
      </c>
      <c r="T165" t="s">
        <v>49</v>
      </c>
      <c r="U165" t="s">
        <v>32</v>
      </c>
      <c r="V165" t="s">
        <v>49</v>
      </c>
      <c r="W165" t="s">
        <v>49</v>
      </c>
      <c r="X165" t="s">
        <v>34</v>
      </c>
      <c r="Y165" t="s">
        <v>58</v>
      </c>
      <c r="Z165" t="s">
        <v>44</v>
      </c>
      <c r="AA165" t="s">
        <v>117</v>
      </c>
      <c r="AB165" t="s">
        <v>46</v>
      </c>
      <c r="AC165">
        <f>IF(Cdacdata[[#This Row],[placement_status]]="Placed",1,0)</f>
        <v>1</v>
      </c>
      <c r="AD165" t="s">
        <v>110</v>
      </c>
      <c r="AE165" t="s">
        <v>63</v>
      </c>
      <c r="AF165" t="s">
        <v>63</v>
      </c>
      <c r="AG165">
        <v>2022</v>
      </c>
      <c r="AH165" t="s">
        <v>111</v>
      </c>
      <c r="AI165" t="str">
        <f>IF(Cdacdata[ccat_rank]&lt;=100,"Top 100",
IF(Cdacdata[ccat_rank]&lt;=500,"101–500",
IF(Cdacdata[ccat_rank]&lt;=1000,"501–1000",
"1000+")))</f>
        <v>1000+</v>
      </c>
    </row>
    <row r="166" spans="1:35" x14ac:dyDescent="0.3">
      <c r="A166" s="1" t="s">
        <v>109</v>
      </c>
      <c r="B166">
        <v>211204894</v>
      </c>
      <c r="C166" s="2"/>
      <c r="D166" s="2"/>
      <c r="E166" t="s">
        <v>63</v>
      </c>
      <c r="G166">
        <v>0</v>
      </c>
      <c r="H166">
        <v>0</v>
      </c>
      <c r="I166">
        <v>0</v>
      </c>
      <c r="J166">
        <v>0</v>
      </c>
      <c r="K166" s="3">
        <f t="shared" si="2"/>
        <v>0</v>
      </c>
      <c r="L166" t="s">
        <v>27</v>
      </c>
      <c r="M166" t="s">
        <v>27</v>
      </c>
      <c r="N166">
        <v>23</v>
      </c>
      <c r="O166" t="s">
        <v>373</v>
      </c>
      <c r="P166" t="s">
        <v>26</v>
      </c>
      <c r="Q166" t="s">
        <v>374</v>
      </c>
      <c r="R166">
        <v>529</v>
      </c>
      <c r="S166">
        <v>66.125</v>
      </c>
      <c r="T166" t="s">
        <v>49</v>
      </c>
      <c r="U166" t="s">
        <v>32</v>
      </c>
      <c r="V166" t="s">
        <v>49</v>
      </c>
      <c r="W166" t="s">
        <v>33</v>
      </c>
      <c r="X166" t="s">
        <v>34</v>
      </c>
      <c r="Y166" t="s">
        <v>50</v>
      </c>
      <c r="Z166" t="s">
        <v>44</v>
      </c>
      <c r="AA166" t="s">
        <v>118</v>
      </c>
      <c r="AB166" t="s">
        <v>46</v>
      </c>
      <c r="AC166">
        <f>IF(Cdacdata[[#This Row],[placement_status]]="Placed",1,0)</f>
        <v>1</v>
      </c>
      <c r="AD166" t="s">
        <v>110</v>
      </c>
      <c r="AE166" t="s">
        <v>63</v>
      </c>
      <c r="AF166" t="s">
        <v>63</v>
      </c>
      <c r="AG166">
        <v>2022</v>
      </c>
      <c r="AH166" t="s">
        <v>111</v>
      </c>
      <c r="AI166" t="str">
        <f>IF(Cdacdata[ccat_rank]&lt;=100,"Top 100",
IF(Cdacdata[ccat_rank]&lt;=500,"101–500",
IF(Cdacdata[ccat_rank]&lt;=1000,"501–1000",
"1000+")))</f>
        <v>1000+</v>
      </c>
    </row>
    <row r="167" spans="1:35" x14ac:dyDescent="0.3">
      <c r="A167" s="1" t="s">
        <v>109</v>
      </c>
      <c r="B167">
        <v>220104910</v>
      </c>
      <c r="C167" s="2"/>
      <c r="D167" s="2"/>
      <c r="E167" t="s">
        <v>63</v>
      </c>
      <c r="G167">
        <v>0</v>
      </c>
      <c r="H167">
        <v>0</v>
      </c>
      <c r="I167">
        <v>0</v>
      </c>
      <c r="J167">
        <v>0</v>
      </c>
      <c r="K167" s="3">
        <f t="shared" si="2"/>
        <v>0</v>
      </c>
      <c r="L167" t="s">
        <v>27</v>
      </c>
      <c r="M167" t="s">
        <v>27</v>
      </c>
      <c r="N167">
        <v>23</v>
      </c>
      <c r="O167" t="s">
        <v>373</v>
      </c>
      <c r="P167" t="s">
        <v>26</v>
      </c>
      <c r="Q167" t="s">
        <v>374</v>
      </c>
      <c r="R167">
        <v>625</v>
      </c>
      <c r="S167">
        <v>78.125</v>
      </c>
      <c r="T167" t="s">
        <v>33</v>
      </c>
      <c r="U167" t="s">
        <v>32</v>
      </c>
      <c r="V167" t="s">
        <v>33</v>
      </c>
      <c r="W167" t="s">
        <v>49</v>
      </c>
      <c r="X167" t="s">
        <v>34</v>
      </c>
      <c r="Y167" t="s">
        <v>58</v>
      </c>
      <c r="Z167" t="s">
        <v>44</v>
      </c>
      <c r="AA167" t="s">
        <v>119</v>
      </c>
      <c r="AB167" t="s">
        <v>46</v>
      </c>
      <c r="AC167">
        <f>IF(Cdacdata[[#This Row],[placement_status]]="Placed",1,0)</f>
        <v>1</v>
      </c>
      <c r="AD167" t="s">
        <v>110</v>
      </c>
      <c r="AE167" t="s">
        <v>63</v>
      </c>
      <c r="AF167" t="s">
        <v>63</v>
      </c>
      <c r="AG167">
        <v>2022</v>
      </c>
      <c r="AH167" t="s">
        <v>111</v>
      </c>
      <c r="AI167" t="str">
        <f>IF(Cdacdata[ccat_rank]&lt;=100,"Top 100",
IF(Cdacdata[ccat_rank]&lt;=500,"101–500",
IF(Cdacdata[ccat_rank]&lt;=1000,"501–1000",
"1000+")))</f>
        <v>1000+</v>
      </c>
    </row>
    <row r="168" spans="1:35" x14ac:dyDescent="0.3">
      <c r="A168" s="1" t="s">
        <v>109</v>
      </c>
      <c r="B168">
        <v>211200922</v>
      </c>
      <c r="C168" s="2">
        <v>44614</v>
      </c>
      <c r="D168" s="2" t="s">
        <v>530</v>
      </c>
      <c r="E168">
        <v>938</v>
      </c>
      <c r="F168" s="2">
        <v>36530</v>
      </c>
      <c r="G168">
        <v>85.2</v>
      </c>
      <c r="H168">
        <v>59.23</v>
      </c>
      <c r="I168" t="s">
        <v>26</v>
      </c>
      <c r="J168">
        <v>0</v>
      </c>
      <c r="K168" s="3">
        <f t="shared" si="2"/>
        <v>48.143333333333338</v>
      </c>
      <c r="L168" t="s">
        <v>27</v>
      </c>
      <c r="M168" t="s">
        <v>27</v>
      </c>
      <c r="N168">
        <v>22</v>
      </c>
      <c r="O168" t="s">
        <v>62</v>
      </c>
      <c r="P168" t="s">
        <v>26</v>
      </c>
      <c r="Q168" t="s">
        <v>43</v>
      </c>
      <c r="R168">
        <v>455</v>
      </c>
      <c r="S168">
        <v>56.875</v>
      </c>
      <c r="T168" t="s">
        <v>31</v>
      </c>
      <c r="U168" t="s">
        <v>32</v>
      </c>
      <c r="V168" t="s">
        <v>31</v>
      </c>
      <c r="W168" t="s">
        <v>33</v>
      </c>
      <c r="X168" t="s">
        <v>34</v>
      </c>
      <c r="Y168" t="s">
        <v>35</v>
      </c>
      <c r="Z168" t="s">
        <v>36</v>
      </c>
      <c r="AA168" t="s">
        <v>1268</v>
      </c>
      <c r="AB168" t="s">
        <v>36</v>
      </c>
      <c r="AC168">
        <f>IF(Cdacdata[[#This Row],[placement_status]]="Placed",1,0)</f>
        <v>0</v>
      </c>
      <c r="AD168" t="s">
        <v>110</v>
      </c>
      <c r="AE168" t="s">
        <v>75</v>
      </c>
      <c r="AF168" t="s">
        <v>57</v>
      </c>
      <c r="AG168">
        <v>2022</v>
      </c>
      <c r="AH168" t="s">
        <v>111</v>
      </c>
      <c r="AI168" t="str">
        <f>IF(Cdacdata[ccat_rank]&lt;=100,"Top 100",
IF(Cdacdata[ccat_rank]&lt;=500,"101–500",
IF(Cdacdata[ccat_rank]&lt;=1000,"501–1000",
"1000+")))</f>
        <v>501–1000</v>
      </c>
    </row>
    <row r="169" spans="1:35" x14ac:dyDescent="0.3">
      <c r="A169" s="1" t="s">
        <v>109</v>
      </c>
      <c r="B169">
        <v>211200874</v>
      </c>
      <c r="C169" s="2"/>
      <c r="D169" s="2"/>
      <c r="E169" t="s">
        <v>63</v>
      </c>
      <c r="G169">
        <v>0</v>
      </c>
      <c r="H169">
        <v>0</v>
      </c>
      <c r="I169">
        <v>0</v>
      </c>
      <c r="J169">
        <v>0</v>
      </c>
      <c r="K169" s="3">
        <f t="shared" si="2"/>
        <v>0</v>
      </c>
      <c r="L169" t="s">
        <v>27</v>
      </c>
      <c r="M169" t="s">
        <v>27</v>
      </c>
      <c r="N169">
        <v>23</v>
      </c>
      <c r="O169" t="s">
        <v>373</v>
      </c>
      <c r="P169" t="s">
        <v>26</v>
      </c>
      <c r="Q169" t="s">
        <v>374</v>
      </c>
      <c r="R169">
        <v>547</v>
      </c>
      <c r="S169">
        <v>68.375</v>
      </c>
      <c r="T169" t="s">
        <v>33</v>
      </c>
      <c r="U169" t="s">
        <v>32</v>
      </c>
      <c r="V169" t="s">
        <v>33</v>
      </c>
      <c r="W169" t="s">
        <v>49</v>
      </c>
      <c r="X169" t="s">
        <v>34</v>
      </c>
      <c r="Y169" t="s">
        <v>50</v>
      </c>
      <c r="Z169" t="s">
        <v>44</v>
      </c>
      <c r="AA169" t="s">
        <v>74</v>
      </c>
      <c r="AB169" t="s">
        <v>46</v>
      </c>
      <c r="AC169">
        <f>IF(Cdacdata[[#This Row],[placement_status]]="Placed",1,0)</f>
        <v>1</v>
      </c>
      <c r="AD169" t="s">
        <v>110</v>
      </c>
      <c r="AE169" t="s">
        <v>63</v>
      </c>
      <c r="AF169" t="s">
        <v>63</v>
      </c>
      <c r="AG169">
        <v>2022</v>
      </c>
      <c r="AH169" t="s">
        <v>111</v>
      </c>
      <c r="AI169" t="str">
        <f>IF(Cdacdata[ccat_rank]&lt;=100,"Top 100",
IF(Cdacdata[ccat_rank]&lt;=500,"101–500",
IF(Cdacdata[ccat_rank]&lt;=1000,"501–1000",
"1000+")))</f>
        <v>1000+</v>
      </c>
    </row>
    <row r="170" spans="1:35" x14ac:dyDescent="0.3">
      <c r="A170" s="1" t="s">
        <v>109</v>
      </c>
      <c r="B170">
        <v>211200586</v>
      </c>
      <c r="C170" s="2"/>
      <c r="D170" s="2"/>
      <c r="E170" t="s">
        <v>63</v>
      </c>
      <c r="G170">
        <v>0</v>
      </c>
      <c r="H170">
        <v>0</v>
      </c>
      <c r="I170">
        <v>0</v>
      </c>
      <c r="J170">
        <v>0</v>
      </c>
      <c r="K170" s="3">
        <f t="shared" si="2"/>
        <v>0</v>
      </c>
      <c r="L170" t="s">
        <v>27</v>
      </c>
      <c r="M170" t="s">
        <v>27</v>
      </c>
      <c r="N170">
        <v>23</v>
      </c>
      <c r="O170" t="s">
        <v>373</v>
      </c>
      <c r="P170" t="s">
        <v>26</v>
      </c>
      <c r="Q170" t="s">
        <v>374</v>
      </c>
      <c r="R170">
        <v>497</v>
      </c>
      <c r="S170">
        <v>62.125</v>
      </c>
      <c r="T170" t="s">
        <v>49</v>
      </c>
      <c r="U170" t="s">
        <v>32</v>
      </c>
      <c r="V170" t="s">
        <v>49</v>
      </c>
      <c r="W170" t="s">
        <v>33</v>
      </c>
      <c r="X170" t="s">
        <v>34</v>
      </c>
      <c r="Y170" t="s">
        <v>50</v>
      </c>
      <c r="Z170" t="s">
        <v>44</v>
      </c>
      <c r="AA170" t="s">
        <v>119</v>
      </c>
      <c r="AB170" t="s">
        <v>46</v>
      </c>
      <c r="AC170">
        <f>IF(Cdacdata[[#This Row],[placement_status]]="Placed",1,0)</f>
        <v>1</v>
      </c>
      <c r="AD170" t="s">
        <v>110</v>
      </c>
      <c r="AE170" t="s">
        <v>63</v>
      </c>
      <c r="AF170" t="s">
        <v>63</v>
      </c>
      <c r="AG170">
        <v>2022</v>
      </c>
      <c r="AH170" t="s">
        <v>111</v>
      </c>
      <c r="AI170" t="str">
        <f>IF(Cdacdata[ccat_rank]&lt;=100,"Top 100",
IF(Cdacdata[ccat_rank]&lt;=500,"101–500",
IF(Cdacdata[ccat_rank]&lt;=1000,"501–1000",
"1000+")))</f>
        <v>1000+</v>
      </c>
    </row>
    <row r="171" spans="1:35" x14ac:dyDescent="0.3">
      <c r="A171" s="1" t="s">
        <v>109</v>
      </c>
      <c r="B171">
        <v>211202536</v>
      </c>
      <c r="C171" s="2"/>
      <c r="D171" s="2"/>
      <c r="E171" t="s">
        <v>63</v>
      </c>
      <c r="G171">
        <v>0</v>
      </c>
      <c r="H171">
        <v>0</v>
      </c>
      <c r="I171">
        <v>0</v>
      </c>
      <c r="J171">
        <v>0</v>
      </c>
      <c r="K171" s="3">
        <f t="shared" si="2"/>
        <v>0</v>
      </c>
      <c r="L171" t="s">
        <v>27</v>
      </c>
      <c r="M171" t="s">
        <v>27</v>
      </c>
      <c r="N171">
        <v>23</v>
      </c>
      <c r="O171" t="s">
        <v>373</v>
      </c>
      <c r="P171" t="s">
        <v>26</v>
      </c>
      <c r="Q171" t="s">
        <v>374</v>
      </c>
      <c r="R171">
        <v>464</v>
      </c>
      <c r="S171">
        <v>58</v>
      </c>
      <c r="T171" t="s">
        <v>33</v>
      </c>
      <c r="U171" t="s">
        <v>32</v>
      </c>
      <c r="V171" t="s">
        <v>33</v>
      </c>
      <c r="W171" t="s">
        <v>49</v>
      </c>
      <c r="X171" t="s">
        <v>34</v>
      </c>
      <c r="Y171" t="s">
        <v>35</v>
      </c>
      <c r="Z171" t="s">
        <v>44</v>
      </c>
      <c r="AA171" t="s">
        <v>120</v>
      </c>
      <c r="AB171" t="s">
        <v>46</v>
      </c>
      <c r="AC171">
        <f>IF(Cdacdata[[#This Row],[placement_status]]="Placed",1,0)</f>
        <v>1</v>
      </c>
      <c r="AD171" t="s">
        <v>110</v>
      </c>
      <c r="AE171" t="s">
        <v>63</v>
      </c>
      <c r="AF171" t="s">
        <v>63</v>
      </c>
      <c r="AG171">
        <v>2022</v>
      </c>
      <c r="AH171" t="s">
        <v>111</v>
      </c>
      <c r="AI171" t="str">
        <f>IF(Cdacdata[ccat_rank]&lt;=100,"Top 100",
IF(Cdacdata[ccat_rank]&lt;=500,"101–500",
IF(Cdacdata[ccat_rank]&lt;=1000,"501–1000",
"1000+")))</f>
        <v>1000+</v>
      </c>
    </row>
    <row r="172" spans="1:35" x14ac:dyDescent="0.3">
      <c r="A172" s="1" t="s">
        <v>109</v>
      </c>
      <c r="B172">
        <v>220100893</v>
      </c>
      <c r="C172" s="2">
        <v>44614</v>
      </c>
      <c r="D172" s="2" t="s">
        <v>531</v>
      </c>
      <c r="E172">
        <v>582</v>
      </c>
      <c r="F172" s="2">
        <v>35816</v>
      </c>
      <c r="G172">
        <v>84</v>
      </c>
      <c r="H172" t="s">
        <v>26</v>
      </c>
      <c r="I172">
        <v>88.4</v>
      </c>
      <c r="J172">
        <v>77</v>
      </c>
      <c r="K172" s="3">
        <f t="shared" si="2"/>
        <v>83.13333333333334</v>
      </c>
      <c r="L172" t="s">
        <v>27</v>
      </c>
      <c r="M172" t="s">
        <v>27</v>
      </c>
      <c r="N172">
        <v>24</v>
      </c>
      <c r="O172" t="s">
        <v>48</v>
      </c>
      <c r="P172" t="s">
        <v>65</v>
      </c>
      <c r="Q172" t="s">
        <v>30</v>
      </c>
      <c r="R172">
        <v>522</v>
      </c>
      <c r="S172">
        <v>65.25</v>
      </c>
      <c r="T172" t="s">
        <v>49</v>
      </c>
      <c r="U172" t="s">
        <v>32</v>
      </c>
      <c r="V172" t="s">
        <v>49</v>
      </c>
      <c r="W172" t="s">
        <v>33</v>
      </c>
      <c r="X172" t="s">
        <v>34</v>
      </c>
      <c r="Y172" t="s">
        <v>50</v>
      </c>
      <c r="Z172" t="s">
        <v>44</v>
      </c>
      <c r="AA172" t="s">
        <v>119</v>
      </c>
      <c r="AB172" t="s">
        <v>46</v>
      </c>
      <c r="AC172">
        <f>IF(Cdacdata[[#This Row],[placement_status]]="Placed",1,0)</f>
        <v>1</v>
      </c>
      <c r="AD172" t="s">
        <v>110</v>
      </c>
      <c r="AE172" t="s">
        <v>75</v>
      </c>
      <c r="AF172" t="s">
        <v>39</v>
      </c>
      <c r="AG172">
        <v>2022</v>
      </c>
      <c r="AH172" t="s">
        <v>111</v>
      </c>
      <c r="AI172" t="str">
        <f>IF(Cdacdata[ccat_rank]&lt;=100,"Top 100",
IF(Cdacdata[ccat_rank]&lt;=500,"101–500",
IF(Cdacdata[ccat_rank]&lt;=1000,"501–1000",
"1000+")))</f>
        <v>501–1000</v>
      </c>
    </row>
    <row r="173" spans="1:35" x14ac:dyDescent="0.3">
      <c r="A173" s="1" t="s">
        <v>109</v>
      </c>
      <c r="B173">
        <v>211207231</v>
      </c>
      <c r="C173" s="2">
        <v>44614</v>
      </c>
      <c r="D173" s="2" t="s">
        <v>532</v>
      </c>
      <c r="E173">
        <v>1041</v>
      </c>
      <c r="F173" s="2">
        <v>32929</v>
      </c>
      <c r="G173">
        <v>84.8</v>
      </c>
      <c r="H173">
        <v>83.33</v>
      </c>
      <c r="I173" t="s">
        <v>26</v>
      </c>
      <c r="J173">
        <v>57.3</v>
      </c>
      <c r="K173" s="3">
        <f t="shared" si="2"/>
        <v>75.143333333333331</v>
      </c>
      <c r="L173" t="s">
        <v>41</v>
      </c>
      <c r="M173" t="s">
        <v>27</v>
      </c>
      <c r="N173">
        <v>31</v>
      </c>
      <c r="O173" t="s">
        <v>72</v>
      </c>
      <c r="P173" t="s">
        <v>26</v>
      </c>
      <c r="Q173" t="s">
        <v>43</v>
      </c>
      <c r="R173">
        <v>448</v>
      </c>
      <c r="S173">
        <v>56</v>
      </c>
      <c r="T173" t="s">
        <v>49</v>
      </c>
      <c r="U173" t="s">
        <v>32</v>
      </c>
      <c r="V173" t="s">
        <v>49</v>
      </c>
      <c r="W173" t="s">
        <v>31</v>
      </c>
      <c r="X173" t="s">
        <v>34</v>
      </c>
      <c r="Y173" t="s">
        <v>35</v>
      </c>
      <c r="Z173" t="s">
        <v>53</v>
      </c>
      <c r="AA173" t="s">
        <v>54</v>
      </c>
      <c r="AB173" t="s">
        <v>46</v>
      </c>
      <c r="AC173">
        <f>IF(Cdacdata[[#This Row],[placement_status]]="Placed",1,0)</f>
        <v>1</v>
      </c>
      <c r="AD173" t="s">
        <v>110</v>
      </c>
      <c r="AE173" t="s">
        <v>47</v>
      </c>
      <c r="AF173" t="s">
        <v>69</v>
      </c>
      <c r="AG173">
        <v>2022</v>
      </c>
      <c r="AH173" t="s">
        <v>111</v>
      </c>
      <c r="AI173" t="str">
        <f>IF(Cdacdata[ccat_rank]&lt;=100,"Top 100",
IF(Cdacdata[ccat_rank]&lt;=500,"101–500",
IF(Cdacdata[ccat_rank]&lt;=1000,"501–1000",
"1000+")))</f>
        <v>1000+</v>
      </c>
    </row>
    <row r="174" spans="1:35" x14ac:dyDescent="0.3">
      <c r="A174" s="1" t="s">
        <v>109</v>
      </c>
      <c r="B174">
        <v>211200939</v>
      </c>
      <c r="C174" s="2"/>
      <c r="D174" s="2"/>
      <c r="E174" t="s">
        <v>63</v>
      </c>
      <c r="G174">
        <v>0</v>
      </c>
      <c r="H174">
        <v>0</v>
      </c>
      <c r="I174">
        <v>0</v>
      </c>
      <c r="J174">
        <v>0</v>
      </c>
      <c r="K174" s="3">
        <f t="shared" si="2"/>
        <v>0</v>
      </c>
      <c r="L174" t="s">
        <v>27</v>
      </c>
      <c r="M174" t="s">
        <v>27</v>
      </c>
      <c r="N174">
        <v>23</v>
      </c>
      <c r="O174" t="s">
        <v>373</v>
      </c>
      <c r="P174" t="s">
        <v>26</v>
      </c>
      <c r="Q174" t="s">
        <v>374</v>
      </c>
      <c r="R174">
        <v>512</v>
      </c>
      <c r="S174">
        <v>64</v>
      </c>
      <c r="T174" t="s">
        <v>31</v>
      </c>
      <c r="U174" t="s">
        <v>32</v>
      </c>
      <c r="V174" t="s">
        <v>31</v>
      </c>
      <c r="W174" t="s">
        <v>49</v>
      </c>
      <c r="X174" t="s">
        <v>34</v>
      </c>
      <c r="Y174" t="s">
        <v>50</v>
      </c>
      <c r="Z174" t="s">
        <v>53</v>
      </c>
      <c r="AA174" t="s">
        <v>54</v>
      </c>
      <c r="AB174" t="s">
        <v>46</v>
      </c>
      <c r="AC174">
        <f>IF(Cdacdata[[#This Row],[placement_status]]="Placed",1,0)</f>
        <v>1</v>
      </c>
      <c r="AD174" t="s">
        <v>110</v>
      </c>
      <c r="AE174" t="s">
        <v>63</v>
      </c>
      <c r="AF174" t="s">
        <v>63</v>
      </c>
      <c r="AG174">
        <v>2022</v>
      </c>
      <c r="AH174" t="s">
        <v>111</v>
      </c>
      <c r="AI174" t="str">
        <f>IF(Cdacdata[ccat_rank]&lt;=100,"Top 100",
IF(Cdacdata[ccat_rank]&lt;=500,"101–500",
IF(Cdacdata[ccat_rank]&lt;=1000,"501–1000",
"1000+")))</f>
        <v>1000+</v>
      </c>
    </row>
    <row r="175" spans="1:35" x14ac:dyDescent="0.3">
      <c r="A175" s="1" t="s">
        <v>109</v>
      </c>
      <c r="B175">
        <v>211202100</v>
      </c>
      <c r="C175" s="2"/>
      <c r="D175" s="2"/>
      <c r="E175" t="s">
        <v>63</v>
      </c>
      <c r="G175">
        <v>0</v>
      </c>
      <c r="H175">
        <v>0</v>
      </c>
      <c r="I175">
        <v>0</v>
      </c>
      <c r="J175">
        <v>0</v>
      </c>
      <c r="K175" s="3">
        <f t="shared" si="2"/>
        <v>0</v>
      </c>
      <c r="L175" t="s">
        <v>27</v>
      </c>
      <c r="M175" t="s">
        <v>27</v>
      </c>
      <c r="N175">
        <v>23</v>
      </c>
      <c r="O175" t="s">
        <v>373</v>
      </c>
      <c r="P175" t="s">
        <v>26</v>
      </c>
      <c r="Q175" t="s">
        <v>374</v>
      </c>
      <c r="R175">
        <v>588</v>
      </c>
      <c r="S175">
        <v>73.5</v>
      </c>
      <c r="T175" t="s">
        <v>31</v>
      </c>
      <c r="U175" t="s">
        <v>32</v>
      </c>
      <c r="V175" t="s">
        <v>31</v>
      </c>
      <c r="W175" t="s">
        <v>49</v>
      </c>
      <c r="X175" t="s">
        <v>34</v>
      </c>
      <c r="Y175" t="s">
        <v>58</v>
      </c>
      <c r="Z175" t="s">
        <v>44</v>
      </c>
      <c r="AA175" t="s">
        <v>74</v>
      </c>
      <c r="AB175" t="s">
        <v>46</v>
      </c>
      <c r="AC175">
        <f>IF(Cdacdata[[#This Row],[placement_status]]="Placed",1,0)</f>
        <v>1</v>
      </c>
      <c r="AD175" t="s">
        <v>110</v>
      </c>
      <c r="AE175" t="s">
        <v>63</v>
      </c>
      <c r="AF175" t="s">
        <v>63</v>
      </c>
      <c r="AG175">
        <v>2022</v>
      </c>
      <c r="AH175" t="s">
        <v>111</v>
      </c>
      <c r="AI175" t="str">
        <f>IF(Cdacdata[ccat_rank]&lt;=100,"Top 100",
IF(Cdacdata[ccat_rank]&lt;=500,"101–500",
IF(Cdacdata[ccat_rank]&lt;=1000,"501–1000",
"1000+")))</f>
        <v>1000+</v>
      </c>
    </row>
    <row r="176" spans="1:35" x14ac:dyDescent="0.3">
      <c r="A176" s="1" t="s">
        <v>109</v>
      </c>
      <c r="B176">
        <v>211200277</v>
      </c>
      <c r="C176" s="2">
        <v>44614</v>
      </c>
      <c r="D176" s="2" t="s">
        <v>533</v>
      </c>
      <c r="E176">
        <v>1363</v>
      </c>
      <c r="F176" s="2">
        <v>35368</v>
      </c>
      <c r="G176">
        <v>86</v>
      </c>
      <c r="H176">
        <v>68.31</v>
      </c>
      <c r="I176" t="s">
        <v>26</v>
      </c>
      <c r="J176">
        <v>7.16</v>
      </c>
      <c r="K176" s="3">
        <f t="shared" si="2"/>
        <v>53.823333333333331</v>
      </c>
      <c r="L176" t="s">
        <v>27</v>
      </c>
      <c r="M176" t="s">
        <v>27</v>
      </c>
      <c r="N176">
        <v>25</v>
      </c>
      <c r="O176" t="s">
        <v>62</v>
      </c>
      <c r="P176" t="s">
        <v>60</v>
      </c>
      <c r="Q176" t="s">
        <v>30</v>
      </c>
      <c r="R176">
        <v>589</v>
      </c>
      <c r="S176">
        <v>73.625</v>
      </c>
      <c r="T176" t="s">
        <v>31</v>
      </c>
      <c r="U176" t="s">
        <v>32</v>
      </c>
      <c r="V176" t="s">
        <v>31</v>
      </c>
      <c r="W176" t="s">
        <v>33</v>
      </c>
      <c r="X176" t="s">
        <v>34</v>
      </c>
      <c r="Y176" t="s">
        <v>58</v>
      </c>
      <c r="Z176" t="s">
        <v>44</v>
      </c>
      <c r="AA176" t="s">
        <v>93</v>
      </c>
      <c r="AB176" t="s">
        <v>46</v>
      </c>
      <c r="AC176">
        <f>IF(Cdacdata[[#This Row],[placement_status]]="Placed",1,0)</f>
        <v>1</v>
      </c>
      <c r="AD176" t="s">
        <v>110</v>
      </c>
      <c r="AE176" t="s">
        <v>47</v>
      </c>
      <c r="AF176" t="s">
        <v>39</v>
      </c>
      <c r="AG176">
        <v>2022</v>
      </c>
      <c r="AH176" t="s">
        <v>111</v>
      </c>
      <c r="AI176" t="str">
        <f>IF(Cdacdata[ccat_rank]&lt;=100,"Top 100",
IF(Cdacdata[ccat_rank]&lt;=500,"101–500",
IF(Cdacdata[ccat_rank]&lt;=1000,"501–1000",
"1000+")))</f>
        <v>1000+</v>
      </c>
    </row>
    <row r="177" spans="1:35" x14ac:dyDescent="0.3">
      <c r="A177" s="1" t="s">
        <v>109</v>
      </c>
      <c r="B177">
        <v>211200846</v>
      </c>
      <c r="C177" s="2"/>
      <c r="D177" s="2"/>
      <c r="E177" t="s">
        <v>63</v>
      </c>
      <c r="G177">
        <v>0</v>
      </c>
      <c r="H177">
        <v>0</v>
      </c>
      <c r="I177">
        <v>0</v>
      </c>
      <c r="J177">
        <v>0</v>
      </c>
      <c r="K177" s="3">
        <f t="shared" si="2"/>
        <v>0</v>
      </c>
      <c r="L177" t="s">
        <v>27</v>
      </c>
      <c r="M177" t="s">
        <v>27</v>
      </c>
      <c r="N177">
        <v>23</v>
      </c>
      <c r="O177" t="s">
        <v>373</v>
      </c>
      <c r="P177" t="s">
        <v>26</v>
      </c>
      <c r="Q177" t="s">
        <v>374</v>
      </c>
      <c r="R177">
        <v>562</v>
      </c>
      <c r="S177">
        <v>70.25</v>
      </c>
      <c r="T177" t="s">
        <v>49</v>
      </c>
      <c r="U177" t="s">
        <v>32</v>
      </c>
      <c r="V177" t="s">
        <v>49</v>
      </c>
      <c r="W177" t="s">
        <v>49</v>
      </c>
      <c r="X177" t="s">
        <v>34</v>
      </c>
      <c r="Y177" t="s">
        <v>58</v>
      </c>
      <c r="Z177" t="s">
        <v>44</v>
      </c>
      <c r="AA177" t="s">
        <v>121</v>
      </c>
      <c r="AB177" t="s">
        <v>46</v>
      </c>
      <c r="AC177">
        <f>IF(Cdacdata[[#This Row],[placement_status]]="Placed",1,0)</f>
        <v>1</v>
      </c>
      <c r="AD177" t="s">
        <v>110</v>
      </c>
      <c r="AE177" t="s">
        <v>63</v>
      </c>
      <c r="AF177" t="s">
        <v>63</v>
      </c>
      <c r="AG177">
        <v>2022</v>
      </c>
      <c r="AH177" t="s">
        <v>111</v>
      </c>
      <c r="AI177" t="str">
        <f>IF(Cdacdata[ccat_rank]&lt;=100,"Top 100",
IF(Cdacdata[ccat_rank]&lt;=500,"101–500",
IF(Cdacdata[ccat_rank]&lt;=1000,"501–1000",
"1000+")))</f>
        <v>1000+</v>
      </c>
    </row>
    <row r="178" spans="1:35" x14ac:dyDescent="0.3">
      <c r="A178" s="1" t="s">
        <v>109</v>
      </c>
      <c r="B178">
        <v>211207102</v>
      </c>
      <c r="C178" s="2">
        <v>44614</v>
      </c>
      <c r="D178" s="2" t="s">
        <v>534</v>
      </c>
      <c r="E178">
        <v>1301</v>
      </c>
      <c r="F178" s="2">
        <v>35168</v>
      </c>
      <c r="G178">
        <v>93.45</v>
      </c>
      <c r="H178">
        <v>64.5</v>
      </c>
      <c r="I178" t="s">
        <v>26</v>
      </c>
      <c r="J178">
        <v>59</v>
      </c>
      <c r="K178" s="3">
        <f t="shared" si="2"/>
        <v>72.316666666666663</v>
      </c>
      <c r="L178" t="s">
        <v>27</v>
      </c>
      <c r="M178" t="s">
        <v>27</v>
      </c>
      <c r="N178">
        <v>25</v>
      </c>
      <c r="O178" t="s">
        <v>72</v>
      </c>
      <c r="P178" t="s">
        <v>26</v>
      </c>
      <c r="Q178" t="s">
        <v>30</v>
      </c>
      <c r="R178">
        <v>458</v>
      </c>
      <c r="S178">
        <v>57.25</v>
      </c>
      <c r="T178" t="s">
        <v>49</v>
      </c>
      <c r="U178" t="s">
        <v>32</v>
      </c>
      <c r="V178" t="s">
        <v>49</v>
      </c>
      <c r="W178" t="s">
        <v>103</v>
      </c>
      <c r="X178" t="s">
        <v>34</v>
      </c>
      <c r="Y178" t="s">
        <v>35</v>
      </c>
      <c r="Z178" t="s">
        <v>53</v>
      </c>
      <c r="AA178" t="s">
        <v>54</v>
      </c>
      <c r="AB178" t="s">
        <v>46</v>
      </c>
      <c r="AC178">
        <f>IF(Cdacdata[[#This Row],[placement_status]]="Placed",1,0)</f>
        <v>1</v>
      </c>
      <c r="AD178" t="s">
        <v>110</v>
      </c>
      <c r="AE178" t="s">
        <v>47</v>
      </c>
      <c r="AF178" t="s">
        <v>39</v>
      </c>
      <c r="AG178">
        <v>2022</v>
      </c>
      <c r="AH178" t="s">
        <v>111</v>
      </c>
      <c r="AI178" t="str">
        <f>IF(Cdacdata[ccat_rank]&lt;=100,"Top 100",
IF(Cdacdata[ccat_rank]&lt;=500,"101–500",
IF(Cdacdata[ccat_rank]&lt;=1000,"501–1000",
"1000+")))</f>
        <v>1000+</v>
      </c>
    </row>
    <row r="179" spans="1:35" x14ac:dyDescent="0.3">
      <c r="A179" s="1" t="s">
        <v>109</v>
      </c>
      <c r="B179">
        <v>211205097</v>
      </c>
      <c r="C179" s="2">
        <v>44614</v>
      </c>
      <c r="D179" s="2" t="s">
        <v>535</v>
      </c>
      <c r="E179">
        <v>1029</v>
      </c>
      <c r="F179" s="2">
        <v>36343</v>
      </c>
      <c r="G179">
        <v>81.400000000000006</v>
      </c>
      <c r="H179">
        <v>68.92</v>
      </c>
      <c r="I179" t="s">
        <v>26</v>
      </c>
      <c r="J179">
        <v>7.39</v>
      </c>
      <c r="K179" s="3">
        <f t="shared" si="2"/>
        <v>52.569999999999993</v>
      </c>
      <c r="L179" t="s">
        <v>27</v>
      </c>
      <c r="M179" t="s">
        <v>27</v>
      </c>
      <c r="N179">
        <v>22</v>
      </c>
      <c r="O179" t="s">
        <v>62</v>
      </c>
      <c r="P179" t="s">
        <v>52</v>
      </c>
      <c r="Q179" t="s">
        <v>30</v>
      </c>
      <c r="R179">
        <v>550</v>
      </c>
      <c r="S179">
        <v>68.75</v>
      </c>
      <c r="T179" t="s">
        <v>33</v>
      </c>
      <c r="U179" t="s">
        <v>32</v>
      </c>
      <c r="V179" t="s">
        <v>33</v>
      </c>
      <c r="W179" t="s">
        <v>33</v>
      </c>
      <c r="X179" t="s">
        <v>34</v>
      </c>
      <c r="Y179" t="s">
        <v>50</v>
      </c>
      <c r="Z179" t="s">
        <v>44</v>
      </c>
      <c r="AA179" t="s">
        <v>112</v>
      </c>
      <c r="AB179" t="s">
        <v>46</v>
      </c>
      <c r="AC179">
        <f>IF(Cdacdata[[#This Row],[placement_status]]="Placed",1,0)</f>
        <v>1</v>
      </c>
      <c r="AD179" t="s">
        <v>110</v>
      </c>
      <c r="AE179" t="s">
        <v>47</v>
      </c>
      <c r="AF179" t="s">
        <v>57</v>
      </c>
      <c r="AG179">
        <v>2022</v>
      </c>
      <c r="AH179" t="s">
        <v>111</v>
      </c>
      <c r="AI179" t="str">
        <f>IF(Cdacdata[ccat_rank]&lt;=100,"Top 100",
IF(Cdacdata[ccat_rank]&lt;=500,"101–500",
IF(Cdacdata[ccat_rank]&lt;=1000,"501–1000",
"1000+")))</f>
        <v>1000+</v>
      </c>
    </row>
    <row r="180" spans="1:35" x14ac:dyDescent="0.3">
      <c r="A180" s="1" t="s">
        <v>109</v>
      </c>
      <c r="B180">
        <v>211201785</v>
      </c>
      <c r="C180" s="2">
        <v>44614</v>
      </c>
      <c r="D180" s="2" t="s">
        <v>536</v>
      </c>
      <c r="E180">
        <v>1341</v>
      </c>
      <c r="F180" s="2">
        <v>35669</v>
      </c>
      <c r="G180">
        <v>94</v>
      </c>
      <c r="H180" t="s">
        <v>26</v>
      </c>
      <c r="I180" t="s">
        <v>26</v>
      </c>
      <c r="J180">
        <v>61.5</v>
      </c>
      <c r="K180" s="3">
        <f t="shared" si="2"/>
        <v>77.75</v>
      </c>
      <c r="L180" t="s">
        <v>27</v>
      </c>
      <c r="M180" t="s">
        <v>27</v>
      </c>
      <c r="N180">
        <v>24</v>
      </c>
      <c r="O180" t="s">
        <v>28</v>
      </c>
      <c r="P180" t="s">
        <v>65</v>
      </c>
      <c r="Q180" t="s">
        <v>26</v>
      </c>
      <c r="R180">
        <v>482</v>
      </c>
      <c r="S180">
        <v>60.25</v>
      </c>
      <c r="T180" t="s">
        <v>31</v>
      </c>
      <c r="U180" t="s">
        <v>32</v>
      </c>
      <c r="V180" t="s">
        <v>31</v>
      </c>
      <c r="W180" t="s">
        <v>49</v>
      </c>
      <c r="X180" t="s">
        <v>34</v>
      </c>
      <c r="Y180" t="s">
        <v>50</v>
      </c>
      <c r="Z180" t="s">
        <v>44</v>
      </c>
      <c r="AA180" t="s">
        <v>119</v>
      </c>
      <c r="AB180" t="s">
        <v>46</v>
      </c>
      <c r="AC180">
        <f>IF(Cdacdata[[#This Row],[placement_status]]="Placed",1,0)</f>
        <v>1</v>
      </c>
      <c r="AD180" t="s">
        <v>110</v>
      </c>
      <c r="AE180" t="s">
        <v>47</v>
      </c>
      <c r="AF180" t="s">
        <v>39</v>
      </c>
      <c r="AG180">
        <v>2022</v>
      </c>
      <c r="AH180" t="s">
        <v>111</v>
      </c>
      <c r="AI180" t="str">
        <f>IF(Cdacdata[ccat_rank]&lt;=100,"Top 100",
IF(Cdacdata[ccat_rank]&lt;=500,"101–500",
IF(Cdacdata[ccat_rank]&lt;=1000,"501–1000",
"1000+")))</f>
        <v>1000+</v>
      </c>
    </row>
    <row r="181" spans="1:35" x14ac:dyDescent="0.3">
      <c r="A181" s="1" t="s">
        <v>109</v>
      </c>
      <c r="B181">
        <v>220102738</v>
      </c>
      <c r="C181" s="2"/>
      <c r="D181" s="2"/>
      <c r="E181" t="s">
        <v>63</v>
      </c>
      <c r="G181">
        <v>0</v>
      </c>
      <c r="H181">
        <v>0</v>
      </c>
      <c r="I181">
        <v>0</v>
      </c>
      <c r="J181">
        <v>0</v>
      </c>
      <c r="K181" s="3">
        <f t="shared" si="2"/>
        <v>0</v>
      </c>
      <c r="L181" t="s">
        <v>27</v>
      </c>
      <c r="M181" t="s">
        <v>27</v>
      </c>
      <c r="N181">
        <v>23</v>
      </c>
      <c r="O181" t="s">
        <v>373</v>
      </c>
      <c r="P181" t="s">
        <v>26</v>
      </c>
      <c r="Q181" t="s">
        <v>374</v>
      </c>
      <c r="R181">
        <v>571</v>
      </c>
      <c r="S181">
        <v>71.375</v>
      </c>
      <c r="T181" t="s">
        <v>31</v>
      </c>
      <c r="U181" t="s">
        <v>32</v>
      </c>
      <c r="V181" t="s">
        <v>31</v>
      </c>
      <c r="W181" t="s">
        <v>49</v>
      </c>
      <c r="X181" t="s">
        <v>34</v>
      </c>
      <c r="Y181" t="s">
        <v>58</v>
      </c>
      <c r="Z181" t="s">
        <v>44</v>
      </c>
      <c r="AA181" t="s">
        <v>122</v>
      </c>
      <c r="AB181" t="s">
        <v>46</v>
      </c>
      <c r="AC181">
        <f>IF(Cdacdata[[#This Row],[placement_status]]="Placed",1,0)</f>
        <v>1</v>
      </c>
      <c r="AD181" t="s">
        <v>110</v>
      </c>
      <c r="AE181" t="s">
        <v>63</v>
      </c>
      <c r="AF181" t="s">
        <v>63</v>
      </c>
      <c r="AG181">
        <v>2022</v>
      </c>
      <c r="AH181" t="s">
        <v>111</v>
      </c>
      <c r="AI181" t="str">
        <f>IF(Cdacdata[ccat_rank]&lt;=100,"Top 100",
IF(Cdacdata[ccat_rank]&lt;=500,"101–500",
IF(Cdacdata[ccat_rank]&lt;=1000,"501–1000",
"1000+")))</f>
        <v>1000+</v>
      </c>
    </row>
    <row r="182" spans="1:35" x14ac:dyDescent="0.3">
      <c r="A182" s="1" t="s">
        <v>109</v>
      </c>
      <c r="B182">
        <v>211206460</v>
      </c>
      <c r="C182" s="2"/>
      <c r="D182" s="2"/>
      <c r="E182" t="s">
        <v>63</v>
      </c>
      <c r="G182">
        <v>0</v>
      </c>
      <c r="H182">
        <v>0</v>
      </c>
      <c r="I182">
        <v>0</v>
      </c>
      <c r="J182">
        <v>0</v>
      </c>
      <c r="K182" s="3">
        <f t="shared" si="2"/>
        <v>0</v>
      </c>
      <c r="L182" t="s">
        <v>27</v>
      </c>
      <c r="M182" t="s">
        <v>27</v>
      </c>
      <c r="N182">
        <v>23</v>
      </c>
      <c r="O182" t="s">
        <v>373</v>
      </c>
      <c r="P182" t="s">
        <v>26</v>
      </c>
      <c r="Q182" t="s">
        <v>374</v>
      </c>
      <c r="R182">
        <v>432</v>
      </c>
      <c r="S182">
        <v>54</v>
      </c>
      <c r="T182" t="s">
        <v>103</v>
      </c>
      <c r="U182" t="s">
        <v>32</v>
      </c>
      <c r="V182" t="s">
        <v>103</v>
      </c>
      <c r="W182" t="s">
        <v>31</v>
      </c>
      <c r="X182" t="s">
        <v>34</v>
      </c>
      <c r="Y182" t="s">
        <v>35</v>
      </c>
      <c r="Z182" t="s">
        <v>44</v>
      </c>
      <c r="AA182" t="s">
        <v>74</v>
      </c>
      <c r="AB182" t="s">
        <v>46</v>
      </c>
      <c r="AC182">
        <f>IF(Cdacdata[[#This Row],[placement_status]]="Placed",1,0)</f>
        <v>1</v>
      </c>
      <c r="AD182" t="s">
        <v>110</v>
      </c>
      <c r="AE182" t="s">
        <v>63</v>
      </c>
      <c r="AF182" t="s">
        <v>63</v>
      </c>
      <c r="AG182">
        <v>2022</v>
      </c>
      <c r="AH182" t="s">
        <v>111</v>
      </c>
      <c r="AI182" t="str">
        <f>IF(Cdacdata[ccat_rank]&lt;=100,"Top 100",
IF(Cdacdata[ccat_rank]&lt;=500,"101–500",
IF(Cdacdata[ccat_rank]&lt;=1000,"501–1000",
"1000+")))</f>
        <v>1000+</v>
      </c>
    </row>
    <row r="183" spans="1:35" x14ac:dyDescent="0.3">
      <c r="A183" s="1" t="s">
        <v>109</v>
      </c>
      <c r="B183">
        <v>211205916</v>
      </c>
      <c r="C183" s="2">
        <v>44614</v>
      </c>
      <c r="D183" s="2" t="s">
        <v>537</v>
      </c>
      <c r="E183">
        <v>1163</v>
      </c>
      <c r="F183" s="2">
        <v>35536</v>
      </c>
      <c r="G183">
        <v>81.2</v>
      </c>
      <c r="H183">
        <v>75.569999999999993</v>
      </c>
      <c r="I183" t="s">
        <v>26</v>
      </c>
      <c r="J183">
        <v>78</v>
      </c>
      <c r="K183" s="3">
        <f t="shared" si="2"/>
        <v>78.256666666666661</v>
      </c>
      <c r="L183" t="s">
        <v>27</v>
      </c>
      <c r="M183" t="s">
        <v>27</v>
      </c>
      <c r="N183">
        <v>24</v>
      </c>
      <c r="O183" t="s">
        <v>48</v>
      </c>
      <c r="P183" t="s">
        <v>26</v>
      </c>
      <c r="Q183" t="s">
        <v>30</v>
      </c>
      <c r="R183">
        <v>663</v>
      </c>
      <c r="S183">
        <v>82.875</v>
      </c>
      <c r="T183" t="s">
        <v>31</v>
      </c>
      <c r="U183" t="s">
        <v>32</v>
      </c>
      <c r="V183" t="s">
        <v>31</v>
      </c>
      <c r="W183" t="s">
        <v>49</v>
      </c>
      <c r="X183" t="s">
        <v>34</v>
      </c>
      <c r="Y183" t="s">
        <v>58</v>
      </c>
      <c r="Z183" t="s">
        <v>44</v>
      </c>
      <c r="AA183" t="s">
        <v>123</v>
      </c>
      <c r="AB183" t="s">
        <v>46</v>
      </c>
      <c r="AC183">
        <f>IF(Cdacdata[[#This Row],[placement_status]]="Placed",1,0)</f>
        <v>1</v>
      </c>
      <c r="AD183" t="s">
        <v>110</v>
      </c>
      <c r="AE183" t="s">
        <v>47</v>
      </c>
      <c r="AF183" t="s">
        <v>39</v>
      </c>
      <c r="AG183">
        <v>2022</v>
      </c>
      <c r="AH183" t="s">
        <v>111</v>
      </c>
      <c r="AI183" t="str">
        <f>IF(Cdacdata[ccat_rank]&lt;=100,"Top 100",
IF(Cdacdata[ccat_rank]&lt;=500,"101–500",
IF(Cdacdata[ccat_rank]&lt;=1000,"501–1000",
"1000+")))</f>
        <v>1000+</v>
      </c>
    </row>
    <row r="184" spans="1:35" x14ac:dyDescent="0.3">
      <c r="A184" s="1" t="s">
        <v>109</v>
      </c>
      <c r="B184">
        <v>211207303</v>
      </c>
      <c r="C184" s="2">
        <v>44615</v>
      </c>
      <c r="D184" s="2" t="s">
        <v>538</v>
      </c>
      <c r="E184">
        <v>169</v>
      </c>
      <c r="F184" s="2">
        <v>35949</v>
      </c>
      <c r="G184">
        <v>85.09</v>
      </c>
      <c r="H184" t="s">
        <v>26</v>
      </c>
      <c r="I184">
        <v>84.48</v>
      </c>
      <c r="J184">
        <v>56.65</v>
      </c>
      <c r="K184" s="3">
        <f t="shared" si="2"/>
        <v>75.406666666666666</v>
      </c>
      <c r="L184" t="s">
        <v>27</v>
      </c>
      <c r="M184" t="s">
        <v>27</v>
      </c>
      <c r="N184">
        <v>23</v>
      </c>
      <c r="O184" t="s">
        <v>72</v>
      </c>
      <c r="P184" t="s">
        <v>52</v>
      </c>
      <c r="Q184" t="s">
        <v>30</v>
      </c>
      <c r="R184">
        <v>574</v>
      </c>
      <c r="S184">
        <v>71.75</v>
      </c>
      <c r="T184" t="s">
        <v>49</v>
      </c>
      <c r="U184" t="s">
        <v>32</v>
      </c>
      <c r="V184" t="s">
        <v>49</v>
      </c>
      <c r="W184" t="s">
        <v>49</v>
      </c>
      <c r="X184" t="s">
        <v>34</v>
      </c>
      <c r="Y184" t="s">
        <v>58</v>
      </c>
      <c r="Z184" t="s">
        <v>44</v>
      </c>
      <c r="AA184" t="s">
        <v>124</v>
      </c>
      <c r="AB184" t="s">
        <v>46</v>
      </c>
      <c r="AC184">
        <f>IF(Cdacdata[[#This Row],[placement_status]]="Placed",1,0)</f>
        <v>1</v>
      </c>
      <c r="AD184" t="s">
        <v>110</v>
      </c>
      <c r="AE184" t="s">
        <v>75</v>
      </c>
      <c r="AF184" t="s">
        <v>39</v>
      </c>
      <c r="AG184">
        <v>2022</v>
      </c>
      <c r="AH184" t="s">
        <v>111</v>
      </c>
      <c r="AI184" t="str">
        <f>IF(Cdacdata[ccat_rank]&lt;=100,"Top 100",
IF(Cdacdata[ccat_rank]&lt;=500,"101–500",
IF(Cdacdata[ccat_rank]&lt;=1000,"501–1000",
"1000+")))</f>
        <v>101–500</v>
      </c>
    </row>
    <row r="185" spans="1:35" x14ac:dyDescent="0.3">
      <c r="A185" s="1" t="s">
        <v>109</v>
      </c>
      <c r="B185">
        <v>211201147</v>
      </c>
      <c r="C185" s="2"/>
      <c r="D185" s="2"/>
      <c r="E185" t="s">
        <v>63</v>
      </c>
      <c r="G185">
        <v>0</v>
      </c>
      <c r="H185">
        <v>0</v>
      </c>
      <c r="I185">
        <v>0</v>
      </c>
      <c r="J185">
        <v>0</v>
      </c>
      <c r="K185" s="3">
        <f t="shared" si="2"/>
        <v>0</v>
      </c>
      <c r="L185" t="s">
        <v>27</v>
      </c>
      <c r="M185" t="s">
        <v>27</v>
      </c>
      <c r="N185">
        <v>23</v>
      </c>
      <c r="O185" t="s">
        <v>373</v>
      </c>
      <c r="P185" t="s">
        <v>26</v>
      </c>
      <c r="Q185" t="s">
        <v>374</v>
      </c>
      <c r="R185">
        <v>556</v>
      </c>
      <c r="S185">
        <v>69.5</v>
      </c>
      <c r="T185" t="s">
        <v>33</v>
      </c>
      <c r="U185" t="s">
        <v>32</v>
      </c>
      <c r="V185" t="s">
        <v>33</v>
      </c>
      <c r="W185" t="s">
        <v>49</v>
      </c>
      <c r="X185" t="s">
        <v>34</v>
      </c>
      <c r="Y185" t="s">
        <v>50</v>
      </c>
      <c r="Z185" t="s">
        <v>44</v>
      </c>
      <c r="AA185" t="s">
        <v>125</v>
      </c>
      <c r="AB185" t="s">
        <v>46</v>
      </c>
      <c r="AC185">
        <f>IF(Cdacdata[[#This Row],[placement_status]]="Placed",1,0)</f>
        <v>1</v>
      </c>
      <c r="AD185" t="s">
        <v>110</v>
      </c>
      <c r="AE185" t="s">
        <v>63</v>
      </c>
      <c r="AF185" t="s">
        <v>63</v>
      </c>
      <c r="AG185">
        <v>2022</v>
      </c>
      <c r="AH185" t="s">
        <v>111</v>
      </c>
      <c r="AI185" t="str">
        <f>IF(Cdacdata[ccat_rank]&lt;=100,"Top 100",
IF(Cdacdata[ccat_rank]&lt;=500,"101–500",
IF(Cdacdata[ccat_rank]&lt;=1000,"501–1000",
"1000+")))</f>
        <v>1000+</v>
      </c>
    </row>
    <row r="186" spans="1:35" x14ac:dyDescent="0.3">
      <c r="A186" s="1" t="s">
        <v>109</v>
      </c>
      <c r="B186">
        <v>211203029</v>
      </c>
      <c r="C186" s="2"/>
      <c r="D186" s="2"/>
      <c r="E186" t="s">
        <v>63</v>
      </c>
      <c r="G186">
        <v>0</v>
      </c>
      <c r="H186">
        <v>0</v>
      </c>
      <c r="I186">
        <v>0</v>
      </c>
      <c r="J186">
        <v>0</v>
      </c>
      <c r="K186" s="3">
        <f t="shared" si="2"/>
        <v>0</v>
      </c>
      <c r="L186" t="s">
        <v>27</v>
      </c>
      <c r="M186" t="s">
        <v>27</v>
      </c>
      <c r="N186">
        <v>23</v>
      </c>
      <c r="O186" t="s">
        <v>373</v>
      </c>
      <c r="P186" t="s">
        <v>26</v>
      </c>
      <c r="Q186" t="s">
        <v>374</v>
      </c>
      <c r="R186">
        <v>485</v>
      </c>
      <c r="S186">
        <v>60.625</v>
      </c>
      <c r="T186" t="s">
        <v>31</v>
      </c>
      <c r="U186" t="s">
        <v>32</v>
      </c>
      <c r="V186" t="s">
        <v>31</v>
      </c>
      <c r="W186" t="s">
        <v>31</v>
      </c>
      <c r="X186" t="s">
        <v>34</v>
      </c>
      <c r="Y186" t="s">
        <v>50</v>
      </c>
      <c r="Z186" t="s">
        <v>36</v>
      </c>
      <c r="AA186" t="s">
        <v>1268</v>
      </c>
      <c r="AB186" t="s">
        <v>36</v>
      </c>
      <c r="AC186">
        <f>IF(Cdacdata[[#This Row],[placement_status]]="Placed",1,0)</f>
        <v>0</v>
      </c>
      <c r="AD186" t="s">
        <v>110</v>
      </c>
      <c r="AE186" t="s">
        <v>63</v>
      </c>
      <c r="AF186" t="s">
        <v>63</v>
      </c>
      <c r="AG186">
        <v>2022</v>
      </c>
      <c r="AH186" t="s">
        <v>111</v>
      </c>
      <c r="AI186" t="str">
        <f>IF(Cdacdata[ccat_rank]&lt;=100,"Top 100",
IF(Cdacdata[ccat_rank]&lt;=500,"101–500",
IF(Cdacdata[ccat_rank]&lt;=1000,"501–1000",
"1000+")))</f>
        <v>1000+</v>
      </c>
    </row>
    <row r="187" spans="1:35" x14ac:dyDescent="0.3">
      <c r="A187" s="1" t="s">
        <v>109</v>
      </c>
      <c r="B187">
        <v>211205092</v>
      </c>
      <c r="C187" s="2">
        <v>44614</v>
      </c>
      <c r="D187" s="2" t="s">
        <v>539</v>
      </c>
      <c r="E187">
        <v>1096</v>
      </c>
      <c r="F187" s="2">
        <v>35947</v>
      </c>
      <c r="G187">
        <v>72.599999999999994</v>
      </c>
      <c r="H187">
        <v>73.540000000000006</v>
      </c>
      <c r="I187" t="s">
        <v>26</v>
      </c>
      <c r="J187">
        <v>69.349999999999994</v>
      </c>
      <c r="K187" s="3">
        <f t="shared" si="2"/>
        <v>71.83</v>
      </c>
      <c r="L187" t="s">
        <v>27</v>
      </c>
      <c r="M187" t="s">
        <v>27</v>
      </c>
      <c r="N187">
        <v>23</v>
      </c>
      <c r="O187" t="s">
        <v>28</v>
      </c>
      <c r="P187" t="s">
        <v>56</v>
      </c>
      <c r="Q187" t="s">
        <v>30</v>
      </c>
      <c r="R187">
        <v>461</v>
      </c>
      <c r="S187">
        <v>57.625</v>
      </c>
      <c r="T187" t="s">
        <v>103</v>
      </c>
      <c r="U187" t="s">
        <v>32</v>
      </c>
      <c r="V187" t="s">
        <v>103</v>
      </c>
      <c r="W187" t="s">
        <v>31</v>
      </c>
      <c r="X187" t="s">
        <v>34</v>
      </c>
      <c r="Y187" t="s">
        <v>35</v>
      </c>
      <c r="Z187" t="s">
        <v>44</v>
      </c>
      <c r="AA187" t="s">
        <v>74</v>
      </c>
      <c r="AB187" t="s">
        <v>46</v>
      </c>
      <c r="AC187">
        <f>IF(Cdacdata[[#This Row],[placement_status]]="Placed",1,0)</f>
        <v>1</v>
      </c>
      <c r="AD187" t="s">
        <v>110</v>
      </c>
      <c r="AE187" t="s">
        <v>47</v>
      </c>
      <c r="AF187" t="s">
        <v>39</v>
      </c>
      <c r="AG187">
        <v>2022</v>
      </c>
      <c r="AH187" t="s">
        <v>111</v>
      </c>
      <c r="AI187" t="str">
        <f>IF(Cdacdata[ccat_rank]&lt;=100,"Top 100",
IF(Cdacdata[ccat_rank]&lt;=500,"101–500",
IF(Cdacdata[ccat_rank]&lt;=1000,"501–1000",
"1000+")))</f>
        <v>1000+</v>
      </c>
    </row>
    <row r="188" spans="1:35" x14ac:dyDescent="0.3">
      <c r="A188" s="1" t="s">
        <v>109</v>
      </c>
      <c r="B188">
        <v>211207018</v>
      </c>
      <c r="C188" s="2">
        <v>44615</v>
      </c>
      <c r="D188" s="2" t="s">
        <v>540</v>
      </c>
      <c r="E188">
        <v>1226</v>
      </c>
      <c r="F188" s="2">
        <v>35850</v>
      </c>
      <c r="G188">
        <v>89.2</v>
      </c>
      <c r="H188" t="s">
        <v>26</v>
      </c>
      <c r="I188">
        <v>70.709999999999994</v>
      </c>
      <c r="J188">
        <v>66.59</v>
      </c>
      <c r="K188" s="3">
        <f t="shared" si="2"/>
        <v>75.5</v>
      </c>
      <c r="L188" t="s">
        <v>27</v>
      </c>
      <c r="M188" t="s">
        <v>27</v>
      </c>
      <c r="N188">
        <v>23</v>
      </c>
      <c r="O188" t="s">
        <v>28</v>
      </c>
      <c r="P188" t="s">
        <v>52</v>
      </c>
      <c r="Q188" t="s">
        <v>43</v>
      </c>
      <c r="R188">
        <v>501</v>
      </c>
      <c r="S188">
        <v>62.625</v>
      </c>
      <c r="T188" t="s">
        <v>103</v>
      </c>
      <c r="U188" t="s">
        <v>32</v>
      </c>
      <c r="V188" t="s">
        <v>103</v>
      </c>
      <c r="W188" t="s">
        <v>31</v>
      </c>
      <c r="X188" t="s">
        <v>34</v>
      </c>
      <c r="Y188" t="s">
        <v>50</v>
      </c>
      <c r="Z188" t="s">
        <v>44</v>
      </c>
      <c r="AA188" t="s">
        <v>121</v>
      </c>
      <c r="AB188" t="s">
        <v>46</v>
      </c>
      <c r="AC188">
        <f>IF(Cdacdata[[#This Row],[placement_status]]="Placed",1,0)</f>
        <v>1</v>
      </c>
      <c r="AD188" t="s">
        <v>110</v>
      </c>
      <c r="AE188" t="s">
        <v>47</v>
      </c>
      <c r="AF188" t="s">
        <v>39</v>
      </c>
      <c r="AG188">
        <v>2022</v>
      </c>
      <c r="AH188" t="s">
        <v>111</v>
      </c>
      <c r="AI188" t="str">
        <f>IF(Cdacdata[ccat_rank]&lt;=100,"Top 100",
IF(Cdacdata[ccat_rank]&lt;=500,"101–500",
IF(Cdacdata[ccat_rank]&lt;=1000,"501–1000",
"1000+")))</f>
        <v>1000+</v>
      </c>
    </row>
    <row r="189" spans="1:35" x14ac:dyDescent="0.3">
      <c r="A189" s="1" t="s">
        <v>109</v>
      </c>
      <c r="B189">
        <v>220100388</v>
      </c>
      <c r="C189" s="2"/>
      <c r="D189" s="2"/>
      <c r="E189" t="s">
        <v>63</v>
      </c>
      <c r="G189">
        <v>0</v>
      </c>
      <c r="H189">
        <v>0</v>
      </c>
      <c r="I189">
        <v>0</v>
      </c>
      <c r="J189">
        <v>0</v>
      </c>
      <c r="K189" s="3">
        <f t="shared" si="2"/>
        <v>0</v>
      </c>
      <c r="L189" t="s">
        <v>27</v>
      </c>
      <c r="M189" t="s">
        <v>27</v>
      </c>
      <c r="N189">
        <v>23</v>
      </c>
      <c r="O189" t="s">
        <v>373</v>
      </c>
      <c r="P189" t="s">
        <v>26</v>
      </c>
      <c r="Q189" t="s">
        <v>374</v>
      </c>
      <c r="R189">
        <v>493</v>
      </c>
      <c r="S189">
        <v>61.625</v>
      </c>
      <c r="T189" t="s">
        <v>31</v>
      </c>
      <c r="U189" t="s">
        <v>32</v>
      </c>
      <c r="V189" t="s">
        <v>31</v>
      </c>
      <c r="W189" t="s">
        <v>31</v>
      </c>
      <c r="X189" t="s">
        <v>34</v>
      </c>
      <c r="Y189" t="s">
        <v>50</v>
      </c>
      <c r="Z189" t="s">
        <v>36</v>
      </c>
      <c r="AA189" t="s">
        <v>1268</v>
      </c>
      <c r="AB189" t="s">
        <v>36</v>
      </c>
      <c r="AC189">
        <f>IF(Cdacdata[[#This Row],[placement_status]]="Placed",1,0)</f>
        <v>0</v>
      </c>
      <c r="AD189" t="s">
        <v>110</v>
      </c>
      <c r="AE189" t="s">
        <v>63</v>
      </c>
      <c r="AF189" t="s">
        <v>63</v>
      </c>
      <c r="AG189">
        <v>2022</v>
      </c>
      <c r="AH189" t="s">
        <v>111</v>
      </c>
      <c r="AI189" t="str">
        <f>IF(Cdacdata[ccat_rank]&lt;=100,"Top 100",
IF(Cdacdata[ccat_rank]&lt;=500,"101–500",
IF(Cdacdata[ccat_rank]&lt;=1000,"501–1000",
"1000+")))</f>
        <v>1000+</v>
      </c>
    </row>
    <row r="190" spans="1:35" x14ac:dyDescent="0.3">
      <c r="A190" s="1" t="s">
        <v>109</v>
      </c>
      <c r="B190">
        <v>211205853</v>
      </c>
      <c r="C190" s="2"/>
      <c r="D190" s="2"/>
      <c r="E190" t="s">
        <v>63</v>
      </c>
      <c r="G190">
        <v>0</v>
      </c>
      <c r="H190">
        <v>0</v>
      </c>
      <c r="I190">
        <v>0</v>
      </c>
      <c r="J190">
        <v>0</v>
      </c>
      <c r="K190" s="3">
        <f t="shared" si="2"/>
        <v>0</v>
      </c>
      <c r="L190" t="s">
        <v>27</v>
      </c>
      <c r="M190" t="s">
        <v>27</v>
      </c>
      <c r="N190">
        <v>23</v>
      </c>
      <c r="O190" t="s">
        <v>373</v>
      </c>
      <c r="P190" t="s">
        <v>26</v>
      </c>
      <c r="Q190" t="s">
        <v>374</v>
      </c>
      <c r="R190">
        <v>599</v>
      </c>
      <c r="S190">
        <v>74.875</v>
      </c>
      <c r="T190" t="s">
        <v>49</v>
      </c>
      <c r="U190" t="s">
        <v>32</v>
      </c>
      <c r="V190" t="s">
        <v>49</v>
      </c>
      <c r="W190" t="s">
        <v>49</v>
      </c>
      <c r="X190" t="s">
        <v>34</v>
      </c>
      <c r="Y190" t="s">
        <v>58</v>
      </c>
      <c r="Z190" t="s">
        <v>44</v>
      </c>
      <c r="AA190" t="s">
        <v>126</v>
      </c>
      <c r="AB190" t="s">
        <v>46</v>
      </c>
      <c r="AC190">
        <f>IF(Cdacdata[[#This Row],[placement_status]]="Placed",1,0)</f>
        <v>1</v>
      </c>
      <c r="AD190" t="s">
        <v>110</v>
      </c>
      <c r="AE190" t="s">
        <v>63</v>
      </c>
      <c r="AF190" t="s">
        <v>63</v>
      </c>
      <c r="AG190">
        <v>2022</v>
      </c>
      <c r="AH190" t="s">
        <v>111</v>
      </c>
      <c r="AI190" t="str">
        <f>IF(Cdacdata[ccat_rank]&lt;=100,"Top 100",
IF(Cdacdata[ccat_rank]&lt;=500,"101–500",
IF(Cdacdata[ccat_rank]&lt;=1000,"501–1000",
"1000+")))</f>
        <v>1000+</v>
      </c>
    </row>
    <row r="191" spans="1:35" x14ac:dyDescent="0.3">
      <c r="A191" s="1" t="s">
        <v>109</v>
      </c>
      <c r="B191">
        <v>211203319</v>
      </c>
      <c r="C191" s="2"/>
      <c r="D191" s="2"/>
      <c r="E191" t="s">
        <v>63</v>
      </c>
      <c r="G191">
        <v>0</v>
      </c>
      <c r="H191">
        <v>0</v>
      </c>
      <c r="I191">
        <v>0</v>
      </c>
      <c r="J191">
        <v>0</v>
      </c>
      <c r="K191" s="3">
        <f t="shared" si="2"/>
        <v>0</v>
      </c>
      <c r="L191" t="s">
        <v>27</v>
      </c>
      <c r="M191" t="s">
        <v>27</v>
      </c>
      <c r="N191">
        <v>23</v>
      </c>
      <c r="O191" t="s">
        <v>373</v>
      </c>
      <c r="P191" t="s">
        <v>26</v>
      </c>
      <c r="Q191" t="s">
        <v>374</v>
      </c>
      <c r="R191">
        <v>594</v>
      </c>
      <c r="S191">
        <v>74.25</v>
      </c>
      <c r="T191" t="s">
        <v>49</v>
      </c>
      <c r="U191" t="s">
        <v>32</v>
      </c>
      <c r="V191" t="s">
        <v>49</v>
      </c>
      <c r="W191" t="s">
        <v>33</v>
      </c>
      <c r="X191" t="s">
        <v>34</v>
      </c>
      <c r="Y191" t="s">
        <v>58</v>
      </c>
      <c r="Z191" t="s">
        <v>44</v>
      </c>
      <c r="AA191" t="s">
        <v>74</v>
      </c>
      <c r="AB191" t="s">
        <v>46</v>
      </c>
      <c r="AC191">
        <f>IF(Cdacdata[[#This Row],[placement_status]]="Placed",1,0)</f>
        <v>1</v>
      </c>
      <c r="AD191" t="s">
        <v>110</v>
      </c>
      <c r="AE191" t="s">
        <v>63</v>
      </c>
      <c r="AF191" t="s">
        <v>63</v>
      </c>
      <c r="AG191">
        <v>2022</v>
      </c>
      <c r="AH191" t="s">
        <v>111</v>
      </c>
      <c r="AI191" t="str">
        <f>IF(Cdacdata[ccat_rank]&lt;=100,"Top 100",
IF(Cdacdata[ccat_rank]&lt;=500,"101–500",
IF(Cdacdata[ccat_rank]&lt;=1000,"501–1000",
"1000+")))</f>
        <v>1000+</v>
      </c>
    </row>
    <row r="192" spans="1:35" x14ac:dyDescent="0.3">
      <c r="A192" s="1" t="s">
        <v>109</v>
      </c>
      <c r="B192">
        <v>220101930</v>
      </c>
      <c r="C192" s="2"/>
      <c r="D192" s="2"/>
      <c r="E192" t="s">
        <v>63</v>
      </c>
      <c r="G192">
        <v>0</v>
      </c>
      <c r="H192">
        <v>0</v>
      </c>
      <c r="I192">
        <v>0</v>
      </c>
      <c r="J192">
        <v>0</v>
      </c>
      <c r="K192" s="3">
        <f t="shared" si="2"/>
        <v>0</v>
      </c>
      <c r="L192" t="s">
        <v>27</v>
      </c>
      <c r="M192" t="s">
        <v>27</v>
      </c>
      <c r="N192">
        <v>23</v>
      </c>
      <c r="O192" t="s">
        <v>373</v>
      </c>
      <c r="P192" t="s">
        <v>26</v>
      </c>
      <c r="Q192" t="s">
        <v>374</v>
      </c>
      <c r="R192">
        <v>617</v>
      </c>
      <c r="S192">
        <v>77.125</v>
      </c>
      <c r="T192" t="s">
        <v>33</v>
      </c>
      <c r="U192" t="s">
        <v>32</v>
      </c>
      <c r="V192" t="s">
        <v>33</v>
      </c>
      <c r="W192" t="s">
        <v>49</v>
      </c>
      <c r="X192" t="s">
        <v>34</v>
      </c>
      <c r="Y192" t="s">
        <v>58</v>
      </c>
      <c r="Z192" t="s">
        <v>44</v>
      </c>
      <c r="AA192" t="s">
        <v>127</v>
      </c>
      <c r="AB192" t="s">
        <v>46</v>
      </c>
      <c r="AC192">
        <f>IF(Cdacdata[[#This Row],[placement_status]]="Placed",1,0)</f>
        <v>1</v>
      </c>
      <c r="AD192" t="s">
        <v>110</v>
      </c>
      <c r="AE192" t="s">
        <v>63</v>
      </c>
      <c r="AF192" t="s">
        <v>63</v>
      </c>
      <c r="AG192">
        <v>2022</v>
      </c>
      <c r="AH192" t="s">
        <v>111</v>
      </c>
      <c r="AI192" t="str">
        <f>IF(Cdacdata[ccat_rank]&lt;=100,"Top 100",
IF(Cdacdata[ccat_rank]&lt;=500,"101–500",
IF(Cdacdata[ccat_rank]&lt;=1000,"501–1000",
"1000+")))</f>
        <v>1000+</v>
      </c>
    </row>
    <row r="193" spans="1:35" x14ac:dyDescent="0.3">
      <c r="A193" s="1" t="s">
        <v>109</v>
      </c>
      <c r="B193">
        <v>211208052</v>
      </c>
      <c r="C193" s="2"/>
      <c r="D193" s="2"/>
      <c r="E193" t="s">
        <v>63</v>
      </c>
      <c r="G193">
        <v>0</v>
      </c>
      <c r="H193">
        <v>0</v>
      </c>
      <c r="I193">
        <v>0</v>
      </c>
      <c r="J193">
        <v>0</v>
      </c>
      <c r="K193" s="3">
        <f t="shared" si="2"/>
        <v>0</v>
      </c>
      <c r="L193" t="s">
        <v>27</v>
      </c>
      <c r="M193" t="s">
        <v>27</v>
      </c>
      <c r="N193">
        <v>23</v>
      </c>
      <c r="O193" t="s">
        <v>373</v>
      </c>
      <c r="P193" t="s">
        <v>26</v>
      </c>
      <c r="Q193" t="s">
        <v>374</v>
      </c>
      <c r="R193">
        <v>467</v>
      </c>
      <c r="S193">
        <v>58.375</v>
      </c>
      <c r="T193" t="s">
        <v>49</v>
      </c>
      <c r="U193" t="s">
        <v>64</v>
      </c>
      <c r="V193" t="s">
        <v>49</v>
      </c>
      <c r="W193" t="s">
        <v>31</v>
      </c>
      <c r="X193" t="s">
        <v>34</v>
      </c>
      <c r="Y193" t="s">
        <v>35</v>
      </c>
      <c r="Z193" t="s">
        <v>36</v>
      </c>
      <c r="AA193" t="s">
        <v>1268</v>
      </c>
      <c r="AB193" t="s">
        <v>36</v>
      </c>
      <c r="AC193">
        <f>IF(Cdacdata[[#This Row],[placement_status]]="Placed",1,0)</f>
        <v>0</v>
      </c>
      <c r="AD193" t="s">
        <v>110</v>
      </c>
      <c r="AE193" t="s">
        <v>63</v>
      </c>
      <c r="AF193" t="s">
        <v>63</v>
      </c>
      <c r="AG193">
        <v>2022</v>
      </c>
      <c r="AH193" t="s">
        <v>111</v>
      </c>
      <c r="AI193" t="str">
        <f>IF(Cdacdata[ccat_rank]&lt;=100,"Top 100",
IF(Cdacdata[ccat_rank]&lt;=500,"101–500",
IF(Cdacdata[ccat_rank]&lt;=1000,"501–1000",
"1000+")))</f>
        <v>1000+</v>
      </c>
    </row>
    <row r="194" spans="1:35" x14ac:dyDescent="0.3">
      <c r="A194" s="1" t="s">
        <v>109</v>
      </c>
      <c r="B194">
        <v>211206178</v>
      </c>
      <c r="C194" s="2">
        <v>44615</v>
      </c>
      <c r="D194" s="2" t="s">
        <v>541</v>
      </c>
      <c r="E194">
        <v>1270</v>
      </c>
      <c r="F194" s="2">
        <v>36384</v>
      </c>
      <c r="G194">
        <v>86.4</v>
      </c>
      <c r="H194">
        <v>56.15</v>
      </c>
      <c r="I194" t="s">
        <v>26</v>
      </c>
      <c r="J194">
        <v>6.76</v>
      </c>
      <c r="K194" s="3">
        <f t="shared" ref="K194:K257" si="3">AVERAGE(G194,H194,I194,J194)</f>
        <v>49.77</v>
      </c>
      <c r="L194" t="s">
        <v>27</v>
      </c>
      <c r="M194" t="s">
        <v>27</v>
      </c>
      <c r="N194">
        <v>22</v>
      </c>
      <c r="O194" t="s">
        <v>62</v>
      </c>
      <c r="P194" t="s">
        <v>29</v>
      </c>
      <c r="Q194" t="s">
        <v>26</v>
      </c>
      <c r="R194">
        <v>633</v>
      </c>
      <c r="S194">
        <v>79.125</v>
      </c>
      <c r="T194" t="s">
        <v>33</v>
      </c>
      <c r="U194" t="s">
        <v>32</v>
      </c>
      <c r="V194" t="s">
        <v>33</v>
      </c>
      <c r="W194" t="s">
        <v>33</v>
      </c>
      <c r="X194" t="s">
        <v>34</v>
      </c>
      <c r="Y194" t="s">
        <v>58</v>
      </c>
      <c r="Z194" t="s">
        <v>44</v>
      </c>
      <c r="AA194" t="s">
        <v>93</v>
      </c>
      <c r="AB194" t="s">
        <v>46</v>
      </c>
      <c r="AC194">
        <f>IF(Cdacdata[[#This Row],[placement_status]]="Placed",1,0)</f>
        <v>1</v>
      </c>
      <c r="AD194" t="s">
        <v>110</v>
      </c>
      <c r="AE194" t="s">
        <v>47</v>
      </c>
      <c r="AF194" t="s">
        <v>57</v>
      </c>
      <c r="AG194">
        <v>2022</v>
      </c>
      <c r="AH194" t="s">
        <v>111</v>
      </c>
      <c r="AI194" t="str">
        <f>IF(Cdacdata[ccat_rank]&lt;=100,"Top 100",
IF(Cdacdata[ccat_rank]&lt;=500,"101–500",
IF(Cdacdata[ccat_rank]&lt;=1000,"501–1000",
"1000+")))</f>
        <v>1000+</v>
      </c>
    </row>
    <row r="195" spans="1:35" x14ac:dyDescent="0.3">
      <c r="A195" s="1" t="s">
        <v>109</v>
      </c>
      <c r="B195">
        <v>220107215</v>
      </c>
      <c r="C195" s="2"/>
      <c r="D195" s="2"/>
      <c r="E195" t="s">
        <v>63</v>
      </c>
      <c r="G195">
        <v>0</v>
      </c>
      <c r="H195">
        <v>0</v>
      </c>
      <c r="I195">
        <v>0</v>
      </c>
      <c r="J195">
        <v>0</v>
      </c>
      <c r="K195" s="3">
        <f t="shared" si="3"/>
        <v>0</v>
      </c>
      <c r="L195" t="s">
        <v>27</v>
      </c>
      <c r="M195" t="s">
        <v>27</v>
      </c>
      <c r="N195">
        <v>23</v>
      </c>
      <c r="O195" t="s">
        <v>373</v>
      </c>
      <c r="P195" t="s">
        <v>26</v>
      </c>
      <c r="Q195" t="s">
        <v>374</v>
      </c>
      <c r="R195">
        <v>602</v>
      </c>
      <c r="S195">
        <v>75.25</v>
      </c>
      <c r="T195" t="s">
        <v>49</v>
      </c>
      <c r="U195" t="s">
        <v>32</v>
      </c>
      <c r="V195" t="s">
        <v>49</v>
      </c>
      <c r="W195" t="s">
        <v>49</v>
      </c>
      <c r="X195" t="s">
        <v>34</v>
      </c>
      <c r="Y195" t="s">
        <v>58</v>
      </c>
      <c r="Z195" t="s">
        <v>44</v>
      </c>
      <c r="AA195" t="s">
        <v>91</v>
      </c>
      <c r="AB195" t="s">
        <v>46</v>
      </c>
      <c r="AC195">
        <f>IF(Cdacdata[[#This Row],[placement_status]]="Placed",1,0)</f>
        <v>1</v>
      </c>
      <c r="AD195" t="s">
        <v>110</v>
      </c>
      <c r="AE195" t="s">
        <v>63</v>
      </c>
      <c r="AF195" t="s">
        <v>63</v>
      </c>
      <c r="AG195">
        <v>2022</v>
      </c>
      <c r="AH195" t="s">
        <v>111</v>
      </c>
      <c r="AI195" t="str">
        <f>IF(Cdacdata[ccat_rank]&lt;=100,"Top 100",
IF(Cdacdata[ccat_rank]&lt;=500,"101–500",
IF(Cdacdata[ccat_rank]&lt;=1000,"501–1000",
"1000+")))</f>
        <v>1000+</v>
      </c>
    </row>
    <row r="196" spans="1:35" x14ac:dyDescent="0.3">
      <c r="A196" s="1" t="s">
        <v>109</v>
      </c>
      <c r="B196">
        <v>211201272</v>
      </c>
      <c r="C196" s="2"/>
      <c r="D196" s="2"/>
      <c r="E196" t="s">
        <v>63</v>
      </c>
      <c r="G196">
        <v>0</v>
      </c>
      <c r="H196">
        <v>0</v>
      </c>
      <c r="I196">
        <v>0</v>
      </c>
      <c r="J196">
        <v>0</v>
      </c>
      <c r="K196" s="3">
        <f t="shared" si="3"/>
        <v>0</v>
      </c>
      <c r="L196" t="s">
        <v>27</v>
      </c>
      <c r="M196" t="s">
        <v>27</v>
      </c>
      <c r="N196">
        <v>23</v>
      </c>
      <c r="O196" t="s">
        <v>373</v>
      </c>
      <c r="P196" t="s">
        <v>26</v>
      </c>
      <c r="Q196" t="s">
        <v>374</v>
      </c>
      <c r="R196">
        <v>598</v>
      </c>
      <c r="S196">
        <v>74.75</v>
      </c>
      <c r="T196" t="s">
        <v>31</v>
      </c>
      <c r="U196" t="s">
        <v>32</v>
      </c>
      <c r="V196" t="s">
        <v>31</v>
      </c>
      <c r="W196" t="s">
        <v>33</v>
      </c>
      <c r="X196" t="s">
        <v>34</v>
      </c>
      <c r="Y196" t="s">
        <v>58</v>
      </c>
      <c r="Z196" t="s">
        <v>44</v>
      </c>
      <c r="AA196" t="s">
        <v>127</v>
      </c>
      <c r="AB196" t="s">
        <v>46</v>
      </c>
      <c r="AC196">
        <f>IF(Cdacdata[[#This Row],[placement_status]]="Placed",1,0)</f>
        <v>1</v>
      </c>
      <c r="AD196" t="s">
        <v>110</v>
      </c>
      <c r="AE196" t="s">
        <v>63</v>
      </c>
      <c r="AF196" t="s">
        <v>63</v>
      </c>
      <c r="AG196">
        <v>2022</v>
      </c>
      <c r="AH196" t="s">
        <v>111</v>
      </c>
      <c r="AI196" t="str">
        <f>IF(Cdacdata[ccat_rank]&lt;=100,"Top 100",
IF(Cdacdata[ccat_rank]&lt;=500,"101–500",
IF(Cdacdata[ccat_rank]&lt;=1000,"501–1000",
"1000+")))</f>
        <v>1000+</v>
      </c>
    </row>
    <row r="197" spans="1:35" x14ac:dyDescent="0.3">
      <c r="A197" s="1" t="s">
        <v>109</v>
      </c>
      <c r="B197">
        <v>211207402</v>
      </c>
      <c r="C197" s="2"/>
      <c r="D197" s="2"/>
      <c r="E197" t="s">
        <v>63</v>
      </c>
      <c r="G197">
        <v>0</v>
      </c>
      <c r="H197">
        <v>0</v>
      </c>
      <c r="I197">
        <v>0</v>
      </c>
      <c r="J197">
        <v>0</v>
      </c>
      <c r="K197" s="3">
        <f t="shared" si="3"/>
        <v>0</v>
      </c>
      <c r="L197" t="s">
        <v>27</v>
      </c>
      <c r="M197" t="s">
        <v>27</v>
      </c>
      <c r="N197">
        <v>23</v>
      </c>
      <c r="O197" t="s">
        <v>373</v>
      </c>
      <c r="P197" t="s">
        <v>26</v>
      </c>
      <c r="Q197" t="s">
        <v>374</v>
      </c>
      <c r="R197">
        <v>586</v>
      </c>
      <c r="S197">
        <v>73.25</v>
      </c>
      <c r="T197" t="s">
        <v>31</v>
      </c>
      <c r="U197" t="s">
        <v>32</v>
      </c>
      <c r="V197" t="s">
        <v>31</v>
      </c>
      <c r="W197" t="s">
        <v>33</v>
      </c>
      <c r="X197" t="s">
        <v>34</v>
      </c>
      <c r="Y197" t="s">
        <v>58</v>
      </c>
      <c r="Z197" t="s">
        <v>44</v>
      </c>
      <c r="AA197" t="s">
        <v>112</v>
      </c>
      <c r="AB197" t="s">
        <v>46</v>
      </c>
      <c r="AC197">
        <f>IF(Cdacdata[[#This Row],[placement_status]]="Placed",1,0)</f>
        <v>1</v>
      </c>
      <c r="AD197" t="s">
        <v>110</v>
      </c>
      <c r="AE197" t="s">
        <v>63</v>
      </c>
      <c r="AF197" t="s">
        <v>63</v>
      </c>
      <c r="AG197">
        <v>2022</v>
      </c>
      <c r="AH197" t="s">
        <v>111</v>
      </c>
      <c r="AI197" t="str">
        <f>IF(Cdacdata[ccat_rank]&lt;=100,"Top 100",
IF(Cdacdata[ccat_rank]&lt;=500,"101–500",
IF(Cdacdata[ccat_rank]&lt;=1000,"501–1000",
"1000+")))</f>
        <v>1000+</v>
      </c>
    </row>
    <row r="198" spans="1:35" x14ac:dyDescent="0.3">
      <c r="A198" s="1" t="s">
        <v>109</v>
      </c>
      <c r="B198">
        <v>220110208</v>
      </c>
      <c r="C198" s="2">
        <v>44614</v>
      </c>
      <c r="D198" s="2" t="s">
        <v>542</v>
      </c>
      <c r="E198">
        <v>1313</v>
      </c>
      <c r="F198" s="2">
        <v>35497</v>
      </c>
      <c r="G198">
        <v>69.819999999999993</v>
      </c>
      <c r="H198">
        <v>57.85</v>
      </c>
      <c r="I198" t="s">
        <v>26</v>
      </c>
      <c r="J198">
        <v>68.430000000000007</v>
      </c>
      <c r="K198" s="3">
        <f t="shared" si="3"/>
        <v>65.36666666666666</v>
      </c>
      <c r="L198" t="s">
        <v>27</v>
      </c>
      <c r="M198" t="s">
        <v>27</v>
      </c>
      <c r="N198">
        <v>24</v>
      </c>
      <c r="O198" t="s">
        <v>28</v>
      </c>
      <c r="P198" t="s">
        <v>52</v>
      </c>
      <c r="Q198" t="s">
        <v>30</v>
      </c>
      <c r="R198">
        <v>560</v>
      </c>
      <c r="S198">
        <v>70</v>
      </c>
      <c r="T198" t="s">
        <v>31</v>
      </c>
      <c r="U198" t="s">
        <v>32</v>
      </c>
      <c r="V198" t="s">
        <v>31</v>
      </c>
      <c r="W198" t="s">
        <v>49</v>
      </c>
      <c r="X198" t="s">
        <v>34</v>
      </c>
      <c r="Y198" t="s">
        <v>58</v>
      </c>
      <c r="Z198" t="s">
        <v>44</v>
      </c>
      <c r="AA198" t="s">
        <v>128</v>
      </c>
      <c r="AB198" t="s">
        <v>46</v>
      </c>
      <c r="AC198">
        <f>IF(Cdacdata[[#This Row],[placement_status]]="Placed",1,0)</f>
        <v>1</v>
      </c>
      <c r="AD198" t="s">
        <v>110</v>
      </c>
      <c r="AE198" t="s">
        <v>47</v>
      </c>
      <c r="AF198" t="s">
        <v>39</v>
      </c>
      <c r="AG198">
        <v>2022</v>
      </c>
      <c r="AH198" t="s">
        <v>111</v>
      </c>
      <c r="AI198" t="str">
        <f>IF(Cdacdata[ccat_rank]&lt;=100,"Top 100",
IF(Cdacdata[ccat_rank]&lt;=500,"101–500",
IF(Cdacdata[ccat_rank]&lt;=1000,"501–1000",
"1000+")))</f>
        <v>1000+</v>
      </c>
    </row>
    <row r="199" spans="1:35" x14ac:dyDescent="0.3">
      <c r="A199" s="1" t="s">
        <v>109</v>
      </c>
      <c r="B199">
        <v>211201585</v>
      </c>
      <c r="C199" s="2">
        <v>44614</v>
      </c>
      <c r="D199" s="2" t="s">
        <v>543</v>
      </c>
      <c r="E199">
        <v>1382</v>
      </c>
      <c r="F199" s="2">
        <v>33473</v>
      </c>
      <c r="G199">
        <v>74.61</v>
      </c>
      <c r="H199">
        <v>67.67</v>
      </c>
      <c r="I199" t="s">
        <v>26</v>
      </c>
      <c r="J199">
        <v>69.13</v>
      </c>
      <c r="K199" s="3">
        <f t="shared" si="3"/>
        <v>70.47</v>
      </c>
      <c r="L199" t="s">
        <v>41</v>
      </c>
      <c r="M199" t="s">
        <v>27</v>
      </c>
      <c r="N199">
        <v>30</v>
      </c>
      <c r="O199" t="s">
        <v>28</v>
      </c>
      <c r="P199" t="s">
        <v>60</v>
      </c>
      <c r="Q199" t="s">
        <v>30</v>
      </c>
      <c r="R199">
        <v>502</v>
      </c>
      <c r="S199">
        <v>62.75</v>
      </c>
      <c r="T199" t="s">
        <v>103</v>
      </c>
      <c r="U199" t="s">
        <v>32</v>
      </c>
      <c r="V199" t="s">
        <v>103</v>
      </c>
      <c r="W199" t="s">
        <v>33</v>
      </c>
      <c r="X199" t="s">
        <v>34</v>
      </c>
      <c r="Y199" t="s">
        <v>50</v>
      </c>
      <c r="Z199" t="s">
        <v>44</v>
      </c>
      <c r="AA199" t="s">
        <v>74</v>
      </c>
      <c r="AB199" t="s">
        <v>46</v>
      </c>
      <c r="AC199">
        <f>IF(Cdacdata[[#This Row],[placement_status]]="Placed",1,0)</f>
        <v>1</v>
      </c>
      <c r="AD199" t="s">
        <v>110</v>
      </c>
      <c r="AE199" t="s">
        <v>47</v>
      </c>
      <c r="AF199" t="s">
        <v>69</v>
      </c>
      <c r="AG199">
        <v>2022</v>
      </c>
      <c r="AH199" t="s">
        <v>111</v>
      </c>
      <c r="AI199" t="str">
        <f>IF(Cdacdata[ccat_rank]&lt;=100,"Top 100",
IF(Cdacdata[ccat_rank]&lt;=500,"101–500",
IF(Cdacdata[ccat_rank]&lt;=1000,"501–1000",
"1000+")))</f>
        <v>1000+</v>
      </c>
    </row>
    <row r="200" spans="1:35" x14ac:dyDescent="0.3">
      <c r="A200" s="1" t="s">
        <v>109</v>
      </c>
      <c r="B200">
        <v>211200018</v>
      </c>
      <c r="C200" s="2"/>
      <c r="D200" s="2"/>
      <c r="E200" t="s">
        <v>63</v>
      </c>
      <c r="G200">
        <v>0</v>
      </c>
      <c r="H200">
        <v>0</v>
      </c>
      <c r="I200">
        <v>0</v>
      </c>
      <c r="J200">
        <v>0</v>
      </c>
      <c r="K200" s="3">
        <f t="shared" si="3"/>
        <v>0</v>
      </c>
      <c r="L200" t="s">
        <v>27</v>
      </c>
      <c r="M200" t="s">
        <v>27</v>
      </c>
      <c r="N200">
        <v>23</v>
      </c>
      <c r="O200" t="s">
        <v>373</v>
      </c>
      <c r="P200" t="s">
        <v>26</v>
      </c>
      <c r="Q200" t="s">
        <v>374</v>
      </c>
      <c r="R200">
        <v>522</v>
      </c>
      <c r="S200">
        <v>65.25</v>
      </c>
      <c r="T200" t="s">
        <v>49</v>
      </c>
      <c r="U200" t="s">
        <v>32</v>
      </c>
      <c r="V200" t="s">
        <v>49</v>
      </c>
      <c r="W200" t="s">
        <v>49</v>
      </c>
      <c r="X200" t="s">
        <v>34</v>
      </c>
      <c r="Y200" t="s">
        <v>50</v>
      </c>
      <c r="Z200" t="s">
        <v>44</v>
      </c>
      <c r="AA200" t="s">
        <v>119</v>
      </c>
      <c r="AB200" t="s">
        <v>46</v>
      </c>
      <c r="AC200">
        <f>IF(Cdacdata[[#This Row],[placement_status]]="Placed",1,0)</f>
        <v>1</v>
      </c>
      <c r="AD200" t="s">
        <v>110</v>
      </c>
      <c r="AE200" t="s">
        <v>63</v>
      </c>
      <c r="AF200" t="s">
        <v>63</v>
      </c>
      <c r="AG200">
        <v>2022</v>
      </c>
      <c r="AH200" t="s">
        <v>111</v>
      </c>
      <c r="AI200" t="str">
        <f>IF(Cdacdata[ccat_rank]&lt;=100,"Top 100",
IF(Cdacdata[ccat_rank]&lt;=500,"101–500",
IF(Cdacdata[ccat_rank]&lt;=1000,"501–1000",
"1000+")))</f>
        <v>1000+</v>
      </c>
    </row>
    <row r="201" spans="1:35" x14ac:dyDescent="0.3">
      <c r="A201" s="1" t="s">
        <v>109</v>
      </c>
      <c r="B201">
        <v>220101070</v>
      </c>
      <c r="C201" s="2">
        <v>44614</v>
      </c>
      <c r="D201" s="2" t="s">
        <v>544</v>
      </c>
      <c r="E201">
        <v>893</v>
      </c>
      <c r="F201" s="2">
        <v>35271</v>
      </c>
      <c r="G201">
        <v>85.82</v>
      </c>
      <c r="H201">
        <v>66</v>
      </c>
      <c r="I201" t="s">
        <v>26</v>
      </c>
      <c r="J201">
        <v>57.86</v>
      </c>
      <c r="K201" s="3">
        <f t="shared" si="3"/>
        <v>69.893333333333331</v>
      </c>
      <c r="L201" t="s">
        <v>27</v>
      </c>
      <c r="M201" t="s">
        <v>27</v>
      </c>
      <c r="N201">
        <v>25</v>
      </c>
      <c r="O201" t="s">
        <v>72</v>
      </c>
      <c r="P201" t="s">
        <v>60</v>
      </c>
      <c r="Q201" t="s">
        <v>30</v>
      </c>
      <c r="R201">
        <v>587</v>
      </c>
      <c r="S201">
        <v>73.375</v>
      </c>
      <c r="T201" t="s">
        <v>49</v>
      </c>
      <c r="U201" t="s">
        <v>32</v>
      </c>
      <c r="V201" t="s">
        <v>49</v>
      </c>
      <c r="W201" t="s">
        <v>49</v>
      </c>
      <c r="X201" t="s">
        <v>34</v>
      </c>
      <c r="Y201" t="s">
        <v>58</v>
      </c>
      <c r="Z201" t="s">
        <v>44</v>
      </c>
      <c r="AA201" t="s">
        <v>129</v>
      </c>
      <c r="AB201" t="s">
        <v>46</v>
      </c>
      <c r="AC201">
        <f>IF(Cdacdata[[#This Row],[placement_status]]="Placed",1,0)</f>
        <v>1</v>
      </c>
      <c r="AD201" t="s">
        <v>110</v>
      </c>
      <c r="AE201" t="s">
        <v>75</v>
      </c>
      <c r="AF201" t="s">
        <v>39</v>
      </c>
      <c r="AG201">
        <v>2022</v>
      </c>
      <c r="AH201" t="s">
        <v>111</v>
      </c>
      <c r="AI201" t="str">
        <f>IF(Cdacdata[ccat_rank]&lt;=100,"Top 100",
IF(Cdacdata[ccat_rank]&lt;=500,"101–500",
IF(Cdacdata[ccat_rank]&lt;=1000,"501–1000",
"1000+")))</f>
        <v>501–1000</v>
      </c>
    </row>
    <row r="202" spans="1:35" x14ac:dyDescent="0.3">
      <c r="A202" s="1" t="s">
        <v>109</v>
      </c>
      <c r="B202">
        <v>211200054</v>
      </c>
      <c r="C202" s="2"/>
      <c r="D202" s="2"/>
      <c r="E202" t="s">
        <v>63</v>
      </c>
      <c r="G202">
        <v>0</v>
      </c>
      <c r="H202">
        <v>0</v>
      </c>
      <c r="I202">
        <v>0</v>
      </c>
      <c r="J202">
        <v>0</v>
      </c>
      <c r="K202" s="3">
        <f t="shared" si="3"/>
        <v>0</v>
      </c>
      <c r="L202" t="s">
        <v>27</v>
      </c>
      <c r="M202" t="s">
        <v>27</v>
      </c>
      <c r="N202">
        <v>23</v>
      </c>
      <c r="O202" t="s">
        <v>373</v>
      </c>
      <c r="P202" t="s">
        <v>26</v>
      </c>
      <c r="Q202" t="s">
        <v>374</v>
      </c>
      <c r="R202">
        <v>455</v>
      </c>
      <c r="S202">
        <v>56.875</v>
      </c>
      <c r="T202" t="s">
        <v>31</v>
      </c>
      <c r="U202" t="s">
        <v>32</v>
      </c>
      <c r="V202" t="s">
        <v>31</v>
      </c>
      <c r="W202" t="s">
        <v>31</v>
      </c>
      <c r="X202" t="s">
        <v>34</v>
      </c>
      <c r="Y202" t="s">
        <v>35</v>
      </c>
      <c r="Z202" t="s">
        <v>36</v>
      </c>
      <c r="AA202" t="s">
        <v>1268</v>
      </c>
      <c r="AB202" t="s">
        <v>36</v>
      </c>
      <c r="AC202">
        <f>IF(Cdacdata[[#This Row],[placement_status]]="Placed",1,0)</f>
        <v>0</v>
      </c>
      <c r="AD202" t="s">
        <v>110</v>
      </c>
      <c r="AE202" t="s">
        <v>63</v>
      </c>
      <c r="AF202" t="s">
        <v>63</v>
      </c>
      <c r="AG202">
        <v>2022</v>
      </c>
      <c r="AH202" t="s">
        <v>111</v>
      </c>
      <c r="AI202" t="str">
        <f>IF(Cdacdata[ccat_rank]&lt;=100,"Top 100",
IF(Cdacdata[ccat_rank]&lt;=500,"101–500",
IF(Cdacdata[ccat_rank]&lt;=1000,"501–1000",
"1000+")))</f>
        <v>1000+</v>
      </c>
    </row>
    <row r="203" spans="1:35" x14ac:dyDescent="0.3">
      <c r="A203" s="1" t="s">
        <v>109</v>
      </c>
      <c r="B203">
        <v>211201343</v>
      </c>
      <c r="C203" s="2"/>
      <c r="D203" s="2"/>
      <c r="E203" t="s">
        <v>63</v>
      </c>
      <c r="G203">
        <v>0</v>
      </c>
      <c r="H203">
        <v>0</v>
      </c>
      <c r="I203">
        <v>0</v>
      </c>
      <c r="J203">
        <v>0</v>
      </c>
      <c r="K203" s="3">
        <f t="shared" si="3"/>
        <v>0</v>
      </c>
      <c r="L203" t="s">
        <v>27</v>
      </c>
      <c r="M203" t="s">
        <v>27</v>
      </c>
      <c r="N203">
        <v>23</v>
      </c>
      <c r="O203" t="s">
        <v>373</v>
      </c>
      <c r="P203" t="s">
        <v>26</v>
      </c>
      <c r="Q203" t="s">
        <v>374</v>
      </c>
      <c r="R203">
        <v>550</v>
      </c>
      <c r="S203">
        <v>68.75</v>
      </c>
      <c r="T203" t="s">
        <v>33</v>
      </c>
      <c r="U203" t="s">
        <v>32</v>
      </c>
      <c r="V203" t="s">
        <v>33</v>
      </c>
      <c r="W203" t="s">
        <v>33</v>
      </c>
      <c r="X203" t="s">
        <v>34</v>
      </c>
      <c r="Y203" t="s">
        <v>50</v>
      </c>
      <c r="Z203" t="s">
        <v>44</v>
      </c>
      <c r="AA203" t="s">
        <v>119</v>
      </c>
      <c r="AB203" t="s">
        <v>46</v>
      </c>
      <c r="AC203">
        <f>IF(Cdacdata[[#This Row],[placement_status]]="Placed",1,0)</f>
        <v>1</v>
      </c>
      <c r="AD203" t="s">
        <v>110</v>
      </c>
      <c r="AE203" t="s">
        <v>63</v>
      </c>
      <c r="AF203" t="s">
        <v>63</v>
      </c>
      <c r="AG203">
        <v>2022</v>
      </c>
      <c r="AH203" t="s">
        <v>111</v>
      </c>
      <c r="AI203" t="str">
        <f>IF(Cdacdata[ccat_rank]&lt;=100,"Top 100",
IF(Cdacdata[ccat_rank]&lt;=500,"101–500",
IF(Cdacdata[ccat_rank]&lt;=1000,"501–1000",
"1000+")))</f>
        <v>1000+</v>
      </c>
    </row>
    <row r="204" spans="1:35" x14ac:dyDescent="0.3">
      <c r="A204" s="1" t="s">
        <v>109</v>
      </c>
      <c r="B204">
        <v>211208493</v>
      </c>
      <c r="C204" s="2">
        <v>44615</v>
      </c>
      <c r="D204" s="2" t="s">
        <v>545</v>
      </c>
      <c r="E204">
        <v>1277</v>
      </c>
      <c r="F204" s="2">
        <v>35983</v>
      </c>
      <c r="G204">
        <v>72.400000000000006</v>
      </c>
      <c r="H204">
        <v>66</v>
      </c>
      <c r="I204" t="s">
        <v>26</v>
      </c>
      <c r="J204">
        <v>66.8</v>
      </c>
      <c r="K204" s="3">
        <f t="shared" si="3"/>
        <v>68.399999999999991</v>
      </c>
      <c r="L204" t="s">
        <v>27</v>
      </c>
      <c r="M204" t="s">
        <v>27</v>
      </c>
      <c r="N204">
        <v>23</v>
      </c>
      <c r="O204" t="s">
        <v>28</v>
      </c>
      <c r="P204" t="s">
        <v>26</v>
      </c>
      <c r="Q204" t="s">
        <v>30</v>
      </c>
      <c r="R204">
        <v>505</v>
      </c>
      <c r="S204">
        <v>63.125</v>
      </c>
      <c r="T204" t="s">
        <v>49</v>
      </c>
      <c r="U204" t="s">
        <v>32</v>
      </c>
      <c r="V204" t="s">
        <v>49</v>
      </c>
      <c r="W204" t="s">
        <v>33</v>
      </c>
      <c r="X204" t="s">
        <v>34</v>
      </c>
      <c r="Y204" t="s">
        <v>50</v>
      </c>
      <c r="Z204" t="s">
        <v>44</v>
      </c>
      <c r="AA204" t="s">
        <v>130</v>
      </c>
      <c r="AB204" t="s">
        <v>46</v>
      </c>
      <c r="AC204">
        <f>IF(Cdacdata[[#This Row],[placement_status]]="Placed",1,0)</f>
        <v>1</v>
      </c>
      <c r="AD204" t="s">
        <v>110</v>
      </c>
      <c r="AE204" t="s">
        <v>47</v>
      </c>
      <c r="AF204" t="s">
        <v>39</v>
      </c>
      <c r="AG204">
        <v>2022</v>
      </c>
      <c r="AH204" t="s">
        <v>111</v>
      </c>
      <c r="AI204" t="str">
        <f>IF(Cdacdata[ccat_rank]&lt;=100,"Top 100",
IF(Cdacdata[ccat_rank]&lt;=500,"101–500",
IF(Cdacdata[ccat_rank]&lt;=1000,"501–1000",
"1000+")))</f>
        <v>1000+</v>
      </c>
    </row>
    <row r="205" spans="1:35" x14ac:dyDescent="0.3">
      <c r="A205" s="1" t="s">
        <v>109</v>
      </c>
      <c r="B205">
        <v>211206348</v>
      </c>
      <c r="C205" s="2">
        <v>44615</v>
      </c>
      <c r="D205" s="2" t="s">
        <v>546</v>
      </c>
      <c r="E205">
        <v>1175</v>
      </c>
      <c r="F205" s="2">
        <v>35738</v>
      </c>
      <c r="G205">
        <v>87.6</v>
      </c>
      <c r="H205" t="s">
        <v>26</v>
      </c>
      <c r="I205">
        <v>74.180000000000007</v>
      </c>
      <c r="J205">
        <v>71.13</v>
      </c>
      <c r="K205" s="3">
        <f t="shared" si="3"/>
        <v>77.63666666666667</v>
      </c>
      <c r="L205" t="s">
        <v>27</v>
      </c>
      <c r="M205" t="s">
        <v>27</v>
      </c>
      <c r="N205">
        <v>24</v>
      </c>
      <c r="O205" t="s">
        <v>28</v>
      </c>
      <c r="P205" t="s">
        <v>60</v>
      </c>
      <c r="Q205" t="s">
        <v>30</v>
      </c>
      <c r="R205">
        <v>615</v>
      </c>
      <c r="S205">
        <v>76.875</v>
      </c>
      <c r="T205" t="s">
        <v>49</v>
      </c>
      <c r="U205" t="s">
        <v>32</v>
      </c>
      <c r="V205" t="s">
        <v>49</v>
      </c>
      <c r="W205" t="s">
        <v>49</v>
      </c>
      <c r="X205" t="s">
        <v>34</v>
      </c>
      <c r="Y205" t="s">
        <v>58</v>
      </c>
      <c r="Z205" t="s">
        <v>44</v>
      </c>
      <c r="AA205" t="s">
        <v>95</v>
      </c>
      <c r="AB205" t="s">
        <v>46</v>
      </c>
      <c r="AC205">
        <f>IF(Cdacdata[[#This Row],[placement_status]]="Placed",1,0)</f>
        <v>1</v>
      </c>
      <c r="AD205" t="s">
        <v>110</v>
      </c>
      <c r="AE205" t="s">
        <v>47</v>
      </c>
      <c r="AF205" t="s">
        <v>39</v>
      </c>
      <c r="AG205">
        <v>2022</v>
      </c>
      <c r="AH205" t="s">
        <v>111</v>
      </c>
      <c r="AI205" t="str">
        <f>IF(Cdacdata[ccat_rank]&lt;=100,"Top 100",
IF(Cdacdata[ccat_rank]&lt;=500,"101–500",
IF(Cdacdata[ccat_rank]&lt;=1000,"501–1000",
"1000+")))</f>
        <v>1000+</v>
      </c>
    </row>
    <row r="206" spans="1:35" x14ac:dyDescent="0.3">
      <c r="A206" s="1" t="s">
        <v>109</v>
      </c>
      <c r="B206">
        <v>220101711</v>
      </c>
      <c r="C206" s="2">
        <v>44614</v>
      </c>
      <c r="D206" s="2" t="s">
        <v>547</v>
      </c>
      <c r="E206">
        <v>1248</v>
      </c>
      <c r="F206" s="2">
        <v>35537</v>
      </c>
      <c r="G206">
        <v>76.91</v>
      </c>
      <c r="H206">
        <v>64.92</v>
      </c>
      <c r="I206" t="s">
        <v>26</v>
      </c>
      <c r="J206">
        <v>70.209999999999994</v>
      </c>
      <c r="K206" s="3">
        <f t="shared" si="3"/>
        <v>70.679999999999993</v>
      </c>
      <c r="L206" t="s">
        <v>27</v>
      </c>
      <c r="M206" t="s">
        <v>27</v>
      </c>
      <c r="N206">
        <v>24</v>
      </c>
      <c r="O206" t="s">
        <v>28</v>
      </c>
      <c r="P206" t="s">
        <v>29</v>
      </c>
      <c r="Q206" t="s">
        <v>30</v>
      </c>
      <c r="R206">
        <v>547</v>
      </c>
      <c r="S206">
        <v>68.375</v>
      </c>
      <c r="T206" t="s">
        <v>49</v>
      </c>
      <c r="U206" t="s">
        <v>32</v>
      </c>
      <c r="V206" t="s">
        <v>49</v>
      </c>
      <c r="W206" t="s">
        <v>49</v>
      </c>
      <c r="X206" t="s">
        <v>34</v>
      </c>
      <c r="Y206" t="s">
        <v>50</v>
      </c>
      <c r="Z206" t="s">
        <v>44</v>
      </c>
      <c r="AA206" t="s">
        <v>131</v>
      </c>
      <c r="AB206" t="s">
        <v>46</v>
      </c>
      <c r="AC206">
        <f>IF(Cdacdata[[#This Row],[placement_status]]="Placed",1,0)</f>
        <v>1</v>
      </c>
      <c r="AD206" t="s">
        <v>110</v>
      </c>
      <c r="AE206" t="s">
        <v>47</v>
      </c>
      <c r="AF206" t="s">
        <v>39</v>
      </c>
      <c r="AG206">
        <v>2022</v>
      </c>
      <c r="AH206" t="s">
        <v>111</v>
      </c>
      <c r="AI206" t="str">
        <f>IF(Cdacdata[ccat_rank]&lt;=100,"Top 100",
IF(Cdacdata[ccat_rank]&lt;=500,"101–500",
IF(Cdacdata[ccat_rank]&lt;=1000,"501–1000",
"1000+")))</f>
        <v>1000+</v>
      </c>
    </row>
    <row r="207" spans="1:35" x14ac:dyDescent="0.3">
      <c r="A207" s="1" t="s">
        <v>109</v>
      </c>
      <c r="B207">
        <v>211207232</v>
      </c>
      <c r="C207" s="2"/>
      <c r="D207" s="2"/>
      <c r="E207" t="s">
        <v>63</v>
      </c>
      <c r="G207">
        <v>0</v>
      </c>
      <c r="H207">
        <v>0</v>
      </c>
      <c r="I207">
        <v>0</v>
      </c>
      <c r="J207">
        <v>0</v>
      </c>
      <c r="K207" s="3">
        <f t="shared" si="3"/>
        <v>0</v>
      </c>
      <c r="L207" t="s">
        <v>27</v>
      </c>
      <c r="M207" t="s">
        <v>27</v>
      </c>
      <c r="N207">
        <v>23</v>
      </c>
      <c r="O207" t="s">
        <v>373</v>
      </c>
      <c r="P207" t="s">
        <v>26</v>
      </c>
      <c r="Q207" t="s">
        <v>374</v>
      </c>
      <c r="R207">
        <v>525</v>
      </c>
      <c r="S207">
        <v>65.625</v>
      </c>
      <c r="T207" t="s">
        <v>103</v>
      </c>
      <c r="U207" t="s">
        <v>32</v>
      </c>
      <c r="V207" t="s">
        <v>103</v>
      </c>
      <c r="W207" t="s">
        <v>31</v>
      </c>
      <c r="X207" t="s">
        <v>34</v>
      </c>
      <c r="Y207" t="s">
        <v>50</v>
      </c>
      <c r="Z207" t="s">
        <v>44</v>
      </c>
      <c r="AA207" t="s">
        <v>120</v>
      </c>
      <c r="AB207" t="s">
        <v>46</v>
      </c>
      <c r="AC207">
        <f>IF(Cdacdata[[#This Row],[placement_status]]="Placed",1,0)</f>
        <v>1</v>
      </c>
      <c r="AD207" t="s">
        <v>110</v>
      </c>
      <c r="AE207" t="s">
        <v>63</v>
      </c>
      <c r="AF207" t="s">
        <v>63</v>
      </c>
      <c r="AG207">
        <v>2022</v>
      </c>
      <c r="AH207" t="s">
        <v>111</v>
      </c>
      <c r="AI207" t="str">
        <f>IF(Cdacdata[ccat_rank]&lt;=100,"Top 100",
IF(Cdacdata[ccat_rank]&lt;=500,"101–500",
IF(Cdacdata[ccat_rank]&lt;=1000,"501–1000",
"1000+")))</f>
        <v>1000+</v>
      </c>
    </row>
    <row r="208" spans="1:35" x14ac:dyDescent="0.3">
      <c r="A208" s="1" t="s">
        <v>109</v>
      </c>
      <c r="B208">
        <v>211203164</v>
      </c>
      <c r="C208" s="2"/>
      <c r="D208" s="2"/>
      <c r="E208" t="s">
        <v>63</v>
      </c>
      <c r="G208">
        <v>0</v>
      </c>
      <c r="H208">
        <v>0</v>
      </c>
      <c r="I208">
        <v>0</v>
      </c>
      <c r="J208">
        <v>0</v>
      </c>
      <c r="K208" s="3">
        <f t="shared" si="3"/>
        <v>0</v>
      </c>
      <c r="L208" t="s">
        <v>27</v>
      </c>
      <c r="M208" t="s">
        <v>27</v>
      </c>
      <c r="N208">
        <v>23</v>
      </c>
      <c r="O208" t="s">
        <v>373</v>
      </c>
      <c r="P208" t="s">
        <v>26</v>
      </c>
      <c r="Q208" t="s">
        <v>374</v>
      </c>
      <c r="R208">
        <v>473</v>
      </c>
      <c r="S208">
        <v>59.125</v>
      </c>
      <c r="T208" t="s">
        <v>49</v>
      </c>
      <c r="U208" t="s">
        <v>32</v>
      </c>
      <c r="V208" t="s">
        <v>49</v>
      </c>
      <c r="W208" t="s">
        <v>33</v>
      </c>
      <c r="X208" t="s">
        <v>34</v>
      </c>
      <c r="Y208" t="s">
        <v>35</v>
      </c>
      <c r="Z208" t="s">
        <v>36</v>
      </c>
      <c r="AA208" t="s">
        <v>1268</v>
      </c>
      <c r="AB208" t="s">
        <v>36</v>
      </c>
      <c r="AC208">
        <f>IF(Cdacdata[[#This Row],[placement_status]]="Placed",1,0)</f>
        <v>0</v>
      </c>
      <c r="AD208" t="s">
        <v>110</v>
      </c>
      <c r="AE208" t="s">
        <v>63</v>
      </c>
      <c r="AF208" t="s">
        <v>63</v>
      </c>
      <c r="AG208">
        <v>2022</v>
      </c>
      <c r="AH208" t="s">
        <v>111</v>
      </c>
      <c r="AI208" t="str">
        <f>IF(Cdacdata[ccat_rank]&lt;=100,"Top 100",
IF(Cdacdata[ccat_rank]&lt;=500,"101–500",
IF(Cdacdata[ccat_rank]&lt;=1000,"501–1000",
"1000+")))</f>
        <v>1000+</v>
      </c>
    </row>
    <row r="209" spans="1:35" x14ac:dyDescent="0.3">
      <c r="A209" s="1" t="s">
        <v>109</v>
      </c>
      <c r="B209">
        <v>220103933</v>
      </c>
      <c r="C209" s="2"/>
      <c r="D209" s="2"/>
      <c r="E209" t="s">
        <v>63</v>
      </c>
      <c r="G209">
        <v>0</v>
      </c>
      <c r="H209">
        <v>0</v>
      </c>
      <c r="I209">
        <v>0</v>
      </c>
      <c r="J209">
        <v>0</v>
      </c>
      <c r="K209" s="3">
        <f t="shared" si="3"/>
        <v>0</v>
      </c>
      <c r="L209" t="s">
        <v>27</v>
      </c>
      <c r="M209" t="s">
        <v>27</v>
      </c>
      <c r="N209">
        <v>23</v>
      </c>
      <c r="O209" t="s">
        <v>373</v>
      </c>
      <c r="P209" t="s">
        <v>26</v>
      </c>
      <c r="Q209" t="s">
        <v>374</v>
      </c>
      <c r="R209">
        <v>668</v>
      </c>
      <c r="S209">
        <v>83.5</v>
      </c>
      <c r="T209" t="s">
        <v>49</v>
      </c>
      <c r="U209" t="s">
        <v>32</v>
      </c>
      <c r="V209" t="s">
        <v>49</v>
      </c>
      <c r="W209" t="s">
        <v>49</v>
      </c>
      <c r="X209" t="s">
        <v>34</v>
      </c>
      <c r="Y209" t="s">
        <v>58</v>
      </c>
      <c r="Z209" t="s">
        <v>44</v>
      </c>
      <c r="AA209" t="s">
        <v>115</v>
      </c>
      <c r="AB209" t="s">
        <v>46</v>
      </c>
      <c r="AC209">
        <f>IF(Cdacdata[[#This Row],[placement_status]]="Placed",1,0)</f>
        <v>1</v>
      </c>
      <c r="AD209" t="s">
        <v>110</v>
      </c>
      <c r="AE209" t="s">
        <v>63</v>
      </c>
      <c r="AF209" t="s">
        <v>63</v>
      </c>
      <c r="AG209">
        <v>2022</v>
      </c>
      <c r="AH209" t="s">
        <v>111</v>
      </c>
      <c r="AI209" t="str">
        <f>IF(Cdacdata[ccat_rank]&lt;=100,"Top 100",
IF(Cdacdata[ccat_rank]&lt;=500,"101–500",
IF(Cdacdata[ccat_rank]&lt;=1000,"501–1000",
"1000+")))</f>
        <v>1000+</v>
      </c>
    </row>
    <row r="210" spans="1:35" x14ac:dyDescent="0.3">
      <c r="A210" s="1" t="s">
        <v>109</v>
      </c>
      <c r="B210">
        <v>220110296</v>
      </c>
      <c r="C210" s="2"/>
      <c r="D210" s="2"/>
      <c r="E210" t="s">
        <v>63</v>
      </c>
      <c r="G210">
        <v>0</v>
      </c>
      <c r="H210">
        <v>0</v>
      </c>
      <c r="I210">
        <v>0</v>
      </c>
      <c r="J210">
        <v>0</v>
      </c>
      <c r="K210" s="3">
        <f t="shared" si="3"/>
        <v>0</v>
      </c>
      <c r="L210" t="s">
        <v>27</v>
      </c>
      <c r="M210" t="s">
        <v>27</v>
      </c>
      <c r="N210">
        <v>23</v>
      </c>
      <c r="O210" t="s">
        <v>373</v>
      </c>
      <c r="P210" t="s">
        <v>26</v>
      </c>
      <c r="Q210" t="s">
        <v>374</v>
      </c>
      <c r="R210">
        <v>464</v>
      </c>
      <c r="S210">
        <v>58</v>
      </c>
      <c r="T210" t="s">
        <v>103</v>
      </c>
      <c r="U210" t="s">
        <v>32</v>
      </c>
      <c r="V210" t="s">
        <v>103</v>
      </c>
      <c r="W210" t="s">
        <v>33</v>
      </c>
      <c r="X210" t="s">
        <v>34</v>
      </c>
      <c r="Y210" t="s">
        <v>35</v>
      </c>
      <c r="Z210" t="s">
        <v>44</v>
      </c>
      <c r="AA210" t="s">
        <v>132</v>
      </c>
      <c r="AB210" t="s">
        <v>46</v>
      </c>
      <c r="AC210">
        <f>IF(Cdacdata[[#This Row],[placement_status]]="Placed",1,0)</f>
        <v>1</v>
      </c>
      <c r="AD210" t="s">
        <v>110</v>
      </c>
      <c r="AE210" t="s">
        <v>63</v>
      </c>
      <c r="AF210" t="s">
        <v>63</v>
      </c>
      <c r="AG210">
        <v>2022</v>
      </c>
      <c r="AH210" t="s">
        <v>111</v>
      </c>
      <c r="AI210" t="str">
        <f>IF(Cdacdata[ccat_rank]&lt;=100,"Top 100",
IF(Cdacdata[ccat_rank]&lt;=500,"101–500",
IF(Cdacdata[ccat_rank]&lt;=1000,"501–1000",
"1000+")))</f>
        <v>1000+</v>
      </c>
    </row>
    <row r="211" spans="1:35" x14ac:dyDescent="0.3">
      <c r="A211" s="1" t="s">
        <v>109</v>
      </c>
      <c r="B211">
        <v>220103553</v>
      </c>
      <c r="C211" s="2">
        <v>44615</v>
      </c>
      <c r="D211" s="2" t="s">
        <v>548</v>
      </c>
      <c r="E211">
        <v>489</v>
      </c>
      <c r="F211" s="2">
        <v>35986</v>
      </c>
      <c r="G211">
        <v>79.8</v>
      </c>
      <c r="H211">
        <v>61.85</v>
      </c>
      <c r="I211" t="s">
        <v>26</v>
      </c>
      <c r="J211">
        <v>59.75</v>
      </c>
      <c r="K211" s="3">
        <f t="shared" si="3"/>
        <v>67.13333333333334</v>
      </c>
      <c r="L211" t="s">
        <v>27</v>
      </c>
      <c r="M211" t="s">
        <v>27</v>
      </c>
      <c r="N211">
        <v>23</v>
      </c>
      <c r="O211" t="s">
        <v>62</v>
      </c>
      <c r="P211" t="s">
        <v>26</v>
      </c>
      <c r="Q211" t="s">
        <v>30</v>
      </c>
      <c r="R211">
        <v>529</v>
      </c>
      <c r="S211">
        <v>66.125</v>
      </c>
      <c r="T211" t="s">
        <v>49</v>
      </c>
      <c r="U211" t="s">
        <v>32</v>
      </c>
      <c r="V211" t="s">
        <v>49</v>
      </c>
      <c r="W211" t="s">
        <v>49</v>
      </c>
      <c r="X211" t="s">
        <v>34</v>
      </c>
      <c r="Y211" t="s">
        <v>50</v>
      </c>
      <c r="Z211" t="s">
        <v>44</v>
      </c>
      <c r="AA211" t="s">
        <v>133</v>
      </c>
      <c r="AB211" t="s">
        <v>46</v>
      </c>
      <c r="AC211">
        <f>IF(Cdacdata[[#This Row],[placement_status]]="Placed",1,0)</f>
        <v>1</v>
      </c>
      <c r="AD211" t="s">
        <v>110</v>
      </c>
      <c r="AE211" t="s">
        <v>75</v>
      </c>
      <c r="AF211" t="s">
        <v>39</v>
      </c>
      <c r="AG211">
        <v>2022</v>
      </c>
      <c r="AH211" t="s">
        <v>111</v>
      </c>
      <c r="AI211" t="str">
        <f>IF(Cdacdata[ccat_rank]&lt;=100,"Top 100",
IF(Cdacdata[ccat_rank]&lt;=500,"101–500",
IF(Cdacdata[ccat_rank]&lt;=1000,"501–1000",
"1000+")))</f>
        <v>101–500</v>
      </c>
    </row>
    <row r="212" spans="1:35" x14ac:dyDescent="0.3">
      <c r="A212" s="1" t="s">
        <v>109</v>
      </c>
      <c r="B212">
        <v>220105411</v>
      </c>
      <c r="C212" s="2"/>
      <c r="D212" s="2"/>
      <c r="E212" t="s">
        <v>63</v>
      </c>
      <c r="G212">
        <v>0</v>
      </c>
      <c r="H212">
        <v>0</v>
      </c>
      <c r="I212">
        <v>0</v>
      </c>
      <c r="J212">
        <v>0</v>
      </c>
      <c r="K212" s="3">
        <f t="shared" si="3"/>
        <v>0</v>
      </c>
      <c r="L212" t="s">
        <v>27</v>
      </c>
      <c r="M212" t="s">
        <v>27</v>
      </c>
      <c r="N212">
        <v>23</v>
      </c>
      <c r="O212" t="s">
        <v>373</v>
      </c>
      <c r="P212" t="s">
        <v>26</v>
      </c>
      <c r="Q212" t="s">
        <v>374</v>
      </c>
      <c r="R212">
        <v>634</v>
      </c>
      <c r="S212">
        <v>79.25</v>
      </c>
      <c r="T212" t="s">
        <v>49</v>
      </c>
      <c r="U212" t="s">
        <v>32</v>
      </c>
      <c r="V212" t="s">
        <v>49</v>
      </c>
      <c r="W212" t="s">
        <v>49</v>
      </c>
      <c r="X212" t="s">
        <v>34</v>
      </c>
      <c r="Y212" t="s">
        <v>58</v>
      </c>
      <c r="Z212" t="s">
        <v>44</v>
      </c>
      <c r="AA212" t="s">
        <v>93</v>
      </c>
      <c r="AB212" t="s">
        <v>46</v>
      </c>
      <c r="AC212">
        <f>IF(Cdacdata[[#This Row],[placement_status]]="Placed",1,0)</f>
        <v>1</v>
      </c>
      <c r="AD212" t="s">
        <v>110</v>
      </c>
      <c r="AE212" t="s">
        <v>63</v>
      </c>
      <c r="AF212" t="s">
        <v>63</v>
      </c>
      <c r="AG212">
        <v>2022</v>
      </c>
      <c r="AH212" t="s">
        <v>111</v>
      </c>
      <c r="AI212" t="str">
        <f>IF(Cdacdata[ccat_rank]&lt;=100,"Top 100",
IF(Cdacdata[ccat_rank]&lt;=500,"101–500",
IF(Cdacdata[ccat_rank]&lt;=1000,"501–1000",
"1000+")))</f>
        <v>1000+</v>
      </c>
    </row>
    <row r="213" spans="1:35" x14ac:dyDescent="0.3">
      <c r="A213" s="1" t="s">
        <v>109</v>
      </c>
      <c r="B213">
        <v>220105094</v>
      </c>
      <c r="C213" s="2"/>
      <c r="D213" s="2"/>
      <c r="E213" t="s">
        <v>63</v>
      </c>
      <c r="G213">
        <v>0</v>
      </c>
      <c r="H213">
        <v>0</v>
      </c>
      <c r="I213">
        <v>0</v>
      </c>
      <c r="J213">
        <v>0</v>
      </c>
      <c r="K213" s="3">
        <f t="shared" si="3"/>
        <v>0</v>
      </c>
      <c r="L213" t="s">
        <v>27</v>
      </c>
      <c r="M213" t="s">
        <v>27</v>
      </c>
      <c r="N213">
        <v>23</v>
      </c>
      <c r="O213" t="s">
        <v>373</v>
      </c>
      <c r="P213" t="s">
        <v>26</v>
      </c>
      <c r="Q213" t="s">
        <v>374</v>
      </c>
      <c r="R213">
        <v>579</v>
      </c>
      <c r="S213">
        <v>72.375</v>
      </c>
      <c r="T213" t="s">
        <v>33</v>
      </c>
      <c r="U213" t="s">
        <v>32</v>
      </c>
      <c r="V213" t="s">
        <v>33</v>
      </c>
      <c r="W213" t="s">
        <v>49</v>
      </c>
      <c r="X213" t="s">
        <v>34</v>
      </c>
      <c r="Y213" t="s">
        <v>58</v>
      </c>
      <c r="Z213" t="s">
        <v>44</v>
      </c>
      <c r="AA213" t="s">
        <v>93</v>
      </c>
      <c r="AB213" t="s">
        <v>46</v>
      </c>
      <c r="AC213">
        <f>IF(Cdacdata[[#This Row],[placement_status]]="Placed",1,0)</f>
        <v>1</v>
      </c>
      <c r="AD213" t="s">
        <v>110</v>
      </c>
      <c r="AE213" t="s">
        <v>63</v>
      </c>
      <c r="AF213" t="s">
        <v>63</v>
      </c>
      <c r="AG213">
        <v>2022</v>
      </c>
      <c r="AH213" t="s">
        <v>111</v>
      </c>
      <c r="AI213" t="str">
        <f>IF(Cdacdata[ccat_rank]&lt;=100,"Top 100",
IF(Cdacdata[ccat_rank]&lt;=500,"101–500",
IF(Cdacdata[ccat_rank]&lt;=1000,"501–1000",
"1000+")))</f>
        <v>1000+</v>
      </c>
    </row>
    <row r="214" spans="1:35" x14ac:dyDescent="0.3">
      <c r="A214" s="1" t="s">
        <v>109</v>
      </c>
      <c r="B214">
        <v>211202801</v>
      </c>
      <c r="C214" s="2">
        <v>44615</v>
      </c>
      <c r="D214" s="2" t="s">
        <v>549</v>
      </c>
      <c r="E214">
        <v>1306</v>
      </c>
      <c r="F214" s="2">
        <v>33362</v>
      </c>
      <c r="G214">
        <v>90.76</v>
      </c>
      <c r="H214">
        <v>80</v>
      </c>
      <c r="I214" t="s">
        <v>26</v>
      </c>
      <c r="J214">
        <v>60</v>
      </c>
      <c r="K214" s="3">
        <f t="shared" si="3"/>
        <v>76.92</v>
      </c>
      <c r="L214" t="s">
        <v>27</v>
      </c>
      <c r="M214" t="s">
        <v>27</v>
      </c>
      <c r="N214">
        <v>30</v>
      </c>
      <c r="O214" t="s">
        <v>28</v>
      </c>
      <c r="P214" t="s">
        <v>65</v>
      </c>
      <c r="Q214" t="s">
        <v>30</v>
      </c>
      <c r="R214">
        <v>508</v>
      </c>
      <c r="S214">
        <v>63.5</v>
      </c>
      <c r="T214" t="s">
        <v>31</v>
      </c>
      <c r="U214" t="s">
        <v>32</v>
      </c>
      <c r="V214" t="s">
        <v>31</v>
      </c>
      <c r="W214" t="s">
        <v>49</v>
      </c>
      <c r="X214" t="s">
        <v>34</v>
      </c>
      <c r="Y214" t="s">
        <v>50</v>
      </c>
      <c r="Z214" t="s">
        <v>44</v>
      </c>
      <c r="AA214" t="s">
        <v>134</v>
      </c>
      <c r="AB214" t="s">
        <v>46</v>
      </c>
      <c r="AC214">
        <f>IF(Cdacdata[[#This Row],[placement_status]]="Placed",1,0)</f>
        <v>1</v>
      </c>
      <c r="AD214" t="s">
        <v>110</v>
      </c>
      <c r="AE214" t="s">
        <v>47</v>
      </c>
      <c r="AF214" t="s">
        <v>69</v>
      </c>
      <c r="AG214">
        <v>2022</v>
      </c>
      <c r="AH214" t="s">
        <v>111</v>
      </c>
      <c r="AI214" t="str">
        <f>IF(Cdacdata[ccat_rank]&lt;=100,"Top 100",
IF(Cdacdata[ccat_rank]&lt;=500,"101–500",
IF(Cdacdata[ccat_rank]&lt;=1000,"501–1000",
"1000+")))</f>
        <v>1000+</v>
      </c>
    </row>
    <row r="215" spans="1:35" x14ac:dyDescent="0.3">
      <c r="A215" s="1" t="s">
        <v>109</v>
      </c>
      <c r="B215">
        <v>211201710</v>
      </c>
      <c r="C215" s="2"/>
      <c r="D215" s="2"/>
      <c r="E215" t="s">
        <v>63</v>
      </c>
      <c r="G215">
        <v>0</v>
      </c>
      <c r="H215">
        <v>0</v>
      </c>
      <c r="I215">
        <v>0</v>
      </c>
      <c r="J215">
        <v>0</v>
      </c>
      <c r="K215" s="3">
        <f t="shared" si="3"/>
        <v>0</v>
      </c>
      <c r="L215" t="s">
        <v>27</v>
      </c>
      <c r="M215" t="s">
        <v>27</v>
      </c>
      <c r="N215">
        <v>23</v>
      </c>
      <c r="O215" t="s">
        <v>373</v>
      </c>
      <c r="P215" t="s">
        <v>26</v>
      </c>
      <c r="Q215" t="s">
        <v>374</v>
      </c>
      <c r="R215">
        <v>507</v>
      </c>
      <c r="S215">
        <v>63.375</v>
      </c>
      <c r="T215" t="s">
        <v>49</v>
      </c>
      <c r="U215" t="s">
        <v>32</v>
      </c>
      <c r="V215" t="s">
        <v>49</v>
      </c>
      <c r="W215" t="s">
        <v>31</v>
      </c>
      <c r="X215" t="s">
        <v>34</v>
      </c>
      <c r="Y215" t="s">
        <v>50</v>
      </c>
      <c r="Z215" t="s">
        <v>44</v>
      </c>
      <c r="AA215" t="s">
        <v>135</v>
      </c>
      <c r="AB215" t="s">
        <v>46</v>
      </c>
      <c r="AC215">
        <f>IF(Cdacdata[[#This Row],[placement_status]]="Placed",1,0)</f>
        <v>1</v>
      </c>
      <c r="AD215" t="s">
        <v>110</v>
      </c>
      <c r="AE215" t="s">
        <v>63</v>
      </c>
      <c r="AF215" t="s">
        <v>63</v>
      </c>
      <c r="AG215">
        <v>2022</v>
      </c>
      <c r="AH215" t="s">
        <v>111</v>
      </c>
      <c r="AI215" t="str">
        <f>IF(Cdacdata[ccat_rank]&lt;=100,"Top 100",
IF(Cdacdata[ccat_rank]&lt;=500,"101–500",
IF(Cdacdata[ccat_rank]&lt;=1000,"501–1000",
"1000+")))</f>
        <v>1000+</v>
      </c>
    </row>
    <row r="216" spans="1:35" x14ac:dyDescent="0.3">
      <c r="A216" s="1" t="s">
        <v>109</v>
      </c>
      <c r="B216">
        <v>211206012</v>
      </c>
      <c r="C216" s="2"/>
      <c r="D216" s="2"/>
      <c r="E216" t="s">
        <v>63</v>
      </c>
      <c r="G216">
        <v>0</v>
      </c>
      <c r="H216">
        <v>0</v>
      </c>
      <c r="I216">
        <v>0</v>
      </c>
      <c r="J216">
        <v>0</v>
      </c>
      <c r="K216" s="3">
        <f t="shared" si="3"/>
        <v>0</v>
      </c>
      <c r="L216" t="s">
        <v>27</v>
      </c>
      <c r="M216" t="s">
        <v>27</v>
      </c>
      <c r="N216">
        <v>23</v>
      </c>
      <c r="O216" t="s">
        <v>373</v>
      </c>
      <c r="P216" t="s">
        <v>26</v>
      </c>
      <c r="Q216" t="s">
        <v>374</v>
      </c>
      <c r="R216">
        <v>588</v>
      </c>
      <c r="S216">
        <v>73.5</v>
      </c>
      <c r="T216" t="s">
        <v>31</v>
      </c>
      <c r="U216" t="s">
        <v>32</v>
      </c>
      <c r="V216" t="s">
        <v>31</v>
      </c>
      <c r="W216" t="s">
        <v>49</v>
      </c>
      <c r="X216" t="s">
        <v>34</v>
      </c>
      <c r="Y216" t="s">
        <v>58</v>
      </c>
      <c r="Z216" t="s">
        <v>44</v>
      </c>
      <c r="AA216" t="s">
        <v>136</v>
      </c>
      <c r="AB216" t="s">
        <v>46</v>
      </c>
      <c r="AC216">
        <f>IF(Cdacdata[[#This Row],[placement_status]]="Placed",1,0)</f>
        <v>1</v>
      </c>
      <c r="AD216" t="s">
        <v>110</v>
      </c>
      <c r="AE216" t="s">
        <v>63</v>
      </c>
      <c r="AF216" t="s">
        <v>63</v>
      </c>
      <c r="AG216">
        <v>2022</v>
      </c>
      <c r="AH216" t="s">
        <v>111</v>
      </c>
      <c r="AI216" t="str">
        <f>IF(Cdacdata[ccat_rank]&lt;=100,"Top 100",
IF(Cdacdata[ccat_rank]&lt;=500,"101–500",
IF(Cdacdata[ccat_rank]&lt;=1000,"501–1000",
"1000+")))</f>
        <v>1000+</v>
      </c>
    </row>
    <row r="217" spans="1:35" x14ac:dyDescent="0.3">
      <c r="A217" s="1" t="s">
        <v>109</v>
      </c>
      <c r="B217">
        <v>211202573</v>
      </c>
      <c r="C217" s="2"/>
      <c r="D217" s="2"/>
      <c r="E217" t="s">
        <v>63</v>
      </c>
      <c r="G217">
        <v>0</v>
      </c>
      <c r="H217">
        <v>0</v>
      </c>
      <c r="I217">
        <v>0</v>
      </c>
      <c r="J217">
        <v>0</v>
      </c>
      <c r="K217" s="3">
        <f t="shared" si="3"/>
        <v>0</v>
      </c>
      <c r="L217" t="s">
        <v>27</v>
      </c>
      <c r="M217" t="s">
        <v>27</v>
      </c>
      <c r="N217">
        <v>23</v>
      </c>
      <c r="O217" t="s">
        <v>373</v>
      </c>
      <c r="P217" t="s">
        <v>26</v>
      </c>
      <c r="Q217" t="s">
        <v>374</v>
      </c>
      <c r="R217">
        <v>520</v>
      </c>
      <c r="S217">
        <v>65</v>
      </c>
      <c r="T217" t="s">
        <v>33</v>
      </c>
      <c r="U217" t="s">
        <v>32</v>
      </c>
      <c r="V217" t="s">
        <v>33</v>
      </c>
      <c r="W217" t="s">
        <v>33</v>
      </c>
      <c r="X217" t="s">
        <v>34</v>
      </c>
      <c r="Y217" t="s">
        <v>50</v>
      </c>
      <c r="Z217" t="s">
        <v>44</v>
      </c>
      <c r="AA217" t="s">
        <v>121</v>
      </c>
      <c r="AB217" t="s">
        <v>46</v>
      </c>
      <c r="AC217">
        <f>IF(Cdacdata[[#This Row],[placement_status]]="Placed",1,0)</f>
        <v>1</v>
      </c>
      <c r="AD217" t="s">
        <v>110</v>
      </c>
      <c r="AE217" t="s">
        <v>63</v>
      </c>
      <c r="AF217" t="s">
        <v>63</v>
      </c>
      <c r="AG217">
        <v>2022</v>
      </c>
      <c r="AH217" t="s">
        <v>111</v>
      </c>
      <c r="AI217" t="str">
        <f>IF(Cdacdata[ccat_rank]&lt;=100,"Top 100",
IF(Cdacdata[ccat_rank]&lt;=500,"101–500",
IF(Cdacdata[ccat_rank]&lt;=1000,"501–1000",
"1000+")))</f>
        <v>1000+</v>
      </c>
    </row>
    <row r="218" spans="1:35" x14ac:dyDescent="0.3">
      <c r="A218" s="1" t="s">
        <v>109</v>
      </c>
      <c r="B218">
        <v>211201230</v>
      </c>
      <c r="C218" s="2">
        <v>44615</v>
      </c>
      <c r="D218" s="2" t="s">
        <v>550</v>
      </c>
      <c r="E218">
        <v>1224</v>
      </c>
      <c r="F218" s="2">
        <v>35368</v>
      </c>
      <c r="G218">
        <v>81.09</v>
      </c>
      <c r="H218">
        <v>71.69</v>
      </c>
      <c r="I218" t="s">
        <v>26</v>
      </c>
      <c r="J218">
        <v>65</v>
      </c>
      <c r="K218" s="3">
        <f t="shared" si="3"/>
        <v>72.593333333333334</v>
      </c>
      <c r="L218" t="s">
        <v>27</v>
      </c>
      <c r="M218" t="s">
        <v>27</v>
      </c>
      <c r="N218">
        <v>25</v>
      </c>
      <c r="O218" t="s">
        <v>28</v>
      </c>
      <c r="P218" t="s">
        <v>26</v>
      </c>
      <c r="Q218" t="s">
        <v>30</v>
      </c>
      <c r="R218">
        <v>555</v>
      </c>
      <c r="S218">
        <v>69.375</v>
      </c>
      <c r="T218" t="s">
        <v>49</v>
      </c>
      <c r="U218" t="s">
        <v>32</v>
      </c>
      <c r="V218" t="s">
        <v>49</v>
      </c>
      <c r="W218" t="s">
        <v>49</v>
      </c>
      <c r="X218" t="s">
        <v>34</v>
      </c>
      <c r="Y218" t="s">
        <v>50</v>
      </c>
      <c r="Z218" t="s">
        <v>44</v>
      </c>
      <c r="AA218" t="s">
        <v>120</v>
      </c>
      <c r="AB218" t="s">
        <v>46</v>
      </c>
      <c r="AC218">
        <f>IF(Cdacdata[[#This Row],[placement_status]]="Placed",1,0)</f>
        <v>1</v>
      </c>
      <c r="AD218" t="s">
        <v>110</v>
      </c>
      <c r="AE218" t="s">
        <v>47</v>
      </c>
      <c r="AF218" t="s">
        <v>39</v>
      </c>
      <c r="AG218">
        <v>2022</v>
      </c>
      <c r="AH218" t="s">
        <v>111</v>
      </c>
      <c r="AI218" t="str">
        <f>IF(Cdacdata[ccat_rank]&lt;=100,"Top 100",
IF(Cdacdata[ccat_rank]&lt;=500,"101–500",
IF(Cdacdata[ccat_rank]&lt;=1000,"501–1000",
"1000+")))</f>
        <v>1000+</v>
      </c>
    </row>
    <row r="219" spans="1:35" x14ac:dyDescent="0.3">
      <c r="A219" s="1" t="s">
        <v>109</v>
      </c>
      <c r="B219">
        <v>211202385</v>
      </c>
      <c r="C219" s="2"/>
      <c r="D219" s="2"/>
      <c r="E219" t="s">
        <v>63</v>
      </c>
      <c r="G219">
        <v>0</v>
      </c>
      <c r="H219">
        <v>0</v>
      </c>
      <c r="I219">
        <v>0</v>
      </c>
      <c r="J219">
        <v>0</v>
      </c>
      <c r="K219" s="3">
        <f t="shared" si="3"/>
        <v>0</v>
      </c>
      <c r="L219" t="s">
        <v>27</v>
      </c>
      <c r="M219" t="s">
        <v>27</v>
      </c>
      <c r="N219">
        <v>23</v>
      </c>
      <c r="O219" t="s">
        <v>373</v>
      </c>
      <c r="P219" t="s">
        <v>26</v>
      </c>
      <c r="Q219" t="s">
        <v>374</v>
      </c>
      <c r="R219">
        <v>561</v>
      </c>
      <c r="S219">
        <v>70.125</v>
      </c>
      <c r="T219" t="s">
        <v>31</v>
      </c>
      <c r="U219" t="s">
        <v>32</v>
      </c>
      <c r="V219" t="s">
        <v>31</v>
      </c>
      <c r="W219" t="s">
        <v>33</v>
      </c>
      <c r="X219" t="s">
        <v>34</v>
      </c>
      <c r="Y219" t="s">
        <v>58</v>
      </c>
      <c r="Z219" t="s">
        <v>44</v>
      </c>
      <c r="AA219" t="s">
        <v>137</v>
      </c>
      <c r="AB219" t="s">
        <v>46</v>
      </c>
      <c r="AC219">
        <f>IF(Cdacdata[[#This Row],[placement_status]]="Placed",1,0)</f>
        <v>1</v>
      </c>
      <c r="AD219" t="s">
        <v>110</v>
      </c>
      <c r="AE219" t="s">
        <v>63</v>
      </c>
      <c r="AF219" t="s">
        <v>63</v>
      </c>
      <c r="AG219">
        <v>2022</v>
      </c>
      <c r="AH219" t="s">
        <v>111</v>
      </c>
      <c r="AI219" t="str">
        <f>IF(Cdacdata[ccat_rank]&lt;=100,"Top 100",
IF(Cdacdata[ccat_rank]&lt;=500,"101–500",
IF(Cdacdata[ccat_rank]&lt;=1000,"501–1000",
"1000+")))</f>
        <v>1000+</v>
      </c>
    </row>
    <row r="220" spans="1:35" x14ac:dyDescent="0.3">
      <c r="A220" s="1" t="s">
        <v>109</v>
      </c>
      <c r="B220">
        <v>211205424</v>
      </c>
      <c r="C220" s="2"/>
      <c r="D220" s="2"/>
      <c r="E220" t="s">
        <v>63</v>
      </c>
      <c r="G220">
        <v>0</v>
      </c>
      <c r="H220">
        <v>0</v>
      </c>
      <c r="I220">
        <v>0</v>
      </c>
      <c r="J220">
        <v>0</v>
      </c>
      <c r="K220" s="3">
        <f t="shared" si="3"/>
        <v>0</v>
      </c>
      <c r="L220" t="s">
        <v>27</v>
      </c>
      <c r="M220" t="s">
        <v>27</v>
      </c>
      <c r="N220">
        <v>23</v>
      </c>
      <c r="O220" t="s">
        <v>373</v>
      </c>
      <c r="P220" t="s">
        <v>26</v>
      </c>
      <c r="Q220" t="s">
        <v>374</v>
      </c>
      <c r="R220">
        <v>457</v>
      </c>
      <c r="S220">
        <v>57.125</v>
      </c>
      <c r="T220" t="s">
        <v>103</v>
      </c>
      <c r="U220" t="s">
        <v>32</v>
      </c>
      <c r="V220" t="s">
        <v>103</v>
      </c>
      <c r="W220" t="s">
        <v>31</v>
      </c>
      <c r="X220" t="s">
        <v>34</v>
      </c>
      <c r="Y220" t="s">
        <v>35</v>
      </c>
      <c r="Z220" t="s">
        <v>44</v>
      </c>
      <c r="AA220" t="s">
        <v>138</v>
      </c>
      <c r="AB220" t="s">
        <v>46</v>
      </c>
      <c r="AC220">
        <f>IF(Cdacdata[[#This Row],[placement_status]]="Placed",1,0)</f>
        <v>1</v>
      </c>
      <c r="AD220" t="s">
        <v>110</v>
      </c>
      <c r="AE220" t="s">
        <v>63</v>
      </c>
      <c r="AF220" t="s">
        <v>63</v>
      </c>
      <c r="AG220">
        <v>2022</v>
      </c>
      <c r="AH220" t="s">
        <v>111</v>
      </c>
      <c r="AI220" t="str">
        <f>IF(Cdacdata[ccat_rank]&lt;=100,"Top 100",
IF(Cdacdata[ccat_rank]&lt;=500,"101–500",
IF(Cdacdata[ccat_rank]&lt;=1000,"501–1000",
"1000+")))</f>
        <v>1000+</v>
      </c>
    </row>
    <row r="221" spans="1:35" x14ac:dyDescent="0.3">
      <c r="A221" s="1" t="s">
        <v>109</v>
      </c>
      <c r="B221">
        <v>211200167</v>
      </c>
      <c r="C221" s="2"/>
      <c r="D221" s="2"/>
      <c r="E221" t="s">
        <v>63</v>
      </c>
      <c r="G221">
        <v>0</v>
      </c>
      <c r="H221">
        <v>0</v>
      </c>
      <c r="I221">
        <v>0</v>
      </c>
      <c r="J221">
        <v>0</v>
      </c>
      <c r="K221" s="3">
        <f t="shared" si="3"/>
        <v>0</v>
      </c>
      <c r="L221" t="s">
        <v>27</v>
      </c>
      <c r="M221" t="s">
        <v>27</v>
      </c>
      <c r="N221">
        <v>23</v>
      </c>
      <c r="O221" t="s">
        <v>373</v>
      </c>
      <c r="P221" t="s">
        <v>26</v>
      </c>
      <c r="Q221" t="s">
        <v>374</v>
      </c>
      <c r="R221">
        <v>482</v>
      </c>
      <c r="S221">
        <v>60.25</v>
      </c>
      <c r="T221" t="s">
        <v>33</v>
      </c>
      <c r="U221" t="s">
        <v>32</v>
      </c>
      <c r="V221" t="s">
        <v>33</v>
      </c>
      <c r="W221" t="s">
        <v>31</v>
      </c>
      <c r="X221" t="s">
        <v>34</v>
      </c>
      <c r="Y221" t="s">
        <v>50</v>
      </c>
      <c r="Z221" t="s">
        <v>53</v>
      </c>
      <c r="AA221" t="s">
        <v>54</v>
      </c>
      <c r="AB221" t="s">
        <v>46</v>
      </c>
      <c r="AC221">
        <f>IF(Cdacdata[[#This Row],[placement_status]]="Placed",1,0)</f>
        <v>1</v>
      </c>
      <c r="AD221" t="s">
        <v>110</v>
      </c>
      <c r="AE221" t="s">
        <v>63</v>
      </c>
      <c r="AF221" t="s">
        <v>63</v>
      </c>
      <c r="AG221">
        <v>2022</v>
      </c>
      <c r="AH221" t="s">
        <v>111</v>
      </c>
      <c r="AI221" t="str">
        <f>IF(Cdacdata[ccat_rank]&lt;=100,"Top 100",
IF(Cdacdata[ccat_rank]&lt;=500,"101–500",
IF(Cdacdata[ccat_rank]&lt;=1000,"501–1000",
"1000+")))</f>
        <v>1000+</v>
      </c>
    </row>
    <row r="222" spans="1:35" x14ac:dyDescent="0.3">
      <c r="A222" s="1" t="s">
        <v>109</v>
      </c>
      <c r="B222">
        <v>220100482</v>
      </c>
      <c r="C222" s="2">
        <v>44614</v>
      </c>
      <c r="D222" s="2" t="s">
        <v>551</v>
      </c>
      <c r="E222">
        <v>1305</v>
      </c>
      <c r="F222" s="2">
        <v>35444</v>
      </c>
      <c r="G222">
        <v>90.55</v>
      </c>
      <c r="H222">
        <v>77.08</v>
      </c>
      <c r="I222" t="s">
        <v>26</v>
      </c>
      <c r="J222">
        <v>58.27</v>
      </c>
      <c r="K222" s="3">
        <f t="shared" si="3"/>
        <v>75.3</v>
      </c>
      <c r="L222" t="s">
        <v>27</v>
      </c>
      <c r="M222" t="s">
        <v>27</v>
      </c>
      <c r="N222">
        <v>25</v>
      </c>
      <c r="O222" t="s">
        <v>72</v>
      </c>
      <c r="P222" t="s">
        <v>65</v>
      </c>
      <c r="Q222" t="s">
        <v>30</v>
      </c>
      <c r="R222">
        <v>563</v>
      </c>
      <c r="S222">
        <v>70.375</v>
      </c>
      <c r="T222" t="s">
        <v>49</v>
      </c>
      <c r="U222" t="s">
        <v>32</v>
      </c>
      <c r="V222" t="s">
        <v>49</v>
      </c>
      <c r="W222" t="s">
        <v>33</v>
      </c>
      <c r="X222" t="s">
        <v>34</v>
      </c>
      <c r="Y222" t="s">
        <v>58</v>
      </c>
      <c r="Z222" t="s">
        <v>36</v>
      </c>
      <c r="AA222" t="s">
        <v>1268</v>
      </c>
      <c r="AB222" t="s">
        <v>36</v>
      </c>
      <c r="AC222">
        <f>IF(Cdacdata[[#This Row],[placement_status]]="Placed",1,0)</f>
        <v>0</v>
      </c>
      <c r="AD222" t="s">
        <v>110</v>
      </c>
      <c r="AE222" t="s">
        <v>47</v>
      </c>
      <c r="AF222" t="s">
        <v>39</v>
      </c>
      <c r="AG222">
        <v>2022</v>
      </c>
      <c r="AH222" t="s">
        <v>111</v>
      </c>
      <c r="AI222" t="str">
        <f>IF(Cdacdata[ccat_rank]&lt;=100,"Top 100",
IF(Cdacdata[ccat_rank]&lt;=500,"101–500",
IF(Cdacdata[ccat_rank]&lt;=1000,"501–1000",
"1000+")))</f>
        <v>1000+</v>
      </c>
    </row>
    <row r="223" spans="1:35" x14ac:dyDescent="0.3">
      <c r="A223" s="1" t="s">
        <v>109</v>
      </c>
      <c r="B223">
        <v>211207572</v>
      </c>
      <c r="C223" s="2">
        <v>44614</v>
      </c>
      <c r="D223" s="2" t="s">
        <v>552</v>
      </c>
      <c r="E223">
        <v>1397</v>
      </c>
      <c r="F223" s="2">
        <v>35679</v>
      </c>
      <c r="G223">
        <v>87.4</v>
      </c>
      <c r="H223">
        <v>73.849999999999994</v>
      </c>
      <c r="I223" t="s">
        <v>26</v>
      </c>
      <c r="J223">
        <v>60.72</v>
      </c>
      <c r="K223" s="3">
        <f t="shared" si="3"/>
        <v>73.989999999999995</v>
      </c>
      <c r="L223" t="s">
        <v>27</v>
      </c>
      <c r="M223" t="s">
        <v>27</v>
      </c>
      <c r="N223">
        <v>24</v>
      </c>
      <c r="O223" t="s">
        <v>28</v>
      </c>
      <c r="P223" t="s">
        <v>56</v>
      </c>
      <c r="Q223" t="s">
        <v>26</v>
      </c>
      <c r="R223">
        <v>563</v>
      </c>
      <c r="S223">
        <v>70.375</v>
      </c>
      <c r="T223" t="s">
        <v>31</v>
      </c>
      <c r="U223" t="s">
        <v>32</v>
      </c>
      <c r="V223" t="s">
        <v>31</v>
      </c>
      <c r="W223" t="s">
        <v>33</v>
      </c>
      <c r="X223" t="s">
        <v>34</v>
      </c>
      <c r="Y223" t="s">
        <v>58</v>
      </c>
      <c r="Z223" t="s">
        <v>44</v>
      </c>
      <c r="AA223" t="s">
        <v>117</v>
      </c>
      <c r="AB223" t="s">
        <v>46</v>
      </c>
      <c r="AC223">
        <f>IF(Cdacdata[[#This Row],[placement_status]]="Placed",1,0)</f>
        <v>1</v>
      </c>
      <c r="AD223" t="s">
        <v>110</v>
      </c>
      <c r="AE223" t="s">
        <v>47</v>
      </c>
      <c r="AF223" t="s">
        <v>39</v>
      </c>
      <c r="AG223">
        <v>2022</v>
      </c>
      <c r="AH223" t="s">
        <v>111</v>
      </c>
      <c r="AI223" t="str">
        <f>IF(Cdacdata[ccat_rank]&lt;=100,"Top 100",
IF(Cdacdata[ccat_rank]&lt;=500,"101–500",
IF(Cdacdata[ccat_rank]&lt;=1000,"501–1000",
"1000+")))</f>
        <v>1000+</v>
      </c>
    </row>
    <row r="224" spans="1:35" x14ac:dyDescent="0.3">
      <c r="A224" s="1" t="s">
        <v>109</v>
      </c>
      <c r="B224">
        <v>220108900</v>
      </c>
      <c r="C224" s="2"/>
      <c r="D224" s="2"/>
      <c r="E224" t="s">
        <v>63</v>
      </c>
      <c r="G224">
        <v>0</v>
      </c>
      <c r="H224">
        <v>0</v>
      </c>
      <c r="I224">
        <v>0</v>
      </c>
      <c r="J224">
        <v>0</v>
      </c>
      <c r="K224" s="3">
        <f t="shared" si="3"/>
        <v>0</v>
      </c>
      <c r="L224" t="s">
        <v>27</v>
      </c>
      <c r="M224" t="s">
        <v>27</v>
      </c>
      <c r="N224">
        <v>23</v>
      </c>
      <c r="O224" t="s">
        <v>373</v>
      </c>
      <c r="P224" t="s">
        <v>26</v>
      </c>
      <c r="Q224" t="s">
        <v>374</v>
      </c>
      <c r="R224">
        <v>580</v>
      </c>
      <c r="S224">
        <v>72.5</v>
      </c>
      <c r="T224" t="s">
        <v>31</v>
      </c>
      <c r="U224" t="s">
        <v>32</v>
      </c>
      <c r="V224" t="s">
        <v>31</v>
      </c>
      <c r="W224" t="s">
        <v>31</v>
      </c>
      <c r="X224" t="s">
        <v>34</v>
      </c>
      <c r="Y224" t="s">
        <v>58</v>
      </c>
      <c r="Z224" t="s">
        <v>36</v>
      </c>
      <c r="AA224" t="s">
        <v>1268</v>
      </c>
      <c r="AB224" t="s">
        <v>36</v>
      </c>
      <c r="AC224">
        <f>IF(Cdacdata[[#This Row],[placement_status]]="Placed",1,0)</f>
        <v>0</v>
      </c>
      <c r="AD224" t="s">
        <v>110</v>
      </c>
      <c r="AE224" t="s">
        <v>63</v>
      </c>
      <c r="AF224" t="s">
        <v>63</v>
      </c>
      <c r="AG224">
        <v>2022</v>
      </c>
      <c r="AH224" t="s">
        <v>111</v>
      </c>
      <c r="AI224" t="str">
        <f>IF(Cdacdata[ccat_rank]&lt;=100,"Top 100",
IF(Cdacdata[ccat_rank]&lt;=500,"101–500",
IF(Cdacdata[ccat_rank]&lt;=1000,"501–1000",
"1000+")))</f>
        <v>1000+</v>
      </c>
    </row>
    <row r="225" spans="1:35" x14ac:dyDescent="0.3">
      <c r="A225" s="1" t="s">
        <v>109</v>
      </c>
      <c r="B225">
        <v>211206085</v>
      </c>
      <c r="C225" s="2">
        <v>44615</v>
      </c>
      <c r="D225" s="2" t="s">
        <v>553</v>
      </c>
      <c r="E225">
        <v>1067</v>
      </c>
      <c r="F225" s="2">
        <v>36448</v>
      </c>
      <c r="G225">
        <v>79.2</v>
      </c>
      <c r="H225">
        <v>69.540000000000006</v>
      </c>
      <c r="I225" t="s">
        <v>26</v>
      </c>
      <c r="J225">
        <v>65.650000000000006</v>
      </c>
      <c r="K225" s="3">
        <f t="shared" si="3"/>
        <v>71.463333333333338</v>
      </c>
      <c r="L225" t="s">
        <v>27</v>
      </c>
      <c r="M225" t="s">
        <v>27</v>
      </c>
      <c r="N225">
        <v>22</v>
      </c>
      <c r="O225" t="s">
        <v>28</v>
      </c>
      <c r="P225" t="s">
        <v>42</v>
      </c>
      <c r="Q225" t="s">
        <v>30</v>
      </c>
      <c r="R225">
        <v>557</v>
      </c>
      <c r="S225">
        <v>69.625</v>
      </c>
      <c r="T225" t="s">
        <v>31</v>
      </c>
      <c r="U225" t="s">
        <v>32</v>
      </c>
      <c r="V225" t="s">
        <v>31</v>
      </c>
      <c r="W225" t="s">
        <v>49</v>
      </c>
      <c r="X225" t="s">
        <v>34</v>
      </c>
      <c r="Y225" t="s">
        <v>50</v>
      </c>
      <c r="Z225" t="s">
        <v>44</v>
      </c>
      <c r="AA225" t="s">
        <v>93</v>
      </c>
      <c r="AB225" t="s">
        <v>46</v>
      </c>
      <c r="AC225">
        <f>IF(Cdacdata[[#This Row],[placement_status]]="Placed",1,0)</f>
        <v>1</v>
      </c>
      <c r="AD225" t="s">
        <v>110</v>
      </c>
      <c r="AE225" t="s">
        <v>47</v>
      </c>
      <c r="AF225" t="s">
        <v>57</v>
      </c>
      <c r="AG225">
        <v>2022</v>
      </c>
      <c r="AH225" t="s">
        <v>111</v>
      </c>
      <c r="AI225" t="str">
        <f>IF(Cdacdata[ccat_rank]&lt;=100,"Top 100",
IF(Cdacdata[ccat_rank]&lt;=500,"101–500",
IF(Cdacdata[ccat_rank]&lt;=1000,"501–1000",
"1000+")))</f>
        <v>1000+</v>
      </c>
    </row>
    <row r="226" spans="1:35" x14ac:dyDescent="0.3">
      <c r="A226" s="1" t="s">
        <v>109</v>
      </c>
      <c r="B226">
        <v>220109322</v>
      </c>
      <c r="C226" s="2"/>
      <c r="D226" s="2"/>
      <c r="E226" t="s">
        <v>63</v>
      </c>
      <c r="G226">
        <v>0</v>
      </c>
      <c r="H226">
        <v>0</v>
      </c>
      <c r="I226">
        <v>0</v>
      </c>
      <c r="J226">
        <v>0</v>
      </c>
      <c r="K226" s="3">
        <f t="shared" si="3"/>
        <v>0</v>
      </c>
      <c r="L226" t="s">
        <v>27</v>
      </c>
      <c r="M226" t="s">
        <v>27</v>
      </c>
      <c r="N226">
        <v>23</v>
      </c>
      <c r="O226" t="s">
        <v>373</v>
      </c>
      <c r="P226" t="s">
        <v>26</v>
      </c>
      <c r="Q226" t="s">
        <v>374</v>
      </c>
      <c r="R226">
        <v>458</v>
      </c>
      <c r="S226">
        <v>57.25</v>
      </c>
      <c r="T226" t="s">
        <v>49</v>
      </c>
      <c r="U226" t="s">
        <v>32</v>
      </c>
      <c r="V226" t="s">
        <v>49</v>
      </c>
      <c r="W226" t="s">
        <v>31</v>
      </c>
      <c r="X226" t="s">
        <v>34</v>
      </c>
      <c r="Y226" t="s">
        <v>35</v>
      </c>
      <c r="Z226" t="s">
        <v>44</v>
      </c>
      <c r="AA226" t="s">
        <v>139</v>
      </c>
      <c r="AB226" t="s">
        <v>46</v>
      </c>
      <c r="AC226">
        <f>IF(Cdacdata[[#This Row],[placement_status]]="Placed",1,0)</f>
        <v>1</v>
      </c>
      <c r="AD226" t="s">
        <v>110</v>
      </c>
      <c r="AE226" t="s">
        <v>63</v>
      </c>
      <c r="AF226" t="s">
        <v>63</v>
      </c>
      <c r="AG226">
        <v>2022</v>
      </c>
      <c r="AH226" t="s">
        <v>111</v>
      </c>
      <c r="AI226" t="str">
        <f>IF(Cdacdata[ccat_rank]&lt;=100,"Top 100",
IF(Cdacdata[ccat_rank]&lt;=500,"101–500",
IF(Cdacdata[ccat_rank]&lt;=1000,"501–1000",
"1000+")))</f>
        <v>1000+</v>
      </c>
    </row>
    <row r="227" spans="1:35" x14ac:dyDescent="0.3">
      <c r="A227" s="1" t="s">
        <v>109</v>
      </c>
      <c r="B227">
        <v>220107636</v>
      </c>
      <c r="C227" s="2"/>
      <c r="D227" s="2"/>
      <c r="E227" t="s">
        <v>63</v>
      </c>
      <c r="G227">
        <v>0</v>
      </c>
      <c r="H227">
        <v>0</v>
      </c>
      <c r="I227">
        <v>0</v>
      </c>
      <c r="J227">
        <v>0</v>
      </c>
      <c r="K227" s="3">
        <f t="shared" si="3"/>
        <v>0</v>
      </c>
      <c r="L227" t="s">
        <v>27</v>
      </c>
      <c r="M227" t="s">
        <v>27</v>
      </c>
      <c r="N227">
        <v>23</v>
      </c>
      <c r="O227" t="s">
        <v>373</v>
      </c>
      <c r="P227" t="s">
        <v>26</v>
      </c>
      <c r="Q227" t="s">
        <v>374</v>
      </c>
      <c r="R227">
        <v>615</v>
      </c>
      <c r="S227">
        <v>76.875</v>
      </c>
      <c r="T227" t="s">
        <v>49</v>
      </c>
      <c r="U227" t="s">
        <v>32</v>
      </c>
      <c r="V227" t="s">
        <v>49</v>
      </c>
      <c r="W227" t="s">
        <v>49</v>
      </c>
      <c r="X227" t="s">
        <v>34</v>
      </c>
      <c r="Y227" t="s">
        <v>58</v>
      </c>
      <c r="Z227" t="s">
        <v>44</v>
      </c>
      <c r="AA227" t="s">
        <v>114</v>
      </c>
      <c r="AB227" t="s">
        <v>46</v>
      </c>
      <c r="AC227">
        <f>IF(Cdacdata[[#This Row],[placement_status]]="Placed",1,0)</f>
        <v>1</v>
      </c>
      <c r="AD227" t="s">
        <v>110</v>
      </c>
      <c r="AE227" t="s">
        <v>63</v>
      </c>
      <c r="AF227" t="s">
        <v>63</v>
      </c>
      <c r="AG227">
        <v>2022</v>
      </c>
      <c r="AH227" t="s">
        <v>111</v>
      </c>
      <c r="AI227" t="str">
        <f>IF(Cdacdata[ccat_rank]&lt;=100,"Top 100",
IF(Cdacdata[ccat_rank]&lt;=500,"101–500",
IF(Cdacdata[ccat_rank]&lt;=1000,"501–1000",
"1000+")))</f>
        <v>1000+</v>
      </c>
    </row>
    <row r="228" spans="1:35" x14ac:dyDescent="0.3">
      <c r="A228" s="1" t="s">
        <v>109</v>
      </c>
      <c r="B228">
        <v>211205398</v>
      </c>
      <c r="C228" s="2">
        <v>44615</v>
      </c>
      <c r="D228" s="2" t="s">
        <v>554</v>
      </c>
      <c r="E228">
        <v>1115</v>
      </c>
      <c r="F228" s="2">
        <v>35973</v>
      </c>
      <c r="G228">
        <v>89</v>
      </c>
      <c r="H228">
        <v>71.69</v>
      </c>
      <c r="I228" t="s">
        <v>26</v>
      </c>
      <c r="J228">
        <v>66.66</v>
      </c>
      <c r="K228" s="3">
        <f t="shared" si="3"/>
        <v>75.783333333333331</v>
      </c>
      <c r="L228" t="s">
        <v>27</v>
      </c>
      <c r="M228" t="s">
        <v>27</v>
      </c>
      <c r="N228">
        <v>23</v>
      </c>
      <c r="O228" t="s">
        <v>28</v>
      </c>
      <c r="P228" t="s">
        <v>26</v>
      </c>
      <c r="Q228" t="s">
        <v>30</v>
      </c>
      <c r="R228">
        <v>510</v>
      </c>
      <c r="S228">
        <v>63.75</v>
      </c>
      <c r="T228" t="s">
        <v>49</v>
      </c>
      <c r="U228" t="s">
        <v>32</v>
      </c>
      <c r="V228" t="s">
        <v>49</v>
      </c>
      <c r="W228" t="s">
        <v>49</v>
      </c>
      <c r="X228" t="s">
        <v>34</v>
      </c>
      <c r="Y228" t="s">
        <v>50</v>
      </c>
      <c r="Z228" t="s">
        <v>44</v>
      </c>
      <c r="AA228" t="s">
        <v>140</v>
      </c>
      <c r="AB228" t="s">
        <v>46</v>
      </c>
      <c r="AC228">
        <f>IF(Cdacdata[[#This Row],[placement_status]]="Placed",1,0)</f>
        <v>1</v>
      </c>
      <c r="AD228" t="s">
        <v>110</v>
      </c>
      <c r="AE228" t="s">
        <v>47</v>
      </c>
      <c r="AF228" t="s">
        <v>39</v>
      </c>
      <c r="AG228">
        <v>2022</v>
      </c>
      <c r="AH228" t="s">
        <v>111</v>
      </c>
      <c r="AI228" t="str">
        <f>IF(Cdacdata[ccat_rank]&lt;=100,"Top 100",
IF(Cdacdata[ccat_rank]&lt;=500,"101–500",
IF(Cdacdata[ccat_rank]&lt;=1000,"501–1000",
"1000+")))</f>
        <v>1000+</v>
      </c>
    </row>
    <row r="229" spans="1:35" x14ac:dyDescent="0.3">
      <c r="A229" s="1" t="s">
        <v>109</v>
      </c>
      <c r="B229">
        <v>220102240</v>
      </c>
      <c r="C229" s="2">
        <v>44614</v>
      </c>
      <c r="D229" s="2" t="s">
        <v>555</v>
      </c>
      <c r="E229">
        <v>952</v>
      </c>
      <c r="F229" s="2">
        <v>35043</v>
      </c>
      <c r="G229">
        <v>75.599999999999994</v>
      </c>
      <c r="H229">
        <v>56.17</v>
      </c>
      <c r="I229" t="s">
        <v>26</v>
      </c>
      <c r="J229">
        <v>55</v>
      </c>
      <c r="K229" s="3">
        <f t="shared" si="3"/>
        <v>62.256666666666661</v>
      </c>
      <c r="L229" t="s">
        <v>27</v>
      </c>
      <c r="M229" t="s">
        <v>27</v>
      </c>
      <c r="N229">
        <v>26</v>
      </c>
      <c r="O229" t="s">
        <v>72</v>
      </c>
      <c r="P229" t="s">
        <v>42</v>
      </c>
      <c r="Q229" t="s">
        <v>30</v>
      </c>
      <c r="R229">
        <v>515</v>
      </c>
      <c r="S229">
        <v>64.375</v>
      </c>
      <c r="T229" t="s">
        <v>49</v>
      </c>
      <c r="U229" t="s">
        <v>32</v>
      </c>
      <c r="V229" t="s">
        <v>49</v>
      </c>
      <c r="W229" t="s">
        <v>33</v>
      </c>
      <c r="X229" t="s">
        <v>34</v>
      </c>
      <c r="Y229" t="s">
        <v>50</v>
      </c>
      <c r="Z229" t="s">
        <v>44</v>
      </c>
      <c r="AA229" t="s">
        <v>141</v>
      </c>
      <c r="AB229" t="s">
        <v>46</v>
      </c>
      <c r="AC229">
        <f>IF(Cdacdata[[#This Row],[placement_status]]="Placed",1,0)</f>
        <v>1</v>
      </c>
      <c r="AD229" t="s">
        <v>110</v>
      </c>
      <c r="AE229" t="s">
        <v>75</v>
      </c>
      <c r="AF229" t="s">
        <v>55</v>
      </c>
      <c r="AG229">
        <v>2022</v>
      </c>
      <c r="AH229" t="s">
        <v>111</v>
      </c>
      <c r="AI229" t="str">
        <f>IF(Cdacdata[ccat_rank]&lt;=100,"Top 100",
IF(Cdacdata[ccat_rank]&lt;=500,"101–500",
IF(Cdacdata[ccat_rank]&lt;=1000,"501–1000",
"1000+")))</f>
        <v>501–1000</v>
      </c>
    </row>
    <row r="230" spans="1:35" x14ac:dyDescent="0.3">
      <c r="A230" s="1" t="s">
        <v>109</v>
      </c>
      <c r="B230">
        <v>211200956</v>
      </c>
      <c r="C230" s="2"/>
      <c r="D230" s="2"/>
      <c r="E230" t="s">
        <v>63</v>
      </c>
      <c r="G230">
        <v>0</v>
      </c>
      <c r="H230">
        <v>0</v>
      </c>
      <c r="I230">
        <v>0</v>
      </c>
      <c r="J230">
        <v>0</v>
      </c>
      <c r="K230" s="3">
        <f t="shared" si="3"/>
        <v>0</v>
      </c>
      <c r="L230" t="s">
        <v>27</v>
      </c>
      <c r="M230" t="s">
        <v>27</v>
      </c>
      <c r="N230">
        <v>23</v>
      </c>
      <c r="O230" t="s">
        <v>373</v>
      </c>
      <c r="P230" t="s">
        <v>26</v>
      </c>
      <c r="Q230" t="s">
        <v>374</v>
      </c>
      <c r="R230">
        <v>500</v>
      </c>
      <c r="S230">
        <v>62.5</v>
      </c>
      <c r="T230" t="s">
        <v>49</v>
      </c>
      <c r="U230" t="s">
        <v>32</v>
      </c>
      <c r="V230" t="s">
        <v>49</v>
      </c>
      <c r="W230" t="s">
        <v>33</v>
      </c>
      <c r="X230" t="s">
        <v>34</v>
      </c>
      <c r="Y230" t="s">
        <v>50</v>
      </c>
      <c r="Z230" t="s">
        <v>53</v>
      </c>
      <c r="AA230" t="s">
        <v>54</v>
      </c>
      <c r="AB230" t="s">
        <v>46</v>
      </c>
      <c r="AC230">
        <f>IF(Cdacdata[[#This Row],[placement_status]]="Placed",1,0)</f>
        <v>1</v>
      </c>
      <c r="AD230" t="s">
        <v>110</v>
      </c>
      <c r="AE230" t="s">
        <v>63</v>
      </c>
      <c r="AF230" t="s">
        <v>63</v>
      </c>
      <c r="AG230">
        <v>2022</v>
      </c>
      <c r="AH230" t="s">
        <v>111</v>
      </c>
      <c r="AI230" t="str">
        <f>IF(Cdacdata[ccat_rank]&lt;=100,"Top 100",
IF(Cdacdata[ccat_rank]&lt;=500,"101–500",
IF(Cdacdata[ccat_rank]&lt;=1000,"501–1000",
"1000+")))</f>
        <v>1000+</v>
      </c>
    </row>
    <row r="231" spans="1:35" x14ac:dyDescent="0.3">
      <c r="A231" s="1" t="s">
        <v>109</v>
      </c>
      <c r="B231">
        <v>211203131</v>
      </c>
      <c r="C231" s="2">
        <v>44615</v>
      </c>
      <c r="D231" s="2" t="s">
        <v>556</v>
      </c>
      <c r="E231">
        <v>1123</v>
      </c>
      <c r="F231" s="2">
        <v>35145</v>
      </c>
      <c r="G231">
        <v>86</v>
      </c>
      <c r="H231">
        <v>62.31</v>
      </c>
      <c r="I231">
        <v>83.76</v>
      </c>
      <c r="J231">
        <v>0</v>
      </c>
      <c r="K231" s="3">
        <f t="shared" si="3"/>
        <v>58.017499999999998</v>
      </c>
      <c r="L231" t="s">
        <v>27</v>
      </c>
      <c r="M231" t="s">
        <v>27</v>
      </c>
      <c r="N231">
        <v>25</v>
      </c>
      <c r="O231" t="s">
        <v>62</v>
      </c>
      <c r="P231" t="s">
        <v>26</v>
      </c>
      <c r="Q231" t="s">
        <v>30</v>
      </c>
      <c r="R231">
        <v>426</v>
      </c>
      <c r="S231">
        <v>53.25</v>
      </c>
      <c r="T231" t="s">
        <v>49</v>
      </c>
      <c r="U231" t="s">
        <v>32</v>
      </c>
      <c r="V231" t="s">
        <v>49</v>
      </c>
      <c r="W231" t="s">
        <v>49</v>
      </c>
      <c r="X231" t="s">
        <v>34</v>
      </c>
      <c r="Y231" t="s">
        <v>35</v>
      </c>
      <c r="Z231" t="s">
        <v>44</v>
      </c>
      <c r="AA231" t="s">
        <v>124</v>
      </c>
      <c r="AB231" t="s">
        <v>46</v>
      </c>
      <c r="AC231">
        <f>IF(Cdacdata[[#This Row],[placement_status]]="Placed",1,0)</f>
        <v>1</v>
      </c>
      <c r="AD231" t="s">
        <v>110</v>
      </c>
      <c r="AE231" t="s">
        <v>47</v>
      </c>
      <c r="AF231" t="s">
        <v>39</v>
      </c>
      <c r="AG231">
        <v>2022</v>
      </c>
      <c r="AH231" t="s">
        <v>111</v>
      </c>
      <c r="AI231" t="str">
        <f>IF(Cdacdata[ccat_rank]&lt;=100,"Top 100",
IF(Cdacdata[ccat_rank]&lt;=500,"101–500",
IF(Cdacdata[ccat_rank]&lt;=1000,"501–1000",
"1000+")))</f>
        <v>1000+</v>
      </c>
    </row>
    <row r="232" spans="1:35" x14ac:dyDescent="0.3">
      <c r="A232" s="1" t="s">
        <v>109</v>
      </c>
      <c r="B232">
        <v>220108904</v>
      </c>
      <c r="C232" s="2"/>
      <c r="D232" s="2"/>
      <c r="E232" t="s">
        <v>63</v>
      </c>
      <c r="G232">
        <v>0</v>
      </c>
      <c r="H232">
        <v>0</v>
      </c>
      <c r="I232">
        <v>0</v>
      </c>
      <c r="J232">
        <v>0</v>
      </c>
      <c r="K232" s="3">
        <f t="shared" si="3"/>
        <v>0</v>
      </c>
      <c r="L232" t="s">
        <v>27</v>
      </c>
      <c r="M232" t="s">
        <v>27</v>
      </c>
      <c r="N232">
        <v>23</v>
      </c>
      <c r="O232" t="s">
        <v>373</v>
      </c>
      <c r="P232" t="s">
        <v>26</v>
      </c>
      <c r="Q232" t="s">
        <v>374</v>
      </c>
      <c r="R232">
        <v>569</v>
      </c>
      <c r="S232">
        <v>71.125</v>
      </c>
      <c r="T232" t="s">
        <v>31</v>
      </c>
      <c r="U232" t="s">
        <v>32</v>
      </c>
      <c r="V232" t="s">
        <v>31</v>
      </c>
      <c r="W232" t="s">
        <v>49</v>
      </c>
      <c r="X232" t="s">
        <v>34</v>
      </c>
      <c r="Y232" t="s">
        <v>58</v>
      </c>
      <c r="Z232" t="s">
        <v>44</v>
      </c>
      <c r="AA232" t="s">
        <v>78</v>
      </c>
      <c r="AB232" t="s">
        <v>46</v>
      </c>
      <c r="AC232">
        <f>IF(Cdacdata[[#This Row],[placement_status]]="Placed",1,0)</f>
        <v>1</v>
      </c>
      <c r="AD232" t="s">
        <v>110</v>
      </c>
      <c r="AE232" t="s">
        <v>63</v>
      </c>
      <c r="AF232" t="s">
        <v>63</v>
      </c>
      <c r="AG232">
        <v>2022</v>
      </c>
      <c r="AH232" t="s">
        <v>111</v>
      </c>
      <c r="AI232" t="str">
        <f>IF(Cdacdata[ccat_rank]&lt;=100,"Top 100",
IF(Cdacdata[ccat_rank]&lt;=500,"101–500",
IF(Cdacdata[ccat_rank]&lt;=1000,"501–1000",
"1000+")))</f>
        <v>1000+</v>
      </c>
    </row>
    <row r="233" spans="1:35" x14ac:dyDescent="0.3">
      <c r="A233" s="1" t="s">
        <v>109</v>
      </c>
      <c r="B233">
        <v>220104266</v>
      </c>
      <c r="C233" s="2">
        <v>44615</v>
      </c>
      <c r="D233" s="2" t="s">
        <v>557</v>
      </c>
      <c r="E233">
        <v>1299</v>
      </c>
      <c r="F233" s="2">
        <v>34487</v>
      </c>
      <c r="G233">
        <v>70.36</v>
      </c>
      <c r="H233">
        <v>54.33</v>
      </c>
      <c r="I233" t="s">
        <v>26</v>
      </c>
      <c r="J233">
        <v>67.06</v>
      </c>
      <c r="K233" s="3">
        <f t="shared" si="3"/>
        <v>63.916666666666664</v>
      </c>
      <c r="L233" t="s">
        <v>27</v>
      </c>
      <c r="M233" t="s">
        <v>27</v>
      </c>
      <c r="N233">
        <v>27</v>
      </c>
      <c r="O233" t="s">
        <v>28</v>
      </c>
      <c r="P233" t="s">
        <v>42</v>
      </c>
      <c r="Q233" t="s">
        <v>30</v>
      </c>
      <c r="R233">
        <v>512</v>
      </c>
      <c r="S233">
        <v>64</v>
      </c>
      <c r="T233" t="s">
        <v>31</v>
      </c>
      <c r="U233" t="s">
        <v>32</v>
      </c>
      <c r="V233" t="s">
        <v>31</v>
      </c>
      <c r="W233" t="s">
        <v>49</v>
      </c>
      <c r="X233" t="s">
        <v>34</v>
      </c>
      <c r="Y233" t="s">
        <v>50</v>
      </c>
      <c r="Z233" t="s">
        <v>36</v>
      </c>
      <c r="AA233" t="s">
        <v>1268</v>
      </c>
      <c r="AB233" t="s">
        <v>36</v>
      </c>
      <c r="AC233">
        <f>IF(Cdacdata[[#This Row],[placement_status]]="Placed",1,0)</f>
        <v>0</v>
      </c>
      <c r="AD233" t="s">
        <v>110</v>
      </c>
      <c r="AE233" t="s">
        <v>47</v>
      </c>
      <c r="AF233" t="s">
        <v>55</v>
      </c>
      <c r="AG233">
        <v>2022</v>
      </c>
      <c r="AH233" t="s">
        <v>111</v>
      </c>
      <c r="AI233" t="str">
        <f>IF(Cdacdata[ccat_rank]&lt;=100,"Top 100",
IF(Cdacdata[ccat_rank]&lt;=500,"101–500",
IF(Cdacdata[ccat_rank]&lt;=1000,"501–1000",
"1000+")))</f>
        <v>1000+</v>
      </c>
    </row>
    <row r="234" spans="1:35" x14ac:dyDescent="0.3">
      <c r="A234" s="1" t="s">
        <v>109</v>
      </c>
      <c r="B234">
        <v>211207365</v>
      </c>
      <c r="C234" s="2">
        <v>44615</v>
      </c>
      <c r="D234" s="2" t="s">
        <v>558</v>
      </c>
      <c r="E234">
        <v>1332</v>
      </c>
      <c r="F234" s="2">
        <v>36236</v>
      </c>
      <c r="G234">
        <v>80</v>
      </c>
      <c r="H234">
        <v>60.77</v>
      </c>
      <c r="I234" t="s">
        <v>26</v>
      </c>
      <c r="J234">
        <v>80.5</v>
      </c>
      <c r="K234" s="3">
        <f t="shared" si="3"/>
        <v>73.756666666666675</v>
      </c>
      <c r="L234" t="s">
        <v>27</v>
      </c>
      <c r="M234" t="s">
        <v>27</v>
      </c>
      <c r="N234">
        <v>22</v>
      </c>
      <c r="O234" t="s">
        <v>48</v>
      </c>
      <c r="P234" t="s">
        <v>26</v>
      </c>
      <c r="Q234" t="s">
        <v>43</v>
      </c>
      <c r="R234">
        <v>594</v>
      </c>
      <c r="S234">
        <v>74.25</v>
      </c>
      <c r="T234" t="s">
        <v>33</v>
      </c>
      <c r="U234" t="s">
        <v>32</v>
      </c>
      <c r="V234" t="s">
        <v>33</v>
      </c>
      <c r="W234" t="s">
        <v>49</v>
      </c>
      <c r="X234" t="s">
        <v>34</v>
      </c>
      <c r="Y234" t="s">
        <v>58</v>
      </c>
      <c r="Z234" t="s">
        <v>44</v>
      </c>
      <c r="AA234" t="s">
        <v>114</v>
      </c>
      <c r="AB234" t="s">
        <v>46</v>
      </c>
      <c r="AC234">
        <f>IF(Cdacdata[[#This Row],[placement_status]]="Placed",1,0)</f>
        <v>1</v>
      </c>
      <c r="AD234" t="s">
        <v>110</v>
      </c>
      <c r="AE234" t="s">
        <v>47</v>
      </c>
      <c r="AF234" t="s">
        <v>57</v>
      </c>
      <c r="AG234">
        <v>2022</v>
      </c>
      <c r="AH234" t="s">
        <v>111</v>
      </c>
      <c r="AI234" t="str">
        <f>IF(Cdacdata[ccat_rank]&lt;=100,"Top 100",
IF(Cdacdata[ccat_rank]&lt;=500,"101–500",
IF(Cdacdata[ccat_rank]&lt;=1000,"501–1000",
"1000+")))</f>
        <v>1000+</v>
      </c>
    </row>
    <row r="235" spans="1:35" x14ac:dyDescent="0.3">
      <c r="A235" s="1" t="s">
        <v>109</v>
      </c>
      <c r="B235">
        <v>211203567</v>
      </c>
      <c r="C235" s="2">
        <v>44615</v>
      </c>
      <c r="D235" s="2" t="s">
        <v>559</v>
      </c>
      <c r="E235">
        <v>1351</v>
      </c>
      <c r="F235" s="2">
        <v>35505</v>
      </c>
      <c r="G235">
        <v>56.4</v>
      </c>
      <c r="H235" t="s">
        <v>26</v>
      </c>
      <c r="I235">
        <v>66.06</v>
      </c>
      <c r="J235">
        <v>55.48</v>
      </c>
      <c r="K235" s="3">
        <f t="shared" si="3"/>
        <v>59.313333333333333</v>
      </c>
      <c r="L235" t="s">
        <v>27</v>
      </c>
      <c r="M235" t="s">
        <v>27</v>
      </c>
      <c r="N235">
        <v>24</v>
      </c>
      <c r="O235" t="s">
        <v>72</v>
      </c>
      <c r="P235" t="s">
        <v>60</v>
      </c>
      <c r="Q235" t="s">
        <v>26</v>
      </c>
      <c r="R235">
        <v>447</v>
      </c>
      <c r="S235">
        <v>55.875</v>
      </c>
      <c r="T235" t="s">
        <v>103</v>
      </c>
      <c r="U235" t="s">
        <v>32</v>
      </c>
      <c r="V235" t="s">
        <v>103</v>
      </c>
      <c r="W235" t="s">
        <v>33</v>
      </c>
      <c r="X235" t="s">
        <v>34</v>
      </c>
      <c r="Y235" t="s">
        <v>35</v>
      </c>
      <c r="Z235" t="s">
        <v>44</v>
      </c>
      <c r="AA235" t="s">
        <v>142</v>
      </c>
      <c r="AB235" t="s">
        <v>46</v>
      </c>
      <c r="AC235">
        <f>IF(Cdacdata[[#This Row],[placement_status]]="Placed",1,0)</f>
        <v>1</v>
      </c>
      <c r="AD235" t="s">
        <v>110</v>
      </c>
      <c r="AE235" t="s">
        <v>47</v>
      </c>
      <c r="AF235" t="s">
        <v>39</v>
      </c>
      <c r="AG235">
        <v>2022</v>
      </c>
      <c r="AH235" t="s">
        <v>111</v>
      </c>
      <c r="AI235" t="str">
        <f>IF(Cdacdata[ccat_rank]&lt;=100,"Top 100",
IF(Cdacdata[ccat_rank]&lt;=500,"101–500",
IF(Cdacdata[ccat_rank]&lt;=1000,"501–1000",
"1000+")))</f>
        <v>1000+</v>
      </c>
    </row>
    <row r="236" spans="1:35" x14ac:dyDescent="0.3">
      <c r="A236" s="1" t="s">
        <v>109</v>
      </c>
      <c r="B236">
        <v>211201204</v>
      </c>
      <c r="C236" s="2">
        <v>44614</v>
      </c>
      <c r="D236" s="2" t="s">
        <v>560</v>
      </c>
      <c r="E236">
        <v>1386</v>
      </c>
      <c r="F236" s="2">
        <v>35755</v>
      </c>
      <c r="G236">
        <v>93.45</v>
      </c>
      <c r="H236">
        <v>74.459999999999994</v>
      </c>
      <c r="I236" t="s">
        <v>26</v>
      </c>
      <c r="J236">
        <v>54.46</v>
      </c>
      <c r="K236" s="3">
        <f t="shared" si="3"/>
        <v>74.123333333333335</v>
      </c>
      <c r="L236" t="s">
        <v>27</v>
      </c>
      <c r="M236" t="s">
        <v>27</v>
      </c>
      <c r="N236">
        <v>24</v>
      </c>
      <c r="O236" t="s">
        <v>72</v>
      </c>
      <c r="P236" t="s">
        <v>60</v>
      </c>
      <c r="Q236" t="s">
        <v>43</v>
      </c>
      <c r="R236">
        <v>613</v>
      </c>
      <c r="S236">
        <v>76.625</v>
      </c>
      <c r="T236" t="s">
        <v>49</v>
      </c>
      <c r="U236" t="s">
        <v>32</v>
      </c>
      <c r="V236" t="s">
        <v>49</v>
      </c>
      <c r="W236" t="s">
        <v>49</v>
      </c>
      <c r="X236" t="s">
        <v>34</v>
      </c>
      <c r="Y236" t="s">
        <v>58</v>
      </c>
      <c r="Z236" t="s">
        <v>44</v>
      </c>
      <c r="AA236" t="s">
        <v>143</v>
      </c>
      <c r="AB236" t="s">
        <v>46</v>
      </c>
      <c r="AC236">
        <f>IF(Cdacdata[[#This Row],[placement_status]]="Placed",1,0)</f>
        <v>1</v>
      </c>
      <c r="AD236" t="s">
        <v>110</v>
      </c>
      <c r="AE236" t="s">
        <v>47</v>
      </c>
      <c r="AF236" t="s">
        <v>39</v>
      </c>
      <c r="AG236">
        <v>2022</v>
      </c>
      <c r="AH236" t="s">
        <v>111</v>
      </c>
      <c r="AI236" t="str">
        <f>IF(Cdacdata[ccat_rank]&lt;=100,"Top 100",
IF(Cdacdata[ccat_rank]&lt;=500,"101–500",
IF(Cdacdata[ccat_rank]&lt;=1000,"501–1000",
"1000+")))</f>
        <v>1000+</v>
      </c>
    </row>
    <row r="237" spans="1:35" x14ac:dyDescent="0.3">
      <c r="A237" s="1" t="s">
        <v>109</v>
      </c>
      <c r="B237">
        <v>211203333</v>
      </c>
      <c r="C237" s="2"/>
      <c r="D237" s="2"/>
      <c r="E237" t="s">
        <v>63</v>
      </c>
      <c r="G237">
        <v>0</v>
      </c>
      <c r="H237">
        <v>0</v>
      </c>
      <c r="I237">
        <v>0</v>
      </c>
      <c r="J237">
        <v>0</v>
      </c>
      <c r="K237" s="3">
        <f t="shared" si="3"/>
        <v>0</v>
      </c>
      <c r="L237" t="s">
        <v>27</v>
      </c>
      <c r="M237" t="s">
        <v>27</v>
      </c>
      <c r="N237">
        <v>23</v>
      </c>
      <c r="O237" t="s">
        <v>373</v>
      </c>
      <c r="P237" t="s">
        <v>26</v>
      </c>
      <c r="Q237" t="s">
        <v>374</v>
      </c>
      <c r="R237">
        <v>463</v>
      </c>
      <c r="S237">
        <v>57.875</v>
      </c>
      <c r="T237" t="s">
        <v>49</v>
      </c>
      <c r="U237" t="s">
        <v>32</v>
      </c>
      <c r="V237" t="s">
        <v>49</v>
      </c>
      <c r="W237" t="s">
        <v>31</v>
      </c>
      <c r="X237" t="s">
        <v>34</v>
      </c>
      <c r="Y237" t="s">
        <v>35</v>
      </c>
      <c r="Z237" t="s">
        <v>44</v>
      </c>
      <c r="AA237" t="s">
        <v>144</v>
      </c>
      <c r="AB237" t="s">
        <v>46</v>
      </c>
      <c r="AC237">
        <f>IF(Cdacdata[[#This Row],[placement_status]]="Placed",1,0)</f>
        <v>1</v>
      </c>
      <c r="AD237" t="s">
        <v>110</v>
      </c>
      <c r="AE237" t="s">
        <v>63</v>
      </c>
      <c r="AF237" t="s">
        <v>63</v>
      </c>
      <c r="AG237">
        <v>2022</v>
      </c>
      <c r="AH237" t="s">
        <v>111</v>
      </c>
      <c r="AI237" t="str">
        <f>IF(Cdacdata[ccat_rank]&lt;=100,"Top 100",
IF(Cdacdata[ccat_rank]&lt;=500,"101–500",
IF(Cdacdata[ccat_rank]&lt;=1000,"501–1000",
"1000+")))</f>
        <v>1000+</v>
      </c>
    </row>
    <row r="238" spans="1:35" x14ac:dyDescent="0.3">
      <c r="A238" s="1" t="s">
        <v>109</v>
      </c>
      <c r="B238">
        <v>211208398</v>
      </c>
      <c r="C238" s="2"/>
      <c r="D238" s="2"/>
      <c r="E238" t="s">
        <v>63</v>
      </c>
      <c r="G238">
        <v>0</v>
      </c>
      <c r="H238">
        <v>0</v>
      </c>
      <c r="I238">
        <v>0</v>
      </c>
      <c r="J238">
        <v>0</v>
      </c>
      <c r="K238" s="3">
        <f t="shared" si="3"/>
        <v>0</v>
      </c>
      <c r="L238" t="s">
        <v>27</v>
      </c>
      <c r="M238" t="s">
        <v>27</v>
      </c>
      <c r="N238">
        <v>23</v>
      </c>
      <c r="O238" t="s">
        <v>373</v>
      </c>
      <c r="P238" t="s">
        <v>26</v>
      </c>
      <c r="Q238" t="s">
        <v>374</v>
      </c>
      <c r="R238">
        <v>585</v>
      </c>
      <c r="S238">
        <v>73.125</v>
      </c>
      <c r="T238" t="s">
        <v>33</v>
      </c>
      <c r="U238" t="s">
        <v>32</v>
      </c>
      <c r="V238" t="s">
        <v>33</v>
      </c>
      <c r="W238" t="s">
        <v>33</v>
      </c>
      <c r="X238" t="s">
        <v>34</v>
      </c>
      <c r="Y238" t="s">
        <v>58</v>
      </c>
      <c r="Z238" t="s">
        <v>44</v>
      </c>
      <c r="AA238" t="s">
        <v>74</v>
      </c>
      <c r="AB238" t="s">
        <v>46</v>
      </c>
      <c r="AC238">
        <f>IF(Cdacdata[[#This Row],[placement_status]]="Placed",1,0)</f>
        <v>1</v>
      </c>
      <c r="AD238" t="s">
        <v>110</v>
      </c>
      <c r="AE238" t="s">
        <v>63</v>
      </c>
      <c r="AF238" t="s">
        <v>63</v>
      </c>
      <c r="AG238">
        <v>2022</v>
      </c>
      <c r="AH238" t="s">
        <v>111</v>
      </c>
      <c r="AI238" t="str">
        <f>IF(Cdacdata[ccat_rank]&lt;=100,"Top 100",
IF(Cdacdata[ccat_rank]&lt;=500,"101–500",
IF(Cdacdata[ccat_rank]&lt;=1000,"501–1000",
"1000+")))</f>
        <v>1000+</v>
      </c>
    </row>
    <row r="239" spans="1:35" x14ac:dyDescent="0.3">
      <c r="A239" s="1" t="s">
        <v>109</v>
      </c>
      <c r="B239">
        <v>220108726</v>
      </c>
      <c r="C239" s="2"/>
      <c r="D239" s="2"/>
      <c r="E239" t="s">
        <v>63</v>
      </c>
      <c r="G239">
        <v>0</v>
      </c>
      <c r="H239">
        <v>0</v>
      </c>
      <c r="I239">
        <v>0</v>
      </c>
      <c r="J239">
        <v>0</v>
      </c>
      <c r="K239" s="3">
        <f t="shared" si="3"/>
        <v>0</v>
      </c>
      <c r="L239" t="s">
        <v>27</v>
      </c>
      <c r="M239" t="s">
        <v>27</v>
      </c>
      <c r="N239">
        <v>23</v>
      </c>
      <c r="O239" t="s">
        <v>373</v>
      </c>
      <c r="P239" t="s">
        <v>26</v>
      </c>
      <c r="Q239" t="s">
        <v>374</v>
      </c>
      <c r="R239">
        <v>536</v>
      </c>
      <c r="S239">
        <v>67</v>
      </c>
      <c r="T239" t="s">
        <v>33</v>
      </c>
      <c r="U239" t="s">
        <v>32</v>
      </c>
      <c r="V239" t="s">
        <v>33</v>
      </c>
      <c r="W239" t="s">
        <v>31</v>
      </c>
      <c r="X239" t="s">
        <v>34</v>
      </c>
      <c r="Y239" t="s">
        <v>50</v>
      </c>
      <c r="Z239" t="s">
        <v>44</v>
      </c>
      <c r="AA239" t="s">
        <v>145</v>
      </c>
      <c r="AB239" t="s">
        <v>46</v>
      </c>
      <c r="AC239">
        <f>IF(Cdacdata[[#This Row],[placement_status]]="Placed",1,0)</f>
        <v>1</v>
      </c>
      <c r="AD239" t="s">
        <v>110</v>
      </c>
      <c r="AE239" t="s">
        <v>63</v>
      </c>
      <c r="AF239" t="s">
        <v>63</v>
      </c>
      <c r="AG239">
        <v>2022</v>
      </c>
      <c r="AH239" t="s">
        <v>111</v>
      </c>
      <c r="AI239" t="str">
        <f>IF(Cdacdata[ccat_rank]&lt;=100,"Top 100",
IF(Cdacdata[ccat_rank]&lt;=500,"101–500",
IF(Cdacdata[ccat_rank]&lt;=1000,"501–1000",
"1000+")))</f>
        <v>1000+</v>
      </c>
    </row>
    <row r="240" spans="1:35" x14ac:dyDescent="0.3">
      <c r="A240" s="1" t="s">
        <v>109</v>
      </c>
      <c r="B240">
        <v>211201630</v>
      </c>
      <c r="C240" s="2">
        <v>44614</v>
      </c>
      <c r="D240" s="2" t="s">
        <v>561</v>
      </c>
      <c r="E240">
        <v>1060</v>
      </c>
      <c r="F240" s="2">
        <v>35304</v>
      </c>
      <c r="G240">
        <v>80.599999999999994</v>
      </c>
      <c r="H240" t="s">
        <v>26</v>
      </c>
      <c r="I240">
        <v>77.819999999999993</v>
      </c>
      <c r="J240">
        <v>72.459999999999994</v>
      </c>
      <c r="K240" s="3">
        <f t="shared" si="3"/>
        <v>76.959999999999994</v>
      </c>
      <c r="L240" t="s">
        <v>27</v>
      </c>
      <c r="M240" t="s">
        <v>27</v>
      </c>
      <c r="N240">
        <v>25</v>
      </c>
      <c r="O240" t="s">
        <v>28</v>
      </c>
      <c r="P240" t="s">
        <v>60</v>
      </c>
      <c r="Q240" t="s">
        <v>30</v>
      </c>
      <c r="R240">
        <v>483</v>
      </c>
      <c r="S240">
        <v>60.375</v>
      </c>
      <c r="T240" t="s">
        <v>31</v>
      </c>
      <c r="U240" t="s">
        <v>32</v>
      </c>
      <c r="V240" t="s">
        <v>31</v>
      </c>
      <c r="W240" t="s">
        <v>31</v>
      </c>
      <c r="X240" t="s">
        <v>34</v>
      </c>
      <c r="Y240" t="s">
        <v>50</v>
      </c>
      <c r="Z240" t="s">
        <v>44</v>
      </c>
      <c r="AA240" t="s">
        <v>74</v>
      </c>
      <c r="AB240" t="s">
        <v>46</v>
      </c>
      <c r="AC240">
        <f>IF(Cdacdata[[#This Row],[placement_status]]="Placed",1,0)</f>
        <v>1</v>
      </c>
      <c r="AD240" t="s">
        <v>110</v>
      </c>
      <c r="AE240" t="s">
        <v>47</v>
      </c>
      <c r="AF240" t="s">
        <v>39</v>
      </c>
      <c r="AG240">
        <v>2022</v>
      </c>
      <c r="AH240" t="s">
        <v>111</v>
      </c>
      <c r="AI240" t="str">
        <f>IF(Cdacdata[ccat_rank]&lt;=100,"Top 100",
IF(Cdacdata[ccat_rank]&lt;=500,"101–500",
IF(Cdacdata[ccat_rank]&lt;=1000,"501–1000",
"1000+")))</f>
        <v>1000+</v>
      </c>
    </row>
    <row r="241" spans="1:35" x14ac:dyDescent="0.3">
      <c r="A241" s="1" t="s">
        <v>109</v>
      </c>
      <c r="B241">
        <v>211202810</v>
      </c>
      <c r="C241" s="2">
        <v>44614</v>
      </c>
      <c r="D241" s="2" t="s">
        <v>562</v>
      </c>
      <c r="E241">
        <v>1321</v>
      </c>
      <c r="F241" s="2">
        <v>35129</v>
      </c>
      <c r="G241">
        <v>74.33</v>
      </c>
      <c r="H241">
        <v>67.430000000000007</v>
      </c>
      <c r="I241" t="s">
        <v>26</v>
      </c>
      <c r="J241">
        <v>53.8</v>
      </c>
      <c r="K241" s="3">
        <f t="shared" si="3"/>
        <v>65.186666666666667</v>
      </c>
      <c r="L241" t="s">
        <v>27</v>
      </c>
      <c r="M241" t="s">
        <v>27</v>
      </c>
      <c r="N241">
        <v>25</v>
      </c>
      <c r="O241" t="s">
        <v>72</v>
      </c>
      <c r="P241" t="s">
        <v>26</v>
      </c>
      <c r="Q241" t="s">
        <v>26</v>
      </c>
      <c r="R241">
        <v>553</v>
      </c>
      <c r="S241">
        <v>69.125</v>
      </c>
      <c r="T241" t="s">
        <v>31</v>
      </c>
      <c r="U241" t="s">
        <v>32</v>
      </c>
      <c r="V241" t="s">
        <v>31</v>
      </c>
      <c r="W241" t="s">
        <v>33</v>
      </c>
      <c r="X241" t="s">
        <v>34</v>
      </c>
      <c r="Y241" t="s">
        <v>50</v>
      </c>
      <c r="Z241" t="s">
        <v>44</v>
      </c>
      <c r="AA241" t="s">
        <v>138</v>
      </c>
      <c r="AB241" t="s">
        <v>46</v>
      </c>
      <c r="AC241">
        <f>IF(Cdacdata[[#This Row],[placement_status]]="Placed",1,0)</f>
        <v>1</v>
      </c>
      <c r="AD241" t="s">
        <v>110</v>
      </c>
      <c r="AE241" t="s">
        <v>47</v>
      </c>
      <c r="AF241" t="s">
        <v>39</v>
      </c>
      <c r="AG241">
        <v>2022</v>
      </c>
      <c r="AH241" t="s">
        <v>111</v>
      </c>
      <c r="AI241" t="str">
        <f>IF(Cdacdata[ccat_rank]&lt;=100,"Top 100",
IF(Cdacdata[ccat_rank]&lt;=500,"101–500",
IF(Cdacdata[ccat_rank]&lt;=1000,"501–1000",
"1000+")))</f>
        <v>1000+</v>
      </c>
    </row>
    <row r="242" spans="1:35" x14ac:dyDescent="0.3">
      <c r="A242" s="1" t="s">
        <v>109</v>
      </c>
      <c r="B242">
        <v>220104168</v>
      </c>
      <c r="C242" s="2"/>
      <c r="D242" s="2"/>
      <c r="E242" t="s">
        <v>63</v>
      </c>
      <c r="G242">
        <v>0</v>
      </c>
      <c r="H242">
        <v>0</v>
      </c>
      <c r="I242">
        <v>0</v>
      </c>
      <c r="J242">
        <v>0</v>
      </c>
      <c r="K242" s="3">
        <f t="shared" si="3"/>
        <v>0</v>
      </c>
      <c r="L242" t="s">
        <v>27</v>
      </c>
      <c r="M242" t="s">
        <v>27</v>
      </c>
      <c r="N242">
        <v>23</v>
      </c>
      <c r="O242" t="s">
        <v>373</v>
      </c>
      <c r="P242" t="s">
        <v>26</v>
      </c>
      <c r="Q242" t="s">
        <v>374</v>
      </c>
      <c r="R242">
        <v>502</v>
      </c>
      <c r="S242">
        <v>62.75</v>
      </c>
      <c r="T242" t="s">
        <v>49</v>
      </c>
      <c r="U242" t="s">
        <v>32</v>
      </c>
      <c r="V242" t="s">
        <v>49</v>
      </c>
      <c r="W242" t="s">
        <v>49</v>
      </c>
      <c r="X242" t="s">
        <v>34</v>
      </c>
      <c r="Y242" t="s">
        <v>50</v>
      </c>
      <c r="Z242" t="s">
        <v>53</v>
      </c>
      <c r="AA242" t="s">
        <v>54</v>
      </c>
      <c r="AB242" t="s">
        <v>46</v>
      </c>
      <c r="AC242">
        <f>IF(Cdacdata[[#This Row],[placement_status]]="Placed",1,0)</f>
        <v>1</v>
      </c>
      <c r="AD242" t="s">
        <v>110</v>
      </c>
      <c r="AE242" t="s">
        <v>63</v>
      </c>
      <c r="AF242" t="s">
        <v>63</v>
      </c>
      <c r="AG242">
        <v>2022</v>
      </c>
      <c r="AH242" t="s">
        <v>111</v>
      </c>
      <c r="AI242" t="str">
        <f>IF(Cdacdata[ccat_rank]&lt;=100,"Top 100",
IF(Cdacdata[ccat_rank]&lt;=500,"101–500",
IF(Cdacdata[ccat_rank]&lt;=1000,"501–1000",
"1000+")))</f>
        <v>1000+</v>
      </c>
    </row>
    <row r="243" spans="1:35" x14ac:dyDescent="0.3">
      <c r="A243" s="1" t="s">
        <v>109</v>
      </c>
      <c r="B243">
        <v>220107418</v>
      </c>
      <c r="C243" s="2"/>
      <c r="D243" s="2"/>
      <c r="E243" t="s">
        <v>63</v>
      </c>
      <c r="G243">
        <v>0</v>
      </c>
      <c r="H243">
        <v>0</v>
      </c>
      <c r="I243">
        <v>0</v>
      </c>
      <c r="J243">
        <v>0</v>
      </c>
      <c r="K243" s="3">
        <f t="shared" si="3"/>
        <v>0</v>
      </c>
      <c r="L243" t="s">
        <v>27</v>
      </c>
      <c r="M243" t="s">
        <v>27</v>
      </c>
      <c r="N243">
        <v>23</v>
      </c>
      <c r="O243" t="s">
        <v>373</v>
      </c>
      <c r="P243" t="s">
        <v>26</v>
      </c>
      <c r="Q243" t="s">
        <v>374</v>
      </c>
      <c r="R243">
        <v>401</v>
      </c>
      <c r="S243">
        <v>50.125</v>
      </c>
      <c r="T243" t="s">
        <v>49</v>
      </c>
      <c r="U243" t="s">
        <v>32</v>
      </c>
      <c r="V243" t="s">
        <v>49</v>
      </c>
      <c r="W243" t="s">
        <v>49</v>
      </c>
      <c r="X243" t="s">
        <v>34</v>
      </c>
      <c r="Y243" t="s">
        <v>35</v>
      </c>
      <c r="Z243" t="s">
        <v>44</v>
      </c>
      <c r="AA243" t="s">
        <v>146</v>
      </c>
      <c r="AB243" t="s">
        <v>46</v>
      </c>
      <c r="AC243">
        <f>IF(Cdacdata[[#This Row],[placement_status]]="Placed",1,0)</f>
        <v>1</v>
      </c>
      <c r="AD243" t="s">
        <v>110</v>
      </c>
      <c r="AE243" t="s">
        <v>63</v>
      </c>
      <c r="AF243" t="s">
        <v>63</v>
      </c>
      <c r="AG243">
        <v>2022</v>
      </c>
      <c r="AH243" t="s">
        <v>111</v>
      </c>
      <c r="AI243" t="str">
        <f>IF(Cdacdata[ccat_rank]&lt;=100,"Top 100",
IF(Cdacdata[ccat_rank]&lt;=500,"101–500",
IF(Cdacdata[ccat_rank]&lt;=1000,"501–1000",
"1000+")))</f>
        <v>1000+</v>
      </c>
    </row>
    <row r="244" spans="1:35" x14ac:dyDescent="0.3">
      <c r="A244" s="1" t="s">
        <v>109</v>
      </c>
      <c r="B244">
        <v>220105419</v>
      </c>
      <c r="C244" s="2">
        <v>44614</v>
      </c>
      <c r="D244" s="2" t="s">
        <v>563</v>
      </c>
      <c r="E244">
        <v>388</v>
      </c>
      <c r="F244" s="2">
        <v>35320</v>
      </c>
      <c r="G244">
        <v>64.8</v>
      </c>
      <c r="H244">
        <v>68.31</v>
      </c>
      <c r="I244">
        <v>71.88</v>
      </c>
      <c r="J244">
        <v>59.75</v>
      </c>
      <c r="K244" s="3">
        <f t="shared" si="3"/>
        <v>66.185000000000002</v>
      </c>
      <c r="L244" t="s">
        <v>27</v>
      </c>
      <c r="M244" t="s">
        <v>27</v>
      </c>
      <c r="N244">
        <v>25</v>
      </c>
      <c r="O244" t="s">
        <v>62</v>
      </c>
      <c r="P244" t="s">
        <v>60</v>
      </c>
      <c r="Q244" t="s">
        <v>26</v>
      </c>
      <c r="R244">
        <v>525</v>
      </c>
      <c r="S244">
        <v>65.625</v>
      </c>
      <c r="T244" t="s">
        <v>31</v>
      </c>
      <c r="U244" t="s">
        <v>32</v>
      </c>
      <c r="V244" t="s">
        <v>31</v>
      </c>
      <c r="W244" t="s">
        <v>49</v>
      </c>
      <c r="X244" t="s">
        <v>34</v>
      </c>
      <c r="Y244" t="s">
        <v>50</v>
      </c>
      <c r="Z244" t="s">
        <v>44</v>
      </c>
      <c r="AA244" t="s">
        <v>137</v>
      </c>
      <c r="AB244" t="s">
        <v>46</v>
      </c>
      <c r="AC244">
        <f>IF(Cdacdata[[#This Row],[placement_status]]="Placed",1,0)</f>
        <v>1</v>
      </c>
      <c r="AD244" t="s">
        <v>110</v>
      </c>
      <c r="AE244" t="s">
        <v>75</v>
      </c>
      <c r="AF244" t="s">
        <v>39</v>
      </c>
      <c r="AG244">
        <v>2022</v>
      </c>
      <c r="AH244" t="s">
        <v>111</v>
      </c>
      <c r="AI244" t="str">
        <f>IF(Cdacdata[ccat_rank]&lt;=100,"Top 100",
IF(Cdacdata[ccat_rank]&lt;=500,"101–500",
IF(Cdacdata[ccat_rank]&lt;=1000,"501–1000",
"1000+")))</f>
        <v>101–500</v>
      </c>
    </row>
    <row r="245" spans="1:35" x14ac:dyDescent="0.3">
      <c r="A245" s="1" t="s">
        <v>109</v>
      </c>
      <c r="B245">
        <v>220104278</v>
      </c>
      <c r="C245" s="2">
        <v>44614</v>
      </c>
      <c r="D245" s="2" t="s">
        <v>564</v>
      </c>
      <c r="E245">
        <v>1398</v>
      </c>
      <c r="F245" s="2">
        <v>35827</v>
      </c>
      <c r="G245">
        <v>83.82</v>
      </c>
      <c r="H245" t="s">
        <v>26</v>
      </c>
      <c r="I245">
        <v>76.239999999999995</v>
      </c>
      <c r="J245">
        <v>65.42</v>
      </c>
      <c r="K245" s="3">
        <f t="shared" si="3"/>
        <v>75.160000000000011</v>
      </c>
      <c r="L245" t="s">
        <v>27</v>
      </c>
      <c r="M245" t="s">
        <v>27</v>
      </c>
      <c r="N245">
        <v>24</v>
      </c>
      <c r="O245" t="s">
        <v>28</v>
      </c>
      <c r="P245" t="s">
        <v>26</v>
      </c>
      <c r="Q245" t="s">
        <v>26</v>
      </c>
      <c r="R245">
        <v>534</v>
      </c>
      <c r="S245">
        <v>66.75</v>
      </c>
      <c r="T245" t="s">
        <v>49</v>
      </c>
      <c r="U245" t="s">
        <v>32</v>
      </c>
      <c r="V245" t="s">
        <v>49</v>
      </c>
      <c r="W245" t="s">
        <v>33</v>
      </c>
      <c r="X245" t="s">
        <v>34</v>
      </c>
      <c r="Y245" t="s">
        <v>50</v>
      </c>
      <c r="Z245" t="s">
        <v>44</v>
      </c>
      <c r="AA245" t="s">
        <v>121</v>
      </c>
      <c r="AB245" t="s">
        <v>46</v>
      </c>
      <c r="AC245">
        <f>IF(Cdacdata[[#This Row],[placement_status]]="Placed",1,0)</f>
        <v>1</v>
      </c>
      <c r="AD245" t="s">
        <v>110</v>
      </c>
      <c r="AE245" t="s">
        <v>47</v>
      </c>
      <c r="AF245" t="s">
        <v>39</v>
      </c>
      <c r="AG245">
        <v>2022</v>
      </c>
      <c r="AH245" t="s">
        <v>111</v>
      </c>
      <c r="AI245" t="str">
        <f>IF(Cdacdata[ccat_rank]&lt;=100,"Top 100",
IF(Cdacdata[ccat_rank]&lt;=500,"101–500",
IF(Cdacdata[ccat_rank]&lt;=1000,"501–1000",
"1000+")))</f>
        <v>1000+</v>
      </c>
    </row>
    <row r="246" spans="1:35" x14ac:dyDescent="0.3">
      <c r="A246" s="1" t="s">
        <v>109</v>
      </c>
      <c r="B246">
        <v>211207514</v>
      </c>
      <c r="C246" s="2"/>
      <c r="D246" s="2"/>
      <c r="E246" t="s">
        <v>63</v>
      </c>
      <c r="G246">
        <v>0</v>
      </c>
      <c r="H246">
        <v>0</v>
      </c>
      <c r="I246">
        <v>0</v>
      </c>
      <c r="J246">
        <v>0</v>
      </c>
      <c r="K246" s="3">
        <f t="shared" si="3"/>
        <v>0</v>
      </c>
      <c r="L246" t="s">
        <v>27</v>
      </c>
      <c r="M246" t="s">
        <v>27</v>
      </c>
      <c r="N246">
        <v>23</v>
      </c>
      <c r="O246" t="s">
        <v>373</v>
      </c>
      <c r="P246" t="s">
        <v>26</v>
      </c>
      <c r="Q246" t="s">
        <v>374</v>
      </c>
      <c r="R246">
        <v>610</v>
      </c>
      <c r="S246">
        <v>76.25</v>
      </c>
      <c r="T246" t="s">
        <v>49</v>
      </c>
      <c r="U246" t="s">
        <v>32</v>
      </c>
      <c r="V246" t="s">
        <v>49</v>
      </c>
      <c r="W246" t="s">
        <v>49</v>
      </c>
      <c r="X246" t="s">
        <v>34</v>
      </c>
      <c r="Y246" t="s">
        <v>58</v>
      </c>
      <c r="Z246" t="s">
        <v>44</v>
      </c>
      <c r="AA246" t="s">
        <v>78</v>
      </c>
      <c r="AB246" t="s">
        <v>46</v>
      </c>
      <c r="AC246">
        <f>IF(Cdacdata[[#This Row],[placement_status]]="Placed",1,0)</f>
        <v>1</v>
      </c>
      <c r="AD246" t="s">
        <v>110</v>
      </c>
      <c r="AE246" t="s">
        <v>63</v>
      </c>
      <c r="AF246" t="s">
        <v>63</v>
      </c>
      <c r="AG246">
        <v>2022</v>
      </c>
      <c r="AH246" t="s">
        <v>111</v>
      </c>
      <c r="AI246" t="str">
        <f>IF(Cdacdata[ccat_rank]&lt;=100,"Top 100",
IF(Cdacdata[ccat_rank]&lt;=500,"101–500",
IF(Cdacdata[ccat_rank]&lt;=1000,"501–1000",
"1000+")))</f>
        <v>1000+</v>
      </c>
    </row>
    <row r="247" spans="1:35" x14ac:dyDescent="0.3">
      <c r="A247" s="1" t="s">
        <v>109</v>
      </c>
      <c r="B247">
        <v>211204945</v>
      </c>
      <c r="C247" s="2"/>
      <c r="D247" s="2"/>
      <c r="E247" t="s">
        <v>63</v>
      </c>
      <c r="G247">
        <v>0</v>
      </c>
      <c r="H247">
        <v>0</v>
      </c>
      <c r="I247">
        <v>0</v>
      </c>
      <c r="J247">
        <v>0</v>
      </c>
      <c r="K247" s="3">
        <f t="shared" si="3"/>
        <v>0</v>
      </c>
      <c r="L247" t="s">
        <v>27</v>
      </c>
      <c r="M247" t="s">
        <v>27</v>
      </c>
      <c r="N247">
        <v>23</v>
      </c>
      <c r="O247" t="s">
        <v>373</v>
      </c>
      <c r="P247" t="s">
        <v>26</v>
      </c>
      <c r="Q247" t="s">
        <v>374</v>
      </c>
      <c r="R247">
        <v>505</v>
      </c>
      <c r="S247">
        <v>63.125</v>
      </c>
      <c r="T247" t="s">
        <v>49</v>
      </c>
      <c r="U247" t="s">
        <v>32</v>
      </c>
      <c r="V247" t="s">
        <v>49</v>
      </c>
      <c r="W247" t="s">
        <v>49</v>
      </c>
      <c r="X247" t="s">
        <v>34</v>
      </c>
      <c r="Y247" t="s">
        <v>50</v>
      </c>
      <c r="Z247" t="s">
        <v>44</v>
      </c>
      <c r="AA247" t="s">
        <v>126</v>
      </c>
      <c r="AB247" t="s">
        <v>46</v>
      </c>
      <c r="AC247">
        <f>IF(Cdacdata[[#This Row],[placement_status]]="Placed",1,0)</f>
        <v>1</v>
      </c>
      <c r="AD247" t="s">
        <v>110</v>
      </c>
      <c r="AE247" t="s">
        <v>63</v>
      </c>
      <c r="AF247" t="s">
        <v>63</v>
      </c>
      <c r="AG247">
        <v>2022</v>
      </c>
      <c r="AH247" t="s">
        <v>111</v>
      </c>
      <c r="AI247" t="str">
        <f>IF(Cdacdata[ccat_rank]&lt;=100,"Top 100",
IF(Cdacdata[ccat_rank]&lt;=500,"101–500",
IF(Cdacdata[ccat_rank]&lt;=1000,"501–1000",
"1000+")))</f>
        <v>1000+</v>
      </c>
    </row>
    <row r="248" spans="1:35" x14ac:dyDescent="0.3">
      <c r="A248" s="1" t="s">
        <v>109</v>
      </c>
      <c r="B248">
        <v>220109500</v>
      </c>
      <c r="C248" s="2">
        <v>44614</v>
      </c>
      <c r="D248" s="2" t="s">
        <v>565</v>
      </c>
      <c r="E248">
        <v>1319</v>
      </c>
      <c r="F248" s="2">
        <v>35845</v>
      </c>
      <c r="G248">
        <v>83.2</v>
      </c>
      <c r="H248" t="s">
        <v>26</v>
      </c>
      <c r="I248">
        <v>83</v>
      </c>
      <c r="J248">
        <v>69</v>
      </c>
      <c r="K248" s="3">
        <f t="shared" si="3"/>
        <v>78.399999999999991</v>
      </c>
      <c r="L248" t="s">
        <v>27</v>
      </c>
      <c r="M248" t="s">
        <v>27</v>
      </c>
      <c r="N248">
        <v>24</v>
      </c>
      <c r="O248" t="s">
        <v>28</v>
      </c>
      <c r="P248" t="s">
        <v>60</v>
      </c>
      <c r="Q248" t="s">
        <v>30</v>
      </c>
      <c r="R248">
        <v>531</v>
      </c>
      <c r="S248">
        <v>66.375</v>
      </c>
      <c r="T248" t="s">
        <v>31</v>
      </c>
      <c r="U248" t="s">
        <v>32</v>
      </c>
      <c r="V248" t="s">
        <v>31</v>
      </c>
      <c r="W248" t="s">
        <v>49</v>
      </c>
      <c r="X248" t="s">
        <v>34</v>
      </c>
      <c r="Y248" t="s">
        <v>50</v>
      </c>
      <c r="Z248" t="s">
        <v>44</v>
      </c>
      <c r="AA248" t="s">
        <v>74</v>
      </c>
      <c r="AB248" t="s">
        <v>46</v>
      </c>
      <c r="AC248">
        <f>IF(Cdacdata[[#This Row],[placement_status]]="Placed",1,0)</f>
        <v>1</v>
      </c>
      <c r="AD248" t="s">
        <v>110</v>
      </c>
      <c r="AE248" t="s">
        <v>47</v>
      </c>
      <c r="AF248" t="s">
        <v>39</v>
      </c>
      <c r="AG248">
        <v>2022</v>
      </c>
      <c r="AH248" t="s">
        <v>111</v>
      </c>
      <c r="AI248" t="str">
        <f>IF(Cdacdata[ccat_rank]&lt;=100,"Top 100",
IF(Cdacdata[ccat_rank]&lt;=500,"101–500",
IF(Cdacdata[ccat_rank]&lt;=1000,"501–1000",
"1000+")))</f>
        <v>1000+</v>
      </c>
    </row>
    <row r="249" spans="1:35" x14ac:dyDescent="0.3">
      <c r="A249" s="1" t="s">
        <v>109</v>
      </c>
      <c r="B249">
        <v>211205409</v>
      </c>
      <c r="C249" s="2"/>
      <c r="D249" s="2"/>
      <c r="E249" t="s">
        <v>63</v>
      </c>
      <c r="G249">
        <v>0</v>
      </c>
      <c r="H249">
        <v>0</v>
      </c>
      <c r="I249">
        <v>0</v>
      </c>
      <c r="J249">
        <v>0</v>
      </c>
      <c r="K249" s="3">
        <f t="shared" si="3"/>
        <v>0</v>
      </c>
      <c r="L249" t="s">
        <v>27</v>
      </c>
      <c r="M249" t="s">
        <v>27</v>
      </c>
      <c r="N249">
        <v>23</v>
      </c>
      <c r="O249" t="s">
        <v>373</v>
      </c>
      <c r="P249" t="s">
        <v>26</v>
      </c>
      <c r="Q249" t="s">
        <v>374</v>
      </c>
      <c r="R249">
        <v>482</v>
      </c>
      <c r="S249">
        <v>60.25</v>
      </c>
      <c r="T249" t="s">
        <v>31</v>
      </c>
      <c r="U249" t="s">
        <v>32</v>
      </c>
      <c r="V249" t="s">
        <v>31</v>
      </c>
      <c r="W249" t="s">
        <v>33</v>
      </c>
      <c r="X249" t="s">
        <v>34</v>
      </c>
      <c r="Y249" t="s">
        <v>50</v>
      </c>
      <c r="Z249" t="s">
        <v>36</v>
      </c>
      <c r="AA249" t="s">
        <v>1268</v>
      </c>
      <c r="AB249" t="s">
        <v>36</v>
      </c>
      <c r="AC249">
        <f>IF(Cdacdata[[#This Row],[placement_status]]="Placed",1,0)</f>
        <v>0</v>
      </c>
      <c r="AD249" t="s">
        <v>110</v>
      </c>
      <c r="AE249" t="s">
        <v>63</v>
      </c>
      <c r="AF249" t="s">
        <v>63</v>
      </c>
      <c r="AG249">
        <v>2022</v>
      </c>
      <c r="AH249" t="s">
        <v>111</v>
      </c>
      <c r="AI249" t="str">
        <f>IF(Cdacdata[ccat_rank]&lt;=100,"Top 100",
IF(Cdacdata[ccat_rank]&lt;=500,"101–500",
IF(Cdacdata[ccat_rank]&lt;=1000,"501–1000",
"1000+")))</f>
        <v>1000+</v>
      </c>
    </row>
    <row r="250" spans="1:35" x14ac:dyDescent="0.3">
      <c r="A250" s="1" t="s">
        <v>109</v>
      </c>
      <c r="B250">
        <v>220106985</v>
      </c>
      <c r="C250" s="2"/>
      <c r="D250" s="2"/>
      <c r="E250" t="s">
        <v>63</v>
      </c>
      <c r="G250">
        <v>0</v>
      </c>
      <c r="H250">
        <v>0</v>
      </c>
      <c r="I250">
        <v>0</v>
      </c>
      <c r="J250">
        <v>0</v>
      </c>
      <c r="K250" s="3">
        <f t="shared" si="3"/>
        <v>0</v>
      </c>
      <c r="L250" t="s">
        <v>27</v>
      </c>
      <c r="M250" t="s">
        <v>27</v>
      </c>
      <c r="N250">
        <v>23</v>
      </c>
      <c r="O250" t="s">
        <v>373</v>
      </c>
      <c r="P250" t="s">
        <v>26</v>
      </c>
      <c r="Q250" t="s">
        <v>374</v>
      </c>
      <c r="R250">
        <v>569</v>
      </c>
      <c r="S250">
        <v>71.125</v>
      </c>
      <c r="T250" t="s">
        <v>33</v>
      </c>
      <c r="U250" t="s">
        <v>32</v>
      </c>
      <c r="V250" t="s">
        <v>33</v>
      </c>
      <c r="W250" t="s">
        <v>49</v>
      </c>
      <c r="X250" t="s">
        <v>34</v>
      </c>
      <c r="Y250" t="s">
        <v>58</v>
      </c>
      <c r="Z250" t="s">
        <v>44</v>
      </c>
      <c r="AA250" t="s">
        <v>74</v>
      </c>
      <c r="AB250" t="s">
        <v>46</v>
      </c>
      <c r="AC250">
        <f>IF(Cdacdata[[#This Row],[placement_status]]="Placed",1,0)</f>
        <v>1</v>
      </c>
      <c r="AD250" t="s">
        <v>110</v>
      </c>
      <c r="AE250" t="s">
        <v>63</v>
      </c>
      <c r="AF250" t="s">
        <v>63</v>
      </c>
      <c r="AG250">
        <v>2022</v>
      </c>
      <c r="AH250" t="s">
        <v>111</v>
      </c>
      <c r="AI250" t="str">
        <f>IF(Cdacdata[ccat_rank]&lt;=100,"Top 100",
IF(Cdacdata[ccat_rank]&lt;=500,"101–500",
IF(Cdacdata[ccat_rank]&lt;=1000,"501–1000",
"1000+")))</f>
        <v>1000+</v>
      </c>
    </row>
    <row r="251" spans="1:35" x14ac:dyDescent="0.3">
      <c r="A251" s="1" t="s">
        <v>109</v>
      </c>
      <c r="B251">
        <v>220105799</v>
      </c>
      <c r="C251" s="2"/>
      <c r="D251" s="2"/>
      <c r="E251" t="s">
        <v>63</v>
      </c>
      <c r="G251">
        <v>0</v>
      </c>
      <c r="H251">
        <v>0</v>
      </c>
      <c r="I251">
        <v>0</v>
      </c>
      <c r="J251">
        <v>0</v>
      </c>
      <c r="K251" s="3">
        <f t="shared" si="3"/>
        <v>0</v>
      </c>
      <c r="L251" t="s">
        <v>27</v>
      </c>
      <c r="M251" t="s">
        <v>27</v>
      </c>
      <c r="N251">
        <v>23</v>
      </c>
      <c r="O251" t="s">
        <v>373</v>
      </c>
      <c r="P251" t="s">
        <v>26</v>
      </c>
      <c r="Q251" t="s">
        <v>374</v>
      </c>
      <c r="R251">
        <v>560</v>
      </c>
      <c r="S251">
        <v>70</v>
      </c>
      <c r="T251" t="s">
        <v>31</v>
      </c>
      <c r="U251" t="s">
        <v>32</v>
      </c>
      <c r="V251" t="s">
        <v>31</v>
      </c>
      <c r="W251" t="s">
        <v>33</v>
      </c>
      <c r="X251" t="s">
        <v>34</v>
      </c>
      <c r="Y251" t="s">
        <v>58</v>
      </c>
      <c r="Z251" t="s">
        <v>44</v>
      </c>
      <c r="AA251" t="s">
        <v>138</v>
      </c>
      <c r="AB251" t="s">
        <v>46</v>
      </c>
      <c r="AC251">
        <f>IF(Cdacdata[[#This Row],[placement_status]]="Placed",1,0)</f>
        <v>1</v>
      </c>
      <c r="AD251" t="s">
        <v>110</v>
      </c>
      <c r="AE251" t="s">
        <v>63</v>
      </c>
      <c r="AF251" t="s">
        <v>63</v>
      </c>
      <c r="AG251">
        <v>2022</v>
      </c>
      <c r="AH251" t="s">
        <v>111</v>
      </c>
      <c r="AI251" t="str">
        <f>IF(Cdacdata[ccat_rank]&lt;=100,"Top 100",
IF(Cdacdata[ccat_rank]&lt;=500,"101–500",
IF(Cdacdata[ccat_rank]&lt;=1000,"501–1000",
"1000+")))</f>
        <v>1000+</v>
      </c>
    </row>
    <row r="252" spans="1:35" x14ac:dyDescent="0.3">
      <c r="A252" s="1" t="s">
        <v>109</v>
      </c>
      <c r="B252">
        <v>220106302</v>
      </c>
      <c r="C252" s="2">
        <v>44614</v>
      </c>
      <c r="D252" s="2" t="s">
        <v>566</v>
      </c>
      <c r="E252">
        <v>1145</v>
      </c>
      <c r="F252" s="2">
        <v>35357</v>
      </c>
      <c r="G252">
        <v>90</v>
      </c>
      <c r="H252">
        <v>68</v>
      </c>
      <c r="I252" t="s">
        <v>26</v>
      </c>
      <c r="J252">
        <v>55.59</v>
      </c>
      <c r="K252" s="3">
        <f t="shared" si="3"/>
        <v>71.196666666666673</v>
      </c>
      <c r="L252" t="s">
        <v>27</v>
      </c>
      <c r="M252" t="s">
        <v>27</v>
      </c>
      <c r="N252">
        <v>25</v>
      </c>
      <c r="O252" t="s">
        <v>72</v>
      </c>
      <c r="P252" t="s">
        <v>60</v>
      </c>
      <c r="Q252" t="s">
        <v>30</v>
      </c>
      <c r="R252">
        <v>583</v>
      </c>
      <c r="S252">
        <v>72.875</v>
      </c>
      <c r="T252" t="s">
        <v>49</v>
      </c>
      <c r="U252" t="s">
        <v>32</v>
      </c>
      <c r="V252" t="s">
        <v>49</v>
      </c>
      <c r="W252" t="s">
        <v>49</v>
      </c>
      <c r="X252" t="s">
        <v>34</v>
      </c>
      <c r="Y252" t="s">
        <v>58</v>
      </c>
      <c r="Z252" t="s">
        <v>44</v>
      </c>
      <c r="AA252" t="s">
        <v>129</v>
      </c>
      <c r="AB252" t="s">
        <v>46</v>
      </c>
      <c r="AC252">
        <f>IF(Cdacdata[[#This Row],[placement_status]]="Placed",1,0)</f>
        <v>1</v>
      </c>
      <c r="AD252" t="s">
        <v>110</v>
      </c>
      <c r="AE252" t="s">
        <v>47</v>
      </c>
      <c r="AF252" t="s">
        <v>39</v>
      </c>
      <c r="AG252">
        <v>2022</v>
      </c>
      <c r="AH252" t="s">
        <v>111</v>
      </c>
      <c r="AI252" t="str">
        <f>IF(Cdacdata[ccat_rank]&lt;=100,"Top 100",
IF(Cdacdata[ccat_rank]&lt;=500,"101–500",
IF(Cdacdata[ccat_rank]&lt;=1000,"501–1000",
"1000+")))</f>
        <v>1000+</v>
      </c>
    </row>
    <row r="253" spans="1:35" x14ac:dyDescent="0.3">
      <c r="A253" s="1" t="s">
        <v>109</v>
      </c>
      <c r="B253">
        <v>211206185</v>
      </c>
      <c r="C253" s="2"/>
      <c r="D253" s="2"/>
      <c r="E253" t="s">
        <v>63</v>
      </c>
      <c r="G253">
        <v>0</v>
      </c>
      <c r="H253">
        <v>0</v>
      </c>
      <c r="I253">
        <v>0</v>
      </c>
      <c r="J253">
        <v>0</v>
      </c>
      <c r="K253" s="3">
        <f t="shared" si="3"/>
        <v>0</v>
      </c>
      <c r="L253" t="s">
        <v>27</v>
      </c>
      <c r="M253" t="s">
        <v>27</v>
      </c>
      <c r="N253">
        <v>23</v>
      </c>
      <c r="O253" t="s">
        <v>373</v>
      </c>
      <c r="P253" t="s">
        <v>26</v>
      </c>
      <c r="Q253" t="s">
        <v>374</v>
      </c>
      <c r="R253">
        <v>555</v>
      </c>
      <c r="S253">
        <v>69.375</v>
      </c>
      <c r="T253" t="s">
        <v>31</v>
      </c>
      <c r="U253" t="s">
        <v>32</v>
      </c>
      <c r="V253" t="s">
        <v>31</v>
      </c>
      <c r="W253" t="s">
        <v>33</v>
      </c>
      <c r="X253" t="s">
        <v>34</v>
      </c>
      <c r="Y253" t="s">
        <v>50</v>
      </c>
      <c r="Z253" t="s">
        <v>44</v>
      </c>
      <c r="AA253" t="s">
        <v>138</v>
      </c>
      <c r="AB253" t="s">
        <v>46</v>
      </c>
      <c r="AC253">
        <f>IF(Cdacdata[[#This Row],[placement_status]]="Placed",1,0)</f>
        <v>1</v>
      </c>
      <c r="AD253" t="s">
        <v>110</v>
      </c>
      <c r="AE253" t="s">
        <v>63</v>
      </c>
      <c r="AF253" t="s">
        <v>63</v>
      </c>
      <c r="AG253">
        <v>2022</v>
      </c>
      <c r="AH253" t="s">
        <v>111</v>
      </c>
      <c r="AI253" t="str">
        <f>IF(Cdacdata[ccat_rank]&lt;=100,"Top 100",
IF(Cdacdata[ccat_rank]&lt;=500,"101–500",
IF(Cdacdata[ccat_rank]&lt;=1000,"501–1000",
"1000+")))</f>
        <v>1000+</v>
      </c>
    </row>
    <row r="254" spans="1:35" x14ac:dyDescent="0.3">
      <c r="A254" s="1" t="s">
        <v>109</v>
      </c>
      <c r="B254">
        <v>220106278</v>
      </c>
      <c r="C254" s="2"/>
      <c r="D254" s="2"/>
      <c r="E254" t="s">
        <v>63</v>
      </c>
      <c r="G254">
        <v>0</v>
      </c>
      <c r="H254">
        <v>0</v>
      </c>
      <c r="I254">
        <v>0</v>
      </c>
      <c r="J254">
        <v>0</v>
      </c>
      <c r="K254" s="3">
        <f t="shared" si="3"/>
        <v>0</v>
      </c>
      <c r="L254" t="s">
        <v>27</v>
      </c>
      <c r="M254" t="s">
        <v>27</v>
      </c>
      <c r="N254">
        <v>23</v>
      </c>
      <c r="O254" t="s">
        <v>373</v>
      </c>
      <c r="P254" t="s">
        <v>26</v>
      </c>
      <c r="Q254" t="s">
        <v>374</v>
      </c>
      <c r="R254">
        <v>520</v>
      </c>
      <c r="S254">
        <v>65</v>
      </c>
      <c r="T254" t="s">
        <v>31</v>
      </c>
      <c r="U254" t="s">
        <v>32</v>
      </c>
      <c r="V254" t="s">
        <v>31</v>
      </c>
      <c r="W254" t="s">
        <v>31</v>
      </c>
      <c r="X254" t="s">
        <v>34</v>
      </c>
      <c r="Y254" t="s">
        <v>50</v>
      </c>
      <c r="Z254" t="s">
        <v>44</v>
      </c>
      <c r="AA254" t="s">
        <v>147</v>
      </c>
      <c r="AB254" t="s">
        <v>46</v>
      </c>
      <c r="AC254">
        <f>IF(Cdacdata[[#This Row],[placement_status]]="Placed",1,0)</f>
        <v>1</v>
      </c>
      <c r="AD254" t="s">
        <v>110</v>
      </c>
      <c r="AE254" t="s">
        <v>63</v>
      </c>
      <c r="AF254" t="s">
        <v>63</v>
      </c>
      <c r="AG254">
        <v>2022</v>
      </c>
      <c r="AH254" t="s">
        <v>111</v>
      </c>
      <c r="AI254" t="str">
        <f>IF(Cdacdata[ccat_rank]&lt;=100,"Top 100",
IF(Cdacdata[ccat_rank]&lt;=500,"101–500",
IF(Cdacdata[ccat_rank]&lt;=1000,"501–1000",
"1000+")))</f>
        <v>1000+</v>
      </c>
    </row>
    <row r="255" spans="1:35" x14ac:dyDescent="0.3">
      <c r="A255" s="1" t="s">
        <v>109</v>
      </c>
      <c r="B255">
        <v>211201936</v>
      </c>
      <c r="C255" s="2"/>
      <c r="D255" s="2"/>
      <c r="E255" t="s">
        <v>63</v>
      </c>
      <c r="G255">
        <v>0</v>
      </c>
      <c r="H255">
        <v>0</v>
      </c>
      <c r="I255">
        <v>0</v>
      </c>
      <c r="J255">
        <v>0</v>
      </c>
      <c r="K255" s="3">
        <f t="shared" si="3"/>
        <v>0</v>
      </c>
      <c r="L255" t="s">
        <v>27</v>
      </c>
      <c r="M255" t="s">
        <v>27</v>
      </c>
      <c r="N255">
        <v>23</v>
      </c>
      <c r="O255" t="s">
        <v>373</v>
      </c>
      <c r="P255" t="s">
        <v>26</v>
      </c>
      <c r="Q255" t="s">
        <v>374</v>
      </c>
      <c r="R255">
        <v>430</v>
      </c>
      <c r="S255">
        <v>53.75</v>
      </c>
      <c r="T255" t="s">
        <v>33</v>
      </c>
      <c r="U255" t="s">
        <v>32</v>
      </c>
      <c r="V255" t="s">
        <v>33</v>
      </c>
      <c r="W255" t="s">
        <v>31</v>
      </c>
      <c r="X255" t="s">
        <v>34</v>
      </c>
      <c r="Y255" t="s">
        <v>35</v>
      </c>
      <c r="Z255" t="s">
        <v>44</v>
      </c>
      <c r="AA255" t="s">
        <v>118</v>
      </c>
      <c r="AB255" t="s">
        <v>46</v>
      </c>
      <c r="AC255">
        <f>IF(Cdacdata[[#This Row],[placement_status]]="Placed",1,0)</f>
        <v>1</v>
      </c>
      <c r="AD255" t="s">
        <v>110</v>
      </c>
      <c r="AE255" t="s">
        <v>63</v>
      </c>
      <c r="AF255" t="s">
        <v>63</v>
      </c>
      <c r="AG255">
        <v>2022</v>
      </c>
      <c r="AH255" t="s">
        <v>111</v>
      </c>
      <c r="AI255" t="str">
        <f>IF(Cdacdata[ccat_rank]&lt;=100,"Top 100",
IF(Cdacdata[ccat_rank]&lt;=500,"101–500",
IF(Cdacdata[ccat_rank]&lt;=1000,"501–1000",
"1000+")))</f>
        <v>1000+</v>
      </c>
    </row>
    <row r="256" spans="1:35" x14ac:dyDescent="0.3">
      <c r="A256" s="1" t="s">
        <v>109</v>
      </c>
      <c r="B256">
        <v>220109875</v>
      </c>
      <c r="C256" s="2"/>
      <c r="D256" s="2"/>
      <c r="E256" t="s">
        <v>63</v>
      </c>
      <c r="G256">
        <v>0</v>
      </c>
      <c r="H256">
        <v>0</v>
      </c>
      <c r="I256">
        <v>0</v>
      </c>
      <c r="J256">
        <v>0</v>
      </c>
      <c r="K256" s="3">
        <f t="shared" si="3"/>
        <v>0</v>
      </c>
      <c r="L256" t="s">
        <v>27</v>
      </c>
      <c r="M256" t="s">
        <v>27</v>
      </c>
      <c r="N256">
        <v>23</v>
      </c>
      <c r="O256" t="s">
        <v>373</v>
      </c>
      <c r="P256" t="s">
        <v>26</v>
      </c>
      <c r="Q256" t="s">
        <v>374</v>
      </c>
      <c r="R256">
        <v>545</v>
      </c>
      <c r="S256">
        <v>68.125</v>
      </c>
      <c r="T256" t="s">
        <v>31</v>
      </c>
      <c r="U256" t="s">
        <v>32</v>
      </c>
      <c r="V256" t="s">
        <v>31</v>
      </c>
      <c r="W256" t="s">
        <v>49</v>
      </c>
      <c r="X256" t="s">
        <v>34</v>
      </c>
      <c r="Y256" t="s">
        <v>50</v>
      </c>
      <c r="Z256" t="s">
        <v>44</v>
      </c>
      <c r="AA256" t="s">
        <v>131</v>
      </c>
      <c r="AB256" t="s">
        <v>46</v>
      </c>
      <c r="AC256">
        <f>IF(Cdacdata[[#This Row],[placement_status]]="Placed",1,0)</f>
        <v>1</v>
      </c>
      <c r="AD256" t="s">
        <v>110</v>
      </c>
      <c r="AE256" t="s">
        <v>63</v>
      </c>
      <c r="AF256" t="s">
        <v>63</v>
      </c>
      <c r="AG256">
        <v>2022</v>
      </c>
      <c r="AH256" t="s">
        <v>111</v>
      </c>
      <c r="AI256" t="str">
        <f>IF(Cdacdata[ccat_rank]&lt;=100,"Top 100",
IF(Cdacdata[ccat_rank]&lt;=500,"101–500",
IF(Cdacdata[ccat_rank]&lt;=1000,"501–1000",
"1000+")))</f>
        <v>1000+</v>
      </c>
    </row>
    <row r="257" spans="1:35" x14ac:dyDescent="0.3">
      <c r="A257" s="1" t="s">
        <v>109</v>
      </c>
      <c r="B257">
        <v>211200041</v>
      </c>
      <c r="C257" s="2"/>
      <c r="D257" s="2"/>
      <c r="E257" t="s">
        <v>63</v>
      </c>
      <c r="G257">
        <v>0</v>
      </c>
      <c r="H257">
        <v>0</v>
      </c>
      <c r="I257">
        <v>0</v>
      </c>
      <c r="J257">
        <v>0</v>
      </c>
      <c r="K257" s="3">
        <f t="shared" si="3"/>
        <v>0</v>
      </c>
      <c r="L257" t="s">
        <v>27</v>
      </c>
      <c r="M257" t="s">
        <v>27</v>
      </c>
      <c r="N257">
        <v>23</v>
      </c>
      <c r="O257" t="s">
        <v>373</v>
      </c>
      <c r="P257" t="s">
        <v>26</v>
      </c>
      <c r="Q257" t="s">
        <v>374</v>
      </c>
      <c r="R257">
        <v>533</v>
      </c>
      <c r="S257">
        <v>66.625</v>
      </c>
      <c r="T257" t="s">
        <v>31</v>
      </c>
      <c r="U257" t="s">
        <v>32</v>
      </c>
      <c r="V257" t="s">
        <v>31</v>
      </c>
      <c r="W257" t="s">
        <v>33</v>
      </c>
      <c r="X257" t="s">
        <v>34</v>
      </c>
      <c r="Y257" t="s">
        <v>50</v>
      </c>
      <c r="Z257" t="s">
        <v>44</v>
      </c>
      <c r="AA257" t="s">
        <v>148</v>
      </c>
      <c r="AB257" t="s">
        <v>46</v>
      </c>
      <c r="AC257">
        <f>IF(Cdacdata[[#This Row],[placement_status]]="Placed",1,0)</f>
        <v>1</v>
      </c>
      <c r="AD257" t="s">
        <v>110</v>
      </c>
      <c r="AE257" t="s">
        <v>63</v>
      </c>
      <c r="AF257" t="s">
        <v>63</v>
      </c>
      <c r="AG257">
        <v>2022</v>
      </c>
      <c r="AH257" t="s">
        <v>111</v>
      </c>
      <c r="AI257" t="str">
        <f>IF(Cdacdata[ccat_rank]&lt;=100,"Top 100",
IF(Cdacdata[ccat_rank]&lt;=500,"101–500",
IF(Cdacdata[ccat_rank]&lt;=1000,"501–1000",
"1000+")))</f>
        <v>1000+</v>
      </c>
    </row>
    <row r="258" spans="1:35" x14ac:dyDescent="0.3">
      <c r="A258" s="1" t="s">
        <v>109</v>
      </c>
      <c r="B258">
        <v>220101360</v>
      </c>
      <c r="C258" s="2"/>
      <c r="D258" s="2"/>
      <c r="E258" t="s">
        <v>63</v>
      </c>
      <c r="G258">
        <v>0</v>
      </c>
      <c r="H258">
        <v>0</v>
      </c>
      <c r="I258">
        <v>0</v>
      </c>
      <c r="J258">
        <v>0</v>
      </c>
      <c r="K258" s="3">
        <f t="shared" ref="K258:K321" si="4">AVERAGE(G258,H258,I258,J258)</f>
        <v>0</v>
      </c>
      <c r="L258" t="s">
        <v>27</v>
      </c>
      <c r="M258" t="s">
        <v>27</v>
      </c>
      <c r="N258">
        <v>23</v>
      </c>
      <c r="O258" t="s">
        <v>373</v>
      </c>
      <c r="P258" t="s">
        <v>26</v>
      </c>
      <c r="Q258" t="s">
        <v>374</v>
      </c>
      <c r="R258">
        <v>528</v>
      </c>
      <c r="S258">
        <v>66</v>
      </c>
      <c r="T258" t="s">
        <v>31</v>
      </c>
      <c r="U258" t="s">
        <v>32</v>
      </c>
      <c r="V258" t="s">
        <v>31</v>
      </c>
      <c r="W258" t="s">
        <v>33</v>
      </c>
      <c r="X258" t="s">
        <v>34</v>
      </c>
      <c r="Y258" t="s">
        <v>50</v>
      </c>
      <c r="Z258" t="s">
        <v>44</v>
      </c>
      <c r="AA258" t="s">
        <v>133</v>
      </c>
      <c r="AB258" t="s">
        <v>46</v>
      </c>
      <c r="AC258">
        <f>IF(Cdacdata[[#This Row],[placement_status]]="Placed",1,0)</f>
        <v>1</v>
      </c>
      <c r="AD258" t="s">
        <v>110</v>
      </c>
      <c r="AE258" t="s">
        <v>63</v>
      </c>
      <c r="AF258" t="s">
        <v>63</v>
      </c>
      <c r="AG258">
        <v>2022</v>
      </c>
      <c r="AH258" t="s">
        <v>111</v>
      </c>
      <c r="AI258" t="str">
        <f>IF(Cdacdata[ccat_rank]&lt;=100,"Top 100",
IF(Cdacdata[ccat_rank]&lt;=500,"101–500",
IF(Cdacdata[ccat_rank]&lt;=1000,"501–1000",
"1000+")))</f>
        <v>1000+</v>
      </c>
    </row>
    <row r="259" spans="1:35" x14ac:dyDescent="0.3">
      <c r="A259" s="1" t="s">
        <v>109</v>
      </c>
      <c r="B259">
        <v>211203616</v>
      </c>
      <c r="C259" s="2">
        <v>44615</v>
      </c>
      <c r="D259" s="2" t="s">
        <v>567</v>
      </c>
      <c r="E259">
        <v>1357</v>
      </c>
      <c r="F259" s="2">
        <v>35454</v>
      </c>
      <c r="G259">
        <v>80.400000000000006</v>
      </c>
      <c r="H259">
        <v>67.69</v>
      </c>
      <c r="I259" t="s">
        <v>26</v>
      </c>
      <c r="J259">
        <v>71</v>
      </c>
      <c r="K259" s="3">
        <f t="shared" si="4"/>
        <v>73.03</v>
      </c>
      <c r="L259" t="s">
        <v>27</v>
      </c>
      <c r="M259" t="s">
        <v>27</v>
      </c>
      <c r="N259">
        <v>25</v>
      </c>
      <c r="O259" t="s">
        <v>28</v>
      </c>
      <c r="P259" t="s">
        <v>26</v>
      </c>
      <c r="Q259" t="s">
        <v>30</v>
      </c>
      <c r="R259">
        <v>562</v>
      </c>
      <c r="S259">
        <v>70.25</v>
      </c>
      <c r="T259" t="s">
        <v>49</v>
      </c>
      <c r="U259" t="s">
        <v>32</v>
      </c>
      <c r="V259" t="s">
        <v>49</v>
      </c>
      <c r="W259" t="s">
        <v>49</v>
      </c>
      <c r="X259" t="s">
        <v>34</v>
      </c>
      <c r="Y259" t="s">
        <v>58</v>
      </c>
      <c r="Z259" t="s">
        <v>36</v>
      </c>
      <c r="AA259" t="s">
        <v>1268</v>
      </c>
      <c r="AB259" t="s">
        <v>36</v>
      </c>
      <c r="AC259">
        <f>IF(Cdacdata[[#This Row],[placement_status]]="Placed",1,0)</f>
        <v>0</v>
      </c>
      <c r="AD259" t="s">
        <v>110</v>
      </c>
      <c r="AE259" t="s">
        <v>47</v>
      </c>
      <c r="AF259" t="s">
        <v>39</v>
      </c>
      <c r="AG259">
        <v>2022</v>
      </c>
      <c r="AH259" t="s">
        <v>111</v>
      </c>
      <c r="AI259" t="str">
        <f>IF(Cdacdata[ccat_rank]&lt;=100,"Top 100",
IF(Cdacdata[ccat_rank]&lt;=500,"101–500",
IF(Cdacdata[ccat_rank]&lt;=1000,"501–1000",
"1000+")))</f>
        <v>1000+</v>
      </c>
    </row>
    <row r="260" spans="1:35" x14ac:dyDescent="0.3">
      <c r="A260" s="1" t="s">
        <v>109</v>
      </c>
      <c r="B260">
        <v>211207001</v>
      </c>
      <c r="C260" s="2"/>
      <c r="D260" s="2"/>
      <c r="E260" t="s">
        <v>63</v>
      </c>
      <c r="G260">
        <v>0</v>
      </c>
      <c r="H260">
        <v>0</v>
      </c>
      <c r="I260">
        <v>0</v>
      </c>
      <c r="J260">
        <v>0</v>
      </c>
      <c r="K260" s="3">
        <f t="shared" si="4"/>
        <v>0</v>
      </c>
      <c r="L260" t="s">
        <v>27</v>
      </c>
      <c r="M260" t="s">
        <v>27</v>
      </c>
      <c r="N260">
        <v>23</v>
      </c>
      <c r="O260" t="s">
        <v>373</v>
      </c>
      <c r="P260" t="s">
        <v>26</v>
      </c>
      <c r="Q260" t="s">
        <v>374</v>
      </c>
      <c r="R260">
        <v>580</v>
      </c>
      <c r="S260">
        <v>72.5</v>
      </c>
      <c r="T260" t="s">
        <v>49</v>
      </c>
      <c r="U260" t="s">
        <v>32</v>
      </c>
      <c r="V260" t="s">
        <v>49</v>
      </c>
      <c r="W260" t="s">
        <v>33</v>
      </c>
      <c r="X260" t="s">
        <v>34</v>
      </c>
      <c r="Y260" t="s">
        <v>58</v>
      </c>
      <c r="Z260" t="s">
        <v>44</v>
      </c>
      <c r="AA260" t="s">
        <v>91</v>
      </c>
      <c r="AB260" t="s">
        <v>46</v>
      </c>
      <c r="AC260">
        <f>IF(Cdacdata[[#This Row],[placement_status]]="Placed",1,0)</f>
        <v>1</v>
      </c>
      <c r="AD260" t="s">
        <v>110</v>
      </c>
      <c r="AE260" t="s">
        <v>63</v>
      </c>
      <c r="AF260" t="s">
        <v>63</v>
      </c>
      <c r="AG260">
        <v>2022</v>
      </c>
      <c r="AH260" t="s">
        <v>111</v>
      </c>
      <c r="AI260" t="str">
        <f>IF(Cdacdata[ccat_rank]&lt;=100,"Top 100",
IF(Cdacdata[ccat_rank]&lt;=500,"101–500",
IF(Cdacdata[ccat_rank]&lt;=1000,"501–1000",
"1000+")))</f>
        <v>1000+</v>
      </c>
    </row>
    <row r="261" spans="1:35" x14ac:dyDescent="0.3">
      <c r="A261" s="1" t="s">
        <v>109</v>
      </c>
      <c r="B261">
        <v>211204434</v>
      </c>
      <c r="C261" s="2">
        <v>44614</v>
      </c>
      <c r="D261" s="2" t="s">
        <v>568</v>
      </c>
      <c r="E261">
        <v>1315</v>
      </c>
      <c r="F261" s="2">
        <v>35341</v>
      </c>
      <c r="G261">
        <v>76.91</v>
      </c>
      <c r="H261">
        <v>73.23</v>
      </c>
      <c r="I261" t="s">
        <v>26</v>
      </c>
      <c r="J261">
        <v>56.7</v>
      </c>
      <c r="K261" s="3">
        <f t="shared" si="4"/>
        <v>68.946666666666658</v>
      </c>
      <c r="L261" t="s">
        <v>27</v>
      </c>
      <c r="M261" t="s">
        <v>27</v>
      </c>
      <c r="N261">
        <v>25</v>
      </c>
      <c r="O261" t="s">
        <v>72</v>
      </c>
      <c r="P261" t="s">
        <v>52</v>
      </c>
      <c r="Q261" t="s">
        <v>30</v>
      </c>
      <c r="R261">
        <v>549</v>
      </c>
      <c r="S261">
        <v>68.625</v>
      </c>
      <c r="T261" t="s">
        <v>49</v>
      </c>
      <c r="U261" t="s">
        <v>32</v>
      </c>
      <c r="V261" t="s">
        <v>49</v>
      </c>
      <c r="W261" t="s">
        <v>31</v>
      </c>
      <c r="X261" t="s">
        <v>34</v>
      </c>
      <c r="Y261" t="s">
        <v>50</v>
      </c>
      <c r="Z261" t="s">
        <v>44</v>
      </c>
      <c r="AA261" t="s">
        <v>149</v>
      </c>
      <c r="AB261" t="s">
        <v>46</v>
      </c>
      <c r="AC261">
        <f>IF(Cdacdata[[#This Row],[placement_status]]="Placed",1,0)</f>
        <v>1</v>
      </c>
      <c r="AD261" t="s">
        <v>110</v>
      </c>
      <c r="AE261" t="s">
        <v>47</v>
      </c>
      <c r="AF261" t="s">
        <v>39</v>
      </c>
      <c r="AG261">
        <v>2022</v>
      </c>
      <c r="AH261" t="s">
        <v>111</v>
      </c>
      <c r="AI261" t="str">
        <f>IF(Cdacdata[ccat_rank]&lt;=100,"Top 100",
IF(Cdacdata[ccat_rank]&lt;=500,"101–500",
IF(Cdacdata[ccat_rank]&lt;=1000,"501–1000",
"1000+")))</f>
        <v>1000+</v>
      </c>
    </row>
    <row r="262" spans="1:35" x14ac:dyDescent="0.3">
      <c r="A262" s="1" t="s">
        <v>109</v>
      </c>
      <c r="B262">
        <v>220106991</v>
      </c>
      <c r="C262" s="2"/>
      <c r="D262" s="2"/>
      <c r="E262" t="s">
        <v>63</v>
      </c>
      <c r="G262">
        <v>0</v>
      </c>
      <c r="H262">
        <v>0</v>
      </c>
      <c r="I262">
        <v>0</v>
      </c>
      <c r="J262">
        <v>0</v>
      </c>
      <c r="K262" s="3">
        <f t="shared" si="4"/>
        <v>0</v>
      </c>
      <c r="L262" t="s">
        <v>27</v>
      </c>
      <c r="M262" t="s">
        <v>27</v>
      </c>
      <c r="N262">
        <v>23</v>
      </c>
      <c r="O262" t="s">
        <v>373</v>
      </c>
      <c r="P262" t="s">
        <v>26</v>
      </c>
      <c r="Q262" t="s">
        <v>374</v>
      </c>
      <c r="R262">
        <v>609</v>
      </c>
      <c r="S262">
        <v>76.125</v>
      </c>
      <c r="T262" t="s">
        <v>49</v>
      </c>
      <c r="U262" t="s">
        <v>32</v>
      </c>
      <c r="V262" t="s">
        <v>49</v>
      </c>
      <c r="W262" t="s">
        <v>33</v>
      </c>
      <c r="X262" t="s">
        <v>34</v>
      </c>
      <c r="Y262" t="s">
        <v>58</v>
      </c>
      <c r="Z262" t="s">
        <v>44</v>
      </c>
      <c r="AA262" t="s">
        <v>143</v>
      </c>
      <c r="AB262" t="s">
        <v>46</v>
      </c>
      <c r="AC262">
        <f>IF(Cdacdata[[#This Row],[placement_status]]="Placed",1,0)</f>
        <v>1</v>
      </c>
      <c r="AD262" t="s">
        <v>110</v>
      </c>
      <c r="AE262" t="s">
        <v>63</v>
      </c>
      <c r="AF262" t="s">
        <v>63</v>
      </c>
      <c r="AG262">
        <v>2022</v>
      </c>
      <c r="AH262" t="s">
        <v>111</v>
      </c>
      <c r="AI262" t="str">
        <f>IF(Cdacdata[ccat_rank]&lt;=100,"Top 100",
IF(Cdacdata[ccat_rank]&lt;=500,"101–500",
IF(Cdacdata[ccat_rank]&lt;=1000,"501–1000",
"1000+")))</f>
        <v>1000+</v>
      </c>
    </row>
    <row r="263" spans="1:35" x14ac:dyDescent="0.3">
      <c r="A263" s="1" t="s">
        <v>109</v>
      </c>
      <c r="B263">
        <v>211202670</v>
      </c>
      <c r="C263" s="2"/>
      <c r="D263" s="2"/>
      <c r="E263" t="s">
        <v>63</v>
      </c>
      <c r="G263">
        <v>0</v>
      </c>
      <c r="H263">
        <v>0</v>
      </c>
      <c r="I263">
        <v>0</v>
      </c>
      <c r="J263">
        <v>0</v>
      </c>
      <c r="K263" s="3">
        <f t="shared" si="4"/>
        <v>0</v>
      </c>
      <c r="L263" t="s">
        <v>27</v>
      </c>
      <c r="M263" t="s">
        <v>27</v>
      </c>
      <c r="N263">
        <v>23</v>
      </c>
      <c r="O263" t="s">
        <v>373</v>
      </c>
      <c r="P263" t="s">
        <v>26</v>
      </c>
      <c r="Q263" t="s">
        <v>374</v>
      </c>
      <c r="R263">
        <v>618</v>
      </c>
      <c r="S263">
        <v>77.25</v>
      </c>
      <c r="T263" t="s">
        <v>31</v>
      </c>
      <c r="U263" t="s">
        <v>32</v>
      </c>
      <c r="V263" t="s">
        <v>31</v>
      </c>
      <c r="W263" t="s">
        <v>49</v>
      </c>
      <c r="X263" t="s">
        <v>34</v>
      </c>
      <c r="Y263" t="s">
        <v>58</v>
      </c>
      <c r="Z263" t="s">
        <v>44</v>
      </c>
      <c r="AA263" t="s">
        <v>114</v>
      </c>
      <c r="AB263" t="s">
        <v>46</v>
      </c>
      <c r="AC263">
        <f>IF(Cdacdata[[#This Row],[placement_status]]="Placed",1,0)</f>
        <v>1</v>
      </c>
      <c r="AD263" t="s">
        <v>110</v>
      </c>
      <c r="AE263" t="s">
        <v>63</v>
      </c>
      <c r="AF263" t="s">
        <v>63</v>
      </c>
      <c r="AG263">
        <v>2022</v>
      </c>
      <c r="AH263" t="s">
        <v>111</v>
      </c>
      <c r="AI263" t="str">
        <f>IF(Cdacdata[ccat_rank]&lt;=100,"Top 100",
IF(Cdacdata[ccat_rank]&lt;=500,"101–500",
IF(Cdacdata[ccat_rank]&lt;=1000,"501–1000",
"1000+")))</f>
        <v>1000+</v>
      </c>
    </row>
    <row r="264" spans="1:35" x14ac:dyDescent="0.3">
      <c r="A264" s="1" t="s">
        <v>109</v>
      </c>
      <c r="B264">
        <v>211204939</v>
      </c>
      <c r="C264" s="2"/>
      <c r="D264" s="2"/>
      <c r="E264" t="s">
        <v>63</v>
      </c>
      <c r="G264">
        <v>0</v>
      </c>
      <c r="H264">
        <v>0</v>
      </c>
      <c r="I264">
        <v>0</v>
      </c>
      <c r="J264">
        <v>0</v>
      </c>
      <c r="K264" s="3">
        <f t="shared" si="4"/>
        <v>0</v>
      </c>
      <c r="L264" t="s">
        <v>27</v>
      </c>
      <c r="M264" t="s">
        <v>27</v>
      </c>
      <c r="N264">
        <v>23</v>
      </c>
      <c r="O264" t="s">
        <v>373</v>
      </c>
      <c r="P264" t="s">
        <v>26</v>
      </c>
      <c r="Q264" t="s">
        <v>374</v>
      </c>
      <c r="R264">
        <v>537</v>
      </c>
      <c r="S264">
        <v>67.125</v>
      </c>
      <c r="T264" t="s">
        <v>31</v>
      </c>
      <c r="U264" t="s">
        <v>32</v>
      </c>
      <c r="V264" t="s">
        <v>31</v>
      </c>
      <c r="W264" t="s">
        <v>49</v>
      </c>
      <c r="X264" t="s">
        <v>34</v>
      </c>
      <c r="Y264" t="s">
        <v>50</v>
      </c>
      <c r="Z264" t="s">
        <v>44</v>
      </c>
      <c r="AA264" t="s">
        <v>91</v>
      </c>
      <c r="AB264" t="s">
        <v>46</v>
      </c>
      <c r="AC264">
        <f>IF(Cdacdata[[#This Row],[placement_status]]="Placed",1,0)</f>
        <v>1</v>
      </c>
      <c r="AD264" t="s">
        <v>110</v>
      </c>
      <c r="AE264" t="s">
        <v>63</v>
      </c>
      <c r="AF264" t="s">
        <v>63</v>
      </c>
      <c r="AG264">
        <v>2022</v>
      </c>
      <c r="AH264" t="s">
        <v>111</v>
      </c>
      <c r="AI264" t="str">
        <f>IF(Cdacdata[ccat_rank]&lt;=100,"Top 100",
IF(Cdacdata[ccat_rank]&lt;=500,"101–500",
IF(Cdacdata[ccat_rank]&lt;=1000,"501–1000",
"1000+")))</f>
        <v>1000+</v>
      </c>
    </row>
    <row r="265" spans="1:35" x14ac:dyDescent="0.3">
      <c r="A265" s="1" t="s">
        <v>109</v>
      </c>
      <c r="B265">
        <v>211207871</v>
      </c>
      <c r="C265" s="2"/>
      <c r="D265" s="2"/>
      <c r="E265" t="s">
        <v>63</v>
      </c>
      <c r="G265">
        <v>0</v>
      </c>
      <c r="H265">
        <v>0</v>
      </c>
      <c r="I265">
        <v>0</v>
      </c>
      <c r="J265">
        <v>0</v>
      </c>
      <c r="K265" s="3">
        <f t="shared" si="4"/>
        <v>0</v>
      </c>
      <c r="L265" t="s">
        <v>27</v>
      </c>
      <c r="M265" t="s">
        <v>27</v>
      </c>
      <c r="N265">
        <v>23</v>
      </c>
      <c r="O265" t="s">
        <v>373</v>
      </c>
      <c r="P265" t="s">
        <v>26</v>
      </c>
      <c r="Q265" t="s">
        <v>374</v>
      </c>
      <c r="R265">
        <v>325</v>
      </c>
      <c r="S265">
        <v>40.625</v>
      </c>
      <c r="T265" t="s">
        <v>33</v>
      </c>
      <c r="U265" t="s">
        <v>64</v>
      </c>
      <c r="V265" t="s">
        <v>33</v>
      </c>
      <c r="W265" t="s">
        <v>103</v>
      </c>
      <c r="X265" t="s">
        <v>34</v>
      </c>
      <c r="Y265" t="s">
        <v>80</v>
      </c>
      <c r="Z265" t="s">
        <v>36</v>
      </c>
      <c r="AA265" t="s">
        <v>1268</v>
      </c>
      <c r="AB265" t="s">
        <v>36</v>
      </c>
      <c r="AC265">
        <f>IF(Cdacdata[[#This Row],[placement_status]]="Placed",1,0)</f>
        <v>0</v>
      </c>
      <c r="AD265" t="s">
        <v>110</v>
      </c>
      <c r="AE265" t="s">
        <v>63</v>
      </c>
      <c r="AF265" t="s">
        <v>63</v>
      </c>
      <c r="AG265">
        <v>2022</v>
      </c>
      <c r="AH265" t="s">
        <v>111</v>
      </c>
      <c r="AI265" t="str">
        <f>IF(Cdacdata[ccat_rank]&lt;=100,"Top 100",
IF(Cdacdata[ccat_rank]&lt;=500,"101–500",
IF(Cdacdata[ccat_rank]&lt;=1000,"501–1000",
"1000+")))</f>
        <v>1000+</v>
      </c>
    </row>
    <row r="266" spans="1:35" x14ac:dyDescent="0.3">
      <c r="A266" s="1" t="s">
        <v>109</v>
      </c>
      <c r="B266">
        <v>220103154</v>
      </c>
      <c r="C266" s="2"/>
      <c r="D266" s="2"/>
      <c r="E266" t="s">
        <v>63</v>
      </c>
      <c r="G266">
        <v>0</v>
      </c>
      <c r="H266">
        <v>0</v>
      </c>
      <c r="I266">
        <v>0</v>
      </c>
      <c r="J266">
        <v>0</v>
      </c>
      <c r="K266" s="3">
        <f t="shared" si="4"/>
        <v>0</v>
      </c>
      <c r="L266" t="s">
        <v>27</v>
      </c>
      <c r="M266" t="s">
        <v>27</v>
      </c>
      <c r="N266">
        <v>23</v>
      </c>
      <c r="O266" t="s">
        <v>373</v>
      </c>
      <c r="P266" t="s">
        <v>26</v>
      </c>
      <c r="Q266" t="s">
        <v>374</v>
      </c>
      <c r="R266">
        <v>553</v>
      </c>
      <c r="S266">
        <v>69.125</v>
      </c>
      <c r="T266" t="s">
        <v>49</v>
      </c>
      <c r="U266" t="s">
        <v>32</v>
      </c>
      <c r="V266" t="s">
        <v>49</v>
      </c>
      <c r="W266" t="s">
        <v>33</v>
      </c>
      <c r="X266" t="s">
        <v>34</v>
      </c>
      <c r="Y266" t="s">
        <v>50</v>
      </c>
      <c r="Z266" t="s">
        <v>44</v>
      </c>
      <c r="AA266" t="s">
        <v>119</v>
      </c>
      <c r="AB266" t="s">
        <v>46</v>
      </c>
      <c r="AC266">
        <f>IF(Cdacdata[[#This Row],[placement_status]]="Placed",1,0)</f>
        <v>1</v>
      </c>
      <c r="AD266" t="s">
        <v>110</v>
      </c>
      <c r="AE266" t="s">
        <v>63</v>
      </c>
      <c r="AF266" t="s">
        <v>63</v>
      </c>
      <c r="AG266">
        <v>2022</v>
      </c>
      <c r="AH266" t="s">
        <v>111</v>
      </c>
      <c r="AI266" t="str">
        <f>IF(Cdacdata[ccat_rank]&lt;=100,"Top 100",
IF(Cdacdata[ccat_rank]&lt;=500,"101–500",
IF(Cdacdata[ccat_rank]&lt;=1000,"501–1000",
"1000+")))</f>
        <v>1000+</v>
      </c>
    </row>
    <row r="267" spans="1:35" x14ac:dyDescent="0.3">
      <c r="A267" s="1" t="s">
        <v>109</v>
      </c>
      <c r="B267">
        <v>220101743</v>
      </c>
      <c r="C267" s="2">
        <v>44615</v>
      </c>
      <c r="D267" s="2" t="s">
        <v>569</v>
      </c>
      <c r="E267">
        <v>484</v>
      </c>
      <c r="F267" s="2">
        <v>34666</v>
      </c>
      <c r="G267">
        <v>77.8</v>
      </c>
      <c r="H267">
        <v>50</v>
      </c>
      <c r="I267" t="s">
        <v>26</v>
      </c>
      <c r="J267">
        <v>60</v>
      </c>
      <c r="K267" s="3">
        <f t="shared" si="4"/>
        <v>62.6</v>
      </c>
      <c r="L267" t="s">
        <v>27</v>
      </c>
      <c r="M267" t="s">
        <v>27</v>
      </c>
      <c r="N267">
        <v>27</v>
      </c>
      <c r="O267" t="s">
        <v>28</v>
      </c>
      <c r="P267" t="s">
        <v>60</v>
      </c>
      <c r="Q267" t="s">
        <v>43</v>
      </c>
      <c r="R267">
        <v>442</v>
      </c>
      <c r="S267">
        <v>55.25</v>
      </c>
      <c r="T267" t="s">
        <v>31</v>
      </c>
      <c r="U267" t="s">
        <v>32</v>
      </c>
      <c r="V267" t="s">
        <v>31</v>
      </c>
      <c r="W267" t="s">
        <v>33</v>
      </c>
      <c r="X267" t="s">
        <v>34</v>
      </c>
      <c r="Y267" t="s">
        <v>35</v>
      </c>
      <c r="Z267" t="s">
        <v>36</v>
      </c>
      <c r="AA267" t="s">
        <v>1268</v>
      </c>
      <c r="AB267" t="s">
        <v>36</v>
      </c>
      <c r="AC267">
        <f>IF(Cdacdata[[#This Row],[placement_status]]="Placed",1,0)</f>
        <v>0</v>
      </c>
      <c r="AD267" t="s">
        <v>110</v>
      </c>
      <c r="AE267" t="s">
        <v>75</v>
      </c>
      <c r="AF267" t="s">
        <v>55</v>
      </c>
      <c r="AG267">
        <v>2022</v>
      </c>
      <c r="AH267" t="s">
        <v>111</v>
      </c>
      <c r="AI267" t="str">
        <f>IF(Cdacdata[ccat_rank]&lt;=100,"Top 100",
IF(Cdacdata[ccat_rank]&lt;=500,"101–500",
IF(Cdacdata[ccat_rank]&lt;=1000,"501–1000",
"1000+")))</f>
        <v>101–500</v>
      </c>
    </row>
    <row r="268" spans="1:35" x14ac:dyDescent="0.3">
      <c r="A268" s="1" t="s">
        <v>109</v>
      </c>
      <c r="B268">
        <v>211208003</v>
      </c>
      <c r="C268" s="2"/>
      <c r="D268" s="2"/>
      <c r="E268" t="s">
        <v>63</v>
      </c>
      <c r="G268">
        <v>0</v>
      </c>
      <c r="H268">
        <v>0</v>
      </c>
      <c r="I268">
        <v>0</v>
      </c>
      <c r="J268">
        <v>0</v>
      </c>
      <c r="K268" s="3">
        <f t="shared" si="4"/>
        <v>0</v>
      </c>
      <c r="L268" t="s">
        <v>27</v>
      </c>
      <c r="M268" t="s">
        <v>27</v>
      </c>
      <c r="N268">
        <v>23</v>
      </c>
      <c r="O268" t="s">
        <v>373</v>
      </c>
      <c r="P268" t="s">
        <v>26</v>
      </c>
      <c r="Q268" t="s">
        <v>374</v>
      </c>
      <c r="R268">
        <v>512</v>
      </c>
      <c r="S268">
        <v>64</v>
      </c>
      <c r="T268" t="s">
        <v>103</v>
      </c>
      <c r="U268" t="s">
        <v>32</v>
      </c>
      <c r="V268" t="s">
        <v>103</v>
      </c>
      <c r="W268" t="s">
        <v>49</v>
      </c>
      <c r="X268" t="s">
        <v>34</v>
      </c>
      <c r="Y268" t="s">
        <v>50</v>
      </c>
      <c r="Z268" t="s">
        <v>44</v>
      </c>
      <c r="AA268" t="s">
        <v>150</v>
      </c>
      <c r="AB268" t="s">
        <v>46</v>
      </c>
      <c r="AC268">
        <f>IF(Cdacdata[[#This Row],[placement_status]]="Placed",1,0)</f>
        <v>1</v>
      </c>
      <c r="AD268" t="s">
        <v>110</v>
      </c>
      <c r="AE268" t="s">
        <v>63</v>
      </c>
      <c r="AF268" t="s">
        <v>63</v>
      </c>
      <c r="AG268">
        <v>2022</v>
      </c>
      <c r="AH268" t="s">
        <v>111</v>
      </c>
      <c r="AI268" t="str">
        <f>IF(Cdacdata[ccat_rank]&lt;=100,"Top 100",
IF(Cdacdata[ccat_rank]&lt;=500,"101–500",
IF(Cdacdata[ccat_rank]&lt;=1000,"501–1000",
"1000+")))</f>
        <v>1000+</v>
      </c>
    </row>
    <row r="269" spans="1:35" x14ac:dyDescent="0.3">
      <c r="A269" s="1" t="s">
        <v>109</v>
      </c>
      <c r="B269">
        <v>211207050</v>
      </c>
      <c r="C269" s="2"/>
      <c r="D269" s="2"/>
      <c r="E269" t="s">
        <v>63</v>
      </c>
      <c r="G269">
        <v>0</v>
      </c>
      <c r="H269">
        <v>0</v>
      </c>
      <c r="I269">
        <v>0</v>
      </c>
      <c r="J269">
        <v>0</v>
      </c>
      <c r="K269" s="3">
        <f t="shared" si="4"/>
        <v>0</v>
      </c>
      <c r="L269" t="s">
        <v>27</v>
      </c>
      <c r="M269" t="s">
        <v>27</v>
      </c>
      <c r="N269">
        <v>23</v>
      </c>
      <c r="O269" t="s">
        <v>373</v>
      </c>
      <c r="P269" t="s">
        <v>26</v>
      </c>
      <c r="Q269" t="s">
        <v>374</v>
      </c>
      <c r="R269">
        <v>536</v>
      </c>
      <c r="S269">
        <v>67</v>
      </c>
      <c r="T269" t="s">
        <v>49</v>
      </c>
      <c r="U269" t="s">
        <v>32</v>
      </c>
      <c r="V269" t="s">
        <v>49</v>
      </c>
      <c r="W269" t="s">
        <v>49</v>
      </c>
      <c r="X269" t="s">
        <v>34</v>
      </c>
      <c r="Y269" t="s">
        <v>50</v>
      </c>
      <c r="Z269" t="s">
        <v>44</v>
      </c>
      <c r="AA269" t="s">
        <v>119</v>
      </c>
      <c r="AB269" t="s">
        <v>46</v>
      </c>
      <c r="AC269">
        <f>IF(Cdacdata[[#This Row],[placement_status]]="Placed",1,0)</f>
        <v>1</v>
      </c>
      <c r="AD269" t="s">
        <v>110</v>
      </c>
      <c r="AE269" t="s">
        <v>63</v>
      </c>
      <c r="AF269" t="s">
        <v>63</v>
      </c>
      <c r="AG269">
        <v>2022</v>
      </c>
      <c r="AH269" t="s">
        <v>111</v>
      </c>
      <c r="AI269" t="str">
        <f>IF(Cdacdata[ccat_rank]&lt;=100,"Top 100",
IF(Cdacdata[ccat_rank]&lt;=500,"101–500",
IF(Cdacdata[ccat_rank]&lt;=1000,"501–1000",
"1000+")))</f>
        <v>1000+</v>
      </c>
    </row>
    <row r="270" spans="1:35" x14ac:dyDescent="0.3">
      <c r="A270" s="1" t="s">
        <v>109</v>
      </c>
      <c r="B270">
        <v>211200453</v>
      </c>
      <c r="C270" s="2"/>
      <c r="D270" s="2"/>
      <c r="E270" t="s">
        <v>63</v>
      </c>
      <c r="G270">
        <v>0</v>
      </c>
      <c r="H270">
        <v>0</v>
      </c>
      <c r="I270">
        <v>0</v>
      </c>
      <c r="J270">
        <v>0</v>
      </c>
      <c r="K270" s="3">
        <f t="shared" si="4"/>
        <v>0</v>
      </c>
      <c r="L270" t="s">
        <v>27</v>
      </c>
      <c r="M270" t="s">
        <v>27</v>
      </c>
      <c r="N270">
        <v>23</v>
      </c>
      <c r="O270" t="s">
        <v>373</v>
      </c>
      <c r="P270" t="s">
        <v>26</v>
      </c>
      <c r="Q270" t="s">
        <v>374</v>
      </c>
      <c r="R270">
        <v>578</v>
      </c>
      <c r="S270">
        <v>72.25</v>
      </c>
      <c r="T270" t="s">
        <v>31</v>
      </c>
      <c r="U270" t="s">
        <v>32</v>
      </c>
      <c r="V270" t="s">
        <v>31</v>
      </c>
      <c r="W270" t="s">
        <v>33</v>
      </c>
      <c r="X270" t="s">
        <v>34</v>
      </c>
      <c r="Y270" t="s">
        <v>58</v>
      </c>
      <c r="Z270" t="s">
        <v>44</v>
      </c>
      <c r="AA270" t="s">
        <v>118</v>
      </c>
      <c r="AB270" t="s">
        <v>46</v>
      </c>
      <c r="AC270">
        <f>IF(Cdacdata[[#This Row],[placement_status]]="Placed",1,0)</f>
        <v>1</v>
      </c>
      <c r="AD270" t="s">
        <v>110</v>
      </c>
      <c r="AE270" t="s">
        <v>63</v>
      </c>
      <c r="AF270" t="s">
        <v>63</v>
      </c>
      <c r="AG270">
        <v>2022</v>
      </c>
      <c r="AH270" t="s">
        <v>111</v>
      </c>
      <c r="AI270" t="str">
        <f>IF(Cdacdata[ccat_rank]&lt;=100,"Top 100",
IF(Cdacdata[ccat_rank]&lt;=500,"101–500",
IF(Cdacdata[ccat_rank]&lt;=1000,"501–1000",
"1000+")))</f>
        <v>1000+</v>
      </c>
    </row>
    <row r="271" spans="1:35" x14ac:dyDescent="0.3">
      <c r="A271" s="1" t="s">
        <v>109</v>
      </c>
      <c r="B271">
        <v>220110344</v>
      </c>
      <c r="C271" s="2"/>
      <c r="D271" s="2"/>
      <c r="E271" t="s">
        <v>63</v>
      </c>
      <c r="G271">
        <v>0</v>
      </c>
      <c r="H271">
        <v>0</v>
      </c>
      <c r="I271">
        <v>0</v>
      </c>
      <c r="J271">
        <v>0</v>
      </c>
      <c r="K271" s="3">
        <f t="shared" si="4"/>
        <v>0</v>
      </c>
      <c r="L271" t="s">
        <v>27</v>
      </c>
      <c r="M271" t="s">
        <v>27</v>
      </c>
      <c r="N271">
        <v>23</v>
      </c>
      <c r="O271" t="s">
        <v>373</v>
      </c>
      <c r="P271" t="s">
        <v>26</v>
      </c>
      <c r="Q271" t="s">
        <v>374</v>
      </c>
      <c r="R271">
        <v>556</v>
      </c>
      <c r="S271">
        <v>69.5</v>
      </c>
      <c r="T271" t="s">
        <v>49</v>
      </c>
      <c r="U271" t="s">
        <v>32</v>
      </c>
      <c r="V271" t="s">
        <v>49</v>
      </c>
      <c r="W271" t="s">
        <v>49</v>
      </c>
      <c r="X271" t="s">
        <v>34</v>
      </c>
      <c r="Y271" t="s">
        <v>50</v>
      </c>
      <c r="Z271" t="s">
        <v>44</v>
      </c>
      <c r="AA271" t="s">
        <v>120</v>
      </c>
      <c r="AB271" t="s">
        <v>46</v>
      </c>
      <c r="AC271">
        <f>IF(Cdacdata[[#This Row],[placement_status]]="Placed",1,0)</f>
        <v>1</v>
      </c>
      <c r="AD271" t="s">
        <v>110</v>
      </c>
      <c r="AE271" t="s">
        <v>63</v>
      </c>
      <c r="AF271" t="s">
        <v>63</v>
      </c>
      <c r="AG271">
        <v>2022</v>
      </c>
      <c r="AH271" t="s">
        <v>111</v>
      </c>
      <c r="AI271" t="str">
        <f>IF(Cdacdata[ccat_rank]&lt;=100,"Top 100",
IF(Cdacdata[ccat_rank]&lt;=500,"101–500",
IF(Cdacdata[ccat_rank]&lt;=1000,"501–1000",
"1000+")))</f>
        <v>1000+</v>
      </c>
    </row>
    <row r="272" spans="1:35" x14ac:dyDescent="0.3">
      <c r="A272" s="1" t="s">
        <v>109</v>
      </c>
      <c r="B272">
        <v>211208173</v>
      </c>
      <c r="C272" s="2"/>
      <c r="D272" s="2"/>
      <c r="E272" t="s">
        <v>63</v>
      </c>
      <c r="G272">
        <v>0</v>
      </c>
      <c r="H272">
        <v>0</v>
      </c>
      <c r="I272">
        <v>0</v>
      </c>
      <c r="J272">
        <v>0</v>
      </c>
      <c r="K272" s="3">
        <f t="shared" si="4"/>
        <v>0</v>
      </c>
      <c r="L272" t="s">
        <v>27</v>
      </c>
      <c r="M272" t="s">
        <v>27</v>
      </c>
      <c r="N272">
        <v>23</v>
      </c>
      <c r="O272" t="s">
        <v>373</v>
      </c>
      <c r="P272" t="s">
        <v>26</v>
      </c>
      <c r="Q272" t="s">
        <v>374</v>
      </c>
      <c r="R272">
        <v>555</v>
      </c>
      <c r="S272">
        <v>69.375</v>
      </c>
      <c r="T272" t="s">
        <v>33</v>
      </c>
      <c r="U272" t="s">
        <v>32</v>
      </c>
      <c r="V272" t="s">
        <v>33</v>
      </c>
      <c r="W272" t="s">
        <v>33</v>
      </c>
      <c r="X272" t="s">
        <v>34</v>
      </c>
      <c r="Y272" t="s">
        <v>50</v>
      </c>
      <c r="Z272" t="s">
        <v>44</v>
      </c>
      <c r="AA272" t="s">
        <v>74</v>
      </c>
      <c r="AB272" t="s">
        <v>46</v>
      </c>
      <c r="AC272">
        <f>IF(Cdacdata[[#This Row],[placement_status]]="Placed",1,0)</f>
        <v>1</v>
      </c>
      <c r="AD272" t="s">
        <v>110</v>
      </c>
      <c r="AE272" t="s">
        <v>63</v>
      </c>
      <c r="AF272" t="s">
        <v>63</v>
      </c>
      <c r="AG272">
        <v>2022</v>
      </c>
      <c r="AH272" t="s">
        <v>111</v>
      </c>
      <c r="AI272" t="str">
        <f>IF(Cdacdata[ccat_rank]&lt;=100,"Top 100",
IF(Cdacdata[ccat_rank]&lt;=500,"101–500",
IF(Cdacdata[ccat_rank]&lt;=1000,"501–1000",
"1000+")))</f>
        <v>1000+</v>
      </c>
    </row>
    <row r="273" spans="1:35" x14ac:dyDescent="0.3">
      <c r="A273" s="1" t="s">
        <v>109</v>
      </c>
      <c r="B273">
        <v>211206606</v>
      </c>
      <c r="C273" s="2">
        <v>44614</v>
      </c>
      <c r="D273" s="2" t="s">
        <v>570</v>
      </c>
      <c r="E273">
        <v>2917</v>
      </c>
      <c r="F273" s="2">
        <v>33823</v>
      </c>
      <c r="G273">
        <v>84.3</v>
      </c>
      <c r="H273">
        <v>69.5</v>
      </c>
      <c r="I273" t="s">
        <v>26</v>
      </c>
      <c r="J273">
        <v>63.4</v>
      </c>
      <c r="K273" s="3">
        <f t="shared" si="4"/>
        <v>72.400000000000006</v>
      </c>
      <c r="L273" t="s">
        <v>41</v>
      </c>
      <c r="M273" t="s">
        <v>27</v>
      </c>
      <c r="N273">
        <v>29</v>
      </c>
      <c r="O273" t="s">
        <v>28</v>
      </c>
      <c r="P273" t="s">
        <v>52</v>
      </c>
      <c r="Q273" t="s">
        <v>30</v>
      </c>
      <c r="R273">
        <v>560</v>
      </c>
      <c r="S273">
        <v>70</v>
      </c>
      <c r="T273" t="s">
        <v>49</v>
      </c>
      <c r="U273" t="s">
        <v>32</v>
      </c>
      <c r="V273" t="s">
        <v>49</v>
      </c>
      <c r="W273" t="s">
        <v>49</v>
      </c>
      <c r="X273" t="s">
        <v>96</v>
      </c>
      <c r="Y273" t="s">
        <v>58</v>
      </c>
      <c r="Z273" t="s">
        <v>44</v>
      </c>
      <c r="AA273" t="s">
        <v>151</v>
      </c>
      <c r="AB273" t="s">
        <v>46</v>
      </c>
      <c r="AC273">
        <f>IF(Cdacdata[[#This Row],[placement_status]]="Placed",1,0)</f>
        <v>1</v>
      </c>
      <c r="AD273" t="s">
        <v>110</v>
      </c>
      <c r="AE273" t="s">
        <v>38</v>
      </c>
      <c r="AF273" t="s">
        <v>69</v>
      </c>
      <c r="AG273">
        <v>2022</v>
      </c>
      <c r="AH273" t="s">
        <v>111</v>
      </c>
      <c r="AI273" t="str">
        <f>IF(Cdacdata[ccat_rank]&lt;=100,"Top 100",
IF(Cdacdata[ccat_rank]&lt;=500,"101–500",
IF(Cdacdata[ccat_rank]&lt;=1000,"501–1000",
"1000+")))</f>
        <v>1000+</v>
      </c>
    </row>
    <row r="274" spans="1:35" x14ac:dyDescent="0.3">
      <c r="A274" s="1" t="s">
        <v>109</v>
      </c>
      <c r="B274">
        <v>220101599</v>
      </c>
      <c r="C274" s="2">
        <v>44615</v>
      </c>
      <c r="D274" s="2" t="s">
        <v>571</v>
      </c>
      <c r="E274">
        <v>2524</v>
      </c>
      <c r="F274" s="2">
        <v>34459</v>
      </c>
      <c r="G274">
        <v>81.53</v>
      </c>
      <c r="H274">
        <v>62.67</v>
      </c>
      <c r="I274" t="s">
        <v>26</v>
      </c>
      <c r="J274">
        <v>57.51</v>
      </c>
      <c r="K274" s="3">
        <f t="shared" si="4"/>
        <v>67.236666666666665</v>
      </c>
      <c r="L274" t="s">
        <v>27</v>
      </c>
      <c r="M274" t="s">
        <v>27</v>
      </c>
      <c r="N274">
        <v>27</v>
      </c>
      <c r="O274" t="s">
        <v>72</v>
      </c>
      <c r="P274" t="s">
        <v>26</v>
      </c>
      <c r="Q274" t="s">
        <v>30</v>
      </c>
      <c r="R274">
        <v>545</v>
      </c>
      <c r="S274">
        <v>68.125</v>
      </c>
      <c r="T274" t="s">
        <v>49</v>
      </c>
      <c r="U274" t="s">
        <v>32</v>
      </c>
      <c r="V274" t="s">
        <v>49</v>
      </c>
      <c r="W274" t="s">
        <v>49</v>
      </c>
      <c r="X274" t="s">
        <v>96</v>
      </c>
      <c r="Y274" t="s">
        <v>50</v>
      </c>
      <c r="Z274" t="s">
        <v>53</v>
      </c>
      <c r="AA274" t="s">
        <v>54</v>
      </c>
      <c r="AB274" t="s">
        <v>46</v>
      </c>
      <c r="AC274">
        <f>IF(Cdacdata[[#This Row],[placement_status]]="Placed",1,0)</f>
        <v>1</v>
      </c>
      <c r="AD274" t="s">
        <v>110</v>
      </c>
      <c r="AE274" t="s">
        <v>38</v>
      </c>
      <c r="AF274" t="s">
        <v>55</v>
      </c>
      <c r="AG274">
        <v>2022</v>
      </c>
      <c r="AH274" t="s">
        <v>111</v>
      </c>
      <c r="AI274" t="str">
        <f>IF(Cdacdata[ccat_rank]&lt;=100,"Top 100",
IF(Cdacdata[ccat_rank]&lt;=500,"101–500",
IF(Cdacdata[ccat_rank]&lt;=1000,"501–1000",
"1000+")))</f>
        <v>1000+</v>
      </c>
    </row>
    <row r="275" spans="1:35" x14ac:dyDescent="0.3">
      <c r="A275" s="1" t="s">
        <v>109</v>
      </c>
      <c r="B275">
        <v>220109335</v>
      </c>
      <c r="C275" s="2"/>
      <c r="D275" s="2"/>
      <c r="E275" t="s">
        <v>63</v>
      </c>
      <c r="G275">
        <v>0</v>
      </c>
      <c r="H275">
        <v>0</v>
      </c>
      <c r="I275">
        <v>0</v>
      </c>
      <c r="J275">
        <v>0</v>
      </c>
      <c r="K275" s="3">
        <f t="shared" si="4"/>
        <v>0</v>
      </c>
      <c r="L275" t="s">
        <v>27</v>
      </c>
      <c r="M275" t="s">
        <v>27</v>
      </c>
      <c r="N275">
        <v>23</v>
      </c>
      <c r="O275" t="s">
        <v>373</v>
      </c>
      <c r="P275" t="s">
        <v>26</v>
      </c>
      <c r="Q275" t="s">
        <v>374</v>
      </c>
      <c r="R275">
        <v>473</v>
      </c>
      <c r="S275">
        <v>59.125</v>
      </c>
      <c r="T275" t="s">
        <v>33</v>
      </c>
      <c r="U275" t="s">
        <v>32</v>
      </c>
      <c r="V275" t="s">
        <v>33</v>
      </c>
      <c r="W275" t="s">
        <v>33</v>
      </c>
      <c r="X275" t="s">
        <v>96</v>
      </c>
      <c r="Y275" t="s">
        <v>35</v>
      </c>
      <c r="Z275" t="s">
        <v>53</v>
      </c>
      <c r="AA275" t="s">
        <v>54</v>
      </c>
      <c r="AB275" t="s">
        <v>46</v>
      </c>
      <c r="AC275">
        <f>IF(Cdacdata[[#This Row],[placement_status]]="Placed",1,0)</f>
        <v>1</v>
      </c>
      <c r="AD275" t="s">
        <v>110</v>
      </c>
      <c r="AE275" t="s">
        <v>63</v>
      </c>
      <c r="AF275" t="s">
        <v>63</v>
      </c>
      <c r="AG275">
        <v>2022</v>
      </c>
      <c r="AH275" t="s">
        <v>111</v>
      </c>
      <c r="AI275" t="str">
        <f>IF(Cdacdata[ccat_rank]&lt;=100,"Top 100",
IF(Cdacdata[ccat_rank]&lt;=500,"101–500",
IF(Cdacdata[ccat_rank]&lt;=1000,"501–1000",
"1000+")))</f>
        <v>1000+</v>
      </c>
    </row>
    <row r="276" spans="1:35" x14ac:dyDescent="0.3">
      <c r="A276" s="1" t="s">
        <v>109</v>
      </c>
      <c r="B276">
        <v>211204746</v>
      </c>
      <c r="C276" s="2"/>
      <c r="D276" s="2"/>
      <c r="E276" t="s">
        <v>63</v>
      </c>
      <c r="G276">
        <v>0</v>
      </c>
      <c r="H276">
        <v>0</v>
      </c>
      <c r="I276">
        <v>0</v>
      </c>
      <c r="J276">
        <v>0</v>
      </c>
      <c r="K276" s="3">
        <f t="shared" si="4"/>
        <v>0</v>
      </c>
      <c r="L276" t="s">
        <v>27</v>
      </c>
      <c r="M276" t="s">
        <v>27</v>
      </c>
      <c r="N276">
        <v>23</v>
      </c>
      <c r="O276" t="s">
        <v>373</v>
      </c>
      <c r="P276" t="s">
        <v>26</v>
      </c>
      <c r="Q276" t="s">
        <v>374</v>
      </c>
      <c r="R276">
        <v>576</v>
      </c>
      <c r="S276">
        <v>72</v>
      </c>
      <c r="T276" t="s">
        <v>49</v>
      </c>
      <c r="U276" t="s">
        <v>32</v>
      </c>
      <c r="V276" t="s">
        <v>49</v>
      </c>
      <c r="W276" t="s">
        <v>49</v>
      </c>
      <c r="X276" t="s">
        <v>96</v>
      </c>
      <c r="Y276" t="s">
        <v>58</v>
      </c>
      <c r="Z276" t="s">
        <v>44</v>
      </c>
      <c r="AA276" t="s">
        <v>117</v>
      </c>
      <c r="AB276" t="s">
        <v>46</v>
      </c>
      <c r="AC276">
        <f>IF(Cdacdata[[#This Row],[placement_status]]="Placed",1,0)</f>
        <v>1</v>
      </c>
      <c r="AD276" t="s">
        <v>110</v>
      </c>
      <c r="AE276" t="s">
        <v>63</v>
      </c>
      <c r="AF276" t="s">
        <v>63</v>
      </c>
      <c r="AG276">
        <v>2022</v>
      </c>
      <c r="AH276" t="s">
        <v>111</v>
      </c>
      <c r="AI276" t="str">
        <f>IF(Cdacdata[ccat_rank]&lt;=100,"Top 100",
IF(Cdacdata[ccat_rank]&lt;=500,"101–500",
IF(Cdacdata[ccat_rank]&lt;=1000,"501–1000",
"1000+")))</f>
        <v>1000+</v>
      </c>
    </row>
    <row r="277" spans="1:35" x14ac:dyDescent="0.3">
      <c r="A277" s="1" t="s">
        <v>109</v>
      </c>
      <c r="B277">
        <v>211200844</v>
      </c>
      <c r="C277" s="2"/>
      <c r="D277" s="2"/>
      <c r="E277" t="s">
        <v>63</v>
      </c>
      <c r="G277">
        <v>0</v>
      </c>
      <c r="H277">
        <v>0</v>
      </c>
      <c r="I277">
        <v>0</v>
      </c>
      <c r="J277">
        <v>0</v>
      </c>
      <c r="K277" s="3">
        <f t="shared" si="4"/>
        <v>0</v>
      </c>
      <c r="L277" t="s">
        <v>27</v>
      </c>
      <c r="M277" t="s">
        <v>27</v>
      </c>
      <c r="N277">
        <v>23</v>
      </c>
      <c r="O277" t="s">
        <v>373</v>
      </c>
      <c r="P277" t="s">
        <v>26</v>
      </c>
      <c r="Q277" t="s">
        <v>374</v>
      </c>
      <c r="R277">
        <v>463</v>
      </c>
      <c r="S277">
        <v>57.875</v>
      </c>
      <c r="T277" t="s">
        <v>33</v>
      </c>
      <c r="U277" t="s">
        <v>32</v>
      </c>
      <c r="V277" t="s">
        <v>33</v>
      </c>
      <c r="W277" t="s">
        <v>49</v>
      </c>
      <c r="X277" t="s">
        <v>96</v>
      </c>
      <c r="Y277" t="s">
        <v>35</v>
      </c>
      <c r="Z277" t="s">
        <v>36</v>
      </c>
      <c r="AA277" t="s">
        <v>1268</v>
      </c>
      <c r="AB277" t="s">
        <v>36</v>
      </c>
      <c r="AC277">
        <f>IF(Cdacdata[[#This Row],[placement_status]]="Placed",1,0)</f>
        <v>0</v>
      </c>
      <c r="AD277" t="s">
        <v>110</v>
      </c>
      <c r="AE277" t="s">
        <v>63</v>
      </c>
      <c r="AF277" t="s">
        <v>63</v>
      </c>
      <c r="AG277">
        <v>2022</v>
      </c>
      <c r="AH277" t="s">
        <v>111</v>
      </c>
      <c r="AI277" t="str">
        <f>IF(Cdacdata[ccat_rank]&lt;=100,"Top 100",
IF(Cdacdata[ccat_rank]&lt;=500,"101–500",
IF(Cdacdata[ccat_rank]&lt;=1000,"501–1000",
"1000+")))</f>
        <v>1000+</v>
      </c>
    </row>
    <row r="278" spans="1:35" x14ac:dyDescent="0.3">
      <c r="A278" s="1" t="s">
        <v>109</v>
      </c>
      <c r="B278">
        <v>220103686</v>
      </c>
      <c r="C278" s="2"/>
      <c r="D278" s="2"/>
      <c r="E278" t="s">
        <v>63</v>
      </c>
      <c r="G278">
        <v>0</v>
      </c>
      <c r="H278">
        <v>0</v>
      </c>
      <c r="I278">
        <v>0</v>
      </c>
      <c r="J278">
        <v>0</v>
      </c>
      <c r="K278" s="3">
        <f t="shared" si="4"/>
        <v>0</v>
      </c>
      <c r="L278" t="s">
        <v>27</v>
      </c>
      <c r="M278" t="s">
        <v>27</v>
      </c>
      <c r="N278">
        <v>23</v>
      </c>
      <c r="O278" t="s">
        <v>373</v>
      </c>
      <c r="P278" t="s">
        <v>26</v>
      </c>
      <c r="Q278" t="s">
        <v>374</v>
      </c>
      <c r="R278">
        <v>595</v>
      </c>
      <c r="S278">
        <v>74.375</v>
      </c>
      <c r="T278" t="s">
        <v>49</v>
      </c>
      <c r="U278" t="s">
        <v>32</v>
      </c>
      <c r="V278" t="s">
        <v>49</v>
      </c>
      <c r="W278" t="s">
        <v>33</v>
      </c>
      <c r="X278" t="s">
        <v>96</v>
      </c>
      <c r="Y278" t="s">
        <v>58</v>
      </c>
      <c r="Z278" t="s">
        <v>44</v>
      </c>
      <c r="AA278" t="s">
        <v>152</v>
      </c>
      <c r="AB278" t="s">
        <v>46</v>
      </c>
      <c r="AC278">
        <f>IF(Cdacdata[[#This Row],[placement_status]]="Placed",1,0)</f>
        <v>1</v>
      </c>
      <c r="AD278" t="s">
        <v>110</v>
      </c>
      <c r="AE278" t="s">
        <v>63</v>
      </c>
      <c r="AF278" t="s">
        <v>63</v>
      </c>
      <c r="AG278">
        <v>2022</v>
      </c>
      <c r="AH278" t="s">
        <v>111</v>
      </c>
      <c r="AI278" t="str">
        <f>IF(Cdacdata[ccat_rank]&lt;=100,"Top 100",
IF(Cdacdata[ccat_rank]&lt;=500,"101–500",
IF(Cdacdata[ccat_rank]&lt;=1000,"501–1000",
"1000+")))</f>
        <v>1000+</v>
      </c>
    </row>
    <row r="279" spans="1:35" x14ac:dyDescent="0.3">
      <c r="A279" s="1" t="s">
        <v>109</v>
      </c>
      <c r="B279">
        <v>220103015</v>
      </c>
      <c r="C279" s="2"/>
      <c r="D279" s="2"/>
      <c r="E279" t="s">
        <v>63</v>
      </c>
      <c r="G279">
        <v>0</v>
      </c>
      <c r="H279">
        <v>0</v>
      </c>
      <c r="I279">
        <v>0</v>
      </c>
      <c r="J279">
        <v>0</v>
      </c>
      <c r="K279" s="3">
        <f t="shared" si="4"/>
        <v>0</v>
      </c>
      <c r="L279" t="s">
        <v>27</v>
      </c>
      <c r="M279" t="s">
        <v>27</v>
      </c>
      <c r="N279">
        <v>23</v>
      </c>
      <c r="O279" t="s">
        <v>373</v>
      </c>
      <c r="P279" t="s">
        <v>26</v>
      </c>
      <c r="Q279" t="s">
        <v>374</v>
      </c>
      <c r="R279">
        <v>571</v>
      </c>
      <c r="S279">
        <v>71.375</v>
      </c>
      <c r="T279" t="s">
        <v>49</v>
      </c>
      <c r="U279" t="s">
        <v>32</v>
      </c>
      <c r="V279" t="s">
        <v>49</v>
      </c>
      <c r="W279" t="s">
        <v>33</v>
      </c>
      <c r="X279" t="s">
        <v>96</v>
      </c>
      <c r="Y279" t="s">
        <v>58</v>
      </c>
      <c r="Z279" t="s">
        <v>44</v>
      </c>
      <c r="AA279" t="s">
        <v>153</v>
      </c>
      <c r="AB279" t="s">
        <v>46</v>
      </c>
      <c r="AC279">
        <f>IF(Cdacdata[[#This Row],[placement_status]]="Placed",1,0)</f>
        <v>1</v>
      </c>
      <c r="AD279" t="s">
        <v>110</v>
      </c>
      <c r="AE279" t="s">
        <v>63</v>
      </c>
      <c r="AF279" t="s">
        <v>63</v>
      </c>
      <c r="AG279">
        <v>2022</v>
      </c>
      <c r="AH279" t="s">
        <v>111</v>
      </c>
      <c r="AI279" t="str">
        <f>IF(Cdacdata[ccat_rank]&lt;=100,"Top 100",
IF(Cdacdata[ccat_rank]&lt;=500,"101–500",
IF(Cdacdata[ccat_rank]&lt;=1000,"501–1000",
"1000+")))</f>
        <v>1000+</v>
      </c>
    </row>
    <row r="280" spans="1:35" x14ac:dyDescent="0.3">
      <c r="A280" s="1" t="s">
        <v>109</v>
      </c>
      <c r="B280">
        <v>211205847</v>
      </c>
      <c r="C280" s="2"/>
      <c r="D280" s="2"/>
      <c r="E280" t="s">
        <v>63</v>
      </c>
      <c r="G280">
        <v>0</v>
      </c>
      <c r="H280">
        <v>0</v>
      </c>
      <c r="I280">
        <v>0</v>
      </c>
      <c r="J280">
        <v>0</v>
      </c>
      <c r="K280" s="3">
        <f t="shared" si="4"/>
        <v>0</v>
      </c>
      <c r="L280" t="s">
        <v>27</v>
      </c>
      <c r="M280" t="s">
        <v>27</v>
      </c>
      <c r="N280">
        <v>23</v>
      </c>
      <c r="O280" t="s">
        <v>373</v>
      </c>
      <c r="P280" t="s">
        <v>26</v>
      </c>
      <c r="Q280" t="s">
        <v>374</v>
      </c>
      <c r="R280">
        <v>419</v>
      </c>
      <c r="S280">
        <v>52.375</v>
      </c>
      <c r="T280" t="s">
        <v>49</v>
      </c>
      <c r="U280" t="s">
        <v>32</v>
      </c>
      <c r="V280" t="s">
        <v>49</v>
      </c>
      <c r="W280" t="s">
        <v>31</v>
      </c>
      <c r="X280" t="s">
        <v>96</v>
      </c>
      <c r="Y280" t="s">
        <v>35</v>
      </c>
      <c r="Z280" t="s">
        <v>36</v>
      </c>
      <c r="AA280" t="s">
        <v>1268</v>
      </c>
      <c r="AB280" t="s">
        <v>36</v>
      </c>
      <c r="AC280">
        <f>IF(Cdacdata[[#This Row],[placement_status]]="Placed",1,0)</f>
        <v>0</v>
      </c>
      <c r="AD280" t="s">
        <v>110</v>
      </c>
      <c r="AE280" t="s">
        <v>63</v>
      </c>
      <c r="AF280" t="s">
        <v>63</v>
      </c>
      <c r="AG280">
        <v>2022</v>
      </c>
      <c r="AH280" t="s">
        <v>111</v>
      </c>
      <c r="AI280" t="str">
        <f>IF(Cdacdata[ccat_rank]&lt;=100,"Top 100",
IF(Cdacdata[ccat_rank]&lt;=500,"101–500",
IF(Cdacdata[ccat_rank]&lt;=1000,"501–1000",
"1000+")))</f>
        <v>1000+</v>
      </c>
    </row>
    <row r="281" spans="1:35" x14ac:dyDescent="0.3">
      <c r="A281" s="1" t="s">
        <v>109</v>
      </c>
      <c r="B281">
        <v>211205337</v>
      </c>
      <c r="C281" s="2">
        <v>44615</v>
      </c>
      <c r="D281" s="2" t="s">
        <v>572</v>
      </c>
      <c r="E281">
        <v>2927</v>
      </c>
      <c r="F281" s="2">
        <v>35711</v>
      </c>
      <c r="G281">
        <v>89.2</v>
      </c>
      <c r="H281">
        <v>75.38</v>
      </c>
      <c r="I281" t="s">
        <v>26</v>
      </c>
      <c r="J281">
        <v>6.65</v>
      </c>
      <c r="K281" s="3">
        <f t="shared" si="4"/>
        <v>57.076666666666661</v>
      </c>
      <c r="L281" t="s">
        <v>27</v>
      </c>
      <c r="M281" t="s">
        <v>27</v>
      </c>
      <c r="N281">
        <v>24</v>
      </c>
      <c r="O281" t="s">
        <v>62</v>
      </c>
      <c r="P281" t="s">
        <v>26</v>
      </c>
      <c r="Q281" t="s">
        <v>26</v>
      </c>
      <c r="R281">
        <v>489</v>
      </c>
      <c r="S281">
        <v>61.125</v>
      </c>
      <c r="T281" t="s">
        <v>49</v>
      </c>
      <c r="U281" t="s">
        <v>32</v>
      </c>
      <c r="V281" t="s">
        <v>49</v>
      </c>
      <c r="W281" t="s">
        <v>31</v>
      </c>
      <c r="X281" t="s">
        <v>96</v>
      </c>
      <c r="Y281" t="s">
        <v>50</v>
      </c>
      <c r="Z281" t="s">
        <v>44</v>
      </c>
      <c r="AA281" t="s">
        <v>141</v>
      </c>
      <c r="AB281" t="s">
        <v>46</v>
      </c>
      <c r="AC281">
        <f>IF(Cdacdata[[#This Row],[placement_status]]="Placed",1,0)</f>
        <v>1</v>
      </c>
      <c r="AD281" t="s">
        <v>110</v>
      </c>
      <c r="AE281" t="s">
        <v>38</v>
      </c>
      <c r="AF281" t="s">
        <v>39</v>
      </c>
      <c r="AG281">
        <v>2022</v>
      </c>
      <c r="AH281" t="s">
        <v>111</v>
      </c>
      <c r="AI281" t="str">
        <f>IF(Cdacdata[ccat_rank]&lt;=100,"Top 100",
IF(Cdacdata[ccat_rank]&lt;=500,"101–500",
IF(Cdacdata[ccat_rank]&lt;=1000,"501–1000",
"1000+")))</f>
        <v>1000+</v>
      </c>
    </row>
    <row r="282" spans="1:35" x14ac:dyDescent="0.3">
      <c r="A282" s="1" t="s">
        <v>109</v>
      </c>
      <c r="B282">
        <v>211201451</v>
      </c>
      <c r="C282" s="2"/>
      <c r="D282" s="2"/>
      <c r="E282" t="s">
        <v>63</v>
      </c>
      <c r="G282">
        <v>0</v>
      </c>
      <c r="H282">
        <v>0</v>
      </c>
      <c r="I282">
        <v>0</v>
      </c>
      <c r="J282">
        <v>0</v>
      </c>
      <c r="K282" s="3">
        <f t="shared" si="4"/>
        <v>0</v>
      </c>
      <c r="L282" t="s">
        <v>27</v>
      </c>
      <c r="M282" t="s">
        <v>27</v>
      </c>
      <c r="N282">
        <v>23</v>
      </c>
      <c r="O282" t="s">
        <v>373</v>
      </c>
      <c r="P282" t="s">
        <v>26</v>
      </c>
      <c r="Q282" t="s">
        <v>374</v>
      </c>
      <c r="R282">
        <v>427</v>
      </c>
      <c r="S282">
        <v>53.375</v>
      </c>
      <c r="T282" t="s">
        <v>49</v>
      </c>
      <c r="U282" t="s">
        <v>32</v>
      </c>
      <c r="V282" t="s">
        <v>49</v>
      </c>
      <c r="W282" t="s">
        <v>31</v>
      </c>
      <c r="X282" t="s">
        <v>96</v>
      </c>
      <c r="Y282" t="s">
        <v>35</v>
      </c>
      <c r="Z282" t="s">
        <v>36</v>
      </c>
      <c r="AA282" t="s">
        <v>1268</v>
      </c>
      <c r="AB282" t="s">
        <v>36</v>
      </c>
      <c r="AC282">
        <f>IF(Cdacdata[[#This Row],[placement_status]]="Placed",1,0)</f>
        <v>0</v>
      </c>
      <c r="AD282" t="s">
        <v>110</v>
      </c>
      <c r="AE282" t="s">
        <v>63</v>
      </c>
      <c r="AF282" t="s">
        <v>63</v>
      </c>
      <c r="AG282">
        <v>2022</v>
      </c>
      <c r="AH282" t="s">
        <v>111</v>
      </c>
      <c r="AI282" t="str">
        <f>IF(Cdacdata[ccat_rank]&lt;=100,"Top 100",
IF(Cdacdata[ccat_rank]&lt;=500,"101–500",
IF(Cdacdata[ccat_rank]&lt;=1000,"501–1000",
"1000+")))</f>
        <v>1000+</v>
      </c>
    </row>
    <row r="283" spans="1:35" x14ac:dyDescent="0.3">
      <c r="A283" s="1" t="s">
        <v>109</v>
      </c>
      <c r="B283">
        <v>220107121</v>
      </c>
      <c r="C283" s="2"/>
      <c r="D283" s="2"/>
      <c r="E283" t="s">
        <v>63</v>
      </c>
      <c r="G283">
        <v>0</v>
      </c>
      <c r="H283">
        <v>0</v>
      </c>
      <c r="I283">
        <v>0</v>
      </c>
      <c r="J283">
        <v>0</v>
      </c>
      <c r="K283" s="3">
        <f t="shared" si="4"/>
        <v>0</v>
      </c>
      <c r="L283" t="s">
        <v>27</v>
      </c>
      <c r="M283" t="s">
        <v>27</v>
      </c>
      <c r="N283">
        <v>23</v>
      </c>
      <c r="O283" t="s">
        <v>373</v>
      </c>
      <c r="P283" t="s">
        <v>26</v>
      </c>
      <c r="Q283" t="s">
        <v>374</v>
      </c>
      <c r="R283">
        <v>457</v>
      </c>
      <c r="S283">
        <v>57.125</v>
      </c>
      <c r="T283" t="s">
        <v>33</v>
      </c>
      <c r="U283" t="s">
        <v>32</v>
      </c>
      <c r="V283" t="s">
        <v>33</v>
      </c>
      <c r="W283" t="s">
        <v>33</v>
      </c>
      <c r="X283" t="s">
        <v>96</v>
      </c>
      <c r="Y283" t="s">
        <v>35</v>
      </c>
      <c r="Z283" t="s">
        <v>36</v>
      </c>
      <c r="AA283" t="s">
        <v>1268</v>
      </c>
      <c r="AB283" t="s">
        <v>36</v>
      </c>
      <c r="AC283">
        <f>IF(Cdacdata[[#This Row],[placement_status]]="Placed",1,0)</f>
        <v>0</v>
      </c>
      <c r="AD283" t="s">
        <v>110</v>
      </c>
      <c r="AE283" t="s">
        <v>63</v>
      </c>
      <c r="AF283" t="s">
        <v>63</v>
      </c>
      <c r="AG283">
        <v>2022</v>
      </c>
      <c r="AH283" t="s">
        <v>111</v>
      </c>
      <c r="AI283" t="str">
        <f>IF(Cdacdata[ccat_rank]&lt;=100,"Top 100",
IF(Cdacdata[ccat_rank]&lt;=500,"101–500",
IF(Cdacdata[ccat_rank]&lt;=1000,"501–1000",
"1000+")))</f>
        <v>1000+</v>
      </c>
    </row>
    <row r="284" spans="1:35" x14ac:dyDescent="0.3">
      <c r="A284" s="1" t="s">
        <v>109</v>
      </c>
      <c r="B284">
        <v>211207863</v>
      </c>
      <c r="C284" s="2"/>
      <c r="D284" s="2"/>
      <c r="E284" t="s">
        <v>63</v>
      </c>
      <c r="G284">
        <v>0</v>
      </c>
      <c r="H284">
        <v>0</v>
      </c>
      <c r="I284">
        <v>0</v>
      </c>
      <c r="J284">
        <v>0</v>
      </c>
      <c r="K284" s="3">
        <f t="shared" si="4"/>
        <v>0</v>
      </c>
      <c r="L284" t="s">
        <v>27</v>
      </c>
      <c r="M284" t="s">
        <v>27</v>
      </c>
      <c r="N284">
        <v>23</v>
      </c>
      <c r="O284" t="s">
        <v>373</v>
      </c>
      <c r="P284" t="s">
        <v>26</v>
      </c>
      <c r="Q284" t="s">
        <v>374</v>
      </c>
      <c r="R284">
        <v>572</v>
      </c>
      <c r="S284">
        <v>71.5</v>
      </c>
      <c r="T284" t="s">
        <v>49</v>
      </c>
      <c r="U284" t="s">
        <v>32</v>
      </c>
      <c r="V284" t="s">
        <v>49</v>
      </c>
      <c r="W284" t="s">
        <v>49</v>
      </c>
      <c r="X284" t="s">
        <v>96</v>
      </c>
      <c r="Y284" t="s">
        <v>58</v>
      </c>
      <c r="Z284" t="s">
        <v>44</v>
      </c>
      <c r="AA284" t="s">
        <v>78</v>
      </c>
      <c r="AB284" t="s">
        <v>46</v>
      </c>
      <c r="AC284">
        <f>IF(Cdacdata[[#This Row],[placement_status]]="Placed",1,0)</f>
        <v>1</v>
      </c>
      <c r="AD284" t="s">
        <v>110</v>
      </c>
      <c r="AE284" t="s">
        <v>63</v>
      </c>
      <c r="AF284" t="s">
        <v>63</v>
      </c>
      <c r="AG284">
        <v>2022</v>
      </c>
      <c r="AH284" t="s">
        <v>111</v>
      </c>
      <c r="AI284" t="str">
        <f>IF(Cdacdata[ccat_rank]&lt;=100,"Top 100",
IF(Cdacdata[ccat_rank]&lt;=500,"101–500",
IF(Cdacdata[ccat_rank]&lt;=1000,"501–1000",
"1000+")))</f>
        <v>1000+</v>
      </c>
    </row>
    <row r="285" spans="1:35" x14ac:dyDescent="0.3">
      <c r="A285" s="1" t="s">
        <v>109</v>
      </c>
      <c r="B285">
        <v>211205618</v>
      </c>
      <c r="C285" s="2">
        <v>44615</v>
      </c>
      <c r="D285" s="2" t="s">
        <v>573</v>
      </c>
      <c r="E285">
        <v>1785</v>
      </c>
      <c r="F285" s="2">
        <v>36444</v>
      </c>
      <c r="G285">
        <v>84.6</v>
      </c>
      <c r="H285">
        <v>63.69</v>
      </c>
      <c r="I285" t="s">
        <v>26</v>
      </c>
      <c r="J285">
        <v>65</v>
      </c>
      <c r="K285" s="3">
        <f t="shared" si="4"/>
        <v>71.096666666666664</v>
      </c>
      <c r="L285" t="s">
        <v>27</v>
      </c>
      <c r="M285" t="s">
        <v>27</v>
      </c>
      <c r="N285">
        <v>22</v>
      </c>
      <c r="O285" t="s">
        <v>28</v>
      </c>
      <c r="P285" t="s">
        <v>26</v>
      </c>
      <c r="Q285" t="s">
        <v>26</v>
      </c>
      <c r="R285">
        <v>530</v>
      </c>
      <c r="S285">
        <v>66.25</v>
      </c>
      <c r="T285" t="s">
        <v>33</v>
      </c>
      <c r="U285" t="s">
        <v>32</v>
      </c>
      <c r="V285" t="s">
        <v>33</v>
      </c>
      <c r="W285" t="s">
        <v>33</v>
      </c>
      <c r="X285" t="s">
        <v>96</v>
      </c>
      <c r="Y285" t="s">
        <v>50</v>
      </c>
      <c r="Z285" t="s">
        <v>44</v>
      </c>
      <c r="AA285" t="s">
        <v>117</v>
      </c>
      <c r="AB285" t="s">
        <v>46</v>
      </c>
      <c r="AC285">
        <f>IF(Cdacdata[[#This Row],[placement_status]]="Placed",1,0)</f>
        <v>1</v>
      </c>
      <c r="AD285" t="s">
        <v>110</v>
      </c>
      <c r="AE285" t="s">
        <v>47</v>
      </c>
      <c r="AF285" t="s">
        <v>57</v>
      </c>
      <c r="AG285">
        <v>2022</v>
      </c>
      <c r="AH285" t="s">
        <v>111</v>
      </c>
      <c r="AI285" t="str">
        <f>IF(Cdacdata[ccat_rank]&lt;=100,"Top 100",
IF(Cdacdata[ccat_rank]&lt;=500,"101–500",
IF(Cdacdata[ccat_rank]&lt;=1000,"501–1000",
"1000+")))</f>
        <v>1000+</v>
      </c>
    </row>
    <row r="286" spans="1:35" x14ac:dyDescent="0.3">
      <c r="A286" s="1" t="s">
        <v>109</v>
      </c>
      <c r="B286">
        <v>220107140</v>
      </c>
      <c r="C286" s="2"/>
      <c r="D286" s="2"/>
      <c r="E286" t="s">
        <v>63</v>
      </c>
      <c r="G286">
        <v>0</v>
      </c>
      <c r="H286">
        <v>0</v>
      </c>
      <c r="I286">
        <v>0</v>
      </c>
      <c r="J286">
        <v>0</v>
      </c>
      <c r="K286" s="3">
        <f t="shared" si="4"/>
        <v>0</v>
      </c>
      <c r="L286" t="s">
        <v>27</v>
      </c>
      <c r="M286" t="s">
        <v>27</v>
      </c>
      <c r="N286">
        <v>23</v>
      </c>
      <c r="O286" t="s">
        <v>373</v>
      </c>
      <c r="P286" t="s">
        <v>26</v>
      </c>
      <c r="Q286" t="s">
        <v>374</v>
      </c>
      <c r="R286">
        <v>579</v>
      </c>
      <c r="S286">
        <v>72.375</v>
      </c>
      <c r="T286" t="s">
        <v>33</v>
      </c>
      <c r="U286" t="s">
        <v>32</v>
      </c>
      <c r="V286" t="s">
        <v>33</v>
      </c>
      <c r="W286" t="s">
        <v>33</v>
      </c>
      <c r="X286" t="s">
        <v>96</v>
      </c>
      <c r="Y286" t="s">
        <v>58</v>
      </c>
      <c r="Z286" t="s">
        <v>44</v>
      </c>
      <c r="AA286" t="s">
        <v>116</v>
      </c>
      <c r="AB286" t="s">
        <v>46</v>
      </c>
      <c r="AC286">
        <f>IF(Cdacdata[[#This Row],[placement_status]]="Placed",1,0)</f>
        <v>1</v>
      </c>
      <c r="AD286" t="s">
        <v>110</v>
      </c>
      <c r="AE286" t="s">
        <v>63</v>
      </c>
      <c r="AF286" t="s">
        <v>63</v>
      </c>
      <c r="AG286">
        <v>2022</v>
      </c>
      <c r="AH286" t="s">
        <v>111</v>
      </c>
      <c r="AI286" t="str">
        <f>IF(Cdacdata[ccat_rank]&lt;=100,"Top 100",
IF(Cdacdata[ccat_rank]&lt;=500,"101–500",
IF(Cdacdata[ccat_rank]&lt;=1000,"501–1000",
"1000+")))</f>
        <v>1000+</v>
      </c>
    </row>
    <row r="287" spans="1:35" x14ac:dyDescent="0.3">
      <c r="A287" s="1" t="s">
        <v>109</v>
      </c>
      <c r="B287">
        <v>211200001</v>
      </c>
      <c r="C287" s="2"/>
      <c r="D287" s="2"/>
      <c r="E287" t="s">
        <v>63</v>
      </c>
      <c r="G287">
        <v>0</v>
      </c>
      <c r="H287">
        <v>0</v>
      </c>
      <c r="I287">
        <v>0</v>
      </c>
      <c r="J287">
        <v>0</v>
      </c>
      <c r="K287" s="3">
        <f t="shared" si="4"/>
        <v>0</v>
      </c>
      <c r="L287" t="s">
        <v>27</v>
      </c>
      <c r="M287" t="s">
        <v>27</v>
      </c>
      <c r="N287">
        <v>23</v>
      </c>
      <c r="O287" t="s">
        <v>373</v>
      </c>
      <c r="P287" t="s">
        <v>26</v>
      </c>
      <c r="Q287" t="s">
        <v>374</v>
      </c>
      <c r="R287">
        <v>434</v>
      </c>
      <c r="S287">
        <v>54.25</v>
      </c>
      <c r="T287" t="s">
        <v>103</v>
      </c>
      <c r="U287" t="s">
        <v>32</v>
      </c>
      <c r="V287" t="s">
        <v>103</v>
      </c>
      <c r="W287" t="s">
        <v>103</v>
      </c>
      <c r="X287" t="s">
        <v>96</v>
      </c>
      <c r="Y287" t="s">
        <v>35</v>
      </c>
      <c r="Z287" t="s">
        <v>44</v>
      </c>
      <c r="AA287" t="s">
        <v>141</v>
      </c>
      <c r="AB287" t="s">
        <v>46</v>
      </c>
      <c r="AC287">
        <f>IF(Cdacdata[[#This Row],[placement_status]]="Placed",1,0)</f>
        <v>1</v>
      </c>
      <c r="AD287" t="s">
        <v>110</v>
      </c>
      <c r="AE287" t="s">
        <v>63</v>
      </c>
      <c r="AF287" t="s">
        <v>63</v>
      </c>
      <c r="AG287">
        <v>2022</v>
      </c>
      <c r="AH287" t="s">
        <v>111</v>
      </c>
      <c r="AI287" t="str">
        <f>IF(Cdacdata[ccat_rank]&lt;=100,"Top 100",
IF(Cdacdata[ccat_rank]&lt;=500,"101–500",
IF(Cdacdata[ccat_rank]&lt;=1000,"501–1000",
"1000+")))</f>
        <v>1000+</v>
      </c>
    </row>
    <row r="288" spans="1:35" x14ac:dyDescent="0.3">
      <c r="A288" s="1" t="s">
        <v>109</v>
      </c>
      <c r="B288">
        <v>211203295</v>
      </c>
      <c r="C288" s="2"/>
      <c r="D288" s="2"/>
      <c r="E288" t="s">
        <v>63</v>
      </c>
      <c r="G288">
        <v>0</v>
      </c>
      <c r="H288">
        <v>0</v>
      </c>
      <c r="I288">
        <v>0</v>
      </c>
      <c r="J288">
        <v>0</v>
      </c>
      <c r="K288" s="3">
        <f t="shared" si="4"/>
        <v>0</v>
      </c>
      <c r="L288" t="s">
        <v>27</v>
      </c>
      <c r="M288" t="s">
        <v>27</v>
      </c>
      <c r="N288">
        <v>23</v>
      </c>
      <c r="O288" t="s">
        <v>373</v>
      </c>
      <c r="P288" t="s">
        <v>26</v>
      </c>
      <c r="Q288" t="s">
        <v>374</v>
      </c>
      <c r="R288">
        <v>480</v>
      </c>
      <c r="S288">
        <v>60</v>
      </c>
      <c r="T288" t="s">
        <v>33</v>
      </c>
      <c r="U288" t="s">
        <v>32</v>
      </c>
      <c r="V288" t="s">
        <v>33</v>
      </c>
      <c r="W288" t="s">
        <v>33</v>
      </c>
      <c r="X288" t="s">
        <v>96</v>
      </c>
      <c r="Y288" t="s">
        <v>50</v>
      </c>
      <c r="Z288" t="s">
        <v>44</v>
      </c>
      <c r="AA288" t="s">
        <v>117</v>
      </c>
      <c r="AB288" t="s">
        <v>46</v>
      </c>
      <c r="AC288">
        <f>IF(Cdacdata[[#This Row],[placement_status]]="Placed",1,0)</f>
        <v>1</v>
      </c>
      <c r="AD288" t="s">
        <v>110</v>
      </c>
      <c r="AE288" t="s">
        <v>63</v>
      </c>
      <c r="AF288" t="s">
        <v>63</v>
      </c>
      <c r="AG288">
        <v>2022</v>
      </c>
      <c r="AH288" t="s">
        <v>111</v>
      </c>
      <c r="AI288" t="str">
        <f>IF(Cdacdata[ccat_rank]&lt;=100,"Top 100",
IF(Cdacdata[ccat_rank]&lt;=500,"101–500",
IF(Cdacdata[ccat_rank]&lt;=1000,"501–1000",
"1000+")))</f>
        <v>1000+</v>
      </c>
    </row>
    <row r="289" spans="1:35" x14ac:dyDescent="0.3">
      <c r="A289" s="1" t="s">
        <v>109</v>
      </c>
      <c r="B289">
        <v>211208403</v>
      </c>
      <c r="C289" s="2"/>
      <c r="D289" s="2"/>
      <c r="E289" t="s">
        <v>63</v>
      </c>
      <c r="G289">
        <v>0</v>
      </c>
      <c r="H289">
        <v>0</v>
      </c>
      <c r="I289">
        <v>0</v>
      </c>
      <c r="J289">
        <v>0</v>
      </c>
      <c r="K289" s="3">
        <f t="shared" si="4"/>
        <v>0</v>
      </c>
      <c r="L289" t="s">
        <v>27</v>
      </c>
      <c r="M289" t="s">
        <v>27</v>
      </c>
      <c r="N289">
        <v>23</v>
      </c>
      <c r="O289" t="s">
        <v>373</v>
      </c>
      <c r="P289" t="s">
        <v>26</v>
      </c>
      <c r="Q289" t="s">
        <v>374</v>
      </c>
      <c r="R289">
        <v>570</v>
      </c>
      <c r="S289">
        <v>71.25</v>
      </c>
      <c r="T289" t="s">
        <v>49</v>
      </c>
      <c r="U289" t="s">
        <v>32</v>
      </c>
      <c r="V289" t="s">
        <v>49</v>
      </c>
      <c r="W289" t="s">
        <v>33</v>
      </c>
      <c r="X289" t="s">
        <v>96</v>
      </c>
      <c r="Y289" t="s">
        <v>58</v>
      </c>
      <c r="Z289" t="s">
        <v>44</v>
      </c>
      <c r="AA289" t="s">
        <v>131</v>
      </c>
      <c r="AB289" t="s">
        <v>46</v>
      </c>
      <c r="AC289">
        <f>IF(Cdacdata[[#This Row],[placement_status]]="Placed",1,0)</f>
        <v>1</v>
      </c>
      <c r="AD289" t="s">
        <v>110</v>
      </c>
      <c r="AE289" t="s">
        <v>63</v>
      </c>
      <c r="AF289" t="s">
        <v>63</v>
      </c>
      <c r="AG289">
        <v>2022</v>
      </c>
      <c r="AH289" t="s">
        <v>111</v>
      </c>
      <c r="AI289" t="str">
        <f>IF(Cdacdata[ccat_rank]&lt;=100,"Top 100",
IF(Cdacdata[ccat_rank]&lt;=500,"101–500",
IF(Cdacdata[ccat_rank]&lt;=1000,"501–1000",
"1000+")))</f>
        <v>1000+</v>
      </c>
    </row>
    <row r="290" spans="1:35" x14ac:dyDescent="0.3">
      <c r="A290" s="1" t="s">
        <v>109</v>
      </c>
      <c r="B290">
        <v>211205391</v>
      </c>
      <c r="C290" s="2"/>
      <c r="D290" s="2"/>
      <c r="E290" t="s">
        <v>63</v>
      </c>
      <c r="G290">
        <v>0</v>
      </c>
      <c r="H290">
        <v>0</v>
      </c>
      <c r="I290">
        <v>0</v>
      </c>
      <c r="J290">
        <v>0</v>
      </c>
      <c r="K290" s="3">
        <f t="shared" si="4"/>
        <v>0</v>
      </c>
      <c r="L290" t="s">
        <v>27</v>
      </c>
      <c r="M290" t="s">
        <v>27</v>
      </c>
      <c r="N290">
        <v>23</v>
      </c>
      <c r="O290" t="s">
        <v>373</v>
      </c>
      <c r="P290" t="s">
        <v>26</v>
      </c>
      <c r="Q290" t="s">
        <v>374</v>
      </c>
      <c r="R290">
        <v>560</v>
      </c>
      <c r="S290">
        <v>70</v>
      </c>
      <c r="T290" t="s">
        <v>33</v>
      </c>
      <c r="U290" t="s">
        <v>32</v>
      </c>
      <c r="V290" t="s">
        <v>33</v>
      </c>
      <c r="W290" t="s">
        <v>33</v>
      </c>
      <c r="X290" t="s">
        <v>96</v>
      </c>
      <c r="Y290" t="s">
        <v>58</v>
      </c>
      <c r="Z290" t="s">
        <v>44</v>
      </c>
      <c r="AA290" t="s">
        <v>154</v>
      </c>
      <c r="AB290" t="s">
        <v>46</v>
      </c>
      <c r="AC290">
        <f>IF(Cdacdata[[#This Row],[placement_status]]="Placed",1,0)</f>
        <v>1</v>
      </c>
      <c r="AD290" t="s">
        <v>110</v>
      </c>
      <c r="AE290" t="s">
        <v>63</v>
      </c>
      <c r="AF290" t="s">
        <v>63</v>
      </c>
      <c r="AG290">
        <v>2022</v>
      </c>
      <c r="AH290" t="s">
        <v>111</v>
      </c>
      <c r="AI290" t="str">
        <f>IF(Cdacdata[ccat_rank]&lt;=100,"Top 100",
IF(Cdacdata[ccat_rank]&lt;=500,"101–500",
IF(Cdacdata[ccat_rank]&lt;=1000,"501–1000",
"1000+")))</f>
        <v>1000+</v>
      </c>
    </row>
    <row r="291" spans="1:35" x14ac:dyDescent="0.3">
      <c r="A291" s="1" t="s">
        <v>109</v>
      </c>
      <c r="B291">
        <v>211200426</v>
      </c>
      <c r="C291" s="2">
        <v>44614</v>
      </c>
      <c r="D291" s="2" t="s">
        <v>574</v>
      </c>
      <c r="E291">
        <v>2463</v>
      </c>
      <c r="F291" s="2">
        <v>35890</v>
      </c>
      <c r="G291">
        <v>91.6</v>
      </c>
      <c r="H291" t="s">
        <v>26</v>
      </c>
      <c r="I291">
        <v>84.91</v>
      </c>
      <c r="J291">
        <v>73.400000000000006</v>
      </c>
      <c r="K291" s="3">
        <f t="shared" si="4"/>
        <v>83.303333333333327</v>
      </c>
      <c r="L291" t="s">
        <v>27</v>
      </c>
      <c r="M291" t="s">
        <v>27</v>
      </c>
      <c r="N291">
        <v>23</v>
      </c>
      <c r="O291" t="s">
        <v>28</v>
      </c>
      <c r="P291" t="s">
        <v>26</v>
      </c>
      <c r="Q291" t="s">
        <v>30</v>
      </c>
      <c r="R291">
        <v>448</v>
      </c>
      <c r="S291">
        <v>56</v>
      </c>
      <c r="T291" t="s">
        <v>33</v>
      </c>
      <c r="U291" t="s">
        <v>32</v>
      </c>
      <c r="V291" t="s">
        <v>33</v>
      </c>
      <c r="W291" t="s">
        <v>33</v>
      </c>
      <c r="X291" t="s">
        <v>96</v>
      </c>
      <c r="Y291" t="s">
        <v>35</v>
      </c>
      <c r="Z291" t="s">
        <v>44</v>
      </c>
      <c r="AA291" t="s">
        <v>130</v>
      </c>
      <c r="AB291" t="s">
        <v>46</v>
      </c>
      <c r="AC291">
        <f>IF(Cdacdata[[#This Row],[placement_status]]="Placed",1,0)</f>
        <v>1</v>
      </c>
      <c r="AD291" t="s">
        <v>110</v>
      </c>
      <c r="AE291" t="s">
        <v>38</v>
      </c>
      <c r="AF291" t="s">
        <v>39</v>
      </c>
      <c r="AG291">
        <v>2022</v>
      </c>
      <c r="AH291" t="s">
        <v>111</v>
      </c>
      <c r="AI291" t="str">
        <f>IF(Cdacdata[ccat_rank]&lt;=100,"Top 100",
IF(Cdacdata[ccat_rank]&lt;=500,"101–500",
IF(Cdacdata[ccat_rank]&lt;=1000,"501–1000",
"1000+")))</f>
        <v>1000+</v>
      </c>
    </row>
    <row r="292" spans="1:35" x14ac:dyDescent="0.3">
      <c r="A292" s="1" t="s">
        <v>109</v>
      </c>
      <c r="B292">
        <v>220109423</v>
      </c>
      <c r="C292" s="2"/>
      <c r="D292" s="2"/>
      <c r="E292" t="s">
        <v>63</v>
      </c>
      <c r="G292">
        <v>0</v>
      </c>
      <c r="H292">
        <v>0</v>
      </c>
      <c r="I292">
        <v>0</v>
      </c>
      <c r="J292">
        <v>0</v>
      </c>
      <c r="K292" s="3">
        <f t="shared" si="4"/>
        <v>0</v>
      </c>
      <c r="L292" t="s">
        <v>27</v>
      </c>
      <c r="M292" t="s">
        <v>27</v>
      </c>
      <c r="N292">
        <v>23</v>
      </c>
      <c r="O292" t="s">
        <v>373</v>
      </c>
      <c r="P292" t="s">
        <v>26</v>
      </c>
      <c r="Q292" t="s">
        <v>374</v>
      </c>
      <c r="R292">
        <v>462</v>
      </c>
      <c r="S292">
        <v>57.75</v>
      </c>
      <c r="T292" t="s">
        <v>33</v>
      </c>
      <c r="U292" t="s">
        <v>32</v>
      </c>
      <c r="V292" t="s">
        <v>33</v>
      </c>
      <c r="W292" t="s">
        <v>31</v>
      </c>
      <c r="X292" t="s">
        <v>96</v>
      </c>
      <c r="Y292" t="s">
        <v>35</v>
      </c>
      <c r="Z292" t="s">
        <v>44</v>
      </c>
      <c r="AA292" t="s">
        <v>141</v>
      </c>
      <c r="AB292" t="s">
        <v>46</v>
      </c>
      <c r="AC292">
        <f>IF(Cdacdata[[#This Row],[placement_status]]="Placed",1,0)</f>
        <v>1</v>
      </c>
      <c r="AD292" t="s">
        <v>110</v>
      </c>
      <c r="AE292" t="s">
        <v>63</v>
      </c>
      <c r="AF292" t="s">
        <v>63</v>
      </c>
      <c r="AG292">
        <v>2022</v>
      </c>
      <c r="AH292" t="s">
        <v>111</v>
      </c>
      <c r="AI292" t="str">
        <f>IF(Cdacdata[ccat_rank]&lt;=100,"Top 100",
IF(Cdacdata[ccat_rank]&lt;=500,"101–500",
IF(Cdacdata[ccat_rank]&lt;=1000,"501–1000",
"1000+")))</f>
        <v>1000+</v>
      </c>
    </row>
    <row r="293" spans="1:35" x14ac:dyDescent="0.3">
      <c r="A293" s="1" t="s">
        <v>109</v>
      </c>
      <c r="B293">
        <v>211201768</v>
      </c>
      <c r="C293" s="2"/>
      <c r="D293" s="2"/>
      <c r="E293" t="s">
        <v>63</v>
      </c>
      <c r="G293">
        <v>0</v>
      </c>
      <c r="H293">
        <v>0</v>
      </c>
      <c r="I293">
        <v>0</v>
      </c>
      <c r="J293">
        <v>0</v>
      </c>
      <c r="K293" s="3">
        <f t="shared" si="4"/>
        <v>0</v>
      </c>
      <c r="L293" t="s">
        <v>27</v>
      </c>
      <c r="M293" t="s">
        <v>27</v>
      </c>
      <c r="N293">
        <v>23</v>
      </c>
      <c r="O293" t="s">
        <v>373</v>
      </c>
      <c r="P293" t="s">
        <v>26</v>
      </c>
      <c r="Q293" t="s">
        <v>374</v>
      </c>
      <c r="R293">
        <v>434</v>
      </c>
      <c r="S293">
        <v>54.25</v>
      </c>
      <c r="T293" t="s">
        <v>33</v>
      </c>
      <c r="U293" t="s">
        <v>32</v>
      </c>
      <c r="V293" t="s">
        <v>33</v>
      </c>
      <c r="W293" t="s">
        <v>31</v>
      </c>
      <c r="X293" t="s">
        <v>96</v>
      </c>
      <c r="Y293" t="s">
        <v>35</v>
      </c>
      <c r="Z293" t="s">
        <v>36</v>
      </c>
      <c r="AA293" t="s">
        <v>1268</v>
      </c>
      <c r="AB293" t="s">
        <v>36</v>
      </c>
      <c r="AC293">
        <f>IF(Cdacdata[[#This Row],[placement_status]]="Placed",1,0)</f>
        <v>0</v>
      </c>
      <c r="AD293" t="s">
        <v>110</v>
      </c>
      <c r="AE293" t="s">
        <v>63</v>
      </c>
      <c r="AF293" t="s">
        <v>63</v>
      </c>
      <c r="AG293">
        <v>2022</v>
      </c>
      <c r="AH293" t="s">
        <v>111</v>
      </c>
      <c r="AI293" t="str">
        <f>IF(Cdacdata[ccat_rank]&lt;=100,"Top 100",
IF(Cdacdata[ccat_rank]&lt;=500,"101–500",
IF(Cdacdata[ccat_rank]&lt;=1000,"501–1000",
"1000+")))</f>
        <v>1000+</v>
      </c>
    </row>
    <row r="294" spans="1:35" x14ac:dyDescent="0.3">
      <c r="A294" s="1" t="s">
        <v>109</v>
      </c>
      <c r="B294">
        <v>220101688</v>
      </c>
      <c r="C294" s="2"/>
      <c r="D294" s="2"/>
      <c r="E294" t="s">
        <v>63</v>
      </c>
      <c r="G294">
        <v>0</v>
      </c>
      <c r="H294">
        <v>0</v>
      </c>
      <c r="I294">
        <v>0</v>
      </c>
      <c r="J294">
        <v>0</v>
      </c>
      <c r="K294" s="3">
        <f t="shared" si="4"/>
        <v>0</v>
      </c>
      <c r="L294" t="s">
        <v>27</v>
      </c>
      <c r="M294" t="s">
        <v>27</v>
      </c>
      <c r="N294">
        <v>23</v>
      </c>
      <c r="O294" t="s">
        <v>373</v>
      </c>
      <c r="P294" t="s">
        <v>26</v>
      </c>
      <c r="Q294" t="s">
        <v>374</v>
      </c>
      <c r="R294">
        <v>534</v>
      </c>
      <c r="S294">
        <v>66.75</v>
      </c>
      <c r="T294" t="s">
        <v>49</v>
      </c>
      <c r="U294" t="s">
        <v>32</v>
      </c>
      <c r="V294" t="s">
        <v>49</v>
      </c>
      <c r="W294" t="s">
        <v>33</v>
      </c>
      <c r="X294" t="s">
        <v>96</v>
      </c>
      <c r="Y294" t="s">
        <v>50</v>
      </c>
      <c r="Z294" t="s">
        <v>44</v>
      </c>
      <c r="AA294" t="s">
        <v>120</v>
      </c>
      <c r="AB294" t="s">
        <v>46</v>
      </c>
      <c r="AC294">
        <f>IF(Cdacdata[[#This Row],[placement_status]]="Placed",1,0)</f>
        <v>1</v>
      </c>
      <c r="AD294" t="s">
        <v>110</v>
      </c>
      <c r="AE294" t="s">
        <v>63</v>
      </c>
      <c r="AF294" t="s">
        <v>63</v>
      </c>
      <c r="AG294">
        <v>2022</v>
      </c>
      <c r="AH294" t="s">
        <v>111</v>
      </c>
      <c r="AI294" t="str">
        <f>IF(Cdacdata[ccat_rank]&lt;=100,"Top 100",
IF(Cdacdata[ccat_rank]&lt;=500,"101–500",
IF(Cdacdata[ccat_rank]&lt;=1000,"501–1000",
"1000+")))</f>
        <v>1000+</v>
      </c>
    </row>
    <row r="295" spans="1:35" x14ac:dyDescent="0.3">
      <c r="A295" s="1" t="s">
        <v>109</v>
      </c>
      <c r="B295">
        <v>211205273</v>
      </c>
      <c r="C295" s="2">
        <v>44614</v>
      </c>
      <c r="D295" s="2" t="s">
        <v>575</v>
      </c>
      <c r="E295">
        <v>2690</v>
      </c>
      <c r="F295" s="2">
        <v>36405</v>
      </c>
      <c r="G295">
        <v>87</v>
      </c>
      <c r="H295">
        <v>79.08</v>
      </c>
      <c r="I295" t="s">
        <v>26</v>
      </c>
      <c r="J295">
        <v>69.599999999999994</v>
      </c>
      <c r="K295" s="3">
        <f t="shared" si="4"/>
        <v>78.559999999999988</v>
      </c>
      <c r="L295" t="s">
        <v>27</v>
      </c>
      <c r="M295" t="s">
        <v>27</v>
      </c>
      <c r="N295">
        <v>22</v>
      </c>
      <c r="O295" t="s">
        <v>28</v>
      </c>
      <c r="P295" t="s">
        <v>26</v>
      </c>
      <c r="Q295" t="s">
        <v>26</v>
      </c>
      <c r="R295">
        <v>489</v>
      </c>
      <c r="S295">
        <v>61.125</v>
      </c>
      <c r="T295" t="s">
        <v>31</v>
      </c>
      <c r="U295" t="s">
        <v>32</v>
      </c>
      <c r="V295" t="s">
        <v>31</v>
      </c>
      <c r="W295" t="s">
        <v>31</v>
      </c>
      <c r="X295" t="s">
        <v>96</v>
      </c>
      <c r="Y295" t="s">
        <v>50</v>
      </c>
      <c r="Z295" t="s">
        <v>44</v>
      </c>
      <c r="AA295" t="s">
        <v>141</v>
      </c>
      <c r="AB295" t="s">
        <v>46</v>
      </c>
      <c r="AC295">
        <f>IF(Cdacdata[[#This Row],[placement_status]]="Placed",1,0)</f>
        <v>1</v>
      </c>
      <c r="AD295" t="s">
        <v>110</v>
      </c>
      <c r="AE295" t="s">
        <v>38</v>
      </c>
      <c r="AF295" t="s">
        <v>57</v>
      </c>
      <c r="AG295">
        <v>2022</v>
      </c>
      <c r="AH295" t="s">
        <v>111</v>
      </c>
      <c r="AI295" t="str">
        <f>IF(Cdacdata[ccat_rank]&lt;=100,"Top 100",
IF(Cdacdata[ccat_rank]&lt;=500,"101–500",
IF(Cdacdata[ccat_rank]&lt;=1000,"501–1000",
"1000+")))</f>
        <v>1000+</v>
      </c>
    </row>
    <row r="296" spans="1:35" x14ac:dyDescent="0.3">
      <c r="A296" s="1" t="s">
        <v>109</v>
      </c>
      <c r="B296">
        <v>220105100</v>
      </c>
      <c r="C296" s="2"/>
      <c r="D296" s="2"/>
      <c r="E296" t="s">
        <v>63</v>
      </c>
      <c r="G296">
        <v>0</v>
      </c>
      <c r="H296">
        <v>0</v>
      </c>
      <c r="I296">
        <v>0</v>
      </c>
      <c r="J296">
        <v>0</v>
      </c>
      <c r="K296" s="3">
        <f t="shared" si="4"/>
        <v>0</v>
      </c>
      <c r="L296" t="s">
        <v>27</v>
      </c>
      <c r="M296" t="s">
        <v>27</v>
      </c>
      <c r="N296">
        <v>23</v>
      </c>
      <c r="O296" t="s">
        <v>373</v>
      </c>
      <c r="P296" t="s">
        <v>26</v>
      </c>
      <c r="Q296" t="s">
        <v>374</v>
      </c>
      <c r="R296">
        <v>537</v>
      </c>
      <c r="S296">
        <v>67.125</v>
      </c>
      <c r="T296" t="s">
        <v>33</v>
      </c>
      <c r="U296" t="s">
        <v>32</v>
      </c>
      <c r="V296" t="s">
        <v>33</v>
      </c>
      <c r="W296" t="s">
        <v>49</v>
      </c>
      <c r="X296" t="s">
        <v>96</v>
      </c>
      <c r="Y296" t="s">
        <v>50</v>
      </c>
      <c r="Z296" t="s">
        <v>44</v>
      </c>
      <c r="AA296" t="s">
        <v>130</v>
      </c>
      <c r="AB296" t="s">
        <v>46</v>
      </c>
      <c r="AC296">
        <f>IF(Cdacdata[[#This Row],[placement_status]]="Placed",1,0)</f>
        <v>1</v>
      </c>
      <c r="AD296" t="s">
        <v>110</v>
      </c>
      <c r="AE296" t="s">
        <v>63</v>
      </c>
      <c r="AF296" t="s">
        <v>63</v>
      </c>
      <c r="AG296">
        <v>2022</v>
      </c>
      <c r="AH296" t="s">
        <v>111</v>
      </c>
      <c r="AI296" t="str">
        <f>IF(Cdacdata[ccat_rank]&lt;=100,"Top 100",
IF(Cdacdata[ccat_rank]&lt;=500,"101–500",
IF(Cdacdata[ccat_rank]&lt;=1000,"501–1000",
"1000+")))</f>
        <v>1000+</v>
      </c>
    </row>
    <row r="297" spans="1:35" x14ac:dyDescent="0.3">
      <c r="A297" s="1" t="s">
        <v>109</v>
      </c>
      <c r="B297">
        <v>211200532</v>
      </c>
      <c r="C297" s="2">
        <v>44615</v>
      </c>
      <c r="D297" s="2" t="s">
        <v>576</v>
      </c>
      <c r="E297">
        <v>2997</v>
      </c>
      <c r="F297" s="2">
        <v>35782</v>
      </c>
      <c r="G297">
        <v>74</v>
      </c>
      <c r="H297">
        <v>61.02</v>
      </c>
      <c r="I297" t="s">
        <v>26</v>
      </c>
      <c r="J297">
        <v>65.05</v>
      </c>
      <c r="K297" s="3">
        <f t="shared" si="4"/>
        <v>66.69</v>
      </c>
      <c r="L297" t="s">
        <v>27</v>
      </c>
      <c r="M297" t="s">
        <v>27</v>
      </c>
      <c r="N297">
        <v>24</v>
      </c>
      <c r="O297" t="s">
        <v>28</v>
      </c>
      <c r="P297" t="s">
        <v>26</v>
      </c>
      <c r="Q297" t="s">
        <v>30</v>
      </c>
      <c r="R297">
        <v>499</v>
      </c>
      <c r="S297">
        <v>62.375</v>
      </c>
      <c r="T297" t="s">
        <v>49</v>
      </c>
      <c r="U297" t="s">
        <v>32</v>
      </c>
      <c r="V297" t="s">
        <v>49</v>
      </c>
      <c r="W297" t="s">
        <v>33</v>
      </c>
      <c r="X297" t="s">
        <v>96</v>
      </c>
      <c r="Y297" t="s">
        <v>50</v>
      </c>
      <c r="Z297" t="s">
        <v>44</v>
      </c>
      <c r="AA297" t="s">
        <v>74</v>
      </c>
      <c r="AB297" t="s">
        <v>46</v>
      </c>
      <c r="AC297">
        <f>IF(Cdacdata[[#This Row],[placement_status]]="Placed",1,0)</f>
        <v>1</v>
      </c>
      <c r="AD297" t="s">
        <v>110</v>
      </c>
      <c r="AE297" t="s">
        <v>38</v>
      </c>
      <c r="AF297" t="s">
        <v>39</v>
      </c>
      <c r="AG297">
        <v>2022</v>
      </c>
      <c r="AH297" t="s">
        <v>111</v>
      </c>
      <c r="AI297" t="str">
        <f>IF(Cdacdata[ccat_rank]&lt;=100,"Top 100",
IF(Cdacdata[ccat_rank]&lt;=500,"101–500",
IF(Cdacdata[ccat_rank]&lt;=1000,"501–1000",
"1000+")))</f>
        <v>1000+</v>
      </c>
    </row>
    <row r="298" spans="1:35" x14ac:dyDescent="0.3">
      <c r="A298" s="1" t="s">
        <v>109</v>
      </c>
      <c r="B298">
        <v>220109229</v>
      </c>
      <c r="C298" s="2"/>
      <c r="D298" s="2"/>
      <c r="E298" t="s">
        <v>63</v>
      </c>
      <c r="G298">
        <v>0</v>
      </c>
      <c r="H298">
        <v>0</v>
      </c>
      <c r="I298">
        <v>0</v>
      </c>
      <c r="J298">
        <v>0</v>
      </c>
      <c r="K298" s="3">
        <f t="shared" si="4"/>
        <v>0</v>
      </c>
      <c r="L298" t="s">
        <v>27</v>
      </c>
      <c r="M298" t="s">
        <v>27</v>
      </c>
      <c r="N298">
        <v>23</v>
      </c>
      <c r="O298" t="s">
        <v>373</v>
      </c>
      <c r="P298" t="s">
        <v>26</v>
      </c>
      <c r="Q298" t="s">
        <v>374</v>
      </c>
      <c r="R298">
        <v>504</v>
      </c>
      <c r="S298">
        <v>63</v>
      </c>
      <c r="T298" t="s">
        <v>49</v>
      </c>
      <c r="U298" t="s">
        <v>32</v>
      </c>
      <c r="V298" t="s">
        <v>49</v>
      </c>
      <c r="W298" t="s">
        <v>33</v>
      </c>
      <c r="X298" t="s">
        <v>96</v>
      </c>
      <c r="Y298" t="s">
        <v>50</v>
      </c>
      <c r="Z298" t="s">
        <v>36</v>
      </c>
      <c r="AA298" t="s">
        <v>1268</v>
      </c>
      <c r="AB298" t="s">
        <v>36</v>
      </c>
      <c r="AC298">
        <f>IF(Cdacdata[[#This Row],[placement_status]]="Placed",1,0)</f>
        <v>0</v>
      </c>
      <c r="AD298" t="s">
        <v>110</v>
      </c>
      <c r="AE298" t="s">
        <v>63</v>
      </c>
      <c r="AF298" t="s">
        <v>63</v>
      </c>
      <c r="AG298">
        <v>2022</v>
      </c>
      <c r="AH298" t="s">
        <v>111</v>
      </c>
      <c r="AI298" t="str">
        <f>IF(Cdacdata[ccat_rank]&lt;=100,"Top 100",
IF(Cdacdata[ccat_rank]&lt;=500,"101–500",
IF(Cdacdata[ccat_rank]&lt;=1000,"501–1000",
"1000+")))</f>
        <v>1000+</v>
      </c>
    </row>
    <row r="299" spans="1:35" x14ac:dyDescent="0.3">
      <c r="A299" s="1" t="s">
        <v>109</v>
      </c>
      <c r="B299">
        <v>220110705</v>
      </c>
      <c r="C299" s="2"/>
      <c r="D299" s="2"/>
      <c r="E299" t="s">
        <v>63</v>
      </c>
      <c r="G299">
        <v>0</v>
      </c>
      <c r="H299">
        <v>0</v>
      </c>
      <c r="I299">
        <v>0</v>
      </c>
      <c r="J299">
        <v>0</v>
      </c>
      <c r="K299" s="3">
        <f t="shared" si="4"/>
        <v>0</v>
      </c>
      <c r="L299" t="s">
        <v>27</v>
      </c>
      <c r="M299" t="s">
        <v>27</v>
      </c>
      <c r="N299">
        <v>23</v>
      </c>
      <c r="O299" t="s">
        <v>373</v>
      </c>
      <c r="P299" t="s">
        <v>26</v>
      </c>
      <c r="Q299" t="s">
        <v>374</v>
      </c>
      <c r="R299">
        <v>510</v>
      </c>
      <c r="S299">
        <v>63.75</v>
      </c>
      <c r="T299" t="s">
        <v>49</v>
      </c>
      <c r="U299" t="s">
        <v>32</v>
      </c>
      <c r="V299" t="s">
        <v>49</v>
      </c>
      <c r="W299" t="s">
        <v>33</v>
      </c>
      <c r="X299" t="s">
        <v>96</v>
      </c>
      <c r="Y299" t="s">
        <v>50</v>
      </c>
      <c r="Z299" t="s">
        <v>44</v>
      </c>
      <c r="AA299" t="s">
        <v>141</v>
      </c>
      <c r="AB299" t="s">
        <v>46</v>
      </c>
      <c r="AC299">
        <f>IF(Cdacdata[[#This Row],[placement_status]]="Placed",1,0)</f>
        <v>1</v>
      </c>
      <c r="AD299" t="s">
        <v>110</v>
      </c>
      <c r="AE299" t="s">
        <v>63</v>
      </c>
      <c r="AF299" t="s">
        <v>63</v>
      </c>
      <c r="AG299">
        <v>2022</v>
      </c>
      <c r="AH299" t="s">
        <v>111</v>
      </c>
      <c r="AI299" t="str">
        <f>IF(Cdacdata[ccat_rank]&lt;=100,"Top 100",
IF(Cdacdata[ccat_rank]&lt;=500,"101–500",
IF(Cdacdata[ccat_rank]&lt;=1000,"501–1000",
"1000+")))</f>
        <v>1000+</v>
      </c>
    </row>
    <row r="300" spans="1:35" x14ac:dyDescent="0.3">
      <c r="A300" s="1" t="s">
        <v>109</v>
      </c>
      <c r="B300">
        <v>211200502</v>
      </c>
      <c r="C300" s="2"/>
      <c r="D300" s="2"/>
      <c r="E300" t="s">
        <v>63</v>
      </c>
      <c r="G300">
        <v>0</v>
      </c>
      <c r="H300">
        <v>0</v>
      </c>
      <c r="I300">
        <v>0</v>
      </c>
      <c r="J300">
        <v>0</v>
      </c>
      <c r="K300" s="3">
        <f t="shared" si="4"/>
        <v>0</v>
      </c>
      <c r="L300" t="s">
        <v>27</v>
      </c>
      <c r="M300" t="s">
        <v>27</v>
      </c>
      <c r="N300">
        <v>23</v>
      </c>
      <c r="O300" t="s">
        <v>373</v>
      </c>
      <c r="P300" t="s">
        <v>26</v>
      </c>
      <c r="Q300" t="s">
        <v>374</v>
      </c>
      <c r="R300">
        <v>416</v>
      </c>
      <c r="S300">
        <v>52</v>
      </c>
      <c r="T300" t="s">
        <v>31</v>
      </c>
      <c r="U300" t="s">
        <v>32</v>
      </c>
      <c r="V300" t="s">
        <v>31</v>
      </c>
      <c r="W300" t="s">
        <v>33</v>
      </c>
      <c r="X300" t="s">
        <v>96</v>
      </c>
      <c r="Y300" t="s">
        <v>35</v>
      </c>
      <c r="Z300" t="s">
        <v>36</v>
      </c>
      <c r="AA300" t="s">
        <v>1268</v>
      </c>
      <c r="AB300" t="s">
        <v>36</v>
      </c>
      <c r="AC300">
        <f>IF(Cdacdata[[#This Row],[placement_status]]="Placed",1,0)</f>
        <v>0</v>
      </c>
      <c r="AD300" t="s">
        <v>110</v>
      </c>
      <c r="AE300" t="s">
        <v>63</v>
      </c>
      <c r="AF300" t="s">
        <v>63</v>
      </c>
      <c r="AG300">
        <v>2022</v>
      </c>
      <c r="AH300" t="s">
        <v>111</v>
      </c>
      <c r="AI300" t="str">
        <f>IF(Cdacdata[ccat_rank]&lt;=100,"Top 100",
IF(Cdacdata[ccat_rank]&lt;=500,"101–500",
IF(Cdacdata[ccat_rank]&lt;=1000,"501–1000",
"1000+")))</f>
        <v>1000+</v>
      </c>
    </row>
    <row r="301" spans="1:35" x14ac:dyDescent="0.3">
      <c r="A301" s="1" t="s">
        <v>109</v>
      </c>
      <c r="B301">
        <v>220108960</v>
      </c>
      <c r="C301" s="2"/>
      <c r="D301" s="2"/>
      <c r="E301" t="s">
        <v>63</v>
      </c>
      <c r="G301">
        <v>0</v>
      </c>
      <c r="H301">
        <v>0</v>
      </c>
      <c r="I301">
        <v>0</v>
      </c>
      <c r="J301">
        <v>0</v>
      </c>
      <c r="K301" s="3">
        <f t="shared" si="4"/>
        <v>0</v>
      </c>
      <c r="L301" t="s">
        <v>27</v>
      </c>
      <c r="M301" t="s">
        <v>27</v>
      </c>
      <c r="N301">
        <v>23</v>
      </c>
      <c r="O301" t="s">
        <v>373</v>
      </c>
      <c r="P301" t="s">
        <v>26</v>
      </c>
      <c r="Q301" t="s">
        <v>374</v>
      </c>
      <c r="R301">
        <v>377</v>
      </c>
      <c r="S301">
        <v>47.125</v>
      </c>
      <c r="T301" t="s">
        <v>31</v>
      </c>
      <c r="U301" t="s">
        <v>64</v>
      </c>
      <c r="V301" t="s">
        <v>31</v>
      </c>
      <c r="W301" t="s">
        <v>103</v>
      </c>
      <c r="X301" t="s">
        <v>96</v>
      </c>
      <c r="Y301" t="s">
        <v>80</v>
      </c>
      <c r="Z301" t="s">
        <v>36</v>
      </c>
      <c r="AA301" t="s">
        <v>1268</v>
      </c>
      <c r="AB301" t="s">
        <v>36</v>
      </c>
      <c r="AC301">
        <f>IF(Cdacdata[[#This Row],[placement_status]]="Placed",1,0)</f>
        <v>0</v>
      </c>
      <c r="AD301" t="s">
        <v>110</v>
      </c>
      <c r="AE301" t="s">
        <v>63</v>
      </c>
      <c r="AF301" t="s">
        <v>63</v>
      </c>
      <c r="AG301">
        <v>2022</v>
      </c>
      <c r="AH301" t="s">
        <v>111</v>
      </c>
      <c r="AI301" t="str">
        <f>IF(Cdacdata[ccat_rank]&lt;=100,"Top 100",
IF(Cdacdata[ccat_rank]&lt;=500,"101–500",
IF(Cdacdata[ccat_rank]&lt;=1000,"501–1000",
"1000+")))</f>
        <v>1000+</v>
      </c>
    </row>
    <row r="302" spans="1:35" x14ac:dyDescent="0.3">
      <c r="A302" s="1" t="s">
        <v>109</v>
      </c>
      <c r="B302">
        <v>220101076</v>
      </c>
      <c r="C302" s="2"/>
      <c r="D302" s="2"/>
      <c r="E302" t="s">
        <v>63</v>
      </c>
      <c r="G302">
        <v>0</v>
      </c>
      <c r="H302">
        <v>0</v>
      </c>
      <c r="I302">
        <v>0</v>
      </c>
      <c r="J302">
        <v>0</v>
      </c>
      <c r="K302" s="3">
        <f t="shared" si="4"/>
        <v>0</v>
      </c>
      <c r="L302" t="s">
        <v>27</v>
      </c>
      <c r="M302" t="s">
        <v>27</v>
      </c>
      <c r="N302">
        <v>23</v>
      </c>
      <c r="O302" t="s">
        <v>373</v>
      </c>
      <c r="P302" t="s">
        <v>26</v>
      </c>
      <c r="Q302" t="s">
        <v>374</v>
      </c>
      <c r="R302">
        <v>576</v>
      </c>
      <c r="S302">
        <v>72</v>
      </c>
      <c r="T302" t="s">
        <v>33</v>
      </c>
      <c r="U302" t="s">
        <v>32</v>
      </c>
      <c r="V302" t="s">
        <v>33</v>
      </c>
      <c r="W302" t="s">
        <v>49</v>
      </c>
      <c r="X302" t="s">
        <v>96</v>
      </c>
      <c r="Y302" t="s">
        <v>58</v>
      </c>
      <c r="Z302" t="s">
        <v>44</v>
      </c>
      <c r="AA302" t="s">
        <v>78</v>
      </c>
      <c r="AB302" t="s">
        <v>46</v>
      </c>
      <c r="AC302">
        <f>IF(Cdacdata[[#This Row],[placement_status]]="Placed",1,0)</f>
        <v>1</v>
      </c>
      <c r="AD302" t="s">
        <v>110</v>
      </c>
      <c r="AE302" t="s">
        <v>63</v>
      </c>
      <c r="AF302" t="s">
        <v>63</v>
      </c>
      <c r="AG302">
        <v>2022</v>
      </c>
      <c r="AH302" t="s">
        <v>111</v>
      </c>
      <c r="AI302" t="str">
        <f>IF(Cdacdata[ccat_rank]&lt;=100,"Top 100",
IF(Cdacdata[ccat_rank]&lt;=500,"101–500",
IF(Cdacdata[ccat_rank]&lt;=1000,"501–1000",
"1000+")))</f>
        <v>1000+</v>
      </c>
    </row>
    <row r="303" spans="1:35" x14ac:dyDescent="0.3">
      <c r="A303" s="1" t="s">
        <v>109</v>
      </c>
      <c r="B303">
        <v>220102886</v>
      </c>
      <c r="C303" s="2">
        <v>44614</v>
      </c>
      <c r="D303" s="2" t="s">
        <v>577</v>
      </c>
      <c r="E303">
        <v>2890</v>
      </c>
      <c r="F303" s="2">
        <v>34858</v>
      </c>
      <c r="G303">
        <v>81.28</v>
      </c>
      <c r="H303">
        <v>62.8</v>
      </c>
      <c r="I303" t="s">
        <v>26</v>
      </c>
      <c r="J303">
        <v>62</v>
      </c>
      <c r="K303" s="3">
        <f t="shared" si="4"/>
        <v>68.693333333333328</v>
      </c>
      <c r="L303" t="s">
        <v>27</v>
      </c>
      <c r="M303" t="s">
        <v>27</v>
      </c>
      <c r="N303">
        <v>26</v>
      </c>
      <c r="O303" t="s">
        <v>28</v>
      </c>
      <c r="P303" t="s">
        <v>56</v>
      </c>
      <c r="Q303" t="s">
        <v>43</v>
      </c>
      <c r="R303">
        <v>476</v>
      </c>
      <c r="S303">
        <v>59.5</v>
      </c>
      <c r="T303" t="s">
        <v>33</v>
      </c>
      <c r="U303" t="s">
        <v>32</v>
      </c>
      <c r="V303" t="s">
        <v>33</v>
      </c>
      <c r="W303" t="s">
        <v>103</v>
      </c>
      <c r="X303" t="s">
        <v>96</v>
      </c>
      <c r="Y303" t="s">
        <v>35</v>
      </c>
      <c r="Z303" t="s">
        <v>44</v>
      </c>
      <c r="AA303" t="s">
        <v>91</v>
      </c>
      <c r="AB303" t="s">
        <v>46</v>
      </c>
      <c r="AC303">
        <f>IF(Cdacdata[[#This Row],[placement_status]]="Placed",1,0)</f>
        <v>1</v>
      </c>
      <c r="AD303" t="s">
        <v>110</v>
      </c>
      <c r="AE303" t="s">
        <v>38</v>
      </c>
      <c r="AF303" t="s">
        <v>55</v>
      </c>
      <c r="AG303">
        <v>2022</v>
      </c>
      <c r="AH303" t="s">
        <v>111</v>
      </c>
      <c r="AI303" t="str">
        <f>IF(Cdacdata[ccat_rank]&lt;=100,"Top 100",
IF(Cdacdata[ccat_rank]&lt;=500,"101–500",
IF(Cdacdata[ccat_rank]&lt;=1000,"501–1000",
"1000+")))</f>
        <v>1000+</v>
      </c>
    </row>
    <row r="304" spans="1:35" x14ac:dyDescent="0.3">
      <c r="A304" s="1" t="s">
        <v>109</v>
      </c>
      <c r="B304">
        <v>211205817</v>
      </c>
      <c r="C304" s="2"/>
      <c r="D304" s="2"/>
      <c r="E304" t="s">
        <v>63</v>
      </c>
      <c r="G304">
        <v>0</v>
      </c>
      <c r="H304">
        <v>0</v>
      </c>
      <c r="I304">
        <v>0</v>
      </c>
      <c r="J304">
        <v>0</v>
      </c>
      <c r="K304" s="3">
        <f t="shared" si="4"/>
        <v>0</v>
      </c>
      <c r="L304" t="s">
        <v>27</v>
      </c>
      <c r="M304" t="s">
        <v>27</v>
      </c>
      <c r="N304">
        <v>23</v>
      </c>
      <c r="O304" t="s">
        <v>373</v>
      </c>
      <c r="P304" t="s">
        <v>26</v>
      </c>
      <c r="Q304" t="s">
        <v>374</v>
      </c>
      <c r="R304">
        <v>525</v>
      </c>
      <c r="S304">
        <v>65.625</v>
      </c>
      <c r="T304" t="s">
        <v>49</v>
      </c>
      <c r="U304" t="s">
        <v>32</v>
      </c>
      <c r="V304" t="s">
        <v>49</v>
      </c>
      <c r="W304" t="s">
        <v>33</v>
      </c>
      <c r="X304" t="s">
        <v>96</v>
      </c>
      <c r="Y304" t="s">
        <v>50</v>
      </c>
      <c r="Z304" t="s">
        <v>53</v>
      </c>
      <c r="AA304" t="s">
        <v>54</v>
      </c>
      <c r="AB304" t="s">
        <v>46</v>
      </c>
      <c r="AC304">
        <f>IF(Cdacdata[[#This Row],[placement_status]]="Placed",1,0)</f>
        <v>1</v>
      </c>
      <c r="AD304" t="s">
        <v>110</v>
      </c>
      <c r="AE304" t="s">
        <v>63</v>
      </c>
      <c r="AF304" t="s">
        <v>63</v>
      </c>
      <c r="AG304">
        <v>2022</v>
      </c>
      <c r="AH304" t="s">
        <v>111</v>
      </c>
      <c r="AI304" t="str">
        <f>IF(Cdacdata[ccat_rank]&lt;=100,"Top 100",
IF(Cdacdata[ccat_rank]&lt;=500,"101–500",
IF(Cdacdata[ccat_rank]&lt;=1000,"501–1000",
"1000+")))</f>
        <v>1000+</v>
      </c>
    </row>
    <row r="305" spans="1:35" x14ac:dyDescent="0.3">
      <c r="A305" s="1" t="s">
        <v>109</v>
      </c>
      <c r="B305">
        <v>220106960</v>
      </c>
      <c r="C305" s="2">
        <v>44615</v>
      </c>
      <c r="D305" s="2" t="s">
        <v>578</v>
      </c>
      <c r="E305">
        <v>2530</v>
      </c>
      <c r="F305" s="2">
        <v>35276</v>
      </c>
      <c r="G305">
        <v>89.27</v>
      </c>
      <c r="H305">
        <v>66</v>
      </c>
      <c r="I305" t="s">
        <v>26</v>
      </c>
      <c r="J305">
        <v>59.92</v>
      </c>
      <c r="K305" s="3">
        <f t="shared" si="4"/>
        <v>71.73</v>
      </c>
      <c r="L305" t="s">
        <v>27</v>
      </c>
      <c r="M305" t="s">
        <v>27</v>
      </c>
      <c r="N305">
        <v>25</v>
      </c>
      <c r="O305" t="s">
        <v>62</v>
      </c>
      <c r="P305" t="s">
        <v>65</v>
      </c>
      <c r="Q305" t="s">
        <v>30</v>
      </c>
      <c r="R305">
        <v>494</v>
      </c>
      <c r="S305">
        <v>61.75</v>
      </c>
      <c r="T305" t="s">
        <v>33</v>
      </c>
      <c r="U305" t="s">
        <v>32</v>
      </c>
      <c r="V305" t="s">
        <v>33</v>
      </c>
      <c r="W305" t="s">
        <v>31</v>
      </c>
      <c r="X305" t="s">
        <v>96</v>
      </c>
      <c r="Y305" t="s">
        <v>50</v>
      </c>
      <c r="Z305" t="s">
        <v>44</v>
      </c>
      <c r="AA305" t="s">
        <v>141</v>
      </c>
      <c r="AB305" t="s">
        <v>46</v>
      </c>
      <c r="AC305">
        <f>IF(Cdacdata[[#This Row],[placement_status]]="Placed",1,0)</f>
        <v>1</v>
      </c>
      <c r="AD305" t="s">
        <v>110</v>
      </c>
      <c r="AE305" t="s">
        <v>38</v>
      </c>
      <c r="AF305" t="s">
        <v>39</v>
      </c>
      <c r="AG305">
        <v>2022</v>
      </c>
      <c r="AH305" t="s">
        <v>111</v>
      </c>
      <c r="AI305" t="str">
        <f>IF(Cdacdata[ccat_rank]&lt;=100,"Top 100",
IF(Cdacdata[ccat_rank]&lt;=500,"101–500",
IF(Cdacdata[ccat_rank]&lt;=1000,"501–1000",
"1000+")))</f>
        <v>1000+</v>
      </c>
    </row>
    <row r="306" spans="1:35" x14ac:dyDescent="0.3">
      <c r="A306" s="1" t="s">
        <v>109</v>
      </c>
      <c r="B306">
        <v>211203855</v>
      </c>
      <c r="C306" s="2"/>
      <c r="D306" s="2"/>
      <c r="E306" t="s">
        <v>63</v>
      </c>
      <c r="G306">
        <v>0</v>
      </c>
      <c r="H306">
        <v>0</v>
      </c>
      <c r="I306">
        <v>0</v>
      </c>
      <c r="J306">
        <v>0</v>
      </c>
      <c r="K306" s="3">
        <f t="shared" si="4"/>
        <v>0</v>
      </c>
      <c r="L306" t="s">
        <v>27</v>
      </c>
      <c r="M306" t="s">
        <v>27</v>
      </c>
      <c r="N306">
        <v>23</v>
      </c>
      <c r="O306" t="s">
        <v>373</v>
      </c>
      <c r="P306" t="s">
        <v>26</v>
      </c>
      <c r="Q306" t="s">
        <v>374</v>
      </c>
      <c r="R306">
        <v>562</v>
      </c>
      <c r="S306">
        <v>70.25</v>
      </c>
      <c r="T306" t="s">
        <v>49</v>
      </c>
      <c r="U306" t="s">
        <v>32</v>
      </c>
      <c r="V306" t="s">
        <v>49</v>
      </c>
      <c r="W306" t="s">
        <v>33</v>
      </c>
      <c r="X306" t="s">
        <v>96</v>
      </c>
      <c r="Y306" t="s">
        <v>58</v>
      </c>
      <c r="Z306" t="s">
        <v>44</v>
      </c>
      <c r="AA306" t="s">
        <v>93</v>
      </c>
      <c r="AB306" t="s">
        <v>46</v>
      </c>
      <c r="AC306">
        <f>IF(Cdacdata[[#This Row],[placement_status]]="Placed",1,0)</f>
        <v>1</v>
      </c>
      <c r="AD306" t="s">
        <v>110</v>
      </c>
      <c r="AE306" t="s">
        <v>63</v>
      </c>
      <c r="AF306" t="s">
        <v>63</v>
      </c>
      <c r="AG306">
        <v>2022</v>
      </c>
      <c r="AH306" t="s">
        <v>111</v>
      </c>
      <c r="AI306" t="str">
        <f>IF(Cdacdata[ccat_rank]&lt;=100,"Top 100",
IF(Cdacdata[ccat_rank]&lt;=500,"101–500",
IF(Cdacdata[ccat_rank]&lt;=1000,"501–1000",
"1000+")))</f>
        <v>1000+</v>
      </c>
    </row>
    <row r="307" spans="1:35" x14ac:dyDescent="0.3">
      <c r="A307" s="1" t="s">
        <v>109</v>
      </c>
      <c r="B307">
        <v>211206315</v>
      </c>
      <c r="C307" s="2"/>
      <c r="D307" s="2"/>
      <c r="E307" t="s">
        <v>63</v>
      </c>
      <c r="G307">
        <v>0</v>
      </c>
      <c r="H307">
        <v>0</v>
      </c>
      <c r="I307">
        <v>0</v>
      </c>
      <c r="J307">
        <v>0</v>
      </c>
      <c r="K307" s="3">
        <f t="shared" si="4"/>
        <v>0</v>
      </c>
      <c r="L307" t="s">
        <v>27</v>
      </c>
      <c r="M307" t="s">
        <v>27</v>
      </c>
      <c r="N307">
        <v>23</v>
      </c>
      <c r="O307" t="s">
        <v>373</v>
      </c>
      <c r="P307" t="s">
        <v>26</v>
      </c>
      <c r="Q307" t="s">
        <v>374</v>
      </c>
      <c r="R307">
        <v>508</v>
      </c>
      <c r="S307">
        <v>63.5</v>
      </c>
      <c r="T307" t="s">
        <v>49</v>
      </c>
      <c r="U307" t="s">
        <v>32</v>
      </c>
      <c r="V307" t="s">
        <v>49</v>
      </c>
      <c r="W307" t="s">
        <v>33</v>
      </c>
      <c r="X307" t="s">
        <v>96</v>
      </c>
      <c r="Y307" t="s">
        <v>50</v>
      </c>
      <c r="Z307" t="s">
        <v>44</v>
      </c>
      <c r="AA307" t="s">
        <v>91</v>
      </c>
      <c r="AB307" t="s">
        <v>46</v>
      </c>
      <c r="AC307">
        <f>IF(Cdacdata[[#This Row],[placement_status]]="Placed",1,0)</f>
        <v>1</v>
      </c>
      <c r="AD307" t="s">
        <v>110</v>
      </c>
      <c r="AE307" t="s">
        <v>63</v>
      </c>
      <c r="AF307" t="s">
        <v>63</v>
      </c>
      <c r="AG307">
        <v>2022</v>
      </c>
      <c r="AH307" t="s">
        <v>111</v>
      </c>
      <c r="AI307" t="str">
        <f>IF(Cdacdata[ccat_rank]&lt;=100,"Top 100",
IF(Cdacdata[ccat_rank]&lt;=500,"101–500",
IF(Cdacdata[ccat_rank]&lt;=1000,"501–1000",
"1000+")))</f>
        <v>1000+</v>
      </c>
    </row>
    <row r="308" spans="1:35" x14ac:dyDescent="0.3">
      <c r="A308" s="1" t="s">
        <v>109</v>
      </c>
      <c r="B308">
        <v>211201523</v>
      </c>
      <c r="C308" s="2">
        <v>44614</v>
      </c>
      <c r="D308" s="2" t="s">
        <v>579</v>
      </c>
      <c r="E308">
        <v>2878</v>
      </c>
      <c r="F308" s="2">
        <v>34495</v>
      </c>
      <c r="G308">
        <v>87.64</v>
      </c>
      <c r="H308">
        <v>82.17</v>
      </c>
      <c r="I308" t="s">
        <v>26</v>
      </c>
      <c r="J308">
        <v>68.900000000000006</v>
      </c>
      <c r="K308" s="3">
        <f t="shared" si="4"/>
        <v>79.570000000000007</v>
      </c>
      <c r="L308" t="s">
        <v>27</v>
      </c>
      <c r="M308" t="s">
        <v>27</v>
      </c>
      <c r="N308">
        <v>27</v>
      </c>
      <c r="O308" t="s">
        <v>28</v>
      </c>
      <c r="P308" t="s">
        <v>56</v>
      </c>
      <c r="Q308" t="s">
        <v>30</v>
      </c>
      <c r="R308">
        <v>553</v>
      </c>
      <c r="S308">
        <v>69.125</v>
      </c>
      <c r="T308" t="s">
        <v>49</v>
      </c>
      <c r="U308" t="s">
        <v>32</v>
      </c>
      <c r="V308" t="s">
        <v>49</v>
      </c>
      <c r="W308" t="s">
        <v>33</v>
      </c>
      <c r="X308" t="s">
        <v>96</v>
      </c>
      <c r="Y308" t="s">
        <v>50</v>
      </c>
      <c r="Z308" t="s">
        <v>44</v>
      </c>
      <c r="AA308" t="s">
        <v>153</v>
      </c>
      <c r="AB308" t="s">
        <v>46</v>
      </c>
      <c r="AC308">
        <f>IF(Cdacdata[[#This Row],[placement_status]]="Placed",1,0)</f>
        <v>1</v>
      </c>
      <c r="AD308" t="s">
        <v>110</v>
      </c>
      <c r="AE308" t="s">
        <v>38</v>
      </c>
      <c r="AF308" t="s">
        <v>55</v>
      </c>
      <c r="AG308">
        <v>2022</v>
      </c>
      <c r="AH308" t="s">
        <v>111</v>
      </c>
      <c r="AI308" t="str">
        <f>IF(Cdacdata[ccat_rank]&lt;=100,"Top 100",
IF(Cdacdata[ccat_rank]&lt;=500,"101–500",
IF(Cdacdata[ccat_rank]&lt;=1000,"501–1000",
"1000+")))</f>
        <v>1000+</v>
      </c>
    </row>
    <row r="309" spans="1:35" x14ac:dyDescent="0.3">
      <c r="A309" s="1" t="s">
        <v>109</v>
      </c>
      <c r="B309">
        <v>211201134</v>
      </c>
      <c r="C309" s="2"/>
      <c r="D309" s="2"/>
      <c r="E309" t="s">
        <v>63</v>
      </c>
      <c r="G309">
        <v>0</v>
      </c>
      <c r="H309">
        <v>0</v>
      </c>
      <c r="I309">
        <v>0</v>
      </c>
      <c r="J309">
        <v>0</v>
      </c>
      <c r="K309" s="3">
        <f t="shared" si="4"/>
        <v>0</v>
      </c>
      <c r="L309" t="s">
        <v>27</v>
      </c>
      <c r="M309" t="s">
        <v>27</v>
      </c>
      <c r="N309">
        <v>23</v>
      </c>
      <c r="O309" t="s">
        <v>373</v>
      </c>
      <c r="P309" t="s">
        <v>26</v>
      </c>
      <c r="Q309" t="s">
        <v>374</v>
      </c>
      <c r="R309">
        <v>517</v>
      </c>
      <c r="S309">
        <v>64.625</v>
      </c>
      <c r="T309" t="s">
        <v>33</v>
      </c>
      <c r="U309" t="s">
        <v>32</v>
      </c>
      <c r="V309" t="s">
        <v>33</v>
      </c>
      <c r="W309" t="s">
        <v>31</v>
      </c>
      <c r="X309" t="s">
        <v>96</v>
      </c>
      <c r="Y309" t="s">
        <v>50</v>
      </c>
      <c r="Z309" t="s">
        <v>44</v>
      </c>
      <c r="AA309" t="s">
        <v>74</v>
      </c>
      <c r="AB309" t="s">
        <v>46</v>
      </c>
      <c r="AC309">
        <f>IF(Cdacdata[[#This Row],[placement_status]]="Placed",1,0)</f>
        <v>1</v>
      </c>
      <c r="AD309" t="s">
        <v>110</v>
      </c>
      <c r="AE309" t="s">
        <v>63</v>
      </c>
      <c r="AF309" t="s">
        <v>63</v>
      </c>
      <c r="AG309">
        <v>2022</v>
      </c>
      <c r="AH309" t="s">
        <v>111</v>
      </c>
      <c r="AI309" t="str">
        <f>IF(Cdacdata[ccat_rank]&lt;=100,"Top 100",
IF(Cdacdata[ccat_rank]&lt;=500,"101–500",
IF(Cdacdata[ccat_rank]&lt;=1000,"501–1000",
"1000+")))</f>
        <v>1000+</v>
      </c>
    </row>
    <row r="310" spans="1:35" x14ac:dyDescent="0.3">
      <c r="A310" s="1" t="s">
        <v>109</v>
      </c>
      <c r="B310">
        <v>211200217</v>
      </c>
      <c r="C310" s="2"/>
      <c r="D310" s="2"/>
      <c r="E310" t="s">
        <v>63</v>
      </c>
      <c r="G310">
        <v>0</v>
      </c>
      <c r="H310">
        <v>0</v>
      </c>
      <c r="I310">
        <v>0</v>
      </c>
      <c r="J310">
        <v>0</v>
      </c>
      <c r="K310" s="3">
        <f t="shared" si="4"/>
        <v>0</v>
      </c>
      <c r="L310" t="s">
        <v>27</v>
      </c>
      <c r="M310" t="s">
        <v>27</v>
      </c>
      <c r="N310">
        <v>23</v>
      </c>
      <c r="O310" t="s">
        <v>373</v>
      </c>
      <c r="P310" t="s">
        <v>26</v>
      </c>
      <c r="Q310" t="s">
        <v>374</v>
      </c>
      <c r="R310">
        <v>473</v>
      </c>
      <c r="S310">
        <v>59.125</v>
      </c>
      <c r="T310" t="s">
        <v>31</v>
      </c>
      <c r="U310" t="s">
        <v>32</v>
      </c>
      <c r="V310" t="s">
        <v>31</v>
      </c>
      <c r="W310" t="s">
        <v>31</v>
      </c>
      <c r="X310" t="s">
        <v>96</v>
      </c>
      <c r="Y310" t="s">
        <v>35</v>
      </c>
      <c r="Z310" t="s">
        <v>44</v>
      </c>
      <c r="AA310" t="s">
        <v>155</v>
      </c>
      <c r="AB310" t="s">
        <v>46</v>
      </c>
      <c r="AC310">
        <f>IF(Cdacdata[[#This Row],[placement_status]]="Placed",1,0)</f>
        <v>1</v>
      </c>
      <c r="AD310" t="s">
        <v>110</v>
      </c>
      <c r="AE310" t="s">
        <v>63</v>
      </c>
      <c r="AF310" t="s">
        <v>63</v>
      </c>
      <c r="AG310">
        <v>2022</v>
      </c>
      <c r="AH310" t="s">
        <v>111</v>
      </c>
      <c r="AI310" t="str">
        <f>IF(Cdacdata[ccat_rank]&lt;=100,"Top 100",
IF(Cdacdata[ccat_rank]&lt;=500,"101–500",
IF(Cdacdata[ccat_rank]&lt;=1000,"501–1000",
"1000+")))</f>
        <v>1000+</v>
      </c>
    </row>
    <row r="311" spans="1:35" x14ac:dyDescent="0.3">
      <c r="A311" s="1" t="s">
        <v>109</v>
      </c>
      <c r="B311">
        <v>220107296</v>
      </c>
      <c r="C311" s="2"/>
      <c r="D311" s="2"/>
      <c r="E311" t="s">
        <v>63</v>
      </c>
      <c r="G311">
        <v>0</v>
      </c>
      <c r="H311">
        <v>0</v>
      </c>
      <c r="I311">
        <v>0</v>
      </c>
      <c r="J311">
        <v>0</v>
      </c>
      <c r="K311" s="3">
        <f t="shared" si="4"/>
        <v>0</v>
      </c>
      <c r="L311" t="s">
        <v>27</v>
      </c>
      <c r="M311" t="s">
        <v>27</v>
      </c>
      <c r="N311">
        <v>23</v>
      </c>
      <c r="O311" t="s">
        <v>373</v>
      </c>
      <c r="P311" t="s">
        <v>26</v>
      </c>
      <c r="Q311" t="s">
        <v>374</v>
      </c>
      <c r="R311">
        <v>496</v>
      </c>
      <c r="S311">
        <v>62</v>
      </c>
      <c r="T311" t="s">
        <v>49</v>
      </c>
      <c r="U311" t="s">
        <v>32</v>
      </c>
      <c r="V311" t="s">
        <v>49</v>
      </c>
      <c r="W311" t="s">
        <v>33</v>
      </c>
      <c r="X311" t="s">
        <v>96</v>
      </c>
      <c r="Y311" t="s">
        <v>50</v>
      </c>
      <c r="Z311" t="s">
        <v>44</v>
      </c>
      <c r="AA311" t="s">
        <v>155</v>
      </c>
      <c r="AB311" t="s">
        <v>46</v>
      </c>
      <c r="AC311">
        <f>IF(Cdacdata[[#This Row],[placement_status]]="Placed",1,0)</f>
        <v>1</v>
      </c>
      <c r="AD311" t="s">
        <v>110</v>
      </c>
      <c r="AE311" t="s">
        <v>63</v>
      </c>
      <c r="AF311" t="s">
        <v>63</v>
      </c>
      <c r="AG311">
        <v>2022</v>
      </c>
      <c r="AH311" t="s">
        <v>111</v>
      </c>
      <c r="AI311" t="str">
        <f>IF(Cdacdata[ccat_rank]&lt;=100,"Top 100",
IF(Cdacdata[ccat_rank]&lt;=500,"101–500",
IF(Cdacdata[ccat_rank]&lt;=1000,"501–1000",
"1000+")))</f>
        <v>1000+</v>
      </c>
    </row>
    <row r="312" spans="1:35" x14ac:dyDescent="0.3">
      <c r="A312" s="1" t="s">
        <v>109</v>
      </c>
      <c r="B312">
        <v>220102889</v>
      </c>
      <c r="C312" s="2"/>
      <c r="D312" s="2"/>
      <c r="E312" t="s">
        <v>63</v>
      </c>
      <c r="G312">
        <v>0</v>
      </c>
      <c r="H312">
        <v>0</v>
      </c>
      <c r="I312">
        <v>0</v>
      </c>
      <c r="J312">
        <v>0</v>
      </c>
      <c r="K312" s="3">
        <f t="shared" si="4"/>
        <v>0</v>
      </c>
      <c r="L312" t="s">
        <v>27</v>
      </c>
      <c r="M312" t="s">
        <v>27</v>
      </c>
      <c r="N312">
        <v>23</v>
      </c>
      <c r="O312" t="s">
        <v>373</v>
      </c>
      <c r="P312" t="s">
        <v>26</v>
      </c>
      <c r="Q312" t="s">
        <v>374</v>
      </c>
      <c r="R312">
        <v>513</v>
      </c>
      <c r="S312">
        <v>64.125</v>
      </c>
      <c r="T312" t="s">
        <v>33</v>
      </c>
      <c r="U312" t="s">
        <v>32</v>
      </c>
      <c r="V312" t="s">
        <v>33</v>
      </c>
      <c r="W312" t="s">
        <v>31</v>
      </c>
      <c r="X312" t="s">
        <v>96</v>
      </c>
      <c r="Y312" t="s">
        <v>50</v>
      </c>
      <c r="Z312" t="s">
        <v>36</v>
      </c>
      <c r="AA312" t="s">
        <v>1268</v>
      </c>
      <c r="AB312" t="s">
        <v>36</v>
      </c>
      <c r="AC312">
        <f>IF(Cdacdata[[#This Row],[placement_status]]="Placed",1,0)</f>
        <v>0</v>
      </c>
      <c r="AD312" t="s">
        <v>110</v>
      </c>
      <c r="AE312" t="s">
        <v>63</v>
      </c>
      <c r="AF312" t="s">
        <v>63</v>
      </c>
      <c r="AG312">
        <v>2022</v>
      </c>
      <c r="AH312" t="s">
        <v>111</v>
      </c>
      <c r="AI312" t="str">
        <f>IF(Cdacdata[ccat_rank]&lt;=100,"Top 100",
IF(Cdacdata[ccat_rank]&lt;=500,"101–500",
IF(Cdacdata[ccat_rank]&lt;=1000,"501–1000",
"1000+")))</f>
        <v>1000+</v>
      </c>
    </row>
    <row r="313" spans="1:35" x14ac:dyDescent="0.3">
      <c r="A313" s="1" t="s">
        <v>109</v>
      </c>
      <c r="B313">
        <v>211206502</v>
      </c>
      <c r="C313" s="2">
        <v>44615</v>
      </c>
      <c r="D313" s="2" t="s">
        <v>580</v>
      </c>
      <c r="E313">
        <v>1906</v>
      </c>
      <c r="F313" s="2">
        <v>36152</v>
      </c>
      <c r="G313">
        <v>79</v>
      </c>
      <c r="H313">
        <v>56</v>
      </c>
      <c r="I313" t="s">
        <v>26</v>
      </c>
      <c r="J313">
        <v>6.43</v>
      </c>
      <c r="K313" s="3">
        <f t="shared" si="4"/>
        <v>47.143333333333338</v>
      </c>
      <c r="L313" t="s">
        <v>27</v>
      </c>
      <c r="M313" t="s">
        <v>27</v>
      </c>
      <c r="N313">
        <v>23</v>
      </c>
      <c r="O313" t="s">
        <v>62</v>
      </c>
      <c r="P313" t="s">
        <v>56</v>
      </c>
      <c r="Q313" t="s">
        <v>30</v>
      </c>
      <c r="R313">
        <v>475</v>
      </c>
      <c r="S313">
        <v>59.375</v>
      </c>
      <c r="T313" t="s">
        <v>33</v>
      </c>
      <c r="U313" t="s">
        <v>32</v>
      </c>
      <c r="V313" t="s">
        <v>33</v>
      </c>
      <c r="W313" t="s">
        <v>33</v>
      </c>
      <c r="X313" t="s">
        <v>96</v>
      </c>
      <c r="Y313" t="s">
        <v>35</v>
      </c>
      <c r="Z313" t="s">
        <v>44</v>
      </c>
      <c r="AA313" t="s">
        <v>152</v>
      </c>
      <c r="AB313" t="s">
        <v>46</v>
      </c>
      <c r="AC313">
        <f>IF(Cdacdata[[#This Row],[placement_status]]="Placed",1,0)</f>
        <v>1</v>
      </c>
      <c r="AD313" t="s">
        <v>110</v>
      </c>
      <c r="AE313" t="s">
        <v>47</v>
      </c>
      <c r="AF313" t="s">
        <v>39</v>
      </c>
      <c r="AG313">
        <v>2022</v>
      </c>
      <c r="AH313" t="s">
        <v>111</v>
      </c>
      <c r="AI313" t="str">
        <f>IF(Cdacdata[ccat_rank]&lt;=100,"Top 100",
IF(Cdacdata[ccat_rank]&lt;=500,"101–500",
IF(Cdacdata[ccat_rank]&lt;=1000,"501–1000",
"1000+")))</f>
        <v>1000+</v>
      </c>
    </row>
    <row r="314" spans="1:35" x14ac:dyDescent="0.3">
      <c r="A314" s="1" t="s">
        <v>109</v>
      </c>
      <c r="B314">
        <v>211203591</v>
      </c>
      <c r="C314" s="2"/>
      <c r="D314" s="2"/>
      <c r="E314" t="s">
        <v>63</v>
      </c>
      <c r="G314">
        <v>0</v>
      </c>
      <c r="H314">
        <v>0</v>
      </c>
      <c r="I314">
        <v>0</v>
      </c>
      <c r="J314">
        <v>0</v>
      </c>
      <c r="K314" s="3">
        <f t="shared" si="4"/>
        <v>0</v>
      </c>
      <c r="L314" t="s">
        <v>27</v>
      </c>
      <c r="M314" t="s">
        <v>27</v>
      </c>
      <c r="N314">
        <v>23</v>
      </c>
      <c r="O314" t="s">
        <v>373</v>
      </c>
      <c r="P314" t="s">
        <v>26</v>
      </c>
      <c r="Q314" t="s">
        <v>374</v>
      </c>
      <c r="R314">
        <v>456</v>
      </c>
      <c r="S314">
        <v>57</v>
      </c>
      <c r="T314" t="s">
        <v>103</v>
      </c>
      <c r="U314" t="s">
        <v>32</v>
      </c>
      <c r="V314" t="s">
        <v>103</v>
      </c>
      <c r="W314" t="s">
        <v>31</v>
      </c>
      <c r="X314" t="s">
        <v>96</v>
      </c>
      <c r="Y314" t="s">
        <v>35</v>
      </c>
      <c r="Z314" t="s">
        <v>44</v>
      </c>
      <c r="AA314" t="s">
        <v>141</v>
      </c>
      <c r="AB314" t="s">
        <v>46</v>
      </c>
      <c r="AC314">
        <f>IF(Cdacdata[[#This Row],[placement_status]]="Placed",1,0)</f>
        <v>1</v>
      </c>
      <c r="AD314" t="s">
        <v>110</v>
      </c>
      <c r="AE314" t="s">
        <v>63</v>
      </c>
      <c r="AF314" t="s">
        <v>63</v>
      </c>
      <c r="AG314">
        <v>2022</v>
      </c>
      <c r="AH314" t="s">
        <v>111</v>
      </c>
      <c r="AI314" t="str">
        <f>IF(Cdacdata[ccat_rank]&lt;=100,"Top 100",
IF(Cdacdata[ccat_rank]&lt;=500,"101–500",
IF(Cdacdata[ccat_rank]&lt;=1000,"501–1000",
"1000+")))</f>
        <v>1000+</v>
      </c>
    </row>
    <row r="315" spans="1:35" x14ac:dyDescent="0.3">
      <c r="A315" s="1" t="s">
        <v>109</v>
      </c>
      <c r="B315">
        <v>211208769</v>
      </c>
      <c r="C315" s="2"/>
      <c r="D315" s="2"/>
      <c r="E315" t="s">
        <v>63</v>
      </c>
      <c r="G315">
        <v>0</v>
      </c>
      <c r="H315">
        <v>0</v>
      </c>
      <c r="I315">
        <v>0</v>
      </c>
      <c r="J315">
        <v>0</v>
      </c>
      <c r="K315" s="3">
        <f t="shared" si="4"/>
        <v>0</v>
      </c>
      <c r="L315" t="s">
        <v>27</v>
      </c>
      <c r="M315" t="s">
        <v>27</v>
      </c>
      <c r="N315">
        <v>23</v>
      </c>
      <c r="O315" t="s">
        <v>373</v>
      </c>
      <c r="P315" t="s">
        <v>26</v>
      </c>
      <c r="Q315" t="s">
        <v>374</v>
      </c>
      <c r="R315">
        <v>382</v>
      </c>
      <c r="S315">
        <v>47.75</v>
      </c>
      <c r="T315" t="s">
        <v>33</v>
      </c>
      <c r="U315" t="s">
        <v>64</v>
      </c>
      <c r="V315" t="s">
        <v>33</v>
      </c>
      <c r="W315" t="s">
        <v>103</v>
      </c>
      <c r="X315" t="s">
        <v>96</v>
      </c>
      <c r="Y315" t="s">
        <v>80</v>
      </c>
      <c r="Z315" t="s">
        <v>36</v>
      </c>
      <c r="AA315" t="s">
        <v>1268</v>
      </c>
      <c r="AB315" t="s">
        <v>36</v>
      </c>
      <c r="AC315">
        <f>IF(Cdacdata[[#This Row],[placement_status]]="Placed",1,0)</f>
        <v>0</v>
      </c>
      <c r="AD315" t="s">
        <v>110</v>
      </c>
      <c r="AE315" t="s">
        <v>63</v>
      </c>
      <c r="AF315" t="s">
        <v>63</v>
      </c>
      <c r="AG315">
        <v>2022</v>
      </c>
      <c r="AH315" t="s">
        <v>111</v>
      </c>
      <c r="AI315" t="str">
        <f>IF(Cdacdata[ccat_rank]&lt;=100,"Top 100",
IF(Cdacdata[ccat_rank]&lt;=500,"101–500",
IF(Cdacdata[ccat_rank]&lt;=1000,"501–1000",
"1000+")))</f>
        <v>1000+</v>
      </c>
    </row>
    <row r="316" spans="1:35" x14ac:dyDescent="0.3">
      <c r="A316" s="1" t="s">
        <v>109</v>
      </c>
      <c r="B316">
        <v>220105154</v>
      </c>
      <c r="C316" s="2"/>
      <c r="D316" s="2"/>
      <c r="E316" t="s">
        <v>63</v>
      </c>
      <c r="G316">
        <v>0</v>
      </c>
      <c r="H316">
        <v>0</v>
      </c>
      <c r="I316">
        <v>0</v>
      </c>
      <c r="J316">
        <v>0</v>
      </c>
      <c r="K316" s="3">
        <f t="shared" si="4"/>
        <v>0</v>
      </c>
      <c r="L316" t="s">
        <v>27</v>
      </c>
      <c r="M316" t="s">
        <v>27</v>
      </c>
      <c r="N316">
        <v>23</v>
      </c>
      <c r="O316" t="s">
        <v>373</v>
      </c>
      <c r="P316" t="s">
        <v>26</v>
      </c>
      <c r="Q316" t="s">
        <v>374</v>
      </c>
      <c r="R316">
        <v>533</v>
      </c>
      <c r="S316">
        <v>66.625</v>
      </c>
      <c r="T316" t="s">
        <v>49</v>
      </c>
      <c r="U316" t="s">
        <v>32</v>
      </c>
      <c r="V316" t="s">
        <v>49</v>
      </c>
      <c r="W316" t="s">
        <v>49</v>
      </c>
      <c r="X316" t="s">
        <v>96</v>
      </c>
      <c r="Y316" t="s">
        <v>50</v>
      </c>
      <c r="Z316" t="s">
        <v>44</v>
      </c>
      <c r="AA316" t="s">
        <v>156</v>
      </c>
      <c r="AB316" t="s">
        <v>46</v>
      </c>
      <c r="AC316">
        <f>IF(Cdacdata[[#This Row],[placement_status]]="Placed",1,0)</f>
        <v>1</v>
      </c>
      <c r="AD316" t="s">
        <v>110</v>
      </c>
      <c r="AE316" t="s">
        <v>63</v>
      </c>
      <c r="AF316" t="s">
        <v>63</v>
      </c>
      <c r="AG316">
        <v>2022</v>
      </c>
      <c r="AH316" t="s">
        <v>111</v>
      </c>
      <c r="AI316" t="str">
        <f>IF(Cdacdata[ccat_rank]&lt;=100,"Top 100",
IF(Cdacdata[ccat_rank]&lt;=500,"101–500",
IF(Cdacdata[ccat_rank]&lt;=1000,"501–1000",
"1000+")))</f>
        <v>1000+</v>
      </c>
    </row>
    <row r="317" spans="1:35" x14ac:dyDescent="0.3">
      <c r="A317" s="1" t="s">
        <v>109</v>
      </c>
      <c r="B317">
        <v>211205599</v>
      </c>
      <c r="C317" s="2">
        <v>44614</v>
      </c>
      <c r="D317" s="2" t="s">
        <v>581</v>
      </c>
      <c r="E317">
        <v>1676</v>
      </c>
      <c r="F317" s="2">
        <v>36265</v>
      </c>
      <c r="G317">
        <v>77.599999999999994</v>
      </c>
      <c r="H317" t="s">
        <v>26</v>
      </c>
      <c r="I317">
        <v>65.88</v>
      </c>
      <c r="J317">
        <v>62.49</v>
      </c>
      <c r="K317" s="3">
        <f t="shared" si="4"/>
        <v>68.656666666666666</v>
      </c>
      <c r="L317" t="s">
        <v>27</v>
      </c>
      <c r="M317" t="s">
        <v>27</v>
      </c>
      <c r="N317">
        <v>22</v>
      </c>
      <c r="O317" t="s">
        <v>28</v>
      </c>
      <c r="P317" t="s">
        <v>26</v>
      </c>
      <c r="Q317" t="s">
        <v>30</v>
      </c>
      <c r="R317">
        <v>553</v>
      </c>
      <c r="S317">
        <v>69.125</v>
      </c>
      <c r="T317" t="s">
        <v>33</v>
      </c>
      <c r="U317" t="s">
        <v>32</v>
      </c>
      <c r="V317" t="s">
        <v>33</v>
      </c>
      <c r="W317" t="s">
        <v>33</v>
      </c>
      <c r="X317" t="s">
        <v>96</v>
      </c>
      <c r="Y317" t="s">
        <v>50</v>
      </c>
      <c r="Z317" t="s">
        <v>44</v>
      </c>
      <c r="AA317" t="s">
        <v>117</v>
      </c>
      <c r="AB317" t="s">
        <v>46</v>
      </c>
      <c r="AC317">
        <f>IF(Cdacdata[[#This Row],[placement_status]]="Placed",1,0)</f>
        <v>1</v>
      </c>
      <c r="AD317" t="s">
        <v>110</v>
      </c>
      <c r="AE317" t="s">
        <v>47</v>
      </c>
      <c r="AF317" t="s">
        <v>57</v>
      </c>
      <c r="AG317">
        <v>2022</v>
      </c>
      <c r="AH317" t="s">
        <v>111</v>
      </c>
      <c r="AI317" t="str">
        <f>IF(Cdacdata[ccat_rank]&lt;=100,"Top 100",
IF(Cdacdata[ccat_rank]&lt;=500,"101–500",
IF(Cdacdata[ccat_rank]&lt;=1000,"501–1000",
"1000+")))</f>
        <v>1000+</v>
      </c>
    </row>
    <row r="318" spans="1:35" x14ac:dyDescent="0.3">
      <c r="A318" s="1" t="s">
        <v>109</v>
      </c>
      <c r="B318">
        <v>211202093</v>
      </c>
      <c r="C318" s="2">
        <v>44615</v>
      </c>
      <c r="D318" s="2" t="s">
        <v>582</v>
      </c>
      <c r="E318">
        <v>2255</v>
      </c>
      <c r="F318" s="2">
        <v>36411</v>
      </c>
      <c r="G318">
        <v>76.599999999999994</v>
      </c>
      <c r="H318" t="s">
        <v>26</v>
      </c>
      <c r="I318">
        <v>73.39</v>
      </c>
      <c r="J318">
        <v>83</v>
      </c>
      <c r="K318" s="3">
        <f t="shared" si="4"/>
        <v>77.663333333333341</v>
      </c>
      <c r="L318" t="s">
        <v>27</v>
      </c>
      <c r="M318" t="s">
        <v>27</v>
      </c>
      <c r="N318">
        <v>22</v>
      </c>
      <c r="O318" t="s">
        <v>48</v>
      </c>
      <c r="P318" t="s">
        <v>42</v>
      </c>
      <c r="Q318" t="s">
        <v>26</v>
      </c>
      <c r="R318">
        <v>622</v>
      </c>
      <c r="S318">
        <v>77.75</v>
      </c>
      <c r="T318" t="s">
        <v>31</v>
      </c>
      <c r="U318" t="s">
        <v>32</v>
      </c>
      <c r="V318" t="s">
        <v>31</v>
      </c>
      <c r="W318" t="s">
        <v>49</v>
      </c>
      <c r="X318" t="s">
        <v>96</v>
      </c>
      <c r="Y318" t="s">
        <v>58</v>
      </c>
      <c r="Z318" t="s">
        <v>44</v>
      </c>
      <c r="AA318" t="s">
        <v>93</v>
      </c>
      <c r="AB318" t="s">
        <v>46</v>
      </c>
      <c r="AC318">
        <f>IF(Cdacdata[[#This Row],[placement_status]]="Placed",1,0)</f>
        <v>1</v>
      </c>
      <c r="AD318" t="s">
        <v>110</v>
      </c>
      <c r="AE318" t="s">
        <v>38</v>
      </c>
      <c r="AF318" t="s">
        <v>57</v>
      </c>
      <c r="AG318">
        <v>2022</v>
      </c>
      <c r="AH318" t="s">
        <v>111</v>
      </c>
      <c r="AI318" t="str">
        <f>IF(Cdacdata[ccat_rank]&lt;=100,"Top 100",
IF(Cdacdata[ccat_rank]&lt;=500,"101–500",
IF(Cdacdata[ccat_rank]&lt;=1000,"501–1000",
"1000+")))</f>
        <v>1000+</v>
      </c>
    </row>
    <row r="319" spans="1:35" x14ac:dyDescent="0.3">
      <c r="A319" s="1" t="s">
        <v>109</v>
      </c>
      <c r="B319">
        <v>220106990</v>
      </c>
      <c r="C319" s="2"/>
      <c r="D319" s="2"/>
      <c r="E319" t="s">
        <v>63</v>
      </c>
      <c r="G319">
        <v>0</v>
      </c>
      <c r="H319">
        <v>0</v>
      </c>
      <c r="I319">
        <v>0</v>
      </c>
      <c r="J319">
        <v>0</v>
      </c>
      <c r="K319" s="3">
        <f t="shared" si="4"/>
        <v>0</v>
      </c>
      <c r="L319" t="s">
        <v>27</v>
      </c>
      <c r="M319" t="s">
        <v>27</v>
      </c>
      <c r="N319">
        <v>23</v>
      </c>
      <c r="O319" t="s">
        <v>373</v>
      </c>
      <c r="P319" t="s">
        <v>26</v>
      </c>
      <c r="Q319" t="s">
        <v>374</v>
      </c>
      <c r="R319">
        <v>562</v>
      </c>
      <c r="S319">
        <v>70.25</v>
      </c>
      <c r="T319" t="s">
        <v>49</v>
      </c>
      <c r="U319" t="s">
        <v>32</v>
      </c>
      <c r="V319" t="s">
        <v>49</v>
      </c>
      <c r="W319" t="s">
        <v>49</v>
      </c>
      <c r="X319" t="s">
        <v>96</v>
      </c>
      <c r="Y319" t="s">
        <v>58</v>
      </c>
      <c r="Z319" t="s">
        <v>44</v>
      </c>
      <c r="AA319" t="s">
        <v>153</v>
      </c>
      <c r="AB319" t="s">
        <v>46</v>
      </c>
      <c r="AC319">
        <f>IF(Cdacdata[[#This Row],[placement_status]]="Placed",1,0)</f>
        <v>1</v>
      </c>
      <c r="AD319" t="s">
        <v>110</v>
      </c>
      <c r="AE319" t="s">
        <v>63</v>
      </c>
      <c r="AF319" t="s">
        <v>63</v>
      </c>
      <c r="AG319">
        <v>2022</v>
      </c>
      <c r="AH319" t="s">
        <v>111</v>
      </c>
      <c r="AI319" t="str">
        <f>IF(Cdacdata[ccat_rank]&lt;=100,"Top 100",
IF(Cdacdata[ccat_rank]&lt;=500,"101–500",
IF(Cdacdata[ccat_rank]&lt;=1000,"501–1000",
"1000+")))</f>
        <v>1000+</v>
      </c>
    </row>
    <row r="320" spans="1:35" x14ac:dyDescent="0.3">
      <c r="A320" s="1" t="s">
        <v>109</v>
      </c>
      <c r="B320">
        <v>220103622</v>
      </c>
      <c r="C320" s="2"/>
      <c r="D320" s="2"/>
      <c r="E320" t="s">
        <v>63</v>
      </c>
      <c r="G320">
        <v>0</v>
      </c>
      <c r="H320">
        <v>0</v>
      </c>
      <c r="I320">
        <v>0</v>
      </c>
      <c r="J320">
        <v>0</v>
      </c>
      <c r="K320" s="3">
        <f t="shared" si="4"/>
        <v>0</v>
      </c>
      <c r="L320" t="s">
        <v>27</v>
      </c>
      <c r="M320" t="s">
        <v>27</v>
      </c>
      <c r="N320">
        <v>23</v>
      </c>
      <c r="O320" t="s">
        <v>373</v>
      </c>
      <c r="P320" t="s">
        <v>26</v>
      </c>
      <c r="Q320" t="s">
        <v>374</v>
      </c>
      <c r="R320">
        <v>483</v>
      </c>
      <c r="S320">
        <v>60.375</v>
      </c>
      <c r="T320" t="s">
        <v>49</v>
      </c>
      <c r="U320" t="s">
        <v>32</v>
      </c>
      <c r="V320" t="s">
        <v>49</v>
      </c>
      <c r="W320" t="s">
        <v>31</v>
      </c>
      <c r="X320" t="s">
        <v>96</v>
      </c>
      <c r="Y320" t="s">
        <v>50</v>
      </c>
      <c r="Z320" t="s">
        <v>44</v>
      </c>
      <c r="AA320" t="s">
        <v>157</v>
      </c>
      <c r="AB320" t="s">
        <v>46</v>
      </c>
      <c r="AC320">
        <f>IF(Cdacdata[[#This Row],[placement_status]]="Placed",1,0)</f>
        <v>1</v>
      </c>
      <c r="AD320" t="s">
        <v>110</v>
      </c>
      <c r="AE320" t="s">
        <v>63</v>
      </c>
      <c r="AF320" t="s">
        <v>63</v>
      </c>
      <c r="AG320">
        <v>2022</v>
      </c>
      <c r="AH320" t="s">
        <v>111</v>
      </c>
      <c r="AI320" t="str">
        <f>IF(Cdacdata[ccat_rank]&lt;=100,"Top 100",
IF(Cdacdata[ccat_rank]&lt;=500,"101–500",
IF(Cdacdata[ccat_rank]&lt;=1000,"501–1000",
"1000+")))</f>
        <v>1000+</v>
      </c>
    </row>
    <row r="321" spans="1:35" x14ac:dyDescent="0.3">
      <c r="A321" s="1" t="s">
        <v>109</v>
      </c>
      <c r="B321">
        <v>211207755</v>
      </c>
      <c r="C321" s="2"/>
      <c r="D321" s="2"/>
      <c r="E321" t="s">
        <v>63</v>
      </c>
      <c r="G321">
        <v>0</v>
      </c>
      <c r="H321">
        <v>0</v>
      </c>
      <c r="I321">
        <v>0</v>
      </c>
      <c r="J321">
        <v>0</v>
      </c>
      <c r="K321" s="3">
        <f t="shared" si="4"/>
        <v>0</v>
      </c>
      <c r="L321" t="s">
        <v>27</v>
      </c>
      <c r="M321" t="s">
        <v>27</v>
      </c>
      <c r="N321">
        <v>23</v>
      </c>
      <c r="O321" t="s">
        <v>373</v>
      </c>
      <c r="P321" t="s">
        <v>26</v>
      </c>
      <c r="Q321" t="s">
        <v>374</v>
      </c>
      <c r="R321">
        <v>408</v>
      </c>
      <c r="S321">
        <v>51</v>
      </c>
      <c r="T321" t="s">
        <v>103</v>
      </c>
      <c r="U321" t="s">
        <v>64</v>
      </c>
      <c r="V321" t="s">
        <v>103</v>
      </c>
      <c r="W321" t="s">
        <v>103</v>
      </c>
      <c r="X321" t="s">
        <v>96</v>
      </c>
      <c r="Y321" t="s">
        <v>35</v>
      </c>
      <c r="Z321" t="s">
        <v>36</v>
      </c>
      <c r="AA321" t="s">
        <v>1268</v>
      </c>
      <c r="AB321" t="s">
        <v>36</v>
      </c>
      <c r="AC321">
        <f>IF(Cdacdata[[#This Row],[placement_status]]="Placed",1,0)</f>
        <v>0</v>
      </c>
      <c r="AD321" t="s">
        <v>110</v>
      </c>
      <c r="AE321" t="s">
        <v>63</v>
      </c>
      <c r="AF321" t="s">
        <v>63</v>
      </c>
      <c r="AG321">
        <v>2022</v>
      </c>
      <c r="AH321" t="s">
        <v>111</v>
      </c>
      <c r="AI321" t="str">
        <f>IF(Cdacdata[ccat_rank]&lt;=100,"Top 100",
IF(Cdacdata[ccat_rank]&lt;=500,"101–500",
IF(Cdacdata[ccat_rank]&lt;=1000,"501–1000",
"1000+")))</f>
        <v>1000+</v>
      </c>
    </row>
    <row r="322" spans="1:35" x14ac:dyDescent="0.3">
      <c r="A322" s="1" t="s">
        <v>109</v>
      </c>
      <c r="B322">
        <v>220101509</v>
      </c>
      <c r="C322" s="2">
        <v>44615</v>
      </c>
      <c r="D322" s="2" t="s">
        <v>583</v>
      </c>
      <c r="E322">
        <v>3123</v>
      </c>
      <c r="F322" s="2">
        <v>35527</v>
      </c>
      <c r="G322">
        <v>77</v>
      </c>
      <c r="H322">
        <v>55.69</v>
      </c>
      <c r="I322">
        <v>69.88</v>
      </c>
      <c r="J322">
        <v>65.42</v>
      </c>
      <c r="K322" s="3">
        <f t="shared" ref="K322:K385" si="5">AVERAGE(G322,H322,I322,J322)</f>
        <v>66.997500000000002</v>
      </c>
      <c r="L322" t="s">
        <v>27</v>
      </c>
      <c r="M322" t="s">
        <v>27</v>
      </c>
      <c r="N322">
        <v>24</v>
      </c>
      <c r="O322" t="s">
        <v>28</v>
      </c>
      <c r="P322" t="s">
        <v>60</v>
      </c>
      <c r="Q322" t="s">
        <v>26</v>
      </c>
      <c r="R322">
        <v>379</v>
      </c>
      <c r="S322">
        <v>47.375</v>
      </c>
      <c r="T322" t="s">
        <v>31</v>
      </c>
      <c r="U322" t="s">
        <v>64</v>
      </c>
      <c r="V322" t="s">
        <v>31</v>
      </c>
      <c r="W322" t="s">
        <v>103</v>
      </c>
      <c r="X322" t="s">
        <v>96</v>
      </c>
      <c r="Y322" t="s">
        <v>80</v>
      </c>
      <c r="Z322" t="s">
        <v>36</v>
      </c>
      <c r="AA322" t="s">
        <v>1268</v>
      </c>
      <c r="AB322" t="s">
        <v>36</v>
      </c>
      <c r="AC322">
        <f>IF(Cdacdata[[#This Row],[placement_status]]="Placed",1,0)</f>
        <v>0</v>
      </c>
      <c r="AD322" t="s">
        <v>110</v>
      </c>
      <c r="AE322" t="s">
        <v>98</v>
      </c>
      <c r="AF322" t="s">
        <v>39</v>
      </c>
      <c r="AG322">
        <v>2022</v>
      </c>
      <c r="AH322" t="s">
        <v>111</v>
      </c>
      <c r="AI322" t="str">
        <f>IF(Cdacdata[ccat_rank]&lt;=100,"Top 100",
IF(Cdacdata[ccat_rank]&lt;=500,"101–500",
IF(Cdacdata[ccat_rank]&lt;=1000,"501–1000",
"1000+")))</f>
        <v>1000+</v>
      </c>
    </row>
    <row r="323" spans="1:35" x14ac:dyDescent="0.3">
      <c r="A323" s="1" t="s">
        <v>109</v>
      </c>
      <c r="B323">
        <v>211200829</v>
      </c>
      <c r="C323" s="2">
        <v>44614</v>
      </c>
      <c r="D323" s="2" t="s">
        <v>584</v>
      </c>
      <c r="E323">
        <v>2983</v>
      </c>
      <c r="F323" s="2">
        <v>35751</v>
      </c>
      <c r="G323">
        <v>82.73</v>
      </c>
      <c r="H323" t="s">
        <v>26</v>
      </c>
      <c r="I323">
        <v>72.239999999999995</v>
      </c>
      <c r="J323">
        <v>73.19</v>
      </c>
      <c r="K323" s="3">
        <f t="shared" si="5"/>
        <v>76.053333333333327</v>
      </c>
      <c r="L323" t="s">
        <v>27</v>
      </c>
      <c r="M323" t="s">
        <v>27</v>
      </c>
      <c r="N323">
        <v>24</v>
      </c>
      <c r="O323" t="s">
        <v>28</v>
      </c>
      <c r="P323" t="s">
        <v>60</v>
      </c>
      <c r="Q323" t="s">
        <v>26</v>
      </c>
      <c r="R323">
        <v>530</v>
      </c>
      <c r="S323">
        <v>66.25</v>
      </c>
      <c r="T323" t="s">
        <v>49</v>
      </c>
      <c r="U323" t="s">
        <v>32</v>
      </c>
      <c r="V323" t="s">
        <v>49</v>
      </c>
      <c r="W323" t="s">
        <v>33</v>
      </c>
      <c r="X323" t="s">
        <v>96</v>
      </c>
      <c r="Y323" t="s">
        <v>50</v>
      </c>
      <c r="Z323" t="s">
        <v>44</v>
      </c>
      <c r="AA323" t="s">
        <v>91</v>
      </c>
      <c r="AB323" t="s">
        <v>46</v>
      </c>
      <c r="AC323">
        <f>IF(Cdacdata[[#This Row],[placement_status]]="Placed",1,0)</f>
        <v>1</v>
      </c>
      <c r="AD323" t="s">
        <v>110</v>
      </c>
      <c r="AE323" t="s">
        <v>38</v>
      </c>
      <c r="AF323" t="s">
        <v>39</v>
      </c>
      <c r="AG323">
        <v>2022</v>
      </c>
      <c r="AH323" t="s">
        <v>111</v>
      </c>
      <c r="AI323" t="str">
        <f>IF(Cdacdata[ccat_rank]&lt;=100,"Top 100",
IF(Cdacdata[ccat_rank]&lt;=500,"101–500",
IF(Cdacdata[ccat_rank]&lt;=1000,"501–1000",
"1000+")))</f>
        <v>1000+</v>
      </c>
    </row>
    <row r="324" spans="1:35" x14ac:dyDescent="0.3">
      <c r="A324" s="1" t="s">
        <v>109</v>
      </c>
      <c r="B324">
        <v>211200935</v>
      </c>
      <c r="C324" s="2">
        <v>44615</v>
      </c>
      <c r="D324" s="2" t="s">
        <v>585</v>
      </c>
      <c r="E324">
        <v>3121</v>
      </c>
      <c r="F324" s="2">
        <v>36385</v>
      </c>
      <c r="G324">
        <v>75</v>
      </c>
      <c r="H324">
        <v>53</v>
      </c>
      <c r="I324" t="s">
        <v>26</v>
      </c>
      <c r="J324">
        <v>77</v>
      </c>
      <c r="K324" s="3">
        <f t="shared" si="5"/>
        <v>68.333333333333329</v>
      </c>
      <c r="L324" t="s">
        <v>27</v>
      </c>
      <c r="M324" t="s">
        <v>27</v>
      </c>
      <c r="N324">
        <v>22</v>
      </c>
      <c r="O324" t="s">
        <v>48</v>
      </c>
      <c r="P324" t="s">
        <v>26</v>
      </c>
      <c r="Q324" t="s">
        <v>30</v>
      </c>
      <c r="R324">
        <v>414</v>
      </c>
      <c r="S324">
        <v>51.75</v>
      </c>
      <c r="T324" t="s">
        <v>103</v>
      </c>
      <c r="U324" t="s">
        <v>64</v>
      </c>
      <c r="V324" t="s">
        <v>103</v>
      </c>
      <c r="W324" t="s">
        <v>103</v>
      </c>
      <c r="X324" t="s">
        <v>96</v>
      </c>
      <c r="Y324" t="s">
        <v>35</v>
      </c>
      <c r="Z324" t="s">
        <v>36</v>
      </c>
      <c r="AA324" t="s">
        <v>1268</v>
      </c>
      <c r="AB324" t="s">
        <v>36</v>
      </c>
      <c r="AC324">
        <f>IF(Cdacdata[[#This Row],[placement_status]]="Placed",1,0)</f>
        <v>0</v>
      </c>
      <c r="AD324" t="s">
        <v>110</v>
      </c>
      <c r="AE324" t="s">
        <v>98</v>
      </c>
      <c r="AF324" t="s">
        <v>57</v>
      </c>
      <c r="AG324">
        <v>2022</v>
      </c>
      <c r="AH324" t="s">
        <v>111</v>
      </c>
      <c r="AI324" t="str">
        <f>IF(Cdacdata[ccat_rank]&lt;=100,"Top 100",
IF(Cdacdata[ccat_rank]&lt;=500,"101–500",
IF(Cdacdata[ccat_rank]&lt;=1000,"501–1000",
"1000+")))</f>
        <v>1000+</v>
      </c>
    </row>
    <row r="325" spans="1:35" x14ac:dyDescent="0.3">
      <c r="A325" s="1" t="s">
        <v>109</v>
      </c>
      <c r="B325">
        <v>211202556</v>
      </c>
      <c r="C325" s="2">
        <v>44615</v>
      </c>
      <c r="D325" s="2" t="s">
        <v>586</v>
      </c>
      <c r="E325">
        <v>2781</v>
      </c>
      <c r="F325" s="2">
        <v>36041</v>
      </c>
      <c r="G325">
        <v>80.599999999999994</v>
      </c>
      <c r="H325">
        <v>59.23</v>
      </c>
      <c r="I325" t="s">
        <v>26</v>
      </c>
      <c r="J325">
        <v>62.7</v>
      </c>
      <c r="K325" s="3">
        <f t="shared" si="5"/>
        <v>67.509999999999991</v>
      </c>
      <c r="L325" t="s">
        <v>27</v>
      </c>
      <c r="M325" t="s">
        <v>27</v>
      </c>
      <c r="N325">
        <v>23</v>
      </c>
      <c r="O325" t="s">
        <v>28</v>
      </c>
      <c r="P325" t="s">
        <v>42</v>
      </c>
      <c r="Q325" t="s">
        <v>43</v>
      </c>
      <c r="R325">
        <v>541</v>
      </c>
      <c r="S325">
        <v>67.625</v>
      </c>
      <c r="T325" t="s">
        <v>33</v>
      </c>
      <c r="U325" t="s">
        <v>32</v>
      </c>
      <c r="V325" t="s">
        <v>33</v>
      </c>
      <c r="W325" t="s">
        <v>49</v>
      </c>
      <c r="X325" t="s">
        <v>96</v>
      </c>
      <c r="Y325" t="s">
        <v>50</v>
      </c>
      <c r="Z325" t="s">
        <v>36</v>
      </c>
      <c r="AA325" t="s">
        <v>1268</v>
      </c>
      <c r="AB325" t="s">
        <v>36</v>
      </c>
      <c r="AC325">
        <f>IF(Cdacdata[[#This Row],[placement_status]]="Placed",1,0)</f>
        <v>0</v>
      </c>
      <c r="AD325" t="s">
        <v>110</v>
      </c>
      <c r="AE325" t="s">
        <v>38</v>
      </c>
      <c r="AF325" t="s">
        <v>39</v>
      </c>
      <c r="AG325">
        <v>2022</v>
      </c>
      <c r="AH325" t="s">
        <v>111</v>
      </c>
      <c r="AI325" t="str">
        <f>IF(Cdacdata[ccat_rank]&lt;=100,"Top 100",
IF(Cdacdata[ccat_rank]&lt;=500,"101–500",
IF(Cdacdata[ccat_rank]&lt;=1000,"501–1000",
"1000+")))</f>
        <v>1000+</v>
      </c>
    </row>
    <row r="326" spans="1:35" x14ac:dyDescent="0.3">
      <c r="A326" s="1" t="s">
        <v>109</v>
      </c>
      <c r="B326">
        <v>211206773</v>
      </c>
      <c r="C326" s="2">
        <v>44615</v>
      </c>
      <c r="D326" s="2" t="s">
        <v>587</v>
      </c>
      <c r="E326">
        <v>2750</v>
      </c>
      <c r="F326" s="2">
        <v>35729</v>
      </c>
      <c r="G326">
        <v>85.45</v>
      </c>
      <c r="H326">
        <v>73.540000000000006</v>
      </c>
      <c r="I326" t="s">
        <v>26</v>
      </c>
      <c r="J326">
        <v>65.650000000000006</v>
      </c>
      <c r="K326" s="3">
        <f t="shared" si="5"/>
        <v>74.88000000000001</v>
      </c>
      <c r="L326" t="s">
        <v>27</v>
      </c>
      <c r="M326" t="s">
        <v>27</v>
      </c>
      <c r="N326">
        <v>24</v>
      </c>
      <c r="O326" t="s">
        <v>28</v>
      </c>
      <c r="P326" t="s">
        <v>26</v>
      </c>
      <c r="Q326" t="s">
        <v>26</v>
      </c>
      <c r="R326">
        <v>550</v>
      </c>
      <c r="S326">
        <v>68.75</v>
      </c>
      <c r="T326" t="s">
        <v>31</v>
      </c>
      <c r="U326" t="s">
        <v>32</v>
      </c>
      <c r="V326" t="s">
        <v>31</v>
      </c>
      <c r="W326" t="s">
        <v>31</v>
      </c>
      <c r="X326" t="s">
        <v>96</v>
      </c>
      <c r="Y326" t="s">
        <v>50</v>
      </c>
      <c r="Z326" t="s">
        <v>44</v>
      </c>
      <c r="AA326" t="s">
        <v>91</v>
      </c>
      <c r="AB326" t="s">
        <v>46</v>
      </c>
      <c r="AC326">
        <f>IF(Cdacdata[[#This Row],[placement_status]]="Placed",1,0)</f>
        <v>1</v>
      </c>
      <c r="AD326" t="s">
        <v>110</v>
      </c>
      <c r="AE326" t="s">
        <v>38</v>
      </c>
      <c r="AF326" t="s">
        <v>39</v>
      </c>
      <c r="AG326">
        <v>2022</v>
      </c>
      <c r="AH326" t="s">
        <v>111</v>
      </c>
      <c r="AI326" t="str">
        <f>IF(Cdacdata[ccat_rank]&lt;=100,"Top 100",
IF(Cdacdata[ccat_rank]&lt;=500,"101–500",
IF(Cdacdata[ccat_rank]&lt;=1000,"501–1000",
"1000+")))</f>
        <v>1000+</v>
      </c>
    </row>
    <row r="327" spans="1:35" x14ac:dyDescent="0.3">
      <c r="A327" s="1" t="s">
        <v>109</v>
      </c>
      <c r="B327">
        <v>211201501</v>
      </c>
      <c r="C327" s="2"/>
      <c r="D327" s="2"/>
      <c r="E327" t="s">
        <v>63</v>
      </c>
      <c r="G327">
        <v>0</v>
      </c>
      <c r="H327">
        <v>0</v>
      </c>
      <c r="I327">
        <v>0</v>
      </c>
      <c r="J327">
        <v>0</v>
      </c>
      <c r="K327" s="3">
        <f t="shared" si="5"/>
        <v>0</v>
      </c>
      <c r="L327" t="s">
        <v>27</v>
      </c>
      <c r="M327" t="s">
        <v>27</v>
      </c>
      <c r="N327">
        <v>23</v>
      </c>
      <c r="O327" t="s">
        <v>373</v>
      </c>
      <c r="P327" t="s">
        <v>26</v>
      </c>
      <c r="Q327" t="s">
        <v>374</v>
      </c>
      <c r="R327">
        <v>419</v>
      </c>
      <c r="S327">
        <v>52.375</v>
      </c>
      <c r="T327" t="s">
        <v>31</v>
      </c>
      <c r="U327" t="s">
        <v>64</v>
      </c>
      <c r="V327" t="s">
        <v>31</v>
      </c>
      <c r="W327" t="s">
        <v>33</v>
      </c>
      <c r="X327" t="s">
        <v>96</v>
      </c>
      <c r="Y327" t="s">
        <v>35</v>
      </c>
      <c r="Z327" t="s">
        <v>36</v>
      </c>
      <c r="AA327" t="s">
        <v>1268</v>
      </c>
      <c r="AB327" t="s">
        <v>36</v>
      </c>
      <c r="AC327">
        <f>IF(Cdacdata[[#This Row],[placement_status]]="Placed",1,0)</f>
        <v>0</v>
      </c>
      <c r="AD327" t="s">
        <v>110</v>
      </c>
      <c r="AE327" t="s">
        <v>63</v>
      </c>
      <c r="AF327" t="s">
        <v>63</v>
      </c>
      <c r="AG327">
        <v>2022</v>
      </c>
      <c r="AH327" t="s">
        <v>111</v>
      </c>
      <c r="AI327" t="str">
        <f>IF(Cdacdata[ccat_rank]&lt;=100,"Top 100",
IF(Cdacdata[ccat_rank]&lt;=500,"101–500",
IF(Cdacdata[ccat_rank]&lt;=1000,"501–1000",
"1000+")))</f>
        <v>1000+</v>
      </c>
    </row>
    <row r="328" spans="1:35" x14ac:dyDescent="0.3">
      <c r="A328" s="1" t="s">
        <v>109</v>
      </c>
      <c r="B328">
        <v>211203361</v>
      </c>
      <c r="C328" s="2"/>
      <c r="D328" s="2"/>
      <c r="E328" t="s">
        <v>63</v>
      </c>
      <c r="G328">
        <v>0</v>
      </c>
      <c r="H328">
        <v>0</v>
      </c>
      <c r="I328">
        <v>0</v>
      </c>
      <c r="J328">
        <v>0</v>
      </c>
      <c r="K328" s="3">
        <f t="shared" si="5"/>
        <v>0</v>
      </c>
      <c r="L328" t="s">
        <v>27</v>
      </c>
      <c r="M328" t="s">
        <v>27</v>
      </c>
      <c r="N328">
        <v>23</v>
      </c>
      <c r="O328" t="s">
        <v>373</v>
      </c>
      <c r="P328" t="s">
        <v>26</v>
      </c>
      <c r="Q328" t="s">
        <v>374</v>
      </c>
      <c r="R328">
        <v>547</v>
      </c>
      <c r="S328">
        <v>68.375</v>
      </c>
      <c r="T328" t="s">
        <v>49</v>
      </c>
      <c r="U328" t="s">
        <v>32</v>
      </c>
      <c r="V328" t="s">
        <v>49</v>
      </c>
      <c r="W328" t="s">
        <v>49</v>
      </c>
      <c r="X328" t="s">
        <v>96</v>
      </c>
      <c r="Y328" t="s">
        <v>50</v>
      </c>
      <c r="Z328" t="s">
        <v>36</v>
      </c>
      <c r="AA328" t="s">
        <v>1268</v>
      </c>
      <c r="AB328" t="s">
        <v>36</v>
      </c>
      <c r="AC328">
        <f>IF(Cdacdata[[#This Row],[placement_status]]="Placed",1,0)</f>
        <v>0</v>
      </c>
      <c r="AD328" t="s">
        <v>110</v>
      </c>
      <c r="AE328" t="s">
        <v>63</v>
      </c>
      <c r="AF328" t="s">
        <v>63</v>
      </c>
      <c r="AG328">
        <v>2022</v>
      </c>
      <c r="AH328" t="s">
        <v>111</v>
      </c>
      <c r="AI328" t="str">
        <f>IF(Cdacdata[ccat_rank]&lt;=100,"Top 100",
IF(Cdacdata[ccat_rank]&lt;=500,"101–500",
IF(Cdacdata[ccat_rank]&lt;=1000,"501–1000",
"1000+")))</f>
        <v>1000+</v>
      </c>
    </row>
    <row r="329" spans="1:35" x14ac:dyDescent="0.3">
      <c r="A329" s="1" t="s">
        <v>109</v>
      </c>
      <c r="B329">
        <v>220107248</v>
      </c>
      <c r="C329" s="2"/>
      <c r="D329" s="2"/>
      <c r="E329" t="s">
        <v>63</v>
      </c>
      <c r="G329">
        <v>0</v>
      </c>
      <c r="H329">
        <v>0</v>
      </c>
      <c r="I329">
        <v>0</v>
      </c>
      <c r="J329">
        <v>0</v>
      </c>
      <c r="K329" s="3">
        <f t="shared" si="5"/>
        <v>0</v>
      </c>
      <c r="L329" t="s">
        <v>27</v>
      </c>
      <c r="M329" t="s">
        <v>27</v>
      </c>
      <c r="N329">
        <v>23</v>
      </c>
      <c r="O329" t="s">
        <v>373</v>
      </c>
      <c r="P329" t="s">
        <v>26</v>
      </c>
      <c r="Q329" t="s">
        <v>374</v>
      </c>
      <c r="R329">
        <v>395</v>
      </c>
      <c r="S329">
        <v>49.375</v>
      </c>
      <c r="T329" t="s">
        <v>31</v>
      </c>
      <c r="U329" t="s">
        <v>64</v>
      </c>
      <c r="V329" t="s">
        <v>31</v>
      </c>
      <c r="W329" t="s">
        <v>103</v>
      </c>
      <c r="X329" t="s">
        <v>96</v>
      </c>
      <c r="Y329" t="s">
        <v>80</v>
      </c>
      <c r="Z329" t="s">
        <v>36</v>
      </c>
      <c r="AA329" t="s">
        <v>1268</v>
      </c>
      <c r="AB329" t="s">
        <v>36</v>
      </c>
      <c r="AC329">
        <f>IF(Cdacdata[[#This Row],[placement_status]]="Placed",1,0)</f>
        <v>0</v>
      </c>
      <c r="AD329" t="s">
        <v>110</v>
      </c>
      <c r="AE329" t="s">
        <v>63</v>
      </c>
      <c r="AF329" t="s">
        <v>63</v>
      </c>
      <c r="AG329">
        <v>2022</v>
      </c>
      <c r="AH329" t="s">
        <v>111</v>
      </c>
      <c r="AI329" t="str">
        <f>IF(Cdacdata[ccat_rank]&lt;=100,"Top 100",
IF(Cdacdata[ccat_rank]&lt;=500,"101–500",
IF(Cdacdata[ccat_rank]&lt;=1000,"501–1000",
"1000+")))</f>
        <v>1000+</v>
      </c>
    </row>
    <row r="330" spans="1:35" x14ac:dyDescent="0.3">
      <c r="A330" s="1" t="s">
        <v>109</v>
      </c>
      <c r="B330">
        <v>211207045</v>
      </c>
      <c r="C330" s="2"/>
      <c r="D330" s="2"/>
      <c r="E330" t="s">
        <v>63</v>
      </c>
      <c r="G330">
        <v>0</v>
      </c>
      <c r="H330">
        <v>0</v>
      </c>
      <c r="I330">
        <v>0</v>
      </c>
      <c r="J330">
        <v>0</v>
      </c>
      <c r="K330" s="3">
        <f t="shared" si="5"/>
        <v>0</v>
      </c>
      <c r="L330" t="s">
        <v>27</v>
      </c>
      <c r="M330" t="s">
        <v>27</v>
      </c>
      <c r="N330">
        <v>23</v>
      </c>
      <c r="O330" t="s">
        <v>373</v>
      </c>
      <c r="P330" t="s">
        <v>26</v>
      </c>
      <c r="Q330" t="s">
        <v>374</v>
      </c>
      <c r="R330">
        <v>453</v>
      </c>
      <c r="S330">
        <v>56.625</v>
      </c>
      <c r="T330" t="s">
        <v>33</v>
      </c>
      <c r="U330" t="s">
        <v>32</v>
      </c>
      <c r="V330" t="s">
        <v>33</v>
      </c>
      <c r="W330" t="s">
        <v>31</v>
      </c>
      <c r="X330" t="s">
        <v>96</v>
      </c>
      <c r="Y330" t="s">
        <v>35</v>
      </c>
      <c r="Z330" t="s">
        <v>53</v>
      </c>
      <c r="AA330" t="s">
        <v>54</v>
      </c>
      <c r="AB330" t="s">
        <v>46</v>
      </c>
      <c r="AC330">
        <f>IF(Cdacdata[[#This Row],[placement_status]]="Placed",1,0)</f>
        <v>1</v>
      </c>
      <c r="AD330" t="s">
        <v>110</v>
      </c>
      <c r="AE330" t="s">
        <v>63</v>
      </c>
      <c r="AF330" t="s">
        <v>63</v>
      </c>
      <c r="AG330">
        <v>2022</v>
      </c>
      <c r="AH330" t="s">
        <v>111</v>
      </c>
      <c r="AI330" t="str">
        <f>IF(Cdacdata[ccat_rank]&lt;=100,"Top 100",
IF(Cdacdata[ccat_rank]&lt;=500,"101–500",
IF(Cdacdata[ccat_rank]&lt;=1000,"501–1000",
"1000+")))</f>
        <v>1000+</v>
      </c>
    </row>
    <row r="331" spans="1:35" x14ac:dyDescent="0.3">
      <c r="A331" s="1" t="s">
        <v>158</v>
      </c>
      <c r="B331">
        <v>210302728</v>
      </c>
      <c r="C331" s="2">
        <v>44315</v>
      </c>
      <c r="D331" s="2" t="s">
        <v>588</v>
      </c>
      <c r="E331">
        <v>1123</v>
      </c>
      <c r="F331" s="2">
        <v>35379</v>
      </c>
      <c r="G331">
        <v>90.91</v>
      </c>
      <c r="H331">
        <v>85.54</v>
      </c>
      <c r="I331" t="s">
        <v>26</v>
      </c>
      <c r="J331">
        <v>64</v>
      </c>
      <c r="K331" s="3">
        <f t="shared" si="5"/>
        <v>80.149999999999991</v>
      </c>
      <c r="L331" t="s">
        <v>27</v>
      </c>
      <c r="M331" t="s">
        <v>27</v>
      </c>
      <c r="N331">
        <v>24</v>
      </c>
      <c r="O331" t="s">
        <v>28</v>
      </c>
      <c r="P331" t="s">
        <v>26</v>
      </c>
      <c r="Q331" t="s">
        <v>30</v>
      </c>
      <c r="R331">
        <v>447</v>
      </c>
      <c r="S331">
        <v>74.5</v>
      </c>
      <c r="T331" t="s">
        <v>33</v>
      </c>
      <c r="U331" t="s">
        <v>32</v>
      </c>
      <c r="V331" t="s">
        <v>33</v>
      </c>
      <c r="W331" t="s">
        <v>49</v>
      </c>
      <c r="X331" t="s">
        <v>34</v>
      </c>
      <c r="Y331" t="s">
        <v>58</v>
      </c>
      <c r="Z331" t="s">
        <v>44</v>
      </c>
      <c r="AA331" t="s">
        <v>159</v>
      </c>
      <c r="AB331" t="s">
        <v>46</v>
      </c>
      <c r="AC331">
        <f>IF(Cdacdata[[#This Row],[placement_status]]="Placed",1,0)</f>
        <v>1</v>
      </c>
      <c r="AD331" t="s">
        <v>160</v>
      </c>
      <c r="AE331" t="s">
        <v>47</v>
      </c>
      <c r="AF331" t="s">
        <v>39</v>
      </c>
      <c r="AG331">
        <v>2021</v>
      </c>
      <c r="AH331" t="s">
        <v>111</v>
      </c>
      <c r="AI331" t="str">
        <f>IF(Cdacdata[ccat_rank]&lt;=100,"Top 100",
IF(Cdacdata[ccat_rank]&lt;=500,"101–500",
IF(Cdacdata[ccat_rank]&lt;=1000,"501–1000",
"1000+")))</f>
        <v>1000+</v>
      </c>
    </row>
    <row r="332" spans="1:35" x14ac:dyDescent="0.3">
      <c r="A332" s="1" t="s">
        <v>158</v>
      </c>
      <c r="B332">
        <v>210301775</v>
      </c>
      <c r="C332" s="2">
        <v>44315</v>
      </c>
      <c r="D332" s="2" t="s">
        <v>589</v>
      </c>
      <c r="E332">
        <v>1520</v>
      </c>
      <c r="F332" s="2">
        <v>35276</v>
      </c>
      <c r="G332">
        <v>88.18</v>
      </c>
      <c r="H332">
        <v>78</v>
      </c>
      <c r="I332" t="s">
        <v>26</v>
      </c>
      <c r="J332">
        <v>71.3</v>
      </c>
      <c r="K332" s="3">
        <f t="shared" si="5"/>
        <v>79.160000000000011</v>
      </c>
      <c r="L332" t="s">
        <v>27</v>
      </c>
      <c r="M332" t="s">
        <v>27</v>
      </c>
      <c r="N332">
        <v>24</v>
      </c>
      <c r="O332" t="s">
        <v>28</v>
      </c>
      <c r="P332" t="s">
        <v>42</v>
      </c>
      <c r="Q332" t="s">
        <v>30</v>
      </c>
      <c r="R332">
        <v>433</v>
      </c>
      <c r="S332">
        <v>72.166666669999998</v>
      </c>
      <c r="T332" t="s">
        <v>33</v>
      </c>
      <c r="U332" t="s">
        <v>32</v>
      </c>
      <c r="V332" t="s">
        <v>33</v>
      </c>
      <c r="W332" t="s">
        <v>49</v>
      </c>
      <c r="X332" t="s">
        <v>34</v>
      </c>
      <c r="Y332" t="s">
        <v>58</v>
      </c>
      <c r="Z332" t="s">
        <v>44</v>
      </c>
      <c r="AA332" t="s">
        <v>161</v>
      </c>
      <c r="AB332" t="s">
        <v>46</v>
      </c>
      <c r="AC332">
        <f>IF(Cdacdata[[#This Row],[placement_status]]="Placed",1,0)</f>
        <v>1</v>
      </c>
      <c r="AD332" t="s">
        <v>160</v>
      </c>
      <c r="AE332" t="s">
        <v>47</v>
      </c>
      <c r="AF332" t="s">
        <v>39</v>
      </c>
      <c r="AG332">
        <v>2021</v>
      </c>
      <c r="AH332" t="s">
        <v>111</v>
      </c>
      <c r="AI332" t="str">
        <f>IF(Cdacdata[ccat_rank]&lt;=100,"Top 100",
IF(Cdacdata[ccat_rank]&lt;=500,"101–500",
IF(Cdacdata[ccat_rank]&lt;=1000,"501–1000",
"1000+")))</f>
        <v>1000+</v>
      </c>
    </row>
    <row r="333" spans="1:35" x14ac:dyDescent="0.3">
      <c r="A333" s="1" t="s">
        <v>158</v>
      </c>
      <c r="B333">
        <v>210305660</v>
      </c>
      <c r="C333" s="2">
        <v>44316</v>
      </c>
      <c r="D333" s="2" t="s">
        <v>590</v>
      </c>
      <c r="E333">
        <v>1416</v>
      </c>
      <c r="F333" s="2">
        <v>35307</v>
      </c>
      <c r="G333">
        <v>82.55</v>
      </c>
      <c r="H333">
        <v>69.36</v>
      </c>
      <c r="I333" t="s">
        <v>26</v>
      </c>
      <c r="J333">
        <v>60.09</v>
      </c>
      <c r="K333" s="3">
        <f t="shared" si="5"/>
        <v>70.666666666666671</v>
      </c>
      <c r="L333" t="s">
        <v>27</v>
      </c>
      <c r="M333" t="s">
        <v>41</v>
      </c>
      <c r="N333">
        <v>24</v>
      </c>
      <c r="O333" t="s">
        <v>28</v>
      </c>
      <c r="P333" t="s">
        <v>52</v>
      </c>
      <c r="Q333" t="s">
        <v>26</v>
      </c>
      <c r="R333">
        <v>434</v>
      </c>
      <c r="S333">
        <v>72.333333330000002</v>
      </c>
      <c r="T333" t="s">
        <v>33</v>
      </c>
      <c r="U333" t="s">
        <v>32</v>
      </c>
      <c r="V333" t="s">
        <v>33</v>
      </c>
      <c r="W333" t="s">
        <v>49</v>
      </c>
      <c r="X333" t="s">
        <v>34</v>
      </c>
      <c r="Y333" t="s">
        <v>58</v>
      </c>
      <c r="Z333" t="s">
        <v>44</v>
      </c>
      <c r="AA333" t="s">
        <v>162</v>
      </c>
      <c r="AB333" t="s">
        <v>46</v>
      </c>
      <c r="AC333">
        <f>IF(Cdacdata[[#This Row],[placement_status]]="Placed",1,0)</f>
        <v>1</v>
      </c>
      <c r="AD333" t="s">
        <v>160</v>
      </c>
      <c r="AE333" t="s">
        <v>47</v>
      </c>
      <c r="AF333" t="s">
        <v>39</v>
      </c>
      <c r="AG333">
        <v>2021</v>
      </c>
      <c r="AH333" t="s">
        <v>111</v>
      </c>
      <c r="AI333" t="str">
        <f>IF(Cdacdata[ccat_rank]&lt;=100,"Top 100",
IF(Cdacdata[ccat_rank]&lt;=500,"101–500",
IF(Cdacdata[ccat_rank]&lt;=1000,"501–1000",
"1000+")))</f>
        <v>1000+</v>
      </c>
    </row>
    <row r="334" spans="1:35" x14ac:dyDescent="0.3">
      <c r="A334" s="1" t="s">
        <v>158</v>
      </c>
      <c r="B334">
        <v>210302268</v>
      </c>
      <c r="C334" s="2">
        <v>44315</v>
      </c>
      <c r="D334" s="2" t="s">
        <v>591</v>
      </c>
      <c r="E334">
        <v>834</v>
      </c>
      <c r="F334" s="2">
        <v>35766</v>
      </c>
      <c r="G334">
        <v>85.5</v>
      </c>
      <c r="H334">
        <v>80.8</v>
      </c>
      <c r="I334" t="s">
        <v>26</v>
      </c>
      <c r="J334">
        <v>72.78</v>
      </c>
      <c r="K334" s="3">
        <f t="shared" si="5"/>
        <v>79.693333333333342</v>
      </c>
      <c r="L334" t="s">
        <v>27</v>
      </c>
      <c r="M334" t="s">
        <v>27</v>
      </c>
      <c r="N334">
        <v>23</v>
      </c>
      <c r="O334" t="s">
        <v>28</v>
      </c>
      <c r="P334" t="s">
        <v>26</v>
      </c>
      <c r="Q334" t="s">
        <v>43</v>
      </c>
      <c r="R334">
        <v>274</v>
      </c>
      <c r="S334">
        <v>45.666666669999998</v>
      </c>
      <c r="T334" t="s">
        <v>33</v>
      </c>
      <c r="U334" t="s">
        <v>32</v>
      </c>
      <c r="V334" t="s">
        <v>33</v>
      </c>
      <c r="W334" t="s">
        <v>31</v>
      </c>
      <c r="X334" t="s">
        <v>34</v>
      </c>
      <c r="Y334" t="s">
        <v>80</v>
      </c>
      <c r="Z334" t="s">
        <v>44</v>
      </c>
      <c r="AA334" t="s">
        <v>163</v>
      </c>
      <c r="AB334" t="s">
        <v>46</v>
      </c>
      <c r="AC334">
        <f>IF(Cdacdata[[#This Row],[placement_status]]="Placed",1,0)</f>
        <v>1</v>
      </c>
      <c r="AD334" t="s">
        <v>160</v>
      </c>
      <c r="AE334" t="s">
        <v>75</v>
      </c>
      <c r="AF334" t="s">
        <v>39</v>
      </c>
      <c r="AG334">
        <v>2021</v>
      </c>
      <c r="AH334" t="s">
        <v>111</v>
      </c>
      <c r="AI334" t="str">
        <f>IF(Cdacdata[ccat_rank]&lt;=100,"Top 100",
IF(Cdacdata[ccat_rank]&lt;=500,"101–500",
IF(Cdacdata[ccat_rank]&lt;=1000,"501–1000",
"1000+")))</f>
        <v>501–1000</v>
      </c>
    </row>
    <row r="335" spans="1:35" x14ac:dyDescent="0.3">
      <c r="A335" s="1" t="s">
        <v>158</v>
      </c>
      <c r="B335">
        <v>210302759</v>
      </c>
      <c r="C335" s="2">
        <v>44315</v>
      </c>
      <c r="D335" s="2" t="s">
        <v>592</v>
      </c>
      <c r="E335">
        <v>905</v>
      </c>
      <c r="F335" s="2">
        <v>35996</v>
      </c>
      <c r="G335">
        <v>90</v>
      </c>
      <c r="H335">
        <v>67.08</v>
      </c>
      <c r="I335" t="s">
        <v>26</v>
      </c>
      <c r="J335">
        <v>65</v>
      </c>
      <c r="K335" s="3">
        <f t="shared" si="5"/>
        <v>74.026666666666657</v>
      </c>
      <c r="L335" t="s">
        <v>27</v>
      </c>
      <c r="M335" t="s">
        <v>27</v>
      </c>
      <c r="N335">
        <v>22</v>
      </c>
      <c r="O335" t="s">
        <v>28</v>
      </c>
      <c r="P335" t="s">
        <v>26</v>
      </c>
      <c r="Q335" t="s">
        <v>26</v>
      </c>
      <c r="R335">
        <v>436</v>
      </c>
      <c r="S335">
        <v>72.666666669999998</v>
      </c>
      <c r="T335" t="s">
        <v>49</v>
      </c>
      <c r="U335" t="s">
        <v>32</v>
      </c>
      <c r="V335" t="s">
        <v>49</v>
      </c>
      <c r="W335" t="s">
        <v>49</v>
      </c>
      <c r="X335" t="s">
        <v>34</v>
      </c>
      <c r="Y335" t="s">
        <v>58</v>
      </c>
      <c r="Z335" t="s">
        <v>44</v>
      </c>
      <c r="AA335" t="s">
        <v>164</v>
      </c>
      <c r="AB335" t="s">
        <v>46</v>
      </c>
      <c r="AC335">
        <f>IF(Cdacdata[[#This Row],[placement_status]]="Placed",1,0)</f>
        <v>1</v>
      </c>
      <c r="AD335" t="s">
        <v>160</v>
      </c>
      <c r="AE335" t="s">
        <v>75</v>
      </c>
      <c r="AF335" t="s">
        <v>57</v>
      </c>
      <c r="AG335">
        <v>2021</v>
      </c>
      <c r="AH335" t="s">
        <v>111</v>
      </c>
      <c r="AI335" t="str">
        <f>IF(Cdacdata[ccat_rank]&lt;=100,"Top 100",
IF(Cdacdata[ccat_rank]&lt;=500,"101–500",
IF(Cdacdata[ccat_rank]&lt;=1000,"501–1000",
"1000+")))</f>
        <v>501–1000</v>
      </c>
    </row>
    <row r="336" spans="1:35" x14ac:dyDescent="0.3">
      <c r="A336" s="1" t="s">
        <v>158</v>
      </c>
      <c r="B336">
        <v>210307767</v>
      </c>
      <c r="C336" s="2">
        <v>44316</v>
      </c>
      <c r="D336" s="2" t="s">
        <v>593</v>
      </c>
      <c r="E336">
        <v>1547</v>
      </c>
      <c r="F336" s="2">
        <v>35282</v>
      </c>
      <c r="G336">
        <v>72.55</v>
      </c>
      <c r="H336" t="s">
        <v>26</v>
      </c>
      <c r="I336">
        <v>68.349999999999994</v>
      </c>
      <c r="J336">
        <v>52</v>
      </c>
      <c r="K336" s="3">
        <f t="shared" si="5"/>
        <v>64.3</v>
      </c>
      <c r="L336" t="s">
        <v>27</v>
      </c>
      <c r="M336" t="s">
        <v>27</v>
      </c>
      <c r="N336">
        <v>24</v>
      </c>
      <c r="O336" t="s">
        <v>72</v>
      </c>
      <c r="P336" t="s">
        <v>60</v>
      </c>
      <c r="Q336" t="s">
        <v>30</v>
      </c>
      <c r="R336">
        <v>380</v>
      </c>
      <c r="S336">
        <v>63.333333330000002</v>
      </c>
      <c r="T336" t="s">
        <v>33</v>
      </c>
      <c r="U336" t="s">
        <v>32</v>
      </c>
      <c r="V336" t="s">
        <v>33</v>
      </c>
      <c r="W336" t="s">
        <v>33</v>
      </c>
      <c r="X336" t="s">
        <v>34</v>
      </c>
      <c r="Y336" t="s">
        <v>50</v>
      </c>
      <c r="Z336" t="s">
        <v>44</v>
      </c>
      <c r="AA336" t="s">
        <v>163</v>
      </c>
      <c r="AB336" t="s">
        <v>46</v>
      </c>
      <c r="AC336">
        <f>IF(Cdacdata[[#This Row],[placement_status]]="Placed",1,0)</f>
        <v>1</v>
      </c>
      <c r="AD336" t="s">
        <v>160</v>
      </c>
      <c r="AE336" t="s">
        <v>47</v>
      </c>
      <c r="AF336" t="s">
        <v>39</v>
      </c>
      <c r="AG336">
        <v>2021</v>
      </c>
      <c r="AH336" t="s">
        <v>111</v>
      </c>
      <c r="AI336" t="str">
        <f>IF(Cdacdata[ccat_rank]&lt;=100,"Top 100",
IF(Cdacdata[ccat_rank]&lt;=500,"101–500",
IF(Cdacdata[ccat_rank]&lt;=1000,"501–1000",
"1000+")))</f>
        <v>1000+</v>
      </c>
    </row>
    <row r="337" spans="1:35" x14ac:dyDescent="0.3">
      <c r="A337" s="1" t="s">
        <v>158</v>
      </c>
      <c r="B337">
        <v>210301363</v>
      </c>
      <c r="C337" s="2"/>
      <c r="D337" s="2"/>
      <c r="E337" t="s">
        <v>63</v>
      </c>
      <c r="G337">
        <v>0</v>
      </c>
      <c r="H337">
        <v>0</v>
      </c>
      <c r="I337">
        <v>0</v>
      </c>
      <c r="J337">
        <v>0</v>
      </c>
      <c r="K337" s="3">
        <f t="shared" si="5"/>
        <v>0</v>
      </c>
      <c r="L337" t="s">
        <v>27</v>
      </c>
      <c r="M337" t="s">
        <v>27</v>
      </c>
      <c r="N337">
        <v>23</v>
      </c>
      <c r="O337" t="s">
        <v>373</v>
      </c>
      <c r="P337" t="s">
        <v>26</v>
      </c>
      <c r="Q337" t="s">
        <v>374</v>
      </c>
      <c r="R337">
        <v>404</v>
      </c>
      <c r="S337">
        <v>67.333333330000002</v>
      </c>
      <c r="T337" t="s">
        <v>33</v>
      </c>
      <c r="U337" t="s">
        <v>32</v>
      </c>
      <c r="V337" t="s">
        <v>33</v>
      </c>
      <c r="W337" t="s">
        <v>33</v>
      </c>
      <c r="X337" t="s">
        <v>34</v>
      </c>
      <c r="Y337" t="s">
        <v>50</v>
      </c>
      <c r="Z337" t="s">
        <v>44</v>
      </c>
      <c r="AA337" t="s">
        <v>165</v>
      </c>
      <c r="AB337" t="s">
        <v>46</v>
      </c>
      <c r="AC337">
        <f>IF(Cdacdata[[#This Row],[placement_status]]="Placed",1,0)</f>
        <v>1</v>
      </c>
      <c r="AD337" t="s">
        <v>160</v>
      </c>
      <c r="AE337" t="s">
        <v>63</v>
      </c>
      <c r="AF337" t="s">
        <v>63</v>
      </c>
      <c r="AG337">
        <v>2021</v>
      </c>
      <c r="AH337" t="s">
        <v>111</v>
      </c>
      <c r="AI337" t="str">
        <f>IF(Cdacdata[ccat_rank]&lt;=100,"Top 100",
IF(Cdacdata[ccat_rank]&lt;=500,"101–500",
IF(Cdacdata[ccat_rank]&lt;=1000,"501–1000",
"1000+")))</f>
        <v>1000+</v>
      </c>
    </row>
    <row r="338" spans="1:35" x14ac:dyDescent="0.3">
      <c r="A338" s="1" t="s">
        <v>158</v>
      </c>
      <c r="B338">
        <v>210304467</v>
      </c>
      <c r="C338" s="2">
        <v>44316</v>
      </c>
      <c r="D338" s="2" t="s">
        <v>594</v>
      </c>
      <c r="E338">
        <v>987</v>
      </c>
      <c r="F338" s="2">
        <v>34656</v>
      </c>
      <c r="G338">
        <v>95.27</v>
      </c>
      <c r="H338">
        <v>64</v>
      </c>
      <c r="I338" t="s">
        <v>26</v>
      </c>
      <c r="J338">
        <v>62.7</v>
      </c>
      <c r="K338" s="3">
        <f t="shared" si="5"/>
        <v>73.989999999999995</v>
      </c>
      <c r="L338" t="s">
        <v>27</v>
      </c>
      <c r="M338" t="s">
        <v>27</v>
      </c>
      <c r="N338">
        <v>26</v>
      </c>
      <c r="O338" t="s">
        <v>28</v>
      </c>
      <c r="P338" t="s">
        <v>26</v>
      </c>
      <c r="Q338" t="s">
        <v>30</v>
      </c>
      <c r="R338">
        <v>450</v>
      </c>
      <c r="S338">
        <v>75</v>
      </c>
      <c r="T338" t="s">
        <v>49</v>
      </c>
      <c r="U338" t="s">
        <v>32</v>
      </c>
      <c r="V338" t="s">
        <v>49</v>
      </c>
      <c r="W338" t="s">
        <v>49</v>
      </c>
      <c r="X338" t="s">
        <v>34</v>
      </c>
      <c r="Y338" t="s">
        <v>58</v>
      </c>
      <c r="Z338" t="s">
        <v>44</v>
      </c>
      <c r="AA338" t="s">
        <v>159</v>
      </c>
      <c r="AB338" t="s">
        <v>46</v>
      </c>
      <c r="AC338">
        <f>IF(Cdacdata[[#This Row],[placement_status]]="Placed",1,0)</f>
        <v>1</v>
      </c>
      <c r="AD338" t="s">
        <v>160</v>
      </c>
      <c r="AE338" t="s">
        <v>75</v>
      </c>
      <c r="AF338" t="s">
        <v>55</v>
      </c>
      <c r="AG338">
        <v>2021</v>
      </c>
      <c r="AH338" t="s">
        <v>111</v>
      </c>
      <c r="AI338" t="str">
        <f>IF(Cdacdata[ccat_rank]&lt;=100,"Top 100",
IF(Cdacdata[ccat_rank]&lt;=500,"101–500",
IF(Cdacdata[ccat_rank]&lt;=1000,"501–1000",
"1000+")))</f>
        <v>501–1000</v>
      </c>
    </row>
    <row r="339" spans="1:35" x14ac:dyDescent="0.3">
      <c r="A339" s="1" t="s">
        <v>158</v>
      </c>
      <c r="B339">
        <v>210301727</v>
      </c>
      <c r="C339" s="2">
        <v>44315</v>
      </c>
      <c r="D339" s="2" t="s">
        <v>595</v>
      </c>
      <c r="E339">
        <v>1482</v>
      </c>
      <c r="F339" s="2">
        <v>35465</v>
      </c>
      <c r="G339">
        <v>79.27</v>
      </c>
      <c r="H339">
        <v>57.34</v>
      </c>
      <c r="I339" t="s">
        <v>26</v>
      </c>
      <c r="J339">
        <v>56.6</v>
      </c>
      <c r="K339" s="3">
        <f t="shared" si="5"/>
        <v>64.403333333333336</v>
      </c>
      <c r="L339" t="s">
        <v>27</v>
      </c>
      <c r="M339" t="s">
        <v>27</v>
      </c>
      <c r="N339">
        <v>24</v>
      </c>
      <c r="O339" t="s">
        <v>72</v>
      </c>
      <c r="P339" t="s">
        <v>26</v>
      </c>
      <c r="Q339" t="s">
        <v>26</v>
      </c>
      <c r="R339">
        <v>411</v>
      </c>
      <c r="S339">
        <v>68.5</v>
      </c>
      <c r="T339" t="s">
        <v>33</v>
      </c>
      <c r="U339" t="s">
        <v>32</v>
      </c>
      <c r="V339" t="s">
        <v>33</v>
      </c>
      <c r="W339" t="s">
        <v>33</v>
      </c>
      <c r="X339" t="s">
        <v>34</v>
      </c>
      <c r="Y339" t="s">
        <v>50</v>
      </c>
      <c r="Z339" t="s">
        <v>44</v>
      </c>
      <c r="AA339" t="s">
        <v>166</v>
      </c>
      <c r="AB339" t="s">
        <v>46</v>
      </c>
      <c r="AC339">
        <f>IF(Cdacdata[[#This Row],[placement_status]]="Placed",1,0)</f>
        <v>1</v>
      </c>
      <c r="AD339" t="s">
        <v>160</v>
      </c>
      <c r="AE339" t="s">
        <v>47</v>
      </c>
      <c r="AF339" t="s">
        <v>39</v>
      </c>
      <c r="AG339">
        <v>2021</v>
      </c>
      <c r="AH339" t="s">
        <v>111</v>
      </c>
      <c r="AI339" t="str">
        <f>IF(Cdacdata[ccat_rank]&lt;=100,"Top 100",
IF(Cdacdata[ccat_rank]&lt;=500,"101–500",
IF(Cdacdata[ccat_rank]&lt;=1000,"501–1000",
"1000+")))</f>
        <v>1000+</v>
      </c>
    </row>
    <row r="340" spans="1:35" x14ac:dyDescent="0.3">
      <c r="A340" s="1" t="s">
        <v>158</v>
      </c>
      <c r="B340">
        <v>210302539</v>
      </c>
      <c r="C340" s="2">
        <v>44315</v>
      </c>
      <c r="D340" s="2" t="s">
        <v>596</v>
      </c>
      <c r="E340">
        <v>1489</v>
      </c>
      <c r="F340" s="2">
        <v>34922</v>
      </c>
      <c r="G340">
        <v>71.09</v>
      </c>
      <c r="H340">
        <v>63.33</v>
      </c>
      <c r="I340" t="s">
        <v>26</v>
      </c>
      <c r="J340">
        <v>62.13</v>
      </c>
      <c r="K340" s="3">
        <f t="shared" si="5"/>
        <v>65.516666666666666</v>
      </c>
      <c r="L340" t="s">
        <v>27</v>
      </c>
      <c r="M340" t="s">
        <v>27</v>
      </c>
      <c r="N340">
        <v>25</v>
      </c>
      <c r="O340" t="s">
        <v>28</v>
      </c>
      <c r="P340" t="s">
        <v>60</v>
      </c>
      <c r="Q340" t="s">
        <v>26</v>
      </c>
      <c r="R340">
        <v>396</v>
      </c>
      <c r="S340">
        <v>66</v>
      </c>
      <c r="T340" t="s">
        <v>33</v>
      </c>
      <c r="U340" t="s">
        <v>32</v>
      </c>
      <c r="V340" t="s">
        <v>33</v>
      </c>
      <c r="W340" t="s">
        <v>49</v>
      </c>
      <c r="X340" t="s">
        <v>34</v>
      </c>
      <c r="Y340" t="s">
        <v>50</v>
      </c>
      <c r="Z340" t="s">
        <v>44</v>
      </c>
      <c r="AA340" t="s">
        <v>165</v>
      </c>
      <c r="AB340" t="s">
        <v>46</v>
      </c>
      <c r="AC340">
        <f>IF(Cdacdata[[#This Row],[placement_status]]="Placed",1,0)</f>
        <v>1</v>
      </c>
      <c r="AD340" t="s">
        <v>160</v>
      </c>
      <c r="AE340" t="s">
        <v>47</v>
      </c>
      <c r="AF340" t="s">
        <v>39</v>
      </c>
      <c r="AG340">
        <v>2021</v>
      </c>
      <c r="AH340" t="s">
        <v>111</v>
      </c>
      <c r="AI340" t="str">
        <f>IF(Cdacdata[ccat_rank]&lt;=100,"Top 100",
IF(Cdacdata[ccat_rank]&lt;=500,"101–500",
IF(Cdacdata[ccat_rank]&lt;=1000,"501–1000",
"1000+")))</f>
        <v>1000+</v>
      </c>
    </row>
    <row r="341" spans="1:35" x14ac:dyDescent="0.3">
      <c r="A341" s="1" t="s">
        <v>158</v>
      </c>
      <c r="B341">
        <v>210300164</v>
      </c>
      <c r="C341" s="2">
        <v>44315</v>
      </c>
      <c r="D341" s="2" t="s">
        <v>597</v>
      </c>
      <c r="E341">
        <v>1472</v>
      </c>
      <c r="F341" s="2">
        <v>35913</v>
      </c>
      <c r="G341">
        <v>85</v>
      </c>
      <c r="H341">
        <v>69.69</v>
      </c>
      <c r="I341" t="s">
        <v>26</v>
      </c>
      <c r="J341">
        <v>6.35</v>
      </c>
      <c r="K341" s="3">
        <f t="shared" si="5"/>
        <v>53.68</v>
      </c>
      <c r="L341" t="s">
        <v>27</v>
      </c>
      <c r="M341" t="s">
        <v>27</v>
      </c>
      <c r="N341">
        <v>23</v>
      </c>
      <c r="O341" t="s">
        <v>62</v>
      </c>
      <c r="P341" t="s">
        <v>52</v>
      </c>
      <c r="Q341" t="s">
        <v>30</v>
      </c>
      <c r="R341">
        <v>448</v>
      </c>
      <c r="S341">
        <v>74.666666669999998</v>
      </c>
      <c r="T341" t="s">
        <v>33</v>
      </c>
      <c r="U341" t="s">
        <v>32</v>
      </c>
      <c r="V341" t="s">
        <v>33</v>
      </c>
      <c r="W341" t="s">
        <v>33</v>
      </c>
      <c r="X341" t="s">
        <v>34</v>
      </c>
      <c r="Y341" t="s">
        <v>58</v>
      </c>
      <c r="Z341" t="s">
        <v>44</v>
      </c>
      <c r="AA341" t="s">
        <v>91</v>
      </c>
      <c r="AB341" t="s">
        <v>46</v>
      </c>
      <c r="AC341">
        <f>IF(Cdacdata[[#This Row],[placement_status]]="Placed",1,0)</f>
        <v>1</v>
      </c>
      <c r="AD341" t="s">
        <v>160</v>
      </c>
      <c r="AE341" t="s">
        <v>47</v>
      </c>
      <c r="AF341" t="s">
        <v>39</v>
      </c>
      <c r="AG341">
        <v>2021</v>
      </c>
      <c r="AH341" t="s">
        <v>111</v>
      </c>
      <c r="AI341" t="str">
        <f>IF(Cdacdata[ccat_rank]&lt;=100,"Top 100",
IF(Cdacdata[ccat_rank]&lt;=500,"101–500",
IF(Cdacdata[ccat_rank]&lt;=1000,"501–1000",
"1000+")))</f>
        <v>1000+</v>
      </c>
    </row>
    <row r="342" spans="1:35" x14ac:dyDescent="0.3">
      <c r="A342" s="1" t="s">
        <v>158</v>
      </c>
      <c r="B342">
        <v>210301175</v>
      </c>
      <c r="C342" s="2">
        <v>44316</v>
      </c>
      <c r="D342" s="2" t="s">
        <v>598</v>
      </c>
      <c r="E342">
        <v>1151</v>
      </c>
      <c r="F342" s="2">
        <v>35980</v>
      </c>
      <c r="G342">
        <v>90.2</v>
      </c>
      <c r="H342">
        <v>68.459999999999994</v>
      </c>
      <c r="I342" t="s">
        <v>26</v>
      </c>
      <c r="J342">
        <v>79.11</v>
      </c>
      <c r="K342" s="3">
        <f t="shared" si="5"/>
        <v>79.256666666666661</v>
      </c>
      <c r="L342" t="s">
        <v>27</v>
      </c>
      <c r="M342" t="s">
        <v>41</v>
      </c>
      <c r="N342">
        <v>22</v>
      </c>
      <c r="O342" t="s">
        <v>48</v>
      </c>
      <c r="P342" t="s">
        <v>26</v>
      </c>
      <c r="Q342" t="s">
        <v>30</v>
      </c>
      <c r="R342">
        <v>424</v>
      </c>
      <c r="S342">
        <v>70.666666669999998</v>
      </c>
      <c r="T342" t="s">
        <v>49</v>
      </c>
      <c r="U342" t="s">
        <v>32</v>
      </c>
      <c r="V342" t="s">
        <v>49</v>
      </c>
      <c r="W342" t="s">
        <v>49</v>
      </c>
      <c r="X342" t="s">
        <v>34</v>
      </c>
      <c r="Y342" t="s">
        <v>58</v>
      </c>
      <c r="Z342" t="s">
        <v>44</v>
      </c>
      <c r="AA342" t="s">
        <v>167</v>
      </c>
      <c r="AB342" t="s">
        <v>46</v>
      </c>
      <c r="AC342">
        <f>IF(Cdacdata[[#This Row],[placement_status]]="Placed",1,0)</f>
        <v>1</v>
      </c>
      <c r="AD342" t="s">
        <v>160</v>
      </c>
      <c r="AE342" t="s">
        <v>47</v>
      </c>
      <c r="AF342" t="s">
        <v>57</v>
      </c>
      <c r="AG342">
        <v>2021</v>
      </c>
      <c r="AH342" t="s">
        <v>111</v>
      </c>
      <c r="AI342" t="str">
        <f>IF(Cdacdata[ccat_rank]&lt;=100,"Top 100",
IF(Cdacdata[ccat_rank]&lt;=500,"101–500",
IF(Cdacdata[ccat_rank]&lt;=1000,"501–1000",
"1000+")))</f>
        <v>1000+</v>
      </c>
    </row>
    <row r="343" spans="1:35" x14ac:dyDescent="0.3">
      <c r="A343" s="1" t="s">
        <v>158</v>
      </c>
      <c r="B343">
        <v>210303600</v>
      </c>
      <c r="C343" s="2">
        <v>44316</v>
      </c>
      <c r="D343" s="2" t="s">
        <v>599</v>
      </c>
      <c r="E343">
        <v>1273</v>
      </c>
      <c r="F343" s="2">
        <v>35078</v>
      </c>
      <c r="G343">
        <v>91.09</v>
      </c>
      <c r="H343" t="s">
        <v>26</v>
      </c>
      <c r="I343">
        <v>83.04</v>
      </c>
      <c r="J343">
        <v>55</v>
      </c>
      <c r="K343" s="3">
        <f t="shared" si="5"/>
        <v>76.376666666666665</v>
      </c>
      <c r="L343" t="s">
        <v>27</v>
      </c>
      <c r="M343" t="s">
        <v>27</v>
      </c>
      <c r="N343">
        <v>25</v>
      </c>
      <c r="O343" t="s">
        <v>72</v>
      </c>
      <c r="P343" t="s">
        <v>29</v>
      </c>
      <c r="Q343" t="s">
        <v>26</v>
      </c>
      <c r="R343">
        <v>459</v>
      </c>
      <c r="S343">
        <v>76.5</v>
      </c>
      <c r="T343" t="s">
        <v>49</v>
      </c>
      <c r="U343" t="s">
        <v>32</v>
      </c>
      <c r="V343" t="s">
        <v>49</v>
      </c>
      <c r="W343" t="s">
        <v>49</v>
      </c>
      <c r="X343" t="s">
        <v>34</v>
      </c>
      <c r="Y343" t="s">
        <v>58</v>
      </c>
      <c r="Z343" t="s">
        <v>44</v>
      </c>
      <c r="AA343" t="s">
        <v>118</v>
      </c>
      <c r="AB343" t="s">
        <v>46</v>
      </c>
      <c r="AC343">
        <f>IF(Cdacdata[[#This Row],[placement_status]]="Placed",1,0)</f>
        <v>1</v>
      </c>
      <c r="AD343" t="s">
        <v>160</v>
      </c>
      <c r="AE343" t="s">
        <v>47</v>
      </c>
      <c r="AF343" t="s">
        <v>39</v>
      </c>
      <c r="AG343">
        <v>2021</v>
      </c>
      <c r="AH343" t="s">
        <v>111</v>
      </c>
      <c r="AI343" t="str">
        <f>IF(Cdacdata[ccat_rank]&lt;=100,"Top 100",
IF(Cdacdata[ccat_rank]&lt;=500,"101–500",
IF(Cdacdata[ccat_rank]&lt;=1000,"501–1000",
"1000+")))</f>
        <v>1000+</v>
      </c>
    </row>
    <row r="344" spans="1:35" x14ac:dyDescent="0.3">
      <c r="A344" s="1" t="s">
        <v>158</v>
      </c>
      <c r="B344">
        <v>210302672</v>
      </c>
      <c r="C344" s="2">
        <v>44315</v>
      </c>
      <c r="D344" s="2" t="s">
        <v>600</v>
      </c>
      <c r="E344">
        <v>1514</v>
      </c>
      <c r="F344" s="2">
        <v>34292</v>
      </c>
      <c r="G344">
        <v>72.150000000000006</v>
      </c>
      <c r="H344">
        <v>47.33</v>
      </c>
      <c r="I344">
        <v>60.29</v>
      </c>
      <c r="J344">
        <v>62.33</v>
      </c>
      <c r="K344" s="3">
        <f t="shared" si="5"/>
        <v>60.525000000000006</v>
      </c>
      <c r="L344" t="s">
        <v>27</v>
      </c>
      <c r="M344" t="s">
        <v>27</v>
      </c>
      <c r="N344">
        <v>27</v>
      </c>
      <c r="O344" t="s">
        <v>28</v>
      </c>
      <c r="P344" t="s">
        <v>60</v>
      </c>
      <c r="Q344" t="s">
        <v>30</v>
      </c>
      <c r="R344">
        <v>388</v>
      </c>
      <c r="S344">
        <v>64.666666669999998</v>
      </c>
      <c r="T344" t="s">
        <v>33</v>
      </c>
      <c r="U344" t="s">
        <v>32</v>
      </c>
      <c r="V344" t="s">
        <v>33</v>
      </c>
      <c r="W344" t="s">
        <v>31</v>
      </c>
      <c r="X344" t="s">
        <v>34</v>
      </c>
      <c r="Y344" t="s">
        <v>50</v>
      </c>
      <c r="Z344" t="s">
        <v>44</v>
      </c>
      <c r="AA344" t="s">
        <v>168</v>
      </c>
      <c r="AB344" t="s">
        <v>46</v>
      </c>
      <c r="AC344">
        <f>IF(Cdacdata[[#This Row],[placement_status]]="Placed",1,0)</f>
        <v>1</v>
      </c>
      <c r="AD344" t="s">
        <v>160</v>
      </c>
      <c r="AE344" t="s">
        <v>47</v>
      </c>
      <c r="AF344" t="s">
        <v>55</v>
      </c>
      <c r="AG344">
        <v>2021</v>
      </c>
      <c r="AH344" t="s">
        <v>111</v>
      </c>
      <c r="AI344" t="str">
        <f>IF(Cdacdata[ccat_rank]&lt;=100,"Top 100",
IF(Cdacdata[ccat_rank]&lt;=500,"101–500",
IF(Cdacdata[ccat_rank]&lt;=1000,"501–1000",
"1000+")))</f>
        <v>1000+</v>
      </c>
    </row>
    <row r="345" spans="1:35" x14ac:dyDescent="0.3">
      <c r="A345" s="1" t="s">
        <v>158</v>
      </c>
      <c r="B345">
        <v>210300983</v>
      </c>
      <c r="C345" s="2">
        <v>44316</v>
      </c>
      <c r="D345" s="2" t="s">
        <v>601</v>
      </c>
      <c r="E345">
        <v>825</v>
      </c>
      <c r="F345" s="2">
        <v>35895</v>
      </c>
      <c r="G345">
        <v>86.4</v>
      </c>
      <c r="H345">
        <v>71.540000000000006</v>
      </c>
      <c r="I345" t="s">
        <v>26</v>
      </c>
      <c r="J345">
        <v>6.2</v>
      </c>
      <c r="K345" s="3">
        <f t="shared" si="5"/>
        <v>54.713333333333331</v>
      </c>
      <c r="L345" t="s">
        <v>27</v>
      </c>
      <c r="M345" t="s">
        <v>41</v>
      </c>
      <c r="N345">
        <v>23</v>
      </c>
      <c r="O345" t="s">
        <v>62</v>
      </c>
      <c r="P345" t="s">
        <v>26</v>
      </c>
      <c r="Q345" t="s">
        <v>30</v>
      </c>
      <c r="R345">
        <v>448</v>
      </c>
      <c r="S345">
        <v>74.666666669999998</v>
      </c>
      <c r="T345" t="s">
        <v>33</v>
      </c>
      <c r="U345" t="s">
        <v>32</v>
      </c>
      <c r="V345" t="s">
        <v>33</v>
      </c>
      <c r="W345" t="s">
        <v>33</v>
      </c>
      <c r="X345" t="s">
        <v>34</v>
      </c>
      <c r="Y345" t="s">
        <v>58</v>
      </c>
      <c r="Z345" t="s">
        <v>44</v>
      </c>
      <c r="AA345" t="s">
        <v>91</v>
      </c>
      <c r="AB345" t="s">
        <v>46</v>
      </c>
      <c r="AC345">
        <f>IF(Cdacdata[[#This Row],[placement_status]]="Placed",1,0)</f>
        <v>1</v>
      </c>
      <c r="AD345" t="s">
        <v>160</v>
      </c>
      <c r="AE345" t="s">
        <v>75</v>
      </c>
      <c r="AF345" t="s">
        <v>39</v>
      </c>
      <c r="AG345">
        <v>2021</v>
      </c>
      <c r="AH345" t="s">
        <v>111</v>
      </c>
      <c r="AI345" t="str">
        <f>IF(Cdacdata[ccat_rank]&lt;=100,"Top 100",
IF(Cdacdata[ccat_rank]&lt;=500,"101–500",
IF(Cdacdata[ccat_rank]&lt;=1000,"501–1000",
"1000+")))</f>
        <v>501–1000</v>
      </c>
    </row>
    <row r="346" spans="1:35" x14ac:dyDescent="0.3">
      <c r="A346" s="1" t="s">
        <v>158</v>
      </c>
      <c r="B346">
        <v>210305308</v>
      </c>
      <c r="C346" s="2">
        <v>44316</v>
      </c>
      <c r="D346" s="2" t="s">
        <v>602</v>
      </c>
      <c r="E346">
        <v>1021</v>
      </c>
      <c r="F346" s="2">
        <v>35207</v>
      </c>
      <c r="G346">
        <v>88.3</v>
      </c>
      <c r="H346">
        <v>88.2</v>
      </c>
      <c r="I346" t="s">
        <v>26</v>
      </c>
      <c r="J346">
        <v>7.08</v>
      </c>
      <c r="K346" s="3">
        <f t="shared" si="5"/>
        <v>61.193333333333335</v>
      </c>
      <c r="L346" t="s">
        <v>27</v>
      </c>
      <c r="M346" t="s">
        <v>27</v>
      </c>
      <c r="N346">
        <v>24</v>
      </c>
      <c r="O346" t="s">
        <v>62</v>
      </c>
      <c r="P346" t="s">
        <v>26</v>
      </c>
      <c r="Q346" t="s">
        <v>30</v>
      </c>
      <c r="R346">
        <v>387</v>
      </c>
      <c r="S346">
        <v>64.5</v>
      </c>
      <c r="T346" t="s">
        <v>33</v>
      </c>
      <c r="U346" t="s">
        <v>32</v>
      </c>
      <c r="V346" t="s">
        <v>33</v>
      </c>
      <c r="W346" t="s">
        <v>33</v>
      </c>
      <c r="X346" t="s">
        <v>34</v>
      </c>
      <c r="Y346" t="s">
        <v>50</v>
      </c>
      <c r="Z346" t="s">
        <v>44</v>
      </c>
      <c r="AA346" t="s">
        <v>163</v>
      </c>
      <c r="AB346" t="s">
        <v>46</v>
      </c>
      <c r="AC346">
        <f>IF(Cdacdata[[#This Row],[placement_status]]="Placed",1,0)</f>
        <v>1</v>
      </c>
      <c r="AD346" t="s">
        <v>160</v>
      </c>
      <c r="AE346" t="s">
        <v>47</v>
      </c>
      <c r="AF346" t="s">
        <v>39</v>
      </c>
      <c r="AG346">
        <v>2021</v>
      </c>
      <c r="AH346" t="s">
        <v>111</v>
      </c>
      <c r="AI346" t="str">
        <f>IF(Cdacdata[ccat_rank]&lt;=100,"Top 100",
IF(Cdacdata[ccat_rank]&lt;=500,"101–500",
IF(Cdacdata[ccat_rank]&lt;=1000,"501–1000",
"1000+")))</f>
        <v>1000+</v>
      </c>
    </row>
    <row r="347" spans="1:35" x14ac:dyDescent="0.3">
      <c r="A347" s="1" t="s">
        <v>158</v>
      </c>
      <c r="B347">
        <v>210300155</v>
      </c>
      <c r="C347" s="2">
        <v>44315</v>
      </c>
      <c r="D347" s="2" t="s">
        <v>603</v>
      </c>
      <c r="E347">
        <v>1462</v>
      </c>
      <c r="F347" s="2">
        <v>36102</v>
      </c>
      <c r="G347">
        <v>82.2</v>
      </c>
      <c r="H347" t="s">
        <v>26</v>
      </c>
      <c r="I347">
        <v>87.14</v>
      </c>
      <c r="J347">
        <v>72.42</v>
      </c>
      <c r="K347" s="3">
        <f t="shared" si="5"/>
        <v>80.586666666666659</v>
      </c>
      <c r="L347" t="s">
        <v>27</v>
      </c>
      <c r="M347" t="s">
        <v>27</v>
      </c>
      <c r="N347">
        <v>22</v>
      </c>
      <c r="O347" t="s">
        <v>28</v>
      </c>
      <c r="P347" t="s">
        <v>26</v>
      </c>
      <c r="Q347" t="s">
        <v>30</v>
      </c>
      <c r="R347">
        <v>451</v>
      </c>
      <c r="S347">
        <v>75.166666669999998</v>
      </c>
      <c r="T347" t="s">
        <v>33</v>
      </c>
      <c r="U347" t="s">
        <v>32</v>
      </c>
      <c r="V347" t="s">
        <v>33</v>
      </c>
      <c r="W347" t="s">
        <v>49</v>
      </c>
      <c r="X347" t="s">
        <v>34</v>
      </c>
      <c r="Y347" t="s">
        <v>58</v>
      </c>
      <c r="Z347" t="s">
        <v>44</v>
      </c>
      <c r="AA347" t="s">
        <v>169</v>
      </c>
      <c r="AB347" t="s">
        <v>46</v>
      </c>
      <c r="AC347">
        <f>IF(Cdacdata[[#This Row],[placement_status]]="Placed",1,0)</f>
        <v>1</v>
      </c>
      <c r="AD347" t="s">
        <v>160</v>
      </c>
      <c r="AE347" t="s">
        <v>47</v>
      </c>
      <c r="AF347" t="s">
        <v>57</v>
      </c>
      <c r="AG347">
        <v>2021</v>
      </c>
      <c r="AH347" t="s">
        <v>111</v>
      </c>
      <c r="AI347" t="str">
        <f>IF(Cdacdata[ccat_rank]&lt;=100,"Top 100",
IF(Cdacdata[ccat_rank]&lt;=500,"101–500",
IF(Cdacdata[ccat_rank]&lt;=1000,"501–1000",
"1000+")))</f>
        <v>1000+</v>
      </c>
    </row>
    <row r="348" spans="1:35" x14ac:dyDescent="0.3">
      <c r="A348" s="1" t="s">
        <v>158</v>
      </c>
      <c r="B348">
        <v>210303627</v>
      </c>
      <c r="C348" s="2">
        <v>44315</v>
      </c>
      <c r="D348" s="2" t="s">
        <v>604</v>
      </c>
      <c r="E348">
        <v>608</v>
      </c>
      <c r="F348" s="2">
        <v>33549</v>
      </c>
      <c r="G348">
        <v>72.459999999999994</v>
      </c>
      <c r="H348">
        <v>70.33</v>
      </c>
      <c r="I348" t="s">
        <v>26</v>
      </c>
      <c r="J348">
        <v>66.13</v>
      </c>
      <c r="K348" s="3">
        <f t="shared" si="5"/>
        <v>69.64</v>
      </c>
      <c r="L348" t="s">
        <v>27</v>
      </c>
      <c r="M348" t="s">
        <v>27</v>
      </c>
      <c r="N348">
        <v>29</v>
      </c>
      <c r="O348" t="s">
        <v>28</v>
      </c>
      <c r="P348" t="s">
        <v>60</v>
      </c>
      <c r="Q348" t="s">
        <v>30</v>
      </c>
      <c r="R348">
        <v>415</v>
      </c>
      <c r="S348">
        <v>69.166666669999998</v>
      </c>
      <c r="T348" t="s">
        <v>49</v>
      </c>
      <c r="U348" t="s">
        <v>32</v>
      </c>
      <c r="V348" t="s">
        <v>49</v>
      </c>
      <c r="W348" t="s">
        <v>49</v>
      </c>
      <c r="X348" t="s">
        <v>34</v>
      </c>
      <c r="Y348" t="s">
        <v>50</v>
      </c>
      <c r="Z348" t="s">
        <v>44</v>
      </c>
      <c r="AA348" t="s">
        <v>112</v>
      </c>
      <c r="AB348" t="s">
        <v>46</v>
      </c>
      <c r="AC348">
        <f>IF(Cdacdata[[#This Row],[placement_status]]="Placed",1,0)</f>
        <v>1</v>
      </c>
      <c r="AD348" t="s">
        <v>160</v>
      </c>
      <c r="AE348" t="s">
        <v>75</v>
      </c>
      <c r="AF348" t="s">
        <v>69</v>
      </c>
      <c r="AG348">
        <v>2021</v>
      </c>
      <c r="AH348" t="s">
        <v>111</v>
      </c>
      <c r="AI348" t="str">
        <f>IF(Cdacdata[ccat_rank]&lt;=100,"Top 100",
IF(Cdacdata[ccat_rank]&lt;=500,"101–500",
IF(Cdacdata[ccat_rank]&lt;=1000,"501–1000",
"1000+")))</f>
        <v>501–1000</v>
      </c>
    </row>
    <row r="349" spans="1:35" x14ac:dyDescent="0.3">
      <c r="A349" s="1" t="s">
        <v>158</v>
      </c>
      <c r="B349">
        <v>210304896</v>
      </c>
      <c r="C349" s="2">
        <v>44319</v>
      </c>
      <c r="D349" s="2" t="s">
        <v>605</v>
      </c>
      <c r="E349">
        <v>871</v>
      </c>
      <c r="F349" s="2">
        <v>36086</v>
      </c>
      <c r="G349">
        <v>87.2</v>
      </c>
      <c r="H349" t="s">
        <v>26</v>
      </c>
      <c r="I349">
        <v>62.44</v>
      </c>
      <c r="J349">
        <v>80.94</v>
      </c>
      <c r="K349" s="3">
        <f t="shared" si="5"/>
        <v>76.86</v>
      </c>
      <c r="L349" t="s">
        <v>27</v>
      </c>
      <c r="M349" t="s">
        <v>27</v>
      </c>
      <c r="N349">
        <v>22</v>
      </c>
      <c r="O349" t="s">
        <v>48</v>
      </c>
      <c r="P349" t="s">
        <v>65</v>
      </c>
      <c r="Q349" t="s">
        <v>30</v>
      </c>
      <c r="R349">
        <v>404</v>
      </c>
      <c r="S349">
        <v>67.333333330000002</v>
      </c>
      <c r="T349" t="s">
        <v>49</v>
      </c>
      <c r="U349" t="s">
        <v>32</v>
      </c>
      <c r="V349" t="s">
        <v>49</v>
      </c>
      <c r="W349" t="s">
        <v>49</v>
      </c>
      <c r="X349" t="s">
        <v>34</v>
      </c>
      <c r="Y349" t="s">
        <v>50</v>
      </c>
      <c r="Z349" t="s">
        <v>44</v>
      </c>
      <c r="AA349" t="s">
        <v>78</v>
      </c>
      <c r="AB349" t="s">
        <v>46</v>
      </c>
      <c r="AC349">
        <f>IF(Cdacdata[[#This Row],[placement_status]]="Placed",1,0)</f>
        <v>1</v>
      </c>
      <c r="AD349" t="s">
        <v>160</v>
      </c>
      <c r="AE349" t="s">
        <v>75</v>
      </c>
      <c r="AF349" t="s">
        <v>57</v>
      </c>
      <c r="AG349">
        <v>2021</v>
      </c>
      <c r="AH349" t="s">
        <v>111</v>
      </c>
      <c r="AI349" t="str">
        <f>IF(Cdacdata[ccat_rank]&lt;=100,"Top 100",
IF(Cdacdata[ccat_rank]&lt;=500,"101–500",
IF(Cdacdata[ccat_rank]&lt;=1000,"501–1000",
"1000+")))</f>
        <v>501–1000</v>
      </c>
    </row>
    <row r="350" spans="1:35" x14ac:dyDescent="0.3">
      <c r="A350" s="1" t="s">
        <v>158</v>
      </c>
      <c r="B350">
        <v>210304088</v>
      </c>
      <c r="C350" s="2">
        <v>44315</v>
      </c>
      <c r="D350" s="2" t="s">
        <v>606</v>
      </c>
      <c r="E350">
        <v>1248</v>
      </c>
      <c r="F350" s="2">
        <v>35443</v>
      </c>
      <c r="G350">
        <v>74.599999999999994</v>
      </c>
      <c r="H350" t="s">
        <v>26</v>
      </c>
      <c r="I350">
        <v>75</v>
      </c>
      <c r="J350">
        <v>56.44</v>
      </c>
      <c r="K350" s="3">
        <f t="shared" si="5"/>
        <v>68.679999999999993</v>
      </c>
      <c r="L350" t="s">
        <v>27</v>
      </c>
      <c r="M350" t="s">
        <v>41</v>
      </c>
      <c r="N350">
        <v>24</v>
      </c>
      <c r="O350" t="s">
        <v>72</v>
      </c>
      <c r="P350" t="s">
        <v>60</v>
      </c>
      <c r="Q350" t="s">
        <v>30</v>
      </c>
      <c r="R350">
        <v>461</v>
      </c>
      <c r="S350">
        <v>76.833333330000002</v>
      </c>
      <c r="T350" t="s">
        <v>49</v>
      </c>
      <c r="U350" t="s">
        <v>32</v>
      </c>
      <c r="V350" t="s">
        <v>49</v>
      </c>
      <c r="W350" t="s">
        <v>33</v>
      </c>
      <c r="X350" t="s">
        <v>34</v>
      </c>
      <c r="Y350" t="s">
        <v>58</v>
      </c>
      <c r="Z350" t="s">
        <v>44</v>
      </c>
      <c r="AA350" t="s">
        <v>117</v>
      </c>
      <c r="AB350" t="s">
        <v>46</v>
      </c>
      <c r="AC350">
        <f>IF(Cdacdata[[#This Row],[placement_status]]="Placed",1,0)</f>
        <v>1</v>
      </c>
      <c r="AD350" t="s">
        <v>160</v>
      </c>
      <c r="AE350" t="s">
        <v>47</v>
      </c>
      <c r="AF350" t="s">
        <v>39</v>
      </c>
      <c r="AG350">
        <v>2021</v>
      </c>
      <c r="AH350" t="s">
        <v>111</v>
      </c>
      <c r="AI350" t="str">
        <f>IF(Cdacdata[ccat_rank]&lt;=100,"Top 100",
IF(Cdacdata[ccat_rank]&lt;=500,"101–500",
IF(Cdacdata[ccat_rank]&lt;=1000,"501–1000",
"1000+")))</f>
        <v>1000+</v>
      </c>
    </row>
    <row r="351" spans="1:35" x14ac:dyDescent="0.3">
      <c r="A351" s="1" t="s">
        <v>158</v>
      </c>
      <c r="B351">
        <v>210305221</v>
      </c>
      <c r="C351" s="2">
        <v>44319</v>
      </c>
      <c r="D351" s="2" t="s">
        <v>607</v>
      </c>
      <c r="E351">
        <v>1472</v>
      </c>
      <c r="F351" s="2">
        <v>35537</v>
      </c>
      <c r="G351">
        <v>82.72</v>
      </c>
      <c r="H351" t="s">
        <v>26</v>
      </c>
      <c r="I351">
        <v>65.56</v>
      </c>
      <c r="J351">
        <v>59</v>
      </c>
      <c r="K351" s="3">
        <f t="shared" si="5"/>
        <v>69.093333333333334</v>
      </c>
      <c r="L351" t="s">
        <v>27</v>
      </c>
      <c r="M351" t="s">
        <v>27</v>
      </c>
      <c r="N351">
        <v>24</v>
      </c>
      <c r="O351" t="s">
        <v>72</v>
      </c>
      <c r="P351" t="s">
        <v>29</v>
      </c>
      <c r="Q351" t="s">
        <v>26</v>
      </c>
      <c r="R351">
        <v>322</v>
      </c>
      <c r="S351">
        <v>53.666666669999998</v>
      </c>
      <c r="T351" t="s">
        <v>33</v>
      </c>
      <c r="U351" t="s">
        <v>32</v>
      </c>
      <c r="V351" t="s">
        <v>33</v>
      </c>
      <c r="W351" t="s">
        <v>33</v>
      </c>
      <c r="X351" t="s">
        <v>34</v>
      </c>
      <c r="Y351" t="s">
        <v>35</v>
      </c>
      <c r="Z351" t="s">
        <v>44</v>
      </c>
      <c r="AA351" t="s">
        <v>170</v>
      </c>
      <c r="AB351" t="s">
        <v>46</v>
      </c>
      <c r="AC351">
        <f>IF(Cdacdata[[#This Row],[placement_status]]="Placed",1,0)</f>
        <v>1</v>
      </c>
      <c r="AD351" t="s">
        <v>160</v>
      </c>
      <c r="AE351" t="s">
        <v>47</v>
      </c>
      <c r="AF351" t="s">
        <v>39</v>
      </c>
      <c r="AG351">
        <v>2021</v>
      </c>
      <c r="AH351" t="s">
        <v>111</v>
      </c>
      <c r="AI351" t="str">
        <f>IF(Cdacdata[ccat_rank]&lt;=100,"Top 100",
IF(Cdacdata[ccat_rank]&lt;=500,"101–500",
IF(Cdacdata[ccat_rank]&lt;=1000,"501–1000",
"1000+")))</f>
        <v>1000+</v>
      </c>
    </row>
    <row r="352" spans="1:35" x14ac:dyDescent="0.3">
      <c r="A352" s="1" t="s">
        <v>158</v>
      </c>
      <c r="B352">
        <v>210304146</v>
      </c>
      <c r="C352" s="2">
        <v>44315</v>
      </c>
      <c r="D352" s="2" t="s">
        <v>608</v>
      </c>
      <c r="E352">
        <v>1332</v>
      </c>
      <c r="F352" s="2">
        <v>35242</v>
      </c>
      <c r="G352">
        <v>69.64</v>
      </c>
      <c r="H352">
        <v>55.67</v>
      </c>
      <c r="I352" t="s">
        <v>26</v>
      </c>
      <c r="J352">
        <v>53.96</v>
      </c>
      <c r="K352" s="3">
        <f t="shared" si="5"/>
        <v>59.756666666666668</v>
      </c>
      <c r="L352" t="s">
        <v>27</v>
      </c>
      <c r="M352" t="s">
        <v>27</v>
      </c>
      <c r="N352">
        <v>24</v>
      </c>
      <c r="O352" t="s">
        <v>72</v>
      </c>
      <c r="P352" t="s">
        <v>29</v>
      </c>
      <c r="Q352" t="s">
        <v>30</v>
      </c>
      <c r="R352">
        <v>414</v>
      </c>
      <c r="S352">
        <v>69</v>
      </c>
      <c r="T352" t="s">
        <v>49</v>
      </c>
      <c r="U352" t="s">
        <v>32</v>
      </c>
      <c r="V352" t="s">
        <v>49</v>
      </c>
      <c r="W352" t="s">
        <v>33</v>
      </c>
      <c r="X352" t="s">
        <v>34</v>
      </c>
      <c r="Y352" t="s">
        <v>50</v>
      </c>
      <c r="Z352" t="s">
        <v>44</v>
      </c>
      <c r="AA352" t="s">
        <v>131</v>
      </c>
      <c r="AB352" t="s">
        <v>46</v>
      </c>
      <c r="AC352">
        <f>IF(Cdacdata[[#This Row],[placement_status]]="Placed",1,0)</f>
        <v>1</v>
      </c>
      <c r="AD352" t="s">
        <v>160</v>
      </c>
      <c r="AE352" t="s">
        <v>47</v>
      </c>
      <c r="AF352" t="s">
        <v>39</v>
      </c>
      <c r="AG352">
        <v>2021</v>
      </c>
      <c r="AH352" t="s">
        <v>111</v>
      </c>
      <c r="AI352" t="str">
        <f>IF(Cdacdata[ccat_rank]&lt;=100,"Top 100",
IF(Cdacdata[ccat_rank]&lt;=500,"101–500",
IF(Cdacdata[ccat_rank]&lt;=1000,"501–1000",
"1000+")))</f>
        <v>1000+</v>
      </c>
    </row>
    <row r="353" spans="1:35" x14ac:dyDescent="0.3">
      <c r="A353" s="1" t="s">
        <v>158</v>
      </c>
      <c r="B353">
        <v>210307975</v>
      </c>
      <c r="C353" s="2">
        <v>44315</v>
      </c>
      <c r="D353" s="2" t="s">
        <v>609</v>
      </c>
      <c r="E353">
        <v>787</v>
      </c>
      <c r="F353" s="2">
        <v>34997</v>
      </c>
      <c r="G353">
        <v>86.18</v>
      </c>
      <c r="H353" t="s">
        <v>26</v>
      </c>
      <c r="I353">
        <v>68.290000000000006</v>
      </c>
      <c r="J353">
        <v>62.05</v>
      </c>
      <c r="K353" s="3">
        <f t="shared" si="5"/>
        <v>72.173333333333346</v>
      </c>
      <c r="L353" t="s">
        <v>27</v>
      </c>
      <c r="M353" t="s">
        <v>41</v>
      </c>
      <c r="N353">
        <v>25</v>
      </c>
      <c r="O353" t="s">
        <v>28</v>
      </c>
      <c r="P353" t="s">
        <v>26</v>
      </c>
      <c r="Q353" t="s">
        <v>30</v>
      </c>
      <c r="R353">
        <v>429</v>
      </c>
      <c r="S353">
        <v>71.5</v>
      </c>
      <c r="T353" t="s">
        <v>49</v>
      </c>
      <c r="U353" t="s">
        <v>32</v>
      </c>
      <c r="V353" t="s">
        <v>49</v>
      </c>
      <c r="W353" t="s">
        <v>49</v>
      </c>
      <c r="X353" t="s">
        <v>34</v>
      </c>
      <c r="Y353" t="s">
        <v>58</v>
      </c>
      <c r="Z353" t="s">
        <v>44</v>
      </c>
      <c r="AA353" t="s">
        <v>93</v>
      </c>
      <c r="AB353" t="s">
        <v>46</v>
      </c>
      <c r="AC353">
        <f>IF(Cdacdata[[#This Row],[placement_status]]="Placed",1,0)</f>
        <v>1</v>
      </c>
      <c r="AD353" t="s">
        <v>160</v>
      </c>
      <c r="AE353" t="s">
        <v>75</v>
      </c>
      <c r="AF353" t="s">
        <v>39</v>
      </c>
      <c r="AG353">
        <v>2021</v>
      </c>
      <c r="AH353" t="s">
        <v>111</v>
      </c>
      <c r="AI353" t="str">
        <f>IF(Cdacdata[ccat_rank]&lt;=100,"Top 100",
IF(Cdacdata[ccat_rank]&lt;=500,"101–500",
IF(Cdacdata[ccat_rank]&lt;=1000,"501–1000",
"1000+")))</f>
        <v>501–1000</v>
      </c>
    </row>
    <row r="354" spans="1:35" x14ac:dyDescent="0.3">
      <c r="A354" s="1" t="s">
        <v>158</v>
      </c>
      <c r="B354">
        <v>210305353</v>
      </c>
      <c r="C354" s="2">
        <v>44316</v>
      </c>
      <c r="D354" s="2" t="s">
        <v>610</v>
      </c>
      <c r="E354">
        <v>871</v>
      </c>
      <c r="F354" s="2">
        <v>34951</v>
      </c>
      <c r="G354">
        <v>73.8</v>
      </c>
      <c r="H354" t="s">
        <v>26</v>
      </c>
      <c r="I354">
        <v>77.69</v>
      </c>
      <c r="J354">
        <v>64.849999999999994</v>
      </c>
      <c r="K354" s="3">
        <f t="shared" si="5"/>
        <v>72.11333333333333</v>
      </c>
      <c r="L354" t="s">
        <v>27</v>
      </c>
      <c r="M354" t="s">
        <v>27</v>
      </c>
      <c r="N354">
        <v>25</v>
      </c>
      <c r="O354" t="s">
        <v>28</v>
      </c>
      <c r="P354" t="s">
        <v>26</v>
      </c>
      <c r="Q354" t="s">
        <v>30</v>
      </c>
      <c r="R354">
        <v>425</v>
      </c>
      <c r="S354">
        <v>70.833333330000002</v>
      </c>
      <c r="T354" t="s">
        <v>33</v>
      </c>
      <c r="U354" t="s">
        <v>32</v>
      </c>
      <c r="V354" t="s">
        <v>33</v>
      </c>
      <c r="W354" t="s">
        <v>31</v>
      </c>
      <c r="X354" t="s">
        <v>34</v>
      </c>
      <c r="Y354" t="s">
        <v>58</v>
      </c>
      <c r="Z354" t="s">
        <v>44</v>
      </c>
      <c r="AA354" t="s">
        <v>113</v>
      </c>
      <c r="AB354" t="s">
        <v>46</v>
      </c>
      <c r="AC354">
        <f>IF(Cdacdata[[#This Row],[placement_status]]="Placed",1,0)</f>
        <v>1</v>
      </c>
      <c r="AD354" t="s">
        <v>160</v>
      </c>
      <c r="AE354" t="s">
        <v>75</v>
      </c>
      <c r="AF354" t="s">
        <v>39</v>
      </c>
      <c r="AG354">
        <v>2021</v>
      </c>
      <c r="AH354" t="s">
        <v>111</v>
      </c>
      <c r="AI354" t="str">
        <f>IF(Cdacdata[ccat_rank]&lt;=100,"Top 100",
IF(Cdacdata[ccat_rank]&lt;=500,"101–500",
IF(Cdacdata[ccat_rank]&lt;=1000,"501–1000",
"1000+")))</f>
        <v>501–1000</v>
      </c>
    </row>
    <row r="355" spans="1:35" x14ac:dyDescent="0.3">
      <c r="A355" s="1" t="s">
        <v>158</v>
      </c>
      <c r="B355">
        <v>210304928</v>
      </c>
      <c r="C355" s="2">
        <v>44319</v>
      </c>
      <c r="D355" s="2" t="s">
        <v>611</v>
      </c>
      <c r="E355">
        <v>1472</v>
      </c>
      <c r="F355" s="2">
        <v>35292</v>
      </c>
      <c r="G355">
        <v>87.09</v>
      </c>
      <c r="H355" t="s">
        <v>26</v>
      </c>
      <c r="I355">
        <v>70.09</v>
      </c>
      <c r="J355">
        <v>54.2</v>
      </c>
      <c r="K355" s="3">
        <f t="shared" si="5"/>
        <v>70.459999999999994</v>
      </c>
      <c r="L355" t="s">
        <v>27</v>
      </c>
      <c r="M355" t="s">
        <v>27</v>
      </c>
      <c r="N355">
        <v>24</v>
      </c>
      <c r="O355" t="s">
        <v>72</v>
      </c>
      <c r="P355" t="s">
        <v>42</v>
      </c>
      <c r="Q355" t="s">
        <v>30</v>
      </c>
      <c r="R355">
        <v>355</v>
      </c>
      <c r="S355">
        <v>59.166666669999998</v>
      </c>
      <c r="T355" t="s">
        <v>33</v>
      </c>
      <c r="U355" t="s">
        <v>32</v>
      </c>
      <c r="V355" t="s">
        <v>33</v>
      </c>
      <c r="W355" t="s">
        <v>31</v>
      </c>
      <c r="X355" t="s">
        <v>34</v>
      </c>
      <c r="Y355" t="s">
        <v>35</v>
      </c>
      <c r="Z355" t="s">
        <v>44</v>
      </c>
      <c r="AA355" t="s">
        <v>168</v>
      </c>
      <c r="AB355" t="s">
        <v>46</v>
      </c>
      <c r="AC355">
        <f>IF(Cdacdata[[#This Row],[placement_status]]="Placed",1,0)</f>
        <v>1</v>
      </c>
      <c r="AD355" t="s">
        <v>160</v>
      </c>
      <c r="AE355" t="s">
        <v>47</v>
      </c>
      <c r="AF355" t="s">
        <v>39</v>
      </c>
      <c r="AG355">
        <v>2021</v>
      </c>
      <c r="AH355" t="s">
        <v>111</v>
      </c>
      <c r="AI355" t="str">
        <f>IF(Cdacdata[ccat_rank]&lt;=100,"Top 100",
IF(Cdacdata[ccat_rank]&lt;=500,"101–500",
IF(Cdacdata[ccat_rank]&lt;=1000,"501–1000",
"1000+")))</f>
        <v>1000+</v>
      </c>
    </row>
    <row r="356" spans="1:35" x14ac:dyDescent="0.3">
      <c r="A356" s="1" t="s">
        <v>158</v>
      </c>
      <c r="B356">
        <v>210305982</v>
      </c>
      <c r="C356" s="2">
        <v>44315</v>
      </c>
      <c r="D356" s="2" t="s">
        <v>612</v>
      </c>
      <c r="E356">
        <v>1535</v>
      </c>
      <c r="F356" s="2">
        <v>35004</v>
      </c>
      <c r="G356">
        <v>91.45</v>
      </c>
      <c r="H356">
        <v>70.459999999999994</v>
      </c>
      <c r="I356" t="s">
        <v>26</v>
      </c>
      <c r="J356">
        <v>60</v>
      </c>
      <c r="K356" s="3">
        <f t="shared" si="5"/>
        <v>73.97</v>
      </c>
      <c r="L356" t="s">
        <v>27</v>
      </c>
      <c r="M356" t="s">
        <v>27</v>
      </c>
      <c r="N356">
        <v>25</v>
      </c>
      <c r="O356" t="s">
        <v>28</v>
      </c>
      <c r="P356" t="s">
        <v>26</v>
      </c>
      <c r="Q356" t="s">
        <v>26</v>
      </c>
      <c r="R356">
        <v>290</v>
      </c>
      <c r="S356">
        <v>48.333333330000002</v>
      </c>
      <c r="T356" t="s">
        <v>49</v>
      </c>
      <c r="U356" t="s">
        <v>64</v>
      </c>
      <c r="V356" t="s">
        <v>49</v>
      </c>
      <c r="W356" t="s">
        <v>64</v>
      </c>
      <c r="X356" t="s">
        <v>34</v>
      </c>
      <c r="Y356" t="s">
        <v>80</v>
      </c>
      <c r="Z356" t="s">
        <v>36</v>
      </c>
      <c r="AA356" t="s">
        <v>1268</v>
      </c>
      <c r="AB356" t="s">
        <v>36</v>
      </c>
      <c r="AC356">
        <f>IF(Cdacdata[[#This Row],[placement_status]]="Placed",1,0)</f>
        <v>0</v>
      </c>
      <c r="AD356" t="s">
        <v>160</v>
      </c>
      <c r="AE356" t="s">
        <v>47</v>
      </c>
      <c r="AF356" t="s">
        <v>39</v>
      </c>
      <c r="AG356">
        <v>2021</v>
      </c>
      <c r="AH356" t="s">
        <v>111</v>
      </c>
      <c r="AI356" t="str">
        <f>IF(Cdacdata[ccat_rank]&lt;=100,"Top 100",
IF(Cdacdata[ccat_rank]&lt;=500,"101–500",
IF(Cdacdata[ccat_rank]&lt;=1000,"501–1000",
"1000+")))</f>
        <v>1000+</v>
      </c>
    </row>
    <row r="357" spans="1:35" x14ac:dyDescent="0.3">
      <c r="A357" s="1" t="s">
        <v>158</v>
      </c>
      <c r="B357">
        <v>210302224</v>
      </c>
      <c r="C357" s="2">
        <v>44319</v>
      </c>
      <c r="D357" s="2" t="s">
        <v>613</v>
      </c>
      <c r="E357">
        <v>1472</v>
      </c>
      <c r="F357" s="2">
        <v>35151</v>
      </c>
      <c r="G357">
        <v>96.18</v>
      </c>
      <c r="H357">
        <v>69.849999999999994</v>
      </c>
      <c r="I357" t="s">
        <v>26</v>
      </c>
      <c r="J357">
        <v>62.13</v>
      </c>
      <c r="K357" s="3">
        <f t="shared" si="5"/>
        <v>76.053333333333327</v>
      </c>
      <c r="L357" t="s">
        <v>27</v>
      </c>
      <c r="M357" t="s">
        <v>27</v>
      </c>
      <c r="N357">
        <v>25</v>
      </c>
      <c r="O357" t="s">
        <v>28</v>
      </c>
      <c r="P357" t="s">
        <v>56</v>
      </c>
      <c r="Q357" t="s">
        <v>30</v>
      </c>
      <c r="R357">
        <v>448</v>
      </c>
      <c r="S357">
        <v>74.666666669999998</v>
      </c>
      <c r="T357" t="s">
        <v>49</v>
      </c>
      <c r="U357" t="s">
        <v>32</v>
      </c>
      <c r="V357" t="s">
        <v>49</v>
      </c>
      <c r="W357" t="s">
        <v>49</v>
      </c>
      <c r="X357" t="s">
        <v>34</v>
      </c>
      <c r="Y357" t="s">
        <v>58</v>
      </c>
      <c r="Z357" t="s">
        <v>44</v>
      </c>
      <c r="AA357" t="s">
        <v>131</v>
      </c>
      <c r="AB357" t="s">
        <v>46</v>
      </c>
      <c r="AC357">
        <f>IF(Cdacdata[[#This Row],[placement_status]]="Placed",1,0)</f>
        <v>1</v>
      </c>
      <c r="AD357" t="s">
        <v>160</v>
      </c>
      <c r="AE357" t="s">
        <v>47</v>
      </c>
      <c r="AF357" t="s">
        <v>39</v>
      </c>
      <c r="AG357">
        <v>2021</v>
      </c>
      <c r="AH357" t="s">
        <v>111</v>
      </c>
      <c r="AI357" t="str">
        <f>IF(Cdacdata[ccat_rank]&lt;=100,"Top 100",
IF(Cdacdata[ccat_rank]&lt;=500,"101–500",
IF(Cdacdata[ccat_rank]&lt;=1000,"501–1000",
"1000+")))</f>
        <v>1000+</v>
      </c>
    </row>
    <row r="358" spans="1:35" x14ac:dyDescent="0.3">
      <c r="A358" s="1" t="s">
        <v>158</v>
      </c>
      <c r="B358">
        <v>210300250</v>
      </c>
      <c r="C358" s="2">
        <v>44315</v>
      </c>
      <c r="D358" s="2" t="s">
        <v>614</v>
      </c>
      <c r="E358">
        <v>1047</v>
      </c>
      <c r="F358" s="2">
        <v>36146</v>
      </c>
      <c r="G358">
        <v>79.2</v>
      </c>
      <c r="H358">
        <v>58.46</v>
      </c>
      <c r="I358" t="s">
        <v>26</v>
      </c>
      <c r="J358">
        <v>6</v>
      </c>
      <c r="K358" s="3">
        <f t="shared" si="5"/>
        <v>47.886666666666663</v>
      </c>
      <c r="L358" t="s">
        <v>27</v>
      </c>
      <c r="M358" t="s">
        <v>27</v>
      </c>
      <c r="N358">
        <v>22</v>
      </c>
      <c r="O358" t="s">
        <v>62</v>
      </c>
      <c r="P358" t="s">
        <v>26</v>
      </c>
      <c r="Q358" t="s">
        <v>30</v>
      </c>
      <c r="R358">
        <v>392</v>
      </c>
      <c r="S358">
        <v>65.333333330000002</v>
      </c>
      <c r="T358" t="s">
        <v>49</v>
      </c>
      <c r="U358" t="s">
        <v>32</v>
      </c>
      <c r="V358" t="s">
        <v>49</v>
      </c>
      <c r="W358" t="s">
        <v>31</v>
      </c>
      <c r="X358" t="s">
        <v>34</v>
      </c>
      <c r="Y358" t="s">
        <v>50</v>
      </c>
      <c r="Z358" t="s">
        <v>44</v>
      </c>
      <c r="AA358" t="s">
        <v>78</v>
      </c>
      <c r="AB358" t="s">
        <v>46</v>
      </c>
      <c r="AC358">
        <f>IF(Cdacdata[[#This Row],[placement_status]]="Placed",1,0)</f>
        <v>1</v>
      </c>
      <c r="AD358" t="s">
        <v>160</v>
      </c>
      <c r="AE358" t="s">
        <v>47</v>
      </c>
      <c r="AF358" t="s">
        <v>57</v>
      </c>
      <c r="AG358">
        <v>2021</v>
      </c>
      <c r="AH358" t="s">
        <v>111</v>
      </c>
      <c r="AI358" t="str">
        <f>IF(Cdacdata[ccat_rank]&lt;=100,"Top 100",
IF(Cdacdata[ccat_rank]&lt;=500,"101–500",
IF(Cdacdata[ccat_rank]&lt;=1000,"501–1000",
"1000+")))</f>
        <v>1000+</v>
      </c>
    </row>
    <row r="359" spans="1:35" x14ac:dyDescent="0.3">
      <c r="A359" s="1" t="s">
        <v>158</v>
      </c>
      <c r="B359">
        <v>210300911</v>
      </c>
      <c r="C359" s="2">
        <v>44315</v>
      </c>
      <c r="D359" s="2" t="s">
        <v>615</v>
      </c>
      <c r="E359">
        <v>1135</v>
      </c>
      <c r="F359" s="2">
        <v>35802</v>
      </c>
      <c r="G359">
        <v>86</v>
      </c>
      <c r="H359">
        <v>78.77</v>
      </c>
      <c r="I359" t="s">
        <v>26</v>
      </c>
      <c r="J359">
        <v>8.1</v>
      </c>
      <c r="K359" s="3">
        <f t="shared" si="5"/>
        <v>57.623333333333328</v>
      </c>
      <c r="L359" t="s">
        <v>27</v>
      </c>
      <c r="M359" t="s">
        <v>41</v>
      </c>
      <c r="N359">
        <v>23</v>
      </c>
      <c r="O359" t="s">
        <v>62</v>
      </c>
      <c r="P359" t="s">
        <v>26</v>
      </c>
      <c r="Q359" t="s">
        <v>30</v>
      </c>
      <c r="R359">
        <v>445</v>
      </c>
      <c r="S359">
        <v>74.166666669999998</v>
      </c>
      <c r="T359" t="s">
        <v>33</v>
      </c>
      <c r="U359" t="s">
        <v>32</v>
      </c>
      <c r="V359" t="s">
        <v>33</v>
      </c>
      <c r="W359" t="s">
        <v>49</v>
      </c>
      <c r="X359" t="s">
        <v>34</v>
      </c>
      <c r="Y359" t="s">
        <v>58</v>
      </c>
      <c r="Z359" t="s">
        <v>44</v>
      </c>
      <c r="AA359" t="s">
        <v>159</v>
      </c>
      <c r="AB359" t="s">
        <v>46</v>
      </c>
      <c r="AC359">
        <f>IF(Cdacdata[[#This Row],[placement_status]]="Placed",1,0)</f>
        <v>1</v>
      </c>
      <c r="AD359" t="s">
        <v>160</v>
      </c>
      <c r="AE359" t="s">
        <v>47</v>
      </c>
      <c r="AF359" t="s">
        <v>39</v>
      </c>
      <c r="AG359">
        <v>2021</v>
      </c>
      <c r="AH359" t="s">
        <v>111</v>
      </c>
      <c r="AI359" t="str">
        <f>IF(Cdacdata[ccat_rank]&lt;=100,"Top 100",
IF(Cdacdata[ccat_rank]&lt;=500,"101–500",
IF(Cdacdata[ccat_rank]&lt;=1000,"501–1000",
"1000+")))</f>
        <v>1000+</v>
      </c>
    </row>
    <row r="360" spans="1:35" x14ac:dyDescent="0.3">
      <c r="A360" s="1" t="s">
        <v>158</v>
      </c>
      <c r="B360">
        <v>210302144</v>
      </c>
      <c r="C360" s="2">
        <v>44315</v>
      </c>
      <c r="D360" s="2" t="s">
        <v>616</v>
      </c>
      <c r="E360">
        <v>859</v>
      </c>
      <c r="F360" s="2">
        <v>35765</v>
      </c>
      <c r="G360">
        <v>77.27</v>
      </c>
      <c r="H360" t="s">
        <v>26</v>
      </c>
      <c r="I360">
        <v>66.819999999999993</v>
      </c>
      <c r="J360">
        <v>65.13</v>
      </c>
      <c r="K360" s="3">
        <f t="shared" si="5"/>
        <v>69.739999999999995</v>
      </c>
      <c r="L360" t="s">
        <v>27</v>
      </c>
      <c r="M360" t="s">
        <v>27</v>
      </c>
      <c r="N360">
        <v>23</v>
      </c>
      <c r="O360" t="s">
        <v>28</v>
      </c>
      <c r="P360" t="s">
        <v>60</v>
      </c>
      <c r="Q360" t="s">
        <v>30</v>
      </c>
      <c r="R360">
        <v>466</v>
      </c>
      <c r="S360">
        <v>77.666666669999998</v>
      </c>
      <c r="T360" t="s">
        <v>33</v>
      </c>
      <c r="U360" t="s">
        <v>32</v>
      </c>
      <c r="V360" t="s">
        <v>33</v>
      </c>
      <c r="W360" t="s">
        <v>49</v>
      </c>
      <c r="X360" t="s">
        <v>34</v>
      </c>
      <c r="Y360" t="s">
        <v>58</v>
      </c>
      <c r="Z360" t="s">
        <v>44</v>
      </c>
      <c r="AA360" t="s">
        <v>91</v>
      </c>
      <c r="AB360" t="s">
        <v>46</v>
      </c>
      <c r="AC360">
        <f>IF(Cdacdata[[#This Row],[placement_status]]="Placed",1,0)</f>
        <v>1</v>
      </c>
      <c r="AD360" t="s">
        <v>160</v>
      </c>
      <c r="AE360" t="s">
        <v>75</v>
      </c>
      <c r="AF360" t="s">
        <v>39</v>
      </c>
      <c r="AG360">
        <v>2021</v>
      </c>
      <c r="AH360" t="s">
        <v>111</v>
      </c>
      <c r="AI360" t="str">
        <f>IF(Cdacdata[ccat_rank]&lt;=100,"Top 100",
IF(Cdacdata[ccat_rank]&lt;=500,"101–500",
IF(Cdacdata[ccat_rank]&lt;=1000,"501–1000",
"1000+")))</f>
        <v>501–1000</v>
      </c>
    </row>
    <row r="361" spans="1:35" x14ac:dyDescent="0.3">
      <c r="A361" s="1" t="s">
        <v>158</v>
      </c>
      <c r="B361">
        <v>210300682</v>
      </c>
      <c r="C361" s="2">
        <v>44316</v>
      </c>
      <c r="D361" s="2" t="s">
        <v>617</v>
      </c>
      <c r="E361">
        <v>1489</v>
      </c>
      <c r="F361" s="2">
        <v>34806</v>
      </c>
      <c r="G361">
        <v>92.73</v>
      </c>
      <c r="H361">
        <v>85</v>
      </c>
      <c r="I361" t="s">
        <v>26</v>
      </c>
      <c r="J361">
        <v>64.540000000000006</v>
      </c>
      <c r="K361" s="3">
        <f t="shared" si="5"/>
        <v>80.756666666666675</v>
      </c>
      <c r="L361" t="s">
        <v>27</v>
      </c>
      <c r="M361" t="s">
        <v>27</v>
      </c>
      <c r="N361">
        <v>26</v>
      </c>
      <c r="O361" t="s">
        <v>28</v>
      </c>
      <c r="P361" t="s">
        <v>60</v>
      </c>
      <c r="Q361" t="s">
        <v>30</v>
      </c>
      <c r="R361">
        <v>461</v>
      </c>
      <c r="S361">
        <v>76.833333330000002</v>
      </c>
      <c r="T361" t="s">
        <v>49</v>
      </c>
      <c r="U361" t="s">
        <v>32</v>
      </c>
      <c r="V361" t="s">
        <v>49</v>
      </c>
      <c r="W361" t="s">
        <v>33</v>
      </c>
      <c r="X361" t="s">
        <v>34</v>
      </c>
      <c r="Y361" t="s">
        <v>58</v>
      </c>
      <c r="Z361" t="s">
        <v>44</v>
      </c>
      <c r="AA361" t="s">
        <v>171</v>
      </c>
      <c r="AB361" t="s">
        <v>46</v>
      </c>
      <c r="AC361">
        <f>IF(Cdacdata[[#This Row],[placement_status]]="Placed",1,0)</f>
        <v>1</v>
      </c>
      <c r="AD361" t="s">
        <v>160</v>
      </c>
      <c r="AE361" t="s">
        <v>47</v>
      </c>
      <c r="AF361" t="s">
        <v>55</v>
      </c>
      <c r="AG361">
        <v>2021</v>
      </c>
      <c r="AH361" t="s">
        <v>111</v>
      </c>
      <c r="AI361" t="str">
        <f>IF(Cdacdata[ccat_rank]&lt;=100,"Top 100",
IF(Cdacdata[ccat_rank]&lt;=500,"101–500",
IF(Cdacdata[ccat_rank]&lt;=1000,"501–1000",
"1000+")))</f>
        <v>1000+</v>
      </c>
    </row>
    <row r="362" spans="1:35" x14ac:dyDescent="0.3">
      <c r="A362" s="1" t="s">
        <v>158</v>
      </c>
      <c r="B362">
        <v>210301418</v>
      </c>
      <c r="C362" s="2">
        <v>44315</v>
      </c>
      <c r="D362" s="2" t="s">
        <v>618</v>
      </c>
      <c r="E362">
        <v>224</v>
      </c>
      <c r="F362" s="2">
        <v>35994</v>
      </c>
      <c r="G362">
        <v>94</v>
      </c>
      <c r="H362">
        <v>86.31</v>
      </c>
      <c r="I362" t="s">
        <v>26</v>
      </c>
      <c r="J362">
        <v>72.88</v>
      </c>
      <c r="K362" s="3">
        <f t="shared" si="5"/>
        <v>84.396666666666661</v>
      </c>
      <c r="L362" t="s">
        <v>27</v>
      </c>
      <c r="M362" t="s">
        <v>27</v>
      </c>
      <c r="N362">
        <v>22</v>
      </c>
      <c r="O362" t="s">
        <v>28</v>
      </c>
      <c r="P362" t="s">
        <v>56</v>
      </c>
      <c r="Q362" t="s">
        <v>30</v>
      </c>
      <c r="R362">
        <v>501</v>
      </c>
      <c r="S362">
        <v>83.5</v>
      </c>
      <c r="T362" t="s">
        <v>49</v>
      </c>
      <c r="U362" t="s">
        <v>32</v>
      </c>
      <c r="V362" t="s">
        <v>49</v>
      </c>
      <c r="W362" t="s">
        <v>49</v>
      </c>
      <c r="X362" t="s">
        <v>34</v>
      </c>
      <c r="Y362" t="s">
        <v>58</v>
      </c>
      <c r="Z362" t="s">
        <v>44</v>
      </c>
      <c r="AA362" t="s">
        <v>167</v>
      </c>
      <c r="AB362" t="s">
        <v>46</v>
      </c>
      <c r="AC362">
        <f>IF(Cdacdata[[#This Row],[placement_status]]="Placed",1,0)</f>
        <v>1</v>
      </c>
      <c r="AD362" t="s">
        <v>160</v>
      </c>
      <c r="AE362" t="s">
        <v>75</v>
      </c>
      <c r="AF362" t="s">
        <v>57</v>
      </c>
      <c r="AG362">
        <v>2021</v>
      </c>
      <c r="AH362" t="s">
        <v>111</v>
      </c>
      <c r="AI362" t="str">
        <f>IF(Cdacdata[ccat_rank]&lt;=100,"Top 100",
IF(Cdacdata[ccat_rank]&lt;=500,"101–500",
IF(Cdacdata[ccat_rank]&lt;=1000,"501–1000",
"1000+")))</f>
        <v>101–500</v>
      </c>
    </row>
    <row r="363" spans="1:35" x14ac:dyDescent="0.3">
      <c r="A363" s="1" t="s">
        <v>158</v>
      </c>
      <c r="B363">
        <v>210302284</v>
      </c>
      <c r="C363" s="2">
        <v>44315</v>
      </c>
      <c r="D363" s="2" t="s">
        <v>619</v>
      </c>
      <c r="E363">
        <v>1320</v>
      </c>
      <c r="F363" s="2">
        <v>35365</v>
      </c>
      <c r="G363">
        <v>80.91</v>
      </c>
      <c r="H363">
        <v>62.92</v>
      </c>
      <c r="I363" t="s">
        <v>26</v>
      </c>
      <c r="J363">
        <v>54.17</v>
      </c>
      <c r="K363" s="3">
        <f t="shared" si="5"/>
        <v>66</v>
      </c>
      <c r="L363" t="s">
        <v>27</v>
      </c>
      <c r="M363" t="s">
        <v>41</v>
      </c>
      <c r="N363">
        <v>24</v>
      </c>
      <c r="O363" t="s">
        <v>72</v>
      </c>
      <c r="P363" t="s">
        <v>60</v>
      </c>
      <c r="Q363" t="s">
        <v>30</v>
      </c>
      <c r="R363">
        <v>429</v>
      </c>
      <c r="S363">
        <v>71.5</v>
      </c>
      <c r="T363" t="s">
        <v>49</v>
      </c>
      <c r="U363" t="s">
        <v>32</v>
      </c>
      <c r="V363" t="s">
        <v>49</v>
      </c>
      <c r="W363" t="s">
        <v>49</v>
      </c>
      <c r="X363" t="s">
        <v>34</v>
      </c>
      <c r="Y363" t="s">
        <v>58</v>
      </c>
      <c r="Z363" t="s">
        <v>44</v>
      </c>
      <c r="AA363" t="s">
        <v>112</v>
      </c>
      <c r="AB363" t="s">
        <v>46</v>
      </c>
      <c r="AC363">
        <f>IF(Cdacdata[[#This Row],[placement_status]]="Placed",1,0)</f>
        <v>1</v>
      </c>
      <c r="AD363" t="s">
        <v>160</v>
      </c>
      <c r="AE363" t="s">
        <v>47</v>
      </c>
      <c r="AF363" t="s">
        <v>39</v>
      </c>
      <c r="AG363">
        <v>2021</v>
      </c>
      <c r="AH363" t="s">
        <v>111</v>
      </c>
      <c r="AI363" t="str">
        <f>IF(Cdacdata[ccat_rank]&lt;=100,"Top 100",
IF(Cdacdata[ccat_rank]&lt;=500,"101–500",
IF(Cdacdata[ccat_rank]&lt;=1000,"501–1000",
"1000+")))</f>
        <v>1000+</v>
      </c>
    </row>
    <row r="364" spans="1:35" x14ac:dyDescent="0.3">
      <c r="A364" s="1" t="s">
        <v>158</v>
      </c>
      <c r="B364">
        <v>210305619</v>
      </c>
      <c r="C364" s="2">
        <v>44315</v>
      </c>
      <c r="D364" s="2" t="s">
        <v>620</v>
      </c>
      <c r="E364">
        <v>1070</v>
      </c>
      <c r="F364" s="2">
        <v>35427</v>
      </c>
      <c r="G364">
        <v>77.819999999999993</v>
      </c>
      <c r="H364">
        <v>67.849999999999994</v>
      </c>
      <c r="I364" t="s">
        <v>26</v>
      </c>
      <c r="J364">
        <v>64.930000000000007</v>
      </c>
      <c r="K364" s="3">
        <f t="shared" si="5"/>
        <v>70.2</v>
      </c>
      <c r="L364" t="s">
        <v>27</v>
      </c>
      <c r="M364" t="s">
        <v>27</v>
      </c>
      <c r="N364">
        <v>24</v>
      </c>
      <c r="O364" t="s">
        <v>28</v>
      </c>
      <c r="P364" t="s">
        <v>60</v>
      </c>
      <c r="Q364" t="s">
        <v>30</v>
      </c>
      <c r="R364">
        <v>458</v>
      </c>
      <c r="S364">
        <v>76.333333330000002</v>
      </c>
      <c r="T364" t="s">
        <v>49</v>
      </c>
      <c r="U364" t="s">
        <v>32</v>
      </c>
      <c r="V364" t="s">
        <v>49</v>
      </c>
      <c r="W364" t="s">
        <v>31</v>
      </c>
      <c r="X364" t="s">
        <v>34</v>
      </c>
      <c r="Y364" t="s">
        <v>58</v>
      </c>
      <c r="Z364" t="s">
        <v>44</v>
      </c>
      <c r="AA364" t="s">
        <v>91</v>
      </c>
      <c r="AB364" t="s">
        <v>46</v>
      </c>
      <c r="AC364">
        <f>IF(Cdacdata[[#This Row],[placement_status]]="Placed",1,0)</f>
        <v>1</v>
      </c>
      <c r="AD364" t="s">
        <v>160</v>
      </c>
      <c r="AE364" t="s">
        <v>47</v>
      </c>
      <c r="AF364" t="s">
        <v>39</v>
      </c>
      <c r="AG364">
        <v>2021</v>
      </c>
      <c r="AH364" t="s">
        <v>111</v>
      </c>
      <c r="AI364" t="str">
        <f>IF(Cdacdata[ccat_rank]&lt;=100,"Top 100",
IF(Cdacdata[ccat_rank]&lt;=500,"101–500",
IF(Cdacdata[ccat_rank]&lt;=1000,"501–1000",
"1000+")))</f>
        <v>1000+</v>
      </c>
    </row>
    <row r="365" spans="1:35" x14ac:dyDescent="0.3">
      <c r="A365" s="1" t="s">
        <v>158</v>
      </c>
      <c r="B365">
        <v>210301142</v>
      </c>
      <c r="C365" s="2">
        <v>44315</v>
      </c>
      <c r="D365" s="2" t="s">
        <v>621</v>
      </c>
      <c r="E365">
        <v>22</v>
      </c>
      <c r="F365" s="2">
        <v>35172</v>
      </c>
      <c r="G365">
        <v>85.64</v>
      </c>
      <c r="H365" t="s">
        <v>26</v>
      </c>
      <c r="I365">
        <v>75</v>
      </c>
      <c r="J365">
        <v>64.98</v>
      </c>
      <c r="K365" s="3">
        <f t="shared" si="5"/>
        <v>75.206666666666663</v>
      </c>
      <c r="L365" t="s">
        <v>27</v>
      </c>
      <c r="M365" t="s">
        <v>41</v>
      </c>
      <c r="N365">
        <v>25</v>
      </c>
      <c r="O365" t="s">
        <v>28</v>
      </c>
      <c r="P365" t="s">
        <v>26</v>
      </c>
      <c r="Q365" t="s">
        <v>30</v>
      </c>
      <c r="R365">
        <v>507</v>
      </c>
      <c r="S365">
        <v>84.5</v>
      </c>
      <c r="T365" t="s">
        <v>33</v>
      </c>
      <c r="U365" t="s">
        <v>32</v>
      </c>
      <c r="V365" t="s">
        <v>33</v>
      </c>
      <c r="W365" t="s">
        <v>49</v>
      </c>
      <c r="X365" t="s">
        <v>34</v>
      </c>
      <c r="Y365" t="s">
        <v>58</v>
      </c>
      <c r="Z365" t="s">
        <v>44</v>
      </c>
      <c r="AA365" t="s">
        <v>171</v>
      </c>
      <c r="AB365" t="s">
        <v>46</v>
      </c>
      <c r="AC365">
        <f>IF(Cdacdata[[#This Row],[placement_status]]="Placed",1,0)</f>
        <v>1</v>
      </c>
      <c r="AD365" t="s">
        <v>160</v>
      </c>
      <c r="AE365" t="s">
        <v>75</v>
      </c>
      <c r="AF365" t="s">
        <v>39</v>
      </c>
      <c r="AG365">
        <v>2021</v>
      </c>
      <c r="AH365" t="s">
        <v>111</v>
      </c>
      <c r="AI365" t="str">
        <f>IF(Cdacdata[ccat_rank]&lt;=100,"Top 100",
IF(Cdacdata[ccat_rank]&lt;=500,"101–500",
IF(Cdacdata[ccat_rank]&lt;=1000,"501–1000",
"1000+")))</f>
        <v>Top 100</v>
      </c>
    </row>
    <row r="366" spans="1:35" x14ac:dyDescent="0.3">
      <c r="A366" s="1" t="s">
        <v>158</v>
      </c>
      <c r="B366">
        <v>210303073</v>
      </c>
      <c r="C366" s="2">
        <v>44319</v>
      </c>
      <c r="D366" s="2" t="s">
        <v>622</v>
      </c>
      <c r="E366">
        <v>855</v>
      </c>
      <c r="F366" s="2">
        <v>34544</v>
      </c>
      <c r="G366">
        <v>83.27</v>
      </c>
      <c r="H366">
        <v>77</v>
      </c>
      <c r="I366" t="s">
        <v>26</v>
      </c>
      <c r="J366">
        <v>52.24</v>
      </c>
      <c r="K366" s="3">
        <f t="shared" si="5"/>
        <v>70.836666666666659</v>
      </c>
      <c r="L366" t="s">
        <v>27</v>
      </c>
      <c r="M366" t="s">
        <v>27</v>
      </c>
      <c r="N366">
        <v>26</v>
      </c>
      <c r="O366" t="s">
        <v>72</v>
      </c>
      <c r="P366" t="s">
        <v>26</v>
      </c>
      <c r="Q366" t="s">
        <v>30</v>
      </c>
      <c r="R366">
        <v>460</v>
      </c>
      <c r="S366">
        <v>76.666666669999998</v>
      </c>
      <c r="T366" t="s">
        <v>33</v>
      </c>
      <c r="U366" t="s">
        <v>32</v>
      </c>
      <c r="V366" t="s">
        <v>33</v>
      </c>
      <c r="W366" t="s">
        <v>33</v>
      </c>
      <c r="X366" t="s">
        <v>34</v>
      </c>
      <c r="Y366" t="s">
        <v>58</v>
      </c>
      <c r="Z366" t="s">
        <v>44</v>
      </c>
      <c r="AA366" t="s">
        <v>172</v>
      </c>
      <c r="AB366" t="s">
        <v>46</v>
      </c>
      <c r="AC366">
        <f>IF(Cdacdata[[#This Row],[placement_status]]="Placed",1,0)</f>
        <v>1</v>
      </c>
      <c r="AD366" t="s">
        <v>160</v>
      </c>
      <c r="AE366" t="s">
        <v>75</v>
      </c>
      <c r="AF366" t="s">
        <v>55</v>
      </c>
      <c r="AG366">
        <v>2021</v>
      </c>
      <c r="AH366" t="s">
        <v>111</v>
      </c>
      <c r="AI366" t="str">
        <f>IF(Cdacdata[ccat_rank]&lt;=100,"Top 100",
IF(Cdacdata[ccat_rank]&lt;=500,"101–500",
IF(Cdacdata[ccat_rank]&lt;=1000,"501–1000",
"1000+")))</f>
        <v>501–1000</v>
      </c>
    </row>
    <row r="367" spans="1:35" x14ac:dyDescent="0.3">
      <c r="A367" s="1" t="s">
        <v>158</v>
      </c>
      <c r="B367">
        <v>210300810</v>
      </c>
      <c r="C367" s="2">
        <v>44315</v>
      </c>
      <c r="D367" s="2" t="s">
        <v>623</v>
      </c>
      <c r="E367">
        <v>978</v>
      </c>
      <c r="F367" s="2">
        <v>35815</v>
      </c>
      <c r="G367">
        <v>79.09</v>
      </c>
      <c r="H367">
        <v>52.35</v>
      </c>
      <c r="I367">
        <v>71.34</v>
      </c>
      <c r="J367">
        <v>61.63</v>
      </c>
      <c r="K367" s="3">
        <f t="shared" si="5"/>
        <v>66.102500000000006</v>
      </c>
      <c r="L367" t="s">
        <v>27</v>
      </c>
      <c r="M367" t="s">
        <v>27</v>
      </c>
      <c r="N367">
        <v>23</v>
      </c>
      <c r="O367" t="s">
        <v>28</v>
      </c>
      <c r="P367" t="s">
        <v>29</v>
      </c>
      <c r="Q367" t="s">
        <v>30</v>
      </c>
      <c r="R367">
        <v>395</v>
      </c>
      <c r="S367">
        <v>65.833333330000002</v>
      </c>
      <c r="T367" t="s">
        <v>49</v>
      </c>
      <c r="U367" t="s">
        <v>32</v>
      </c>
      <c r="V367" t="s">
        <v>49</v>
      </c>
      <c r="W367" t="s">
        <v>49</v>
      </c>
      <c r="X367" t="s">
        <v>34</v>
      </c>
      <c r="Y367" t="s">
        <v>50</v>
      </c>
      <c r="Z367" t="s">
        <v>44</v>
      </c>
      <c r="AA367" t="s">
        <v>165</v>
      </c>
      <c r="AB367" t="s">
        <v>46</v>
      </c>
      <c r="AC367">
        <f>IF(Cdacdata[[#This Row],[placement_status]]="Placed",1,0)</f>
        <v>1</v>
      </c>
      <c r="AD367" t="s">
        <v>160</v>
      </c>
      <c r="AE367" t="s">
        <v>75</v>
      </c>
      <c r="AF367" t="s">
        <v>39</v>
      </c>
      <c r="AG367">
        <v>2021</v>
      </c>
      <c r="AH367" t="s">
        <v>111</v>
      </c>
      <c r="AI367" t="str">
        <f>IF(Cdacdata[ccat_rank]&lt;=100,"Top 100",
IF(Cdacdata[ccat_rank]&lt;=500,"101–500",
IF(Cdacdata[ccat_rank]&lt;=1000,"501–1000",
"1000+")))</f>
        <v>501–1000</v>
      </c>
    </row>
    <row r="368" spans="1:35" x14ac:dyDescent="0.3">
      <c r="A368" s="1" t="s">
        <v>158</v>
      </c>
      <c r="B368">
        <v>210301606</v>
      </c>
      <c r="C368" s="2">
        <v>44316</v>
      </c>
      <c r="D368" s="2" t="s">
        <v>624</v>
      </c>
      <c r="E368">
        <v>905</v>
      </c>
      <c r="F368" s="2">
        <v>35609</v>
      </c>
      <c r="G368">
        <v>95</v>
      </c>
      <c r="H368">
        <v>92.8</v>
      </c>
      <c r="I368" t="s">
        <v>26</v>
      </c>
      <c r="J368">
        <v>68.900000000000006</v>
      </c>
      <c r="K368" s="3">
        <f t="shared" si="5"/>
        <v>85.566666666666677</v>
      </c>
      <c r="L368" t="s">
        <v>27</v>
      </c>
      <c r="M368" t="s">
        <v>27</v>
      </c>
      <c r="N368">
        <v>23</v>
      </c>
      <c r="O368" t="s">
        <v>28</v>
      </c>
      <c r="P368" t="s">
        <v>56</v>
      </c>
      <c r="Q368" t="s">
        <v>43</v>
      </c>
      <c r="R368">
        <v>539</v>
      </c>
      <c r="S368">
        <v>89.833333330000002</v>
      </c>
      <c r="T368" t="s">
        <v>49</v>
      </c>
      <c r="U368" t="s">
        <v>32</v>
      </c>
      <c r="V368" t="s">
        <v>49</v>
      </c>
      <c r="W368" t="s">
        <v>49</v>
      </c>
      <c r="X368" t="s">
        <v>34</v>
      </c>
      <c r="Y368" t="s">
        <v>94</v>
      </c>
      <c r="Z368" t="s">
        <v>44</v>
      </c>
      <c r="AA368" t="s">
        <v>159</v>
      </c>
      <c r="AB368" t="s">
        <v>46</v>
      </c>
      <c r="AC368">
        <f>IF(Cdacdata[[#This Row],[placement_status]]="Placed",1,0)</f>
        <v>1</v>
      </c>
      <c r="AD368" t="s">
        <v>160</v>
      </c>
      <c r="AE368" t="s">
        <v>75</v>
      </c>
      <c r="AF368" t="s">
        <v>39</v>
      </c>
      <c r="AG368">
        <v>2021</v>
      </c>
      <c r="AH368" t="s">
        <v>111</v>
      </c>
      <c r="AI368" t="str">
        <f>IF(Cdacdata[ccat_rank]&lt;=100,"Top 100",
IF(Cdacdata[ccat_rank]&lt;=500,"101–500",
IF(Cdacdata[ccat_rank]&lt;=1000,"501–1000",
"1000+")))</f>
        <v>501–1000</v>
      </c>
    </row>
    <row r="369" spans="1:35" x14ac:dyDescent="0.3">
      <c r="A369" s="1" t="s">
        <v>158</v>
      </c>
      <c r="B369">
        <v>210301876</v>
      </c>
      <c r="C369" s="2">
        <v>44315</v>
      </c>
      <c r="D369" s="2" t="s">
        <v>625</v>
      </c>
      <c r="E369">
        <v>1428</v>
      </c>
      <c r="F369" s="2">
        <v>36070</v>
      </c>
      <c r="G369">
        <v>85.6</v>
      </c>
      <c r="H369">
        <v>73.849999999999994</v>
      </c>
      <c r="I369" t="s">
        <v>26</v>
      </c>
      <c r="J369">
        <v>74</v>
      </c>
      <c r="K369" s="3">
        <f t="shared" si="5"/>
        <v>77.816666666666663</v>
      </c>
      <c r="L369" t="s">
        <v>27</v>
      </c>
      <c r="M369" t="s">
        <v>27</v>
      </c>
      <c r="N369">
        <v>22</v>
      </c>
      <c r="O369" t="s">
        <v>28</v>
      </c>
      <c r="P369" t="s">
        <v>26</v>
      </c>
      <c r="Q369" t="s">
        <v>30</v>
      </c>
      <c r="R369">
        <v>387</v>
      </c>
      <c r="S369">
        <v>64.5</v>
      </c>
      <c r="T369" t="s">
        <v>33</v>
      </c>
      <c r="U369" t="s">
        <v>32</v>
      </c>
      <c r="V369" t="s">
        <v>33</v>
      </c>
      <c r="W369" t="s">
        <v>49</v>
      </c>
      <c r="X369" t="s">
        <v>34</v>
      </c>
      <c r="Y369" t="s">
        <v>50</v>
      </c>
      <c r="Z369" t="s">
        <v>44</v>
      </c>
      <c r="AA369" t="s">
        <v>163</v>
      </c>
      <c r="AB369" t="s">
        <v>46</v>
      </c>
      <c r="AC369">
        <f>IF(Cdacdata[[#This Row],[placement_status]]="Placed",1,0)</f>
        <v>1</v>
      </c>
      <c r="AD369" t="s">
        <v>160</v>
      </c>
      <c r="AE369" t="s">
        <v>47</v>
      </c>
      <c r="AF369" t="s">
        <v>57</v>
      </c>
      <c r="AG369">
        <v>2021</v>
      </c>
      <c r="AH369" t="s">
        <v>111</v>
      </c>
      <c r="AI369" t="str">
        <f>IF(Cdacdata[ccat_rank]&lt;=100,"Top 100",
IF(Cdacdata[ccat_rank]&lt;=500,"101–500",
IF(Cdacdata[ccat_rank]&lt;=1000,"501–1000",
"1000+")))</f>
        <v>1000+</v>
      </c>
    </row>
    <row r="370" spans="1:35" x14ac:dyDescent="0.3">
      <c r="A370" s="1" t="s">
        <v>158</v>
      </c>
      <c r="B370">
        <v>210304538</v>
      </c>
      <c r="C370" s="2">
        <v>44319</v>
      </c>
      <c r="D370" s="2" t="s">
        <v>626</v>
      </c>
      <c r="E370">
        <v>1047</v>
      </c>
      <c r="F370" s="2">
        <v>34443</v>
      </c>
      <c r="G370">
        <v>92.73</v>
      </c>
      <c r="H370" t="s">
        <v>26</v>
      </c>
      <c r="I370">
        <v>81.25</v>
      </c>
      <c r="J370">
        <v>70.8</v>
      </c>
      <c r="K370" s="3">
        <f t="shared" si="5"/>
        <v>81.593333333333348</v>
      </c>
      <c r="L370" t="s">
        <v>27</v>
      </c>
      <c r="M370" t="s">
        <v>27</v>
      </c>
      <c r="N370">
        <v>27</v>
      </c>
      <c r="O370" t="s">
        <v>28</v>
      </c>
      <c r="P370" t="s">
        <v>65</v>
      </c>
      <c r="Q370" t="s">
        <v>30</v>
      </c>
      <c r="R370">
        <v>389</v>
      </c>
      <c r="S370">
        <v>64.833333330000002</v>
      </c>
      <c r="T370" t="s">
        <v>31</v>
      </c>
      <c r="U370" t="s">
        <v>32</v>
      </c>
      <c r="V370" t="s">
        <v>31</v>
      </c>
      <c r="W370" t="s">
        <v>33</v>
      </c>
      <c r="X370" t="s">
        <v>34</v>
      </c>
      <c r="Y370" t="s">
        <v>50</v>
      </c>
      <c r="Z370" t="s">
        <v>44</v>
      </c>
      <c r="AA370" t="s">
        <v>93</v>
      </c>
      <c r="AB370" t="s">
        <v>46</v>
      </c>
      <c r="AC370">
        <f>IF(Cdacdata[[#This Row],[placement_status]]="Placed",1,0)</f>
        <v>1</v>
      </c>
      <c r="AD370" t="s">
        <v>160</v>
      </c>
      <c r="AE370" t="s">
        <v>47</v>
      </c>
      <c r="AF370" t="s">
        <v>55</v>
      </c>
      <c r="AG370">
        <v>2021</v>
      </c>
      <c r="AH370" t="s">
        <v>111</v>
      </c>
      <c r="AI370" t="str">
        <f>IF(Cdacdata[ccat_rank]&lt;=100,"Top 100",
IF(Cdacdata[ccat_rank]&lt;=500,"101–500",
IF(Cdacdata[ccat_rank]&lt;=1000,"501–1000",
"1000+")))</f>
        <v>1000+</v>
      </c>
    </row>
    <row r="371" spans="1:35" x14ac:dyDescent="0.3">
      <c r="A371" s="1" t="s">
        <v>158</v>
      </c>
      <c r="B371">
        <v>210303737</v>
      </c>
      <c r="C371" s="2"/>
      <c r="D371" s="2"/>
      <c r="E371" t="s">
        <v>63</v>
      </c>
      <c r="G371">
        <v>0</v>
      </c>
      <c r="H371">
        <v>0</v>
      </c>
      <c r="I371">
        <v>0</v>
      </c>
      <c r="J371">
        <v>0</v>
      </c>
      <c r="K371" s="3">
        <f t="shared" si="5"/>
        <v>0</v>
      </c>
      <c r="L371" t="s">
        <v>27</v>
      </c>
      <c r="M371" t="s">
        <v>27</v>
      </c>
      <c r="N371">
        <v>23</v>
      </c>
      <c r="O371" t="s">
        <v>373</v>
      </c>
      <c r="P371" t="s">
        <v>26</v>
      </c>
      <c r="Q371" t="s">
        <v>374</v>
      </c>
      <c r="R371">
        <v>452</v>
      </c>
      <c r="S371">
        <v>75.333333330000002</v>
      </c>
      <c r="T371" t="s">
        <v>33</v>
      </c>
      <c r="U371" t="s">
        <v>32</v>
      </c>
      <c r="V371" t="s">
        <v>33</v>
      </c>
      <c r="W371" t="s">
        <v>33</v>
      </c>
      <c r="X371" t="s">
        <v>34</v>
      </c>
      <c r="Y371" t="s">
        <v>58</v>
      </c>
      <c r="Z371" t="s">
        <v>44</v>
      </c>
      <c r="AA371" t="s">
        <v>99</v>
      </c>
      <c r="AB371" t="s">
        <v>46</v>
      </c>
      <c r="AC371">
        <f>IF(Cdacdata[[#This Row],[placement_status]]="Placed",1,0)</f>
        <v>1</v>
      </c>
      <c r="AD371" t="s">
        <v>160</v>
      </c>
      <c r="AE371" t="s">
        <v>63</v>
      </c>
      <c r="AF371" t="s">
        <v>63</v>
      </c>
      <c r="AG371">
        <v>2021</v>
      </c>
      <c r="AH371" t="s">
        <v>111</v>
      </c>
      <c r="AI371" t="str">
        <f>IF(Cdacdata[ccat_rank]&lt;=100,"Top 100",
IF(Cdacdata[ccat_rank]&lt;=500,"101–500",
IF(Cdacdata[ccat_rank]&lt;=1000,"501–1000",
"1000+")))</f>
        <v>1000+</v>
      </c>
    </row>
    <row r="372" spans="1:35" x14ac:dyDescent="0.3">
      <c r="A372" s="1" t="s">
        <v>158</v>
      </c>
      <c r="B372">
        <v>210304969</v>
      </c>
      <c r="C372" s="2">
        <v>44316</v>
      </c>
      <c r="D372" s="2" t="s">
        <v>627</v>
      </c>
      <c r="E372">
        <v>1366</v>
      </c>
      <c r="F372" s="2">
        <v>35014</v>
      </c>
      <c r="G372">
        <v>66</v>
      </c>
      <c r="H372">
        <v>55.85</v>
      </c>
      <c r="I372" t="s">
        <v>26</v>
      </c>
      <c r="J372">
        <v>0</v>
      </c>
      <c r="K372" s="3">
        <f t="shared" si="5"/>
        <v>40.616666666666667</v>
      </c>
      <c r="L372" t="s">
        <v>27</v>
      </c>
      <c r="M372" t="s">
        <v>27</v>
      </c>
      <c r="N372">
        <v>25</v>
      </c>
      <c r="O372" t="s">
        <v>62</v>
      </c>
      <c r="P372" t="s">
        <v>65</v>
      </c>
      <c r="Q372" t="s">
        <v>30</v>
      </c>
      <c r="R372">
        <v>368</v>
      </c>
      <c r="S372">
        <v>61.333333330000002</v>
      </c>
      <c r="T372" t="s">
        <v>31</v>
      </c>
      <c r="U372" t="s">
        <v>32</v>
      </c>
      <c r="V372" t="s">
        <v>31</v>
      </c>
      <c r="W372" t="s">
        <v>33</v>
      </c>
      <c r="X372" t="s">
        <v>34</v>
      </c>
      <c r="Y372" t="s">
        <v>50</v>
      </c>
      <c r="Z372" t="s">
        <v>44</v>
      </c>
      <c r="AA372" t="s">
        <v>172</v>
      </c>
      <c r="AB372" t="s">
        <v>46</v>
      </c>
      <c r="AC372">
        <f>IF(Cdacdata[[#This Row],[placement_status]]="Placed",1,0)</f>
        <v>1</v>
      </c>
      <c r="AD372" t="s">
        <v>160</v>
      </c>
      <c r="AE372" t="s">
        <v>47</v>
      </c>
      <c r="AF372" t="s">
        <v>39</v>
      </c>
      <c r="AG372">
        <v>2021</v>
      </c>
      <c r="AH372" t="s">
        <v>111</v>
      </c>
      <c r="AI372" t="str">
        <f>IF(Cdacdata[ccat_rank]&lt;=100,"Top 100",
IF(Cdacdata[ccat_rank]&lt;=500,"101–500",
IF(Cdacdata[ccat_rank]&lt;=1000,"501–1000",
"1000+")))</f>
        <v>1000+</v>
      </c>
    </row>
    <row r="373" spans="1:35" x14ac:dyDescent="0.3">
      <c r="A373" s="1" t="s">
        <v>158</v>
      </c>
      <c r="B373">
        <v>210304900</v>
      </c>
      <c r="C373" s="2">
        <v>44315</v>
      </c>
      <c r="D373" s="2" t="s">
        <v>628</v>
      </c>
      <c r="E373">
        <v>1505</v>
      </c>
      <c r="F373" s="2">
        <v>35757</v>
      </c>
      <c r="G373">
        <v>82</v>
      </c>
      <c r="H373">
        <v>64.92</v>
      </c>
      <c r="I373" t="s">
        <v>26</v>
      </c>
      <c r="J373">
        <v>53.39</v>
      </c>
      <c r="K373" s="3">
        <f t="shared" si="5"/>
        <v>66.77</v>
      </c>
      <c r="L373" t="s">
        <v>27</v>
      </c>
      <c r="M373" t="s">
        <v>27</v>
      </c>
      <c r="N373">
        <v>23</v>
      </c>
      <c r="O373" t="s">
        <v>72</v>
      </c>
      <c r="P373" t="s">
        <v>26</v>
      </c>
      <c r="Q373" t="s">
        <v>26</v>
      </c>
      <c r="R373">
        <v>445</v>
      </c>
      <c r="S373">
        <v>74.166666669999998</v>
      </c>
      <c r="T373" t="s">
        <v>49</v>
      </c>
      <c r="U373" t="s">
        <v>32</v>
      </c>
      <c r="V373" t="s">
        <v>49</v>
      </c>
      <c r="W373" t="s">
        <v>33</v>
      </c>
      <c r="X373" t="s">
        <v>34</v>
      </c>
      <c r="Y373" t="s">
        <v>58</v>
      </c>
      <c r="Z373" t="s">
        <v>44</v>
      </c>
      <c r="AA373" t="s">
        <v>87</v>
      </c>
      <c r="AB373" t="s">
        <v>46</v>
      </c>
      <c r="AC373">
        <f>IF(Cdacdata[[#This Row],[placement_status]]="Placed",1,0)</f>
        <v>1</v>
      </c>
      <c r="AD373" t="s">
        <v>160</v>
      </c>
      <c r="AE373" t="s">
        <v>47</v>
      </c>
      <c r="AF373" t="s">
        <v>39</v>
      </c>
      <c r="AG373">
        <v>2021</v>
      </c>
      <c r="AH373" t="s">
        <v>111</v>
      </c>
      <c r="AI373" t="str">
        <f>IF(Cdacdata[ccat_rank]&lt;=100,"Top 100",
IF(Cdacdata[ccat_rank]&lt;=500,"101–500",
IF(Cdacdata[ccat_rank]&lt;=1000,"501–1000",
"1000+")))</f>
        <v>1000+</v>
      </c>
    </row>
    <row r="374" spans="1:35" x14ac:dyDescent="0.3">
      <c r="A374" s="1" t="s">
        <v>158</v>
      </c>
      <c r="B374">
        <v>210301182</v>
      </c>
      <c r="C374" s="2">
        <v>44315</v>
      </c>
      <c r="D374" s="2" t="s">
        <v>629</v>
      </c>
      <c r="E374">
        <v>171</v>
      </c>
      <c r="F374" s="2">
        <v>36076</v>
      </c>
      <c r="G374">
        <v>85.6</v>
      </c>
      <c r="H374">
        <v>64.150000000000006</v>
      </c>
      <c r="I374" t="s">
        <v>26</v>
      </c>
      <c r="J374">
        <v>78.48</v>
      </c>
      <c r="K374" s="3">
        <f t="shared" si="5"/>
        <v>76.076666666666668</v>
      </c>
      <c r="L374" t="s">
        <v>27</v>
      </c>
      <c r="M374" t="s">
        <v>27</v>
      </c>
      <c r="N374">
        <v>22</v>
      </c>
      <c r="O374" t="s">
        <v>48</v>
      </c>
      <c r="P374" t="s">
        <v>26</v>
      </c>
      <c r="Q374" t="s">
        <v>30</v>
      </c>
      <c r="R374">
        <v>466</v>
      </c>
      <c r="S374">
        <v>77.666666669999998</v>
      </c>
      <c r="T374" t="s">
        <v>49</v>
      </c>
      <c r="U374" t="s">
        <v>32</v>
      </c>
      <c r="V374" t="s">
        <v>49</v>
      </c>
      <c r="W374" t="s">
        <v>49</v>
      </c>
      <c r="X374" t="s">
        <v>34</v>
      </c>
      <c r="Y374" t="s">
        <v>58</v>
      </c>
      <c r="Z374" t="s">
        <v>44</v>
      </c>
      <c r="AA374" t="s">
        <v>117</v>
      </c>
      <c r="AB374" t="s">
        <v>46</v>
      </c>
      <c r="AC374">
        <f>IF(Cdacdata[[#This Row],[placement_status]]="Placed",1,0)</f>
        <v>1</v>
      </c>
      <c r="AD374" t="s">
        <v>160</v>
      </c>
      <c r="AE374" t="s">
        <v>75</v>
      </c>
      <c r="AF374" t="s">
        <v>57</v>
      </c>
      <c r="AG374">
        <v>2021</v>
      </c>
      <c r="AH374" t="s">
        <v>111</v>
      </c>
      <c r="AI374" t="str">
        <f>IF(Cdacdata[ccat_rank]&lt;=100,"Top 100",
IF(Cdacdata[ccat_rank]&lt;=500,"101–500",
IF(Cdacdata[ccat_rank]&lt;=1000,"501–1000",
"1000+")))</f>
        <v>101–500</v>
      </c>
    </row>
    <row r="375" spans="1:35" x14ac:dyDescent="0.3">
      <c r="A375" s="1" t="s">
        <v>158</v>
      </c>
      <c r="B375">
        <v>210301965</v>
      </c>
      <c r="C375" s="2">
        <v>44315</v>
      </c>
      <c r="D375" s="2" t="s">
        <v>630</v>
      </c>
      <c r="E375">
        <v>1489</v>
      </c>
      <c r="F375" s="2">
        <v>34284</v>
      </c>
      <c r="G375">
        <v>88.76</v>
      </c>
      <c r="H375">
        <v>70</v>
      </c>
      <c r="I375" t="s">
        <v>26</v>
      </c>
      <c r="J375">
        <v>61.73</v>
      </c>
      <c r="K375" s="3">
        <f t="shared" si="5"/>
        <v>73.496666666666655</v>
      </c>
      <c r="L375" t="s">
        <v>41</v>
      </c>
      <c r="M375" t="s">
        <v>27</v>
      </c>
      <c r="N375">
        <v>27</v>
      </c>
      <c r="O375" t="s">
        <v>28</v>
      </c>
      <c r="P375" t="s">
        <v>60</v>
      </c>
      <c r="Q375" t="s">
        <v>30</v>
      </c>
      <c r="R375">
        <v>484</v>
      </c>
      <c r="S375">
        <v>80.666666669999998</v>
      </c>
      <c r="T375" t="s">
        <v>49</v>
      </c>
      <c r="U375" t="s">
        <v>32</v>
      </c>
      <c r="V375" t="s">
        <v>49</v>
      </c>
      <c r="W375" t="s">
        <v>33</v>
      </c>
      <c r="X375" t="s">
        <v>34</v>
      </c>
      <c r="Y375" t="s">
        <v>58</v>
      </c>
      <c r="Z375" t="s">
        <v>44</v>
      </c>
      <c r="AA375" t="s">
        <v>171</v>
      </c>
      <c r="AB375" t="s">
        <v>46</v>
      </c>
      <c r="AC375">
        <f>IF(Cdacdata[[#This Row],[placement_status]]="Placed",1,0)</f>
        <v>1</v>
      </c>
      <c r="AD375" t="s">
        <v>160</v>
      </c>
      <c r="AE375" t="s">
        <v>47</v>
      </c>
      <c r="AF375" t="s">
        <v>55</v>
      </c>
      <c r="AG375">
        <v>2021</v>
      </c>
      <c r="AH375" t="s">
        <v>111</v>
      </c>
      <c r="AI375" t="str">
        <f>IF(Cdacdata[ccat_rank]&lt;=100,"Top 100",
IF(Cdacdata[ccat_rank]&lt;=500,"101–500",
IF(Cdacdata[ccat_rank]&lt;=1000,"501–1000",
"1000+")))</f>
        <v>1000+</v>
      </c>
    </row>
    <row r="376" spans="1:35" x14ac:dyDescent="0.3">
      <c r="A376" s="1" t="s">
        <v>158</v>
      </c>
      <c r="B376">
        <v>210300696</v>
      </c>
      <c r="C376" s="2">
        <v>44315</v>
      </c>
      <c r="D376" s="2" t="s">
        <v>631</v>
      </c>
      <c r="E376">
        <v>1190</v>
      </c>
      <c r="F376" s="2">
        <v>33551</v>
      </c>
      <c r="G376">
        <v>76.92</v>
      </c>
      <c r="H376">
        <v>62.5</v>
      </c>
      <c r="I376" t="s">
        <v>26</v>
      </c>
      <c r="J376">
        <v>67.930000000000007</v>
      </c>
      <c r="K376" s="3">
        <f t="shared" si="5"/>
        <v>69.116666666666674</v>
      </c>
      <c r="L376" t="s">
        <v>27</v>
      </c>
      <c r="M376" t="s">
        <v>27</v>
      </c>
      <c r="N376">
        <v>29</v>
      </c>
      <c r="O376" t="s">
        <v>28</v>
      </c>
      <c r="P376" t="s">
        <v>56</v>
      </c>
      <c r="Q376" t="s">
        <v>30</v>
      </c>
      <c r="R376">
        <v>395</v>
      </c>
      <c r="S376">
        <v>65.833333330000002</v>
      </c>
      <c r="T376" t="s">
        <v>33</v>
      </c>
      <c r="U376" t="s">
        <v>32</v>
      </c>
      <c r="V376" t="s">
        <v>33</v>
      </c>
      <c r="W376" t="s">
        <v>33</v>
      </c>
      <c r="X376" t="s">
        <v>34</v>
      </c>
      <c r="Y376" t="s">
        <v>50</v>
      </c>
      <c r="Z376" t="s">
        <v>44</v>
      </c>
      <c r="AA376" t="s">
        <v>173</v>
      </c>
      <c r="AB376" t="s">
        <v>46</v>
      </c>
      <c r="AC376">
        <f>IF(Cdacdata[[#This Row],[placement_status]]="Placed",1,0)</f>
        <v>1</v>
      </c>
      <c r="AD376" t="s">
        <v>160</v>
      </c>
      <c r="AE376" t="s">
        <v>47</v>
      </c>
      <c r="AF376" t="s">
        <v>69</v>
      </c>
      <c r="AG376">
        <v>2021</v>
      </c>
      <c r="AH376" t="s">
        <v>111</v>
      </c>
      <c r="AI376" t="str">
        <f>IF(Cdacdata[ccat_rank]&lt;=100,"Top 100",
IF(Cdacdata[ccat_rank]&lt;=500,"101–500",
IF(Cdacdata[ccat_rank]&lt;=1000,"501–1000",
"1000+")))</f>
        <v>1000+</v>
      </c>
    </row>
    <row r="377" spans="1:35" x14ac:dyDescent="0.3">
      <c r="A377" s="1" t="s">
        <v>158</v>
      </c>
      <c r="B377">
        <v>210304584</v>
      </c>
      <c r="C377" s="2">
        <v>44315</v>
      </c>
      <c r="D377" s="2" t="s">
        <v>632</v>
      </c>
      <c r="E377">
        <v>1514</v>
      </c>
      <c r="F377" s="2">
        <v>35184</v>
      </c>
      <c r="G377">
        <v>89.64</v>
      </c>
      <c r="H377" t="s">
        <v>26</v>
      </c>
      <c r="I377">
        <v>76.47</v>
      </c>
      <c r="J377">
        <v>69.349999999999994</v>
      </c>
      <c r="K377" s="3">
        <f t="shared" si="5"/>
        <v>78.486666666666665</v>
      </c>
      <c r="L377" t="s">
        <v>27</v>
      </c>
      <c r="M377" t="s">
        <v>41</v>
      </c>
      <c r="N377">
        <v>25</v>
      </c>
      <c r="O377" t="s">
        <v>28</v>
      </c>
      <c r="P377" t="s">
        <v>26</v>
      </c>
      <c r="Q377" t="s">
        <v>30</v>
      </c>
      <c r="R377">
        <v>400</v>
      </c>
      <c r="S377">
        <v>66.666666669999998</v>
      </c>
      <c r="T377" t="s">
        <v>33</v>
      </c>
      <c r="U377" t="s">
        <v>32</v>
      </c>
      <c r="V377" t="s">
        <v>33</v>
      </c>
      <c r="W377" t="s">
        <v>33</v>
      </c>
      <c r="X377" t="s">
        <v>34</v>
      </c>
      <c r="Y377" t="s">
        <v>50</v>
      </c>
      <c r="Z377" t="s">
        <v>44</v>
      </c>
      <c r="AA377" t="s">
        <v>112</v>
      </c>
      <c r="AB377" t="s">
        <v>46</v>
      </c>
      <c r="AC377">
        <f>IF(Cdacdata[[#This Row],[placement_status]]="Placed",1,0)</f>
        <v>1</v>
      </c>
      <c r="AD377" t="s">
        <v>160</v>
      </c>
      <c r="AE377" t="s">
        <v>47</v>
      </c>
      <c r="AF377" t="s">
        <v>39</v>
      </c>
      <c r="AG377">
        <v>2021</v>
      </c>
      <c r="AH377" t="s">
        <v>111</v>
      </c>
      <c r="AI377" t="str">
        <f>IF(Cdacdata[ccat_rank]&lt;=100,"Top 100",
IF(Cdacdata[ccat_rank]&lt;=500,"101–500",
IF(Cdacdata[ccat_rank]&lt;=1000,"501–1000",
"1000+")))</f>
        <v>1000+</v>
      </c>
    </row>
    <row r="378" spans="1:35" x14ac:dyDescent="0.3">
      <c r="A378" s="1" t="s">
        <v>158</v>
      </c>
      <c r="B378">
        <v>210304783</v>
      </c>
      <c r="C378" s="2">
        <v>44316</v>
      </c>
      <c r="D378" s="2" t="s">
        <v>633</v>
      </c>
      <c r="E378">
        <v>814</v>
      </c>
      <c r="F378" s="2">
        <v>35085</v>
      </c>
      <c r="G378">
        <v>86</v>
      </c>
      <c r="H378">
        <v>68</v>
      </c>
      <c r="I378" t="s">
        <v>26</v>
      </c>
      <c r="J378">
        <v>59.26</v>
      </c>
      <c r="K378" s="3">
        <f t="shared" si="5"/>
        <v>71.086666666666659</v>
      </c>
      <c r="L378" t="s">
        <v>41</v>
      </c>
      <c r="M378" t="s">
        <v>27</v>
      </c>
      <c r="N378">
        <v>25</v>
      </c>
      <c r="O378" t="s">
        <v>62</v>
      </c>
      <c r="P378" t="s">
        <v>42</v>
      </c>
      <c r="Q378" t="s">
        <v>30</v>
      </c>
      <c r="R378">
        <v>478</v>
      </c>
      <c r="S378">
        <v>79.666666669999998</v>
      </c>
      <c r="T378" t="s">
        <v>49</v>
      </c>
      <c r="U378" t="s">
        <v>32</v>
      </c>
      <c r="V378" t="s">
        <v>49</v>
      </c>
      <c r="W378" t="s">
        <v>49</v>
      </c>
      <c r="X378" t="s">
        <v>34</v>
      </c>
      <c r="Y378" t="s">
        <v>58</v>
      </c>
      <c r="Z378" t="s">
        <v>44</v>
      </c>
      <c r="AA378" t="s">
        <v>174</v>
      </c>
      <c r="AB378" t="s">
        <v>46</v>
      </c>
      <c r="AC378">
        <f>IF(Cdacdata[[#This Row],[placement_status]]="Placed",1,0)</f>
        <v>1</v>
      </c>
      <c r="AD378" t="s">
        <v>160</v>
      </c>
      <c r="AE378" t="s">
        <v>75</v>
      </c>
      <c r="AF378" t="s">
        <v>39</v>
      </c>
      <c r="AG378">
        <v>2021</v>
      </c>
      <c r="AH378" t="s">
        <v>111</v>
      </c>
      <c r="AI378" t="str">
        <f>IF(Cdacdata[ccat_rank]&lt;=100,"Top 100",
IF(Cdacdata[ccat_rank]&lt;=500,"101–500",
IF(Cdacdata[ccat_rank]&lt;=1000,"501–1000",
"1000+")))</f>
        <v>501–1000</v>
      </c>
    </row>
    <row r="379" spans="1:35" x14ac:dyDescent="0.3">
      <c r="A379" s="1" t="s">
        <v>158</v>
      </c>
      <c r="B379">
        <v>210305687</v>
      </c>
      <c r="C379" s="2">
        <v>44315</v>
      </c>
      <c r="D379" s="2" t="s">
        <v>634</v>
      </c>
      <c r="E379">
        <v>414</v>
      </c>
      <c r="F379" s="2">
        <v>35295</v>
      </c>
      <c r="G379">
        <v>87.4</v>
      </c>
      <c r="H379">
        <v>65</v>
      </c>
      <c r="I379" t="s">
        <v>26</v>
      </c>
      <c r="J379">
        <v>55.87</v>
      </c>
      <c r="K379" s="3">
        <f t="shared" si="5"/>
        <v>69.423333333333332</v>
      </c>
      <c r="L379" t="s">
        <v>27</v>
      </c>
      <c r="M379" t="s">
        <v>27</v>
      </c>
      <c r="N379">
        <v>24</v>
      </c>
      <c r="O379" t="s">
        <v>72</v>
      </c>
      <c r="P379" t="s">
        <v>52</v>
      </c>
      <c r="Q379" t="s">
        <v>30</v>
      </c>
      <c r="R379">
        <v>422</v>
      </c>
      <c r="S379">
        <v>70.333333330000002</v>
      </c>
      <c r="T379" t="s">
        <v>49</v>
      </c>
      <c r="U379" t="s">
        <v>32</v>
      </c>
      <c r="V379" t="s">
        <v>49</v>
      </c>
      <c r="W379" t="s">
        <v>33</v>
      </c>
      <c r="X379" t="s">
        <v>34</v>
      </c>
      <c r="Y379" t="s">
        <v>58</v>
      </c>
      <c r="Z379" t="s">
        <v>44</v>
      </c>
      <c r="AA379" t="s">
        <v>175</v>
      </c>
      <c r="AB379" t="s">
        <v>46</v>
      </c>
      <c r="AC379">
        <f>IF(Cdacdata[[#This Row],[placement_status]]="Placed",1,0)</f>
        <v>1</v>
      </c>
      <c r="AD379" t="s">
        <v>160</v>
      </c>
      <c r="AE379" t="s">
        <v>75</v>
      </c>
      <c r="AF379" t="s">
        <v>39</v>
      </c>
      <c r="AG379">
        <v>2021</v>
      </c>
      <c r="AH379" t="s">
        <v>111</v>
      </c>
      <c r="AI379" t="str">
        <f>IF(Cdacdata[ccat_rank]&lt;=100,"Top 100",
IF(Cdacdata[ccat_rank]&lt;=500,"101–500",
IF(Cdacdata[ccat_rank]&lt;=1000,"501–1000",
"1000+")))</f>
        <v>101–500</v>
      </c>
    </row>
    <row r="380" spans="1:35" x14ac:dyDescent="0.3">
      <c r="A380" s="1" t="s">
        <v>158</v>
      </c>
      <c r="B380">
        <v>210300010</v>
      </c>
      <c r="C380" s="2">
        <v>44315</v>
      </c>
      <c r="D380" s="2" t="s">
        <v>635</v>
      </c>
      <c r="E380">
        <v>1458</v>
      </c>
      <c r="F380" s="2">
        <v>35901</v>
      </c>
      <c r="G380">
        <v>93.8</v>
      </c>
      <c r="H380">
        <v>65.69</v>
      </c>
      <c r="I380" t="s">
        <v>26</v>
      </c>
      <c r="J380">
        <v>63.65</v>
      </c>
      <c r="K380" s="3">
        <f t="shared" si="5"/>
        <v>74.38000000000001</v>
      </c>
      <c r="L380" t="s">
        <v>27</v>
      </c>
      <c r="M380" t="s">
        <v>41</v>
      </c>
      <c r="N380">
        <v>23</v>
      </c>
      <c r="O380" t="s">
        <v>28</v>
      </c>
      <c r="P380" t="s">
        <v>26</v>
      </c>
      <c r="Q380" t="s">
        <v>30</v>
      </c>
      <c r="R380">
        <v>350</v>
      </c>
      <c r="S380">
        <v>58.333333330000002</v>
      </c>
      <c r="T380" t="s">
        <v>33</v>
      </c>
      <c r="U380" t="s">
        <v>32</v>
      </c>
      <c r="V380" t="s">
        <v>33</v>
      </c>
      <c r="W380" t="s">
        <v>33</v>
      </c>
      <c r="X380" t="s">
        <v>34</v>
      </c>
      <c r="Y380" t="s">
        <v>35</v>
      </c>
      <c r="Z380" t="s">
        <v>44</v>
      </c>
      <c r="AA380" t="s">
        <v>168</v>
      </c>
      <c r="AB380" t="s">
        <v>46</v>
      </c>
      <c r="AC380">
        <f>IF(Cdacdata[[#This Row],[placement_status]]="Placed",1,0)</f>
        <v>1</v>
      </c>
      <c r="AD380" t="s">
        <v>160</v>
      </c>
      <c r="AE380" t="s">
        <v>47</v>
      </c>
      <c r="AF380" t="s">
        <v>39</v>
      </c>
      <c r="AG380">
        <v>2021</v>
      </c>
      <c r="AH380" t="s">
        <v>111</v>
      </c>
      <c r="AI380" t="str">
        <f>IF(Cdacdata[ccat_rank]&lt;=100,"Top 100",
IF(Cdacdata[ccat_rank]&lt;=500,"101–500",
IF(Cdacdata[ccat_rank]&lt;=1000,"501–1000",
"1000+")))</f>
        <v>1000+</v>
      </c>
    </row>
    <row r="381" spans="1:35" x14ac:dyDescent="0.3">
      <c r="A381" s="1" t="s">
        <v>158</v>
      </c>
      <c r="B381">
        <v>210306438</v>
      </c>
      <c r="C381" s="2">
        <v>44315</v>
      </c>
      <c r="D381" s="2" t="s">
        <v>636</v>
      </c>
      <c r="E381">
        <v>1547</v>
      </c>
      <c r="F381" s="2">
        <v>34951</v>
      </c>
      <c r="G381">
        <v>91.27</v>
      </c>
      <c r="H381">
        <v>65.17</v>
      </c>
      <c r="I381" t="s">
        <v>26</v>
      </c>
      <c r="J381">
        <v>58.44</v>
      </c>
      <c r="K381" s="3">
        <f t="shared" si="5"/>
        <v>71.626666666666665</v>
      </c>
      <c r="L381" t="s">
        <v>41</v>
      </c>
      <c r="M381" t="s">
        <v>27</v>
      </c>
      <c r="N381">
        <v>25</v>
      </c>
      <c r="O381" t="s">
        <v>72</v>
      </c>
      <c r="P381" t="s">
        <v>60</v>
      </c>
      <c r="Q381" t="s">
        <v>30</v>
      </c>
      <c r="R381">
        <v>440</v>
      </c>
      <c r="S381">
        <v>73.333333330000002</v>
      </c>
      <c r="T381" t="s">
        <v>49</v>
      </c>
      <c r="U381" t="s">
        <v>32</v>
      </c>
      <c r="V381" t="s">
        <v>49</v>
      </c>
      <c r="W381" t="s">
        <v>49</v>
      </c>
      <c r="X381" t="s">
        <v>34</v>
      </c>
      <c r="Y381" t="s">
        <v>58</v>
      </c>
      <c r="Z381" t="s">
        <v>44</v>
      </c>
      <c r="AA381" t="s">
        <v>78</v>
      </c>
      <c r="AB381" t="s">
        <v>46</v>
      </c>
      <c r="AC381">
        <f>IF(Cdacdata[[#This Row],[placement_status]]="Placed",1,0)</f>
        <v>1</v>
      </c>
      <c r="AD381" t="s">
        <v>160</v>
      </c>
      <c r="AE381" t="s">
        <v>47</v>
      </c>
      <c r="AF381" t="s">
        <v>39</v>
      </c>
      <c r="AG381">
        <v>2021</v>
      </c>
      <c r="AH381" t="s">
        <v>111</v>
      </c>
      <c r="AI381" t="str">
        <f>IF(Cdacdata[ccat_rank]&lt;=100,"Top 100",
IF(Cdacdata[ccat_rank]&lt;=500,"101–500",
IF(Cdacdata[ccat_rank]&lt;=1000,"501–1000",
"1000+")))</f>
        <v>1000+</v>
      </c>
    </row>
    <row r="382" spans="1:35" x14ac:dyDescent="0.3">
      <c r="A382" s="1" t="s">
        <v>158</v>
      </c>
      <c r="B382">
        <v>210300440</v>
      </c>
      <c r="C382" s="2">
        <v>44315</v>
      </c>
      <c r="D382" s="2" t="s">
        <v>637</v>
      </c>
      <c r="E382">
        <v>1078</v>
      </c>
      <c r="F382" s="2">
        <v>35362</v>
      </c>
      <c r="G382">
        <v>77.64</v>
      </c>
      <c r="H382">
        <v>57.38</v>
      </c>
      <c r="I382" t="s">
        <v>26</v>
      </c>
      <c r="J382">
        <v>63.8</v>
      </c>
      <c r="K382" s="3">
        <f t="shared" si="5"/>
        <v>66.273333333333326</v>
      </c>
      <c r="L382" t="s">
        <v>27</v>
      </c>
      <c r="M382" t="s">
        <v>41</v>
      </c>
      <c r="N382">
        <v>24</v>
      </c>
      <c r="O382" t="s">
        <v>28</v>
      </c>
      <c r="P382" t="s">
        <v>65</v>
      </c>
      <c r="Q382" t="s">
        <v>30</v>
      </c>
      <c r="R382">
        <v>453</v>
      </c>
      <c r="S382">
        <v>75.5</v>
      </c>
      <c r="T382" t="s">
        <v>49</v>
      </c>
      <c r="U382" t="s">
        <v>32</v>
      </c>
      <c r="V382" t="s">
        <v>49</v>
      </c>
      <c r="W382" t="s">
        <v>49</v>
      </c>
      <c r="X382" t="s">
        <v>34</v>
      </c>
      <c r="Y382" t="s">
        <v>58</v>
      </c>
      <c r="Z382" t="s">
        <v>44</v>
      </c>
      <c r="AA382" t="s">
        <v>131</v>
      </c>
      <c r="AB382" t="s">
        <v>46</v>
      </c>
      <c r="AC382">
        <f>IF(Cdacdata[[#This Row],[placement_status]]="Placed",1,0)</f>
        <v>1</v>
      </c>
      <c r="AD382" t="s">
        <v>160</v>
      </c>
      <c r="AE382" t="s">
        <v>47</v>
      </c>
      <c r="AF382" t="s">
        <v>39</v>
      </c>
      <c r="AG382">
        <v>2021</v>
      </c>
      <c r="AH382" t="s">
        <v>111</v>
      </c>
      <c r="AI382" t="str">
        <f>IF(Cdacdata[ccat_rank]&lt;=100,"Top 100",
IF(Cdacdata[ccat_rank]&lt;=500,"101–500",
IF(Cdacdata[ccat_rank]&lt;=1000,"501–1000",
"1000+")))</f>
        <v>1000+</v>
      </c>
    </row>
    <row r="383" spans="1:35" x14ac:dyDescent="0.3">
      <c r="A383" s="1" t="s">
        <v>158</v>
      </c>
      <c r="B383">
        <v>210300009</v>
      </c>
      <c r="C383" s="2">
        <v>44316</v>
      </c>
      <c r="D383" s="2" t="s">
        <v>638</v>
      </c>
      <c r="E383">
        <v>392</v>
      </c>
      <c r="F383" s="2">
        <v>35866</v>
      </c>
      <c r="G383">
        <v>93.4</v>
      </c>
      <c r="H383">
        <v>64.62</v>
      </c>
      <c r="I383" t="s">
        <v>26</v>
      </c>
      <c r="J383">
        <v>7.75</v>
      </c>
      <c r="K383" s="3">
        <f t="shared" si="5"/>
        <v>55.256666666666668</v>
      </c>
      <c r="L383" t="s">
        <v>27</v>
      </c>
      <c r="M383" t="s">
        <v>27</v>
      </c>
      <c r="N383">
        <v>23</v>
      </c>
      <c r="O383" t="s">
        <v>62</v>
      </c>
      <c r="P383" t="s">
        <v>65</v>
      </c>
      <c r="Q383" t="s">
        <v>30</v>
      </c>
      <c r="R383">
        <v>476</v>
      </c>
      <c r="S383">
        <v>79.333333330000002</v>
      </c>
      <c r="T383" t="s">
        <v>49</v>
      </c>
      <c r="U383" t="s">
        <v>32</v>
      </c>
      <c r="V383" t="s">
        <v>49</v>
      </c>
      <c r="W383" t="s">
        <v>49</v>
      </c>
      <c r="X383" t="s">
        <v>34</v>
      </c>
      <c r="Y383" t="s">
        <v>58</v>
      </c>
      <c r="Z383" t="s">
        <v>44</v>
      </c>
      <c r="AA383" t="s">
        <v>99</v>
      </c>
      <c r="AB383" t="s">
        <v>46</v>
      </c>
      <c r="AC383">
        <f>IF(Cdacdata[[#This Row],[placement_status]]="Placed",1,0)</f>
        <v>1</v>
      </c>
      <c r="AD383" t="s">
        <v>160</v>
      </c>
      <c r="AE383" t="s">
        <v>75</v>
      </c>
      <c r="AF383" t="s">
        <v>39</v>
      </c>
      <c r="AG383">
        <v>2021</v>
      </c>
      <c r="AH383" t="s">
        <v>111</v>
      </c>
      <c r="AI383" t="str">
        <f>IF(Cdacdata[ccat_rank]&lt;=100,"Top 100",
IF(Cdacdata[ccat_rank]&lt;=500,"101–500",
IF(Cdacdata[ccat_rank]&lt;=1000,"501–1000",
"1000+")))</f>
        <v>101–500</v>
      </c>
    </row>
    <row r="384" spans="1:35" x14ac:dyDescent="0.3">
      <c r="A384" s="1" t="s">
        <v>158</v>
      </c>
      <c r="B384">
        <v>210300129</v>
      </c>
      <c r="C384" s="2">
        <v>44315</v>
      </c>
      <c r="D384" s="2" t="s">
        <v>639</v>
      </c>
      <c r="E384">
        <v>1520</v>
      </c>
      <c r="F384" s="2">
        <v>35777</v>
      </c>
      <c r="G384">
        <v>78.2</v>
      </c>
      <c r="H384">
        <v>58.92</v>
      </c>
      <c r="I384" t="s">
        <v>26</v>
      </c>
      <c r="J384">
        <v>82.18</v>
      </c>
      <c r="K384" s="3">
        <f t="shared" si="5"/>
        <v>73.100000000000009</v>
      </c>
      <c r="L384" t="s">
        <v>27</v>
      </c>
      <c r="M384" t="s">
        <v>27</v>
      </c>
      <c r="N384">
        <v>23</v>
      </c>
      <c r="O384" t="s">
        <v>48</v>
      </c>
      <c r="P384" t="s">
        <v>42</v>
      </c>
      <c r="Q384" t="s">
        <v>30</v>
      </c>
      <c r="R384">
        <v>396</v>
      </c>
      <c r="S384">
        <v>66</v>
      </c>
      <c r="T384" t="s">
        <v>33</v>
      </c>
      <c r="U384" t="s">
        <v>32</v>
      </c>
      <c r="V384" t="s">
        <v>33</v>
      </c>
      <c r="W384" t="s">
        <v>31</v>
      </c>
      <c r="X384" t="s">
        <v>34</v>
      </c>
      <c r="Y384" t="s">
        <v>50</v>
      </c>
      <c r="Z384" t="s">
        <v>44</v>
      </c>
      <c r="AA384" t="s">
        <v>168</v>
      </c>
      <c r="AB384" t="s">
        <v>46</v>
      </c>
      <c r="AC384">
        <f>IF(Cdacdata[[#This Row],[placement_status]]="Placed",1,0)</f>
        <v>1</v>
      </c>
      <c r="AD384" t="s">
        <v>160</v>
      </c>
      <c r="AE384" t="s">
        <v>47</v>
      </c>
      <c r="AF384" t="s">
        <v>39</v>
      </c>
      <c r="AG384">
        <v>2021</v>
      </c>
      <c r="AH384" t="s">
        <v>111</v>
      </c>
      <c r="AI384" t="str">
        <f>IF(Cdacdata[ccat_rank]&lt;=100,"Top 100",
IF(Cdacdata[ccat_rank]&lt;=500,"101–500",
IF(Cdacdata[ccat_rank]&lt;=1000,"501–1000",
"1000+")))</f>
        <v>1000+</v>
      </c>
    </row>
    <row r="385" spans="1:35" x14ac:dyDescent="0.3">
      <c r="A385" s="1" t="s">
        <v>158</v>
      </c>
      <c r="B385">
        <v>210302346</v>
      </c>
      <c r="C385" s="2">
        <v>44315</v>
      </c>
      <c r="D385" s="2" t="s">
        <v>640</v>
      </c>
      <c r="E385">
        <v>1209</v>
      </c>
      <c r="F385" s="2">
        <v>35676</v>
      </c>
      <c r="G385">
        <v>81</v>
      </c>
      <c r="H385">
        <v>62</v>
      </c>
      <c r="I385" t="s">
        <v>26</v>
      </c>
      <c r="J385">
        <v>59.53</v>
      </c>
      <c r="K385" s="3">
        <f t="shared" si="5"/>
        <v>67.510000000000005</v>
      </c>
      <c r="L385" t="s">
        <v>27</v>
      </c>
      <c r="M385" t="s">
        <v>41</v>
      </c>
      <c r="N385">
        <v>23</v>
      </c>
      <c r="O385" t="s">
        <v>62</v>
      </c>
      <c r="P385" t="s">
        <v>26</v>
      </c>
      <c r="Q385" t="s">
        <v>30</v>
      </c>
      <c r="R385">
        <v>356</v>
      </c>
      <c r="S385">
        <v>59.333333330000002</v>
      </c>
      <c r="T385" t="s">
        <v>33</v>
      </c>
      <c r="U385" t="s">
        <v>32</v>
      </c>
      <c r="V385" t="s">
        <v>33</v>
      </c>
      <c r="W385" t="s">
        <v>33</v>
      </c>
      <c r="X385" t="s">
        <v>34</v>
      </c>
      <c r="Y385" t="s">
        <v>35</v>
      </c>
      <c r="Z385" t="s">
        <v>44</v>
      </c>
      <c r="AA385" t="s">
        <v>112</v>
      </c>
      <c r="AB385" t="s">
        <v>46</v>
      </c>
      <c r="AC385">
        <f>IF(Cdacdata[[#This Row],[placement_status]]="Placed",1,0)</f>
        <v>1</v>
      </c>
      <c r="AD385" t="s">
        <v>160</v>
      </c>
      <c r="AE385" t="s">
        <v>47</v>
      </c>
      <c r="AF385" t="s">
        <v>39</v>
      </c>
      <c r="AG385">
        <v>2021</v>
      </c>
      <c r="AH385" t="s">
        <v>111</v>
      </c>
      <c r="AI385" t="str">
        <f>IF(Cdacdata[ccat_rank]&lt;=100,"Top 100",
IF(Cdacdata[ccat_rank]&lt;=500,"101–500",
IF(Cdacdata[ccat_rank]&lt;=1000,"501–1000",
"1000+")))</f>
        <v>1000+</v>
      </c>
    </row>
    <row r="386" spans="1:35" x14ac:dyDescent="0.3">
      <c r="A386" s="1" t="s">
        <v>158</v>
      </c>
      <c r="B386">
        <v>210305271</v>
      </c>
      <c r="C386" s="2">
        <v>44315</v>
      </c>
      <c r="D386" s="2" t="s">
        <v>641</v>
      </c>
      <c r="E386">
        <v>854</v>
      </c>
      <c r="F386" s="2">
        <v>35622</v>
      </c>
      <c r="G386">
        <v>87.4</v>
      </c>
      <c r="H386">
        <v>76</v>
      </c>
      <c r="I386" t="s">
        <v>26</v>
      </c>
      <c r="J386">
        <v>72.92</v>
      </c>
      <c r="K386" s="3">
        <f t="shared" ref="K386:K449" si="6">AVERAGE(G386,H386,I386,J386)</f>
        <v>78.773333333333326</v>
      </c>
      <c r="L386" t="s">
        <v>27</v>
      </c>
      <c r="M386" t="s">
        <v>27</v>
      </c>
      <c r="N386">
        <v>23</v>
      </c>
      <c r="O386" t="s">
        <v>28</v>
      </c>
      <c r="P386" t="s">
        <v>26</v>
      </c>
      <c r="Q386" t="s">
        <v>43</v>
      </c>
      <c r="R386">
        <v>183</v>
      </c>
      <c r="S386">
        <v>30.5</v>
      </c>
      <c r="T386" t="s">
        <v>33</v>
      </c>
      <c r="U386" t="s">
        <v>64</v>
      </c>
      <c r="V386" t="s">
        <v>33</v>
      </c>
      <c r="W386" t="s">
        <v>64</v>
      </c>
      <c r="X386" t="s">
        <v>34</v>
      </c>
      <c r="Y386" t="s">
        <v>64</v>
      </c>
      <c r="Z386" t="s">
        <v>36</v>
      </c>
      <c r="AA386" t="s">
        <v>1268</v>
      </c>
      <c r="AB386" t="s">
        <v>36</v>
      </c>
      <c r="AC386">
        <f>IF(Cdacdata[[#This Row],[placement_status]]="Placed",1,0)</f>
        <v>0</v>
      </c>
      <c r="AD386" t="s">
        <v>160</v>
      </c>
      <c r="AE386" t="s">
        <v>75</v>
      </c>
      <c r="AF386" t="s">
        <v>39</v>
      </c>
      <c r="AG386">
        <v>2021</v>
      </c>
      <c r="AH386" t="s">
        <v>111</v>
      </c>
      <c r="AI386" t="str">
        <f>IF(Cdacdata[ccat_rank]&lt;=100,"Top 100",
IF(Cdacdata[ccat_rank]&lt;=500,"101–500",
IF(Cdacdata[ccat_rank]&lt;=1000,"501–1000",
"1000+")))</f>
        <v>501–1000</v>
      </c>
    </row>
    <row r="387" spans="1:35" x14ac:dyDescent="0.3">
      <c r="A387" s="1" t="s">
        <v>158</v>
      </c>
      <c r="B387">
        <v>210302626</v>
      </c>
      <c r="C387" s="2">
        <v>44315</v>
      </c>
      <c r="D387" s="2" t="s">
        <v>642</v>
      </c>
      <c r="E387">
        <v>1288</v>
      </c>
      <c r="F387" s="2">
        <v>35541</v>
      </c>
      <c r="G387">
        <v>81.400000000000006</v>
      </c>
      <c r="H387">
        <v>72.77</v>
      </c>
      <c r="I387" t="s">
        <v>26</v>
      </c>
      <c r="J387">
        <v>58.34</v>
      </c>
      <c r="K387" s="3">
        <f t="shared" si="6"/>
        <v>70.836666666666673</v>
      </c>
      <c r="L387" t="s">
        <v>27</v>
      </c>
      <c r="M387" t="s">
        <v>41</v>
      </c>
      <c r="N387">
        <v>24</v>
      </c>
      <c r="O387" t="s">
        <v>72</v>
      </c>
      <c r="P387" t="s">
        <v>60</v>
      </c>
      <c r="Q387" t="s">
        <v>30</v>
      </c>
      <c r="R387">
        <v>400</v>
      </c>
      <c r="S387">
        <v>66.666666669999998</v>
      </c>
      <c r="T387" t="s">
        <v>33</v>
      </c>
      <c r="U387" t="s">
        <v>32</v>
      </c>
      <c r="V387" t="s">
        <v>33</v>
      </c>
      <c r="W387" t="s">
        <v>33</v>
      </c>
      <c r="X387" t="s">
        <v>34</v>
      </c>
      <c r="Y387" t="s">
        <v>50</v>
      </c>
      <c r="Z387" t="s">
        <v>44</v>
      </c>
      <c r="AA387" t="s">
        <v>163</v>
      </c>
      <c r="AB387" t="s">
        <v>46</v>
      </c>
      <c r="AC387">
        <f>IF(Cdacdata[[#This Row],[placement_status]]="Placed",1,0)</f>
        <v>1</v>
      </c>
      <c r="AD387" t="s">
        <v>160</v>
      </c>
      <c r="AE387" t="s">
        <v>47</v>
      </c>
      <c r="AF387" t="s">
        <v>39</v>
      </c>
      <c r="AG387">
        <v>2021</v>
      </c>
      <c r="AH387" t="s">
        <v>111</v>
      </c>
      <c r="AI387" t="str">
        <f>IF(Cdacdata[ccat_rank]&lt;=100,"Top 100",
IF(Cdacdata[ccat_rank]&lt;=500,"101–500",
IF(Cdacdata[ccat_rank]&lt;=1000,"501–1000",
"1000+")))</f>
        <v>1000+</v>
      </c>
    </row>
    <row r="388" spans="1:35" x14ac:dyDescent="0.3">
      <c r="A388" s="1" t="s">
        <v>158</v>
      </c>
      <c r="B388">
        <v>210301346</v>
      </c>
      <c r="C388" s="2">
        <v>44316</v>
      </c>
      <c r="D388" s="2" t="s">
        <v>643</v>
      </c>
      <c r="E388">
        <v>871</v>
      </c>
      <c r="F388" s="2">
        <v>35056</v>
      </c>
      <c r="G388">
        <v>65.27</v>
      </c>
      <c r="H388" t="s">
        <v>26</v>
      </c>
      <c r="I388">
        <v>73.709999999999994</v>
      </c>
      <c r="J388">
        <v>60.8</v>
      </c>
      <c r="K388" s="3">
        <f t="shared" si="6"/>
        <v>66.59333333333332</v>
      </c>
      <c r="L388" t="s">
        <v>27</v>
      </c>
      <c r="M388" t="s">
        <v>27</v>
      </c>
      <c r="N388">
        <v>25</v>
      </c>
      <c r="O388" t="s">
        <v>28</v>
      </c>
      <c r="P388" t="s">
        <v>26</v>
      </c>
      <c r="Q388" t="s">
        <v>30</v>
      </c>
      <c r="R388">
        <v>432</v>
      </c>
      <c r="S388">
        <v>72</v>
      </c>
      <c r="T388" t="s">
        <v>33</v>
      </c>
      <c r="U388" t="s">
        <v>32</v>
      </c>
      <c r="V388" t="s">
        <v>33</v>
      </c>
      <c r="W388" t="s">
        <v>33</v>
      </c>
      <c r="X388" t="s">
        <v>34</v>
      </c>
      <c r="Y388" t="s">
        <v>58</v>
      </c>
      <c r="Z388" t="s">
        <v>44</v>
      </c>
      <c r="AA388" t="s">
        <v>131</v>
      </c>
      <c r="AB388" t="s">
        <v>46</v>
      </c>
      <c r="AC388">
        <f>IF(Cdacdata[[#This Row],[placement_status]]="Placed",1,0)</f>
        <v>1</v>
      </c>
      <c r="AD388" t="s">
        <v>160</v>
      </c>
      <c r="AE388" t="s">
        <v>75</v>
      </c>
      <c r="AF388" t="s">
        <v>39</v>
      </c>
      <c r="AG388">
        <v>2021</v>
      </c>
      <c r="AH388" t="s">
        <v>111</v>
      </c>
      <c r="AI388" t="str">
        <f>IF(Cdacdata[ccat_rank]&lt;=100,"Top 100",
IF(Cdacdata[ccat_rank]&lt;=500,"101–500",
IF(Cdacdata[ccat_rank]&lt;=1000,"501–1000",
"1000+")))</f>
        <v>501–1000</v>
      </c>
    </row>
    <row r="389" spans="1:35" x14ac:dyDescent="0.3">
      <c r="A389" s="1" t="s">
        <v>158</v>
      </c>
      <c r="B389">
        <v>210305898</v>
      </c>
      <c r="C389" s="2">
        <v>44315</v>
      </c>
      <c r="D389" s="2" t="s">
        <v>644</v>
      </c>
      <c r="E389">
        <v>1242</v>
      </c>
      <c r="F389" s="2">
        <v>35750</v>
      </c>
      <c r="G389">
        <v>74.400000000000006</v>
      </c>
      <c r="H389">
        <v>56</v>
      </c>
      <c r="I389" t="s">
        <v>26</v>
      </c>
      <c r="J389">
        <v>61.32</v>
      </c>
      <c r="K389" s="3">
        <f t="shared" si="6"/>
        <v>63.906666666666666</v>
      </c>
      <c r="L389" t="s">
        <v>27</v>
      </c>
      <c r="M389" t="s">
        <v>27</v>
      </c>
      <c r="N389">
        <v>23</v>
      </c>
      <c r="O389" t="s">
        <v>28</v>
      </c>
      <c r="P389" t="s">
        <v>65</v>
      </c>
      <c r="Q389" t="s">
        <v>30</v>
      </c>
      <c r="R389">
        <v>349</v>
      </c>
      <c r="S389">
        <v>58.166666669999998</v>
      </c>
      <c r="T389" t="s">
        <v>49</v>
      </c>
      <c r="U389" t="s">
        <v>32</v>
      </c>
      <c r="V389" t="s">
        <v>49</v>
      </c>
      <c r="W389" t="s">
        <v>33</v>
      </c>
      <c r="X389" t="s">
        <v>34</v>
      </c>
      <c r="Y389" t="s">
        <v>35</v>
      </c>
      <c r="Z389" t="s">
        <v>44</v>
      </c>
      <c r="AA389" t="s">
        <v>176</v>
      </c>
      <c r="AB389" t="s">
        <v>46</v>
      </c>
      <c r="AC389">
        <f>IF(Cdacdata[[#This Row],[placement_status]]="Placed",1,0)</f>
        <v>1</v>
      </c>
      <c r="AD389" t="s">
        <v>160</v>
      </c>
      <c r="AE389" t="s">
        <v>47</v>
      </c>
      <c r="AF389" t="s">
        <v>39</v>
      </c>
      <c r="AG389">
        <v>2021</v>
      </c>
      <c r="AH389" t="s">
        <v>111</v>
      </c>
      <c r="AI389" t="str">
        <f>IF(Cdacdata[ccat_rank]&lt;=100,"Top 100",
IF(Cdacdata[ccat_rank]&lt;=500,"101–500",
IF(Cdacdata[ccat_rank]&lt;=1000,"501–1000",
"1000+")))</f>
        <v>1000+</v>
      </c>
    </row>
    <row r="390" spans="1:35" x14ac:dyDescent="0.3">
      <c r="A390" s="1" t="s">
        <v>158</v>
      </c>
      <c r="B390">
        <v>210304011</v>
      </c>
      <c r="C390" s="2">
        <v>44315</v>
      </c>
      <c r="D390" s="2" t="s">
        <v>645</v>
      </c>
      <c r="E390">
        <v>747</v>
      </c>
      <c r="F390" s="2">
        <v>35175</v>
      </c>
      <c r="G390">
        <v>71.400000000000006</v>
      </c>
      <c r="H390" t="s">
        <v>26</v>
      </c>
      <c r="I390">
        <v>60.59</v>
      </c>
      <c r="J390">
        <v>55</v>
      </c>
      <c r="K390" s="3">
        <f t="shared" si="6"/>
        <v>62.330000000000005</v>
      </c>
      <c r="L390" t="s">
        <v>27</v>
      </c>
      <c r="M390" t="s">
        <v>27</v>
      </c>
      <c r="N390">
        <v>25</v>
      </c>
      <c r="O390" t="s">
        <v>72</v>
      </c>
      <c r="P390" t="s">
        <v>26</v>
      </c>
      <c r="Q390" t="s">
        <v>30</v>
      </c>
      <c r="R390">
        <v>424</v>
      </c>
      <c r="S390">
        <v>70.666666669999998</v>
      </c>
      <c r="T390" t="s">
        <v>49</v>
      </c>
      <c r="U390" t="s">
        <v>32</v>
      </c>
      <c r="V390" t="s">
        <v>49</v>
      </c>
      <c r="W390" t="s">
        <v>33</v>
      </c>
      <c r="X390" t="s">
        <v>34</v>
      </c>
      <c r="Y390" t="s">
        <v>58</v>
      </c>
      <c r="Z390" t="s">
        <v>44</v>
      </c>
      <c r="AA390" t="s">
        <v>112</v>
      </c>
      <c r="AB390" t="s">
        <v>46</v>
      </c>
      <c r="AC390">
        <f>IF(Cdacdata[[#This Row],[placement_status]]="Placed",1,0)</f>
        <v>1</v>
      </c>
      <c r="AD390" t="s">
        <v>160</v>
      </c>
      <c r="AE390" t="s">
        <v>75</v>
      </c>
      <c r="AF390" t="s">
        <v>39</v>
      </c>
      <c r="AG390">
        <v>2021</v>
      </c>
      <c r="AH390" t="s">
        <v>111</v>
      </c>
      <c r="AI390" t="str">
        <f>IF(Cdacdata[ccat_rank]&lt;=100,"Top 100",
IF(Cdacdata[ccat_rank]&lt;=500,"101–500",
IF(Cdacdata[ccat_rank]&lt;=1000,"501–1000",
"1000+")))</f>
        <v>501–1000</v>
      </c>
    </row>
    <row r="391" spans="1:35" x14ac:dyDescent="0.3">
      <c r="A391" s="1" t="s">
        <v>158</v>
      </c>
      <c r="B391">
        <v>210306974</v>
      </c>
      <c r="C391" s="2">
        <v>44315</v>
      </c>
      <c r="D391" s="2" t="s">
        <v>646</v>
      </c>
      <c r="E391">
        <v>1505</v>
      </c>
      <c r="F391" s="2">
        <v>44423</v>
      </c>
      <c r="G391">
        <v>96.73</v>
      </c>
      <c r="H391">
        <v>68.5</v>
      </c>
      <c r="I391" t="s">
        <v>26</v>
      </c>
      <c r="J391">
        <v>62.15</v>
      </c>
      <c r="K391" s="3">
        <f t="shared" si="6"/>
        <v>75.793333333333337</v>
      </c>
      <c r="L391" t="s">
        <v>27</v>
      </c>
      <c r="M391" t="s">
        <v>27</v>
      </c>
      <c r="N391">
        <v>-1</v>
      </c>
      <c r="O391" t="s">
        <v>28</v>
      </c>
      <c r="P391" t="s">
        <v>60</v>
      </c>
      <c r="Q391" t="s">
        <v>30</v>
      </c>
      <c r="R391">
        <v>389</v>
      </c>
      <c r="S391">
        <v>64.833333330000002</v>
      </c>
      <c r="T391" t="s">
        <v>49</v>
      </c>
      <c r="U391" t="s">
        <v>32</v>
      </c>
      <c r="V391" t="s">
        <v>49</v>
      </c>
      <c r="W391" t="s">
        <v>49</v>
      </c>
      <c r="X391" t="s">
        <v>34</v>
      </c>
      <c r="Y391" t="s">
        <v>50</v>
      </c>
      <c r="Z391" t="s">
        <v>44</v>
      </c>
      <c r="AA391" t="s">
        <v>164</v>
      </c>
      <c r="AB391" t="s">
        <v>46</v>
      </c>
      <c r="AC391">
        <f>IF(Cdacdata[[#This Row],[placement_status]]="Placed",1,0)</f>
        <v>1</v>
      </c>
      <c r="AD391" t="s">
        <v>160</v>
      </c>
      <c r="AE391" t="s">
        <v>47</v>
      </c>
      <c r="AF391" t="s">
        <v>69</v>
      </c>
      <c r="AG391">
        <v>2021</v>
      </c>
      <c r="AH391" t="s">
        <v>111</v>
      </c>
      <c r="AI391" t="str">
        <f>IF(Cdacdata[ccat_rank]&lt;=100,"Top 100",
IF(Cdacdata[ccat_rank]&lt;=500,"101–500",
IF(Cdacdata[ccat_rank]&lt;=1000,"501–1000",
"1000+")))</f>
        <v>1000+</v>
      </c>
    </row>
    <row r="392" spans="1:35" x14ac:dyDescent="0.3">
      <c r="A392" s="1" t="s">
        <v>158</v>
      </c>
      <c r="B392">
        <v>191103469</v>
      </c>
      <c r="C392" s="2"/>
      <c r="D392" s="2"/>
      <c r="E392" t="s">
        <v>63</v>
      </c>
      <c r="G392">
        <v>0</v>
      </c>
      <c r="H392">
        <v>0</v>
      </c>
      <c r="I392">
        <v>0</v>
      </c>
      <c r="J392">
        <v>0</v>
      </c>
      <c r="K392" s="3">
        <f t="shared" si="6"/>
        <v>0</v>
      </c>
      <c r="L392" t="s">
        <v>27</v>
      </c>
      <c r="M392" t="s">
        <v>27</v>
      </c>
      <c r="N392">
        <v>23</v>
      </c>
      <c r="O392" t="s">
        <v>373</v>
      </c>
      <c r="P392" t="s">
        <v>26</v>
      </c>
      <c r="Q392" t="s">
        <v>374</v>
      </c>
      <c r="R392">
        <v>459</v>
      </c>
      <c r="S392">
        <v>76.5</v>
      </c>
      <c r="T392" t="s">
        <v>49</v>
      </c>
      <c r="U392" t="s">
        <v>32</v>
      </c>
      <c r="V392" t="s">
        <v>49</v>
      </c>
      <c r="W392" t="s">
        <v>33</v>
      </c>
      <c r="X392" t="s">
        <v>34</v>
      </c>
      <c r="Y392" t="s">
        <v>58</v>
      </c>
      <c r="Z392" t="s">
        <v>44</v>
      </c>
      <c r="AA392" t="s">
        <v>177</v>
      </c>
      <c r="AB392" t="s">
        <v>46</v>
      </c>
      <c r="AC392">
        <f>IF(Cdacdata[[#This Row],[placement_status]]="Placed",1,0)</f>
        <v>1</v>
      </c>
      <c r="AD392" t="s">
        <v>160</v>
      </c>
      <c r="AE392" t="s">
        <v>63</v>
      </c>
      <c r="AF392" t="s">
        <v>63</v>
      </c>
      <c r="AG392">
        <v>2021</v>
      </c>
      <c r="AH392" t="s">
        <v>111</v>
      </c>
      <c r="AI392" t="str">
        <f>IF(Cdacdata[ccat_rank]&lt;=100,"Top 100",
IF(Cdacdata[ccat_rank]&lt;=500,"101–500",
IF(Cdacdata[ccat_rank]&lt;=1000,"501–1000",
"1000+")))</f>
        <v>1000+</v>
      </c>
    </row>
    <row r="393" spans="1:35" x14ac:dyDescent="0.3">
      <c r="A393" s="1" t="s">
        <v>158</v>
      </c>
      <c r="B393">
        <v>191000118</v>
      </c>
      <c r="C393" s="2"/>
      <c r="D393" s="2"/>
      <c r="E393" t="s">
        <v>63</v>
      </c>
      <c r="G393">
        <v>0</v>
      </c>
      <c r="H393">
        <v>0</v>
      </c>
      <c r="I393">
        <v>0</v>
      </c>
      <c r="J393">
        <v>0</v>
      </c>
      <c r="K393" s="3">
        <f t="shared" si="6"/>
        <v>0</v>
      </c>
      <c r="L393" t="s">
        <v>27</v>
      </c>
      <c r="M393" t="s">
        <v>27</v>
      </c>
      <c r="N393">
        <v>23</v>
      </c>
      <c r="O393" t="s">
        <v>373</v>
      </c>
      <c r="P393" t="s">
        <v>26</v>
      </c>
      <c r="Q393" t="s">
        <v>374</v>
      </c>
      <c r="R393">
        <v>483</v>
      </c>
      <c r="S393">
        <v>80.5</v>
      </c>
      <c r="T393" t="s">
        <v>49</v>
      </c>
      <c r="U393" t="s">
        <v>32</v>
      </c>
      <c r="V393" t="s">
        <v>49</v>
      </c>
      <c r="W393" t="s">
        <v>49</v>
      </c>
      <c r="X393" t="s">
        <v>34</v>
      </c>
      <c r="Y393" t="s">
        <v>58</v>
      </c>
      <c r="Z393" t="s">
        <v>44</v>
      </c>
      <c r="AA393" t="s">
        <v>171</v>
      </c>
      <c r="AB393" t="s">
        <v>46</v>
      </c>
      <c r="AC393">
        <f>IF(Cdacdata[[#This Row],[placement_status]]="Placed",1,0)</f>
        <v>1</v>
      </c>
      <c r="AD393" t="s">
        <v>160</v>
      </c>
      <c r="AE393" t="s">
        <v>63</v>
      </c>
      <c r="AF393" t="s">
        <v>63</v>
      </c>
      <c r="AG393">
        <v>2021</v>
      </c>
      <c r="AH393" t="s">
        <v>111</v>
      </c>
      <c r="AI393" t="str">
        <f>IF(Cdacdata[ccat_rank]&lt;=100,"Top 100",
IF(Cdacdata[ccat_rank]&lt;=500,"101–500",
IF(Cdacdata[ccat_rank]&lt;=1000,"501–1000",
"1000+")))</f>
        <v>1000+</v>
      </c>
    </row>
    <row r="394" spans="1:35" x14ac:dyDescent="0.3">
      <c r="A394" s="1" t="s">
        <v>158</v>
      </c>
      <c r="B394">
        <v>210300220</v>
      </c>
      <c r="C394" s="2">
        <v>44315</v>
      </c>
      <c r="D394" s="2" t="s">
        <v>647</v>
      </c>
      <c r="E394">
        <v>1366</v>
      </c>
      <c r="F394" s="2">
        <v>34210</v>
      </c>
      <c r="G394">
        <v>70</v>
      </c>
      <c r="H394">
        <v>54</v>
      </c>
      <c r="I394">
        <v>63</v>
      </c>
      <c r="J394">
        <v>57</v>
      </c>
      <c r="K394" s="3">
        <f t="shared" si="6"/>
        <v>61</v>
      </c>
      <c r="L394" t="s">
        <v>27</v>
      </c>
      <c r="M394" t="s">
        <v>27</v>
      </c>
      <c r="N394">
        <v>27</v>
      </c>
      <c r="O394" t="s">
        <v>72</v>
      </c>
      <c r="P394" t="s">
        <v>26</v>
      </c>
      <c r="Q394" t="s">
        <v>30</v>
      </c>
      <c r="R394">
        <v>431</v>
      </c>
      <c r="S394">
        <v>71.833333330000002</v>
      </c>
      <c r="T394" t="s">
        <v>49</v>
      </c>
      <c r="U394" t="s">
        <v>32</v>
      </c>
      <c r="V394" t="s">
        <v>49</v>
      </c>
      <c r="W394" t="s">
        <v>33</v>
      </c>
      <c r="X394" t="s">
        <v>34</v>
      </c>
      <c r="Y394" t="s">
        <v>58</v>
      </c>
      <c r="Z394" t="s">
        <v>44</v>
      </c>
      <c r="AA394" t="s">
        <v>91</v>
      </c>
      <c r="AB394" t="s">
        <v>46</v>
      </c>
      <c r="AC394">
        <f>IF(Cdacdata[[#This Row],[placement_status]]="Placed",1,0)</f>
        <v>1</v>
      </c>
      <c r="AD394" t="s">
        <v>160</v>
      </c>
      <c r="AE394" t="s">
        <v>47</v>
      </c>
      <c r="AF394" t="s">
        <v>55</v>
      </c>
      <c r="AG394">
        <v>2021</v>
      </c>
      <c r="AH394" t="s">
        <v>111</v>
      </c>
      <c r="AI394" t="str">
        <f>IF(Cdacdata[ccat_rank]&lt;=100,"Top 100",
IF(Cdacdata[ccat_rank]&lt;=500,"101–500",
IF(Cdacdata[ccat_rank]&lt;=1000,"501–1000",
"1000+")))</f>
        <v>1000+</v>
      </c>
    </row>
    <row r="395" spans="1:35" x14ac:dyDescent="0.3">
      <c r="A395" s="1" t="s">
        <v>158</v>
      </c>
      <c r="B395">
        <v>210305856</v>
      </c>
      <c r="C395" s="2">
        <v>44318</v>
      </c>
      <c r="D395" s="2" t="s">
        <v>648</v>
      </c>
      <c r="E395">
        <v>1500</v>
      </c>
      <c r="F395" s="2">
        <v>35953</v>
      </c>
      <c r="G395">
        <v>86.4</v>
      </c>
      <c r="H395" t="s">
        <v>26</v>
      </c>
      <c r="I395">
        <v>79.760000000000005</v>
      </c>
      <c r="J395">
        <v>79.88</v>
      </c>
      <c r="K395" s="3">
        <f t="shared" si="6"/>
        <v>82.013333333333335</v>
      </c>
      <c r="L395" t="s">
        <v>27</v>
      </c>
      <c r="M395" t="s">
        <v>27</v>
      </c>
      <c r="N395">
        <v>22</v>
      </c>
      <c r="O395" t="s">
        <v>48</v>
      </c>
      <c r="P395" t="s">
        <v>60</v>
      </c>
      <c r="Q395" t="s">
        <v>30</v>
      </c>
      <c r="R395">
        <v>419</v>
      </c>
      <c r="S395">
        <v>69.833333330000002</v>
      </c>
      <c r="T395" t="s">
        <v>49</v>
      </c>
      <c r="U395" t="s">
        <v>32</v>
      </c>
      <c r="V395" t="s">
        <v>49</v>
      </c>
      <c r="W395" t="s">
        <v>33</v>
      </c>
      <c r="X395" t="s">
        <v>34</v>
      </c>
      <c r="Y395" t="s">
        <v>50</v>
      </c>
      <c r="Z395" t="s">
        <v>44</v>
      </c>
      <c r="AA395" t="s">
        <v>177</v>
      </c>
      <c r="AB395" t="s">
        <v>46</v>
      </c>
      <c r="AC395">
        <f>IF(Cdacdata[[#This Row],[placement_status]]="Placed",1,0)</f>
        <v>1</v>
      </c>
      <c r="AD395" t="s">
        <v>160</v>
      </c>
      <c r="AE395" t="s">
        <v>47</v>
      </c>
      <c r="AF395" t="s">
        <v>57</v>
      </c>
      <c r="AG395">
        <v>2021</v>
      </c>
      <c r="AH395" t="s">
        <v>111</v>
      </c>
      <c r="AI395" t="str">
        <f>IF(Cdacdata[ccat_rank]&lt;=100,"Top 100",
IF(Cdacdata[ccat_rank]&lt;=500,"101–500",
IF(Cdacdata[ccat_rank]&lt;=1000,"501–1000",
"1000+")))</f>
        <v>1000+</v>
      </c>
    </row>
    <row r="396" spans="1:35" x14ac:dyDescent="0.3">
      <c r="A396" s="1" t="s">
        <v>158</v>
      </c>
      <c r="B396">
        <v>210300697</v>
      </c>
      <c r="C396" s="2">
        <v>44315</v>
      </c>
      <c r="D396" s="2" t="s">
        <v>649</v>
      </c>
      <c r="E396">
        <v>1507</v>
      </c>
      <c r="F396" s="2">
        <v>34620</v>
      </c>
      <c r="G396">
        <v>87.88</v>
      </c>
      <c r="H396">
        <v>55.67</v>
      </c>
      <c r="I396" t="s">
        <v>26</v>
      </c>
      <c r="J396">
        <v>72.5</v>
      </c>
      <c r="K396" s="3">
        <f t="shared" si="6"/>
        <v>72.016666666666666</v>
      </c>
      <c r="L396" t="s">
        <v>41</v>
      </c>
      <c r="M396" t="s">
        <v>41</v>
      </c>
      <c r="N396">
        <v>26</v>
      </c>
      <c r="O396" t="s">
        <v>28</v>
      </c>
      <c r="P396" t="s">
        <v>42</v>
      </c>
      <c r="Q396" t="s">
        <v>30</v>
      </c>
      <c r="R396">
        <v>72</v>
      </c>
      <c r="S396">
        <v>12</v>
      </c>
      <c r="T396" t="s">
        <v>33</v>
      </c>
      <c r="U396" t="s">
        <v>64</v>
      </c>
      <c r="V396" t="s">
        <v>33</v>
      </c>
      <c r="W396" t="s">
        <v>64</v>
      </c>
      <c r="X396" t="s">
        <v>34</v>
      </c>
      <c r="Y396" t="s">
        <v>64</v>
      </c>
      <c r="Z396" t="s">
        <v>36</v>
      </c>
      <c r="AA396" t="s">
        <v>1268</v>
      </c>
      <c r="AB396" t="s">
        <v>36</v>
      </c>
      <c r="AC396">
        <f>IF(Cdacdata[[#This Row],[placement_status]]="Placed",1,0)</f>
        <v>0</v>
      </c>
      <c r="AD396" t="s">
        <v>160</v>
      </c>
      <c r="AE396" t="s">
        <v>47</v>
      </c>
      <c r="AF396" t="s">
        <v>55</v>
      </c>
      <c r="AG396">
        <v>2021</v>
      </c>
      <c r="AH396" t="s">
        <v>111</v>
      </c>
      <c r="AI396" t="str">
        <f>IF(Cdacdata[ccat_rank]&lt;=100,"Top 100",
IF(Cdacdata[ccat_rank]&lt;=500,"101–500",
IF(Cdacdata[ccat_rank]&lt;=1000,"501–1000",
"1000+")))</f>
        <v>1000+</v>
      </c>
    </row>
    <row r="397" spans="1:35" x14ac:dyDescent="0.3">
      <c r="A397" s="1" t="s">
        <v>158</v>
      </c>
      <c r="B397">
        <v>210305725</v>
      </c>
      <c r="C397" s="2">
        <v>44315</v>
      </c>
      <c r="D397" s="2" t="s">
        <v>650</v>
      </c>
      <c r="E397">
        <v>133</v>
      </c>
      <c r="F397" s="2">
        <v>36321</v>
      </c>
      <c r="G397">
        <v>93.6</v>
      </c>
      <c r="H397">
        <v>77.540000000000006</v>
      </c>
      <c r="I397" t="s">
        <v>26</v>
      </c>
      <c r="J397">
        <v>72.13</v>
      </c>
      <c r="K397" s="3">
        <f t="shared" si="6"/>
        <v>81.089999999999989</v>
      </c>
      <c r="L397" t="s">
        <v>27</v>
      </c>
      <c r="M397" t="s">
        <v>27</v>
      </c>
      <c r="N397">
        <v>21</v>
      </c>
      <c r="O397" t="s">
        <v>28</v>
      </c>
      <c r="P397" t="s">
        <v>29</v>
      </c>
      <c r="Q397" t="s">
        <v>30</v>
      </c>
      <c r="R397">
        <v>508</v>
      </c>
      <c r="S397">
        <v>84.666666669999998</v>
      </c>
      <c r="T397" t="s">
        <v>49</v>
      </c>
      <c r="U397" t="s">
        <v>32</v>
      </c>
      <c r="V397" t="s">
        <v>49</v>
      </c>
      <c r="W397" t="s">
        <v>49</v>
      </c>
      <c r="X397" t="s">
        <v>34</v>
      </c>
      <c r="Y397" t="s">
        <v>58</v>
      </c>
      <c r="Z397" t="s">
        <v>44</v>
      </c>
      <c r="AA397" t="s">
        <v>167</v>
      </c>
      <c r="AB397" t="s">
        <v>46</v>
      </c>
      <c r="AC397">
        <f>IF(Cdacdata[[#This Row],[placement_status]]="Placed",1,0)</f>
        <v>1</v>
      </c>
      <c r="AD397" t="s">
        <v>160</v>
      </c>
      <c r="AE397" t="s">
        <v>75</v>
      </c>
      <c r="AF397" t="s">
        <v>57</v>
      </c>
      <c r="AG397">
        <v>2021</v>
      </c>
      <c r="AH397" t="s">
        <v>111</v>
      </c>
      <c r="AI397" t="str">
        <f>IF(Cdacdata[ccat_rank]&lt;=100,"Top 100",
IF(Cdacdata[ccat_rank]&lt;=500,"101–500",
IF(Cdacdata[ccat_rank]&lt;=1000,"501–1000",
"1000+")))</f>
        <v>101–500</v>
      </c>
    </row>
    <row r="398" spans="1:35" x14ac:dyDescent="0.3">
      <c r="A398" s="1" t="s">
        <v>158</v>
      </c>
      <c r="B398">
        <v>210300339</v>
      </c>
      <c r="C398" s="2">
        <v>44319</v>
      </c>
      <c r="D398" s="2" t="s">
        <v>651</v>
      </c>
      <c r="E398">
        <v>1482</v>
      </c>
      <c r="F398" s="2">
        <v>36368</v>
      </c>
      <c r="G398">
        <v>83</v>
      </c>
      <c r="H398">
        <v>65.56</v>
      </c>
      <c r="I398" t="s">
        <v>26</v>
      </c>
      <c r="J398">
        <v>0</v>
      </c>
      <c r="K398" s="3">
        <f t="shared" si="6"/>
        <v>49.52</v>
      </c>
      <c r="L398" t="s">
        <v>27</v>
      </c>
      <c r="M398" t="s">
        <v>41</v>
      </c>
      <c r="N398">
        <v>21</v>
      </c>
      <c r="O398" t="s">
        <v>62</v>
      </c>
      <c r="P398" t="s">
        <v>26</v>
      </c>
      <c r="Q398" t="s">
        <v>26</v>
      </c>
      <c r="R398">
        <v>340</v>
      </c>
      <c r="S398">
        <v>56.666666669999998</v>
      </c>
      <c r="T398" t="s">
        <v>33</v>
      </c>
      <c r="U398" t="s">
        <v>32</v>
      </c>
      <c r="V398" t="s">
        <v>33</v>
      </c>
      <c r="W398" t="s">
        <v>31</v>
      </c>
      <c r="X398" t="s">
        <v>34</v>
      </c>
      <c r="Y398" t="s">
        <v>35</v>
      </c>
      <c r="Z398" t="s">
        <v>44</v>
      </c>
      <c r="AA398" t="s">
        <v>178</v>
      </c>
      <c r="AB398" t="s">
        <v>46</v>
      </c>
      <c r="AC398">
        <f>IF(Cdacdata[[#This Row],[placement_status]]="Placed",1,0)</f>
        <v>1</v>
      </c>
      <c r="AD398" t="s">
        <v>160</v>
      </c>
      <c r="AE398" t="s">
        <v>47</v>
      </c>
      <c r="AF398" t="s">
        <v>57</v>
      </c>
      <c r="AG398">
        <v>2021</v>
      </c>
      <c r="AH398" t="s">
        <v>111</v>
      </c>
      <c r="AI398" t="str">
        <f>IF(Cdacdata[ccat_rank]&lt;=100,"Top 100",
IF(Cdacdata[ccat_rank]&lt;=500,"101–500",
IF(Cdacdata[ccat_rank]&lt;=1000,"501–1000",
"1000+")))</f>
        <v>1000+</v>
      </c>
    </row>
    <row r="399" spans="1:35" x14ac:dyDescent="0.3">
      <c r="A399" s="1" t="s">
        <v>158</v>
      </c>
      <c r="B399">
        <v>210303756</v>
      </c>
      <c r="C399" s="2">
        <v>44315</v>
      </c>
      <c r="D399" s="2" t="s">
        <v>652</v>
      </c>
      <c r="E399">
        <v>1408</v>
      </c>
      <c r="F399" s="2">
        <v>35931</v>
      </c>
      <c r="G399">
        <v>82.04</v>
      </c>
      <c r="H399">
        <v>56.28</v>
      </c>
      <c r="I399" t="s">
        <v>26</v>
      </c>
      <c r="J399">
        <v>59.92</v>
      </c>
      <c r="K399" s="3">
        <f t="shared" si="6"/>
        <v>66.08</v>
      </c>
      <c r="L399" t="s">
        <v>27</v>
      </c>
      <c r="M399" t="s">
        <v>27</v>
      </c>
      <c r="N399">
        <v>22</v>
      </c>
      <c r="O399" t="s">
        <v>62</v>
      </c>
      <c r="P399" t="s">
        <v>56</v>
      </c>
      <c r="Q399" t="s">
        <v>30</v>
      </c>
      <c r="R399">
        <v>359</v>
      </c>
      <c r="S399">
        <v>59.833333330000002</v>
      </c>
      <c r="T399" t="s">
        <v>33</v>
      </c>
      <c r="U399" t="s">
        <v>32</v>
      </c>
      <c r="V399" t="s">
        <v>33</v>
      </c>
      <c r="W399" t="s">
        <v>31</v>
      </c>
      <c r="X399" t="s">
        <v>34</v>
      </c>
      <c r="Y399" t="s">
        <v>35</v>
      </c>
      <c r="Z399" t="s">
        <v>44</v>
      </c>
      <c r="AA399" t="s">
        <v>91</v>
      </c>
      <c r="AB399" t="s">
        <v>46</v>
      </c>
      <c r="AC399">
        <f>IF(Cdacdata[[#This Row],[placement_status]]="Placed",1,0)</f>
        <v>1</v>
      </c>
      <c r="AD399" t="s">
        <v>160</v>
      </c>
      <c r="AE399" t="s">
        <v>47</v>
      </c>
      <c r="AF399" t="s">
        <v>57</v>
      </c>
      <c r="AG399">
        <v>2021</v>
      </c>
      <c r="AH399" t="s">
        <v>111</v>
      </c>
      <c r="AI399" t="str">
        <f>IF(Cdacdata[ccat_rank]&lt;=100,"Top 100",
IF(Cdacdata[ccat_rank]&lt;=500,"101–500",
IF(Cdacdata[ccat_rank]&lt;=1000,"501–1000",
"1000+")))</f>
        <v>1000+</v>
      </c>
    </row>
    <row r="400" spans="1:35" x14ac:dyDescent="0.3">
      <c r="A400" s="1" t="s">
        <v>158</v>
      </c>
      <c r="B400">
        <v>210302258</v>
      </c>
      <c r="C400" s="2">
        <v>44315</v>
      </c>
      <c r="D400" s="2" t="s">
        <v>653</v>
      </c>
      <c r="E400">
        <v>1500</v>
      </c>
      <c r="F400" s="2">
        <v>36149</v>
      </c>
      <c r="G400">
        <v>81</v>
      </c>
      <c r="H400" t="s">
        <v>26</v>
      </c>
      <c r="I400">
        <v>82.71</v>
      </c>
      <c r="J400">
        <v>70.31</v>
      </c>
      <c r="K400" s="3">
        <f t="shared" si="6"/>
        <v>78.006666666666661</v>
      </c>
      <c r="L400" t="s">
        <v>27</v>
      </c>
      <c r="M400" t="s">
        <v>27</v>
      </c>
      <c r="N400">
        <v>22</v>
      </c>
      <c r="O400" t="s">
        <v>28</v>
      </c>
      <c r="P400" t="s">
        <v>60</v>
      </c>
      <c r="Q400" t="s">
        <v>26</v>
      </c>
      <c r="R400">
        <v>404</v>
      </c>
      <c r="S400">
        <v>67.333333330000002</v>
      </c>
      <c r="T400" t="s">
        <v>33</v>
      </c>
      <c r="U400" t="s">
        <v>32</v>
      </c>
      <c r="V400" t="s">
        <v>33</v>
      </c>
      <c r="W400" t="s">
        <v>33</v>
      </c>
      <c r="X400" t="s">
        <v>34</v>
      </c>
      <c r="Y400" t="s">
        <v>50</v>
      </c>
      <c r="Z400" t="s">
        <v>44</v>
      </c>
      <c r="AA400" t="s">
        <v>91</v>
      </c>
      <c r="AB400" t="s">
        <v>46</v>
      </c>
      <c r="AC400">
        <f>IF(Cdacdata[[#This Row],[placement_status]]="Placed",1,0)</f>
        <v>1</v>
      </c>
      <c r="AD400" t="s">
        <v>160</v>
      </c>
      <c r="AE400" t="s">
        <v>47</v>
      </c>
      <c r="AF400" t="s">
        <v>57</v>
      </c>
      <c r="AG400">
        <v>2021</v>
      </c>
      <c r="AH400" t="s">
        <v>111</v>
      </c>
      <c r="AI400" t="str">
        <f>IF(Cdacdata[ccat_rank]&lt;=100,"Top 100",
IF(Cdacdata[ccat_rank]&lt;=500,"101–500",
IF(Cdacdata[ccat_rank]&lt;=1000,"501–1000",
"1000+")))</f>
        <v>1000+</v>
      </c>
    </row>
    <row r="401" spans="1:35" x14ac:dyDescent="0.3">
      <c r="A401" s="1" t="s">
        <v>158</v>
      </c>
      <c r="B401">
        <v>210301146</v>
      </c>
      <c r="C401" s="2">
        <v>44316</v>
      </c>
      <c r="D401" s="2" t="s">
        <v>654</v>
      </c>
      <c r="E401">
        <v>438</v>
      </c>
      <c r="F401" s="2">
        <v>34491</v>
      </c>
      <c r="G401">
        <v>85.64</v>
      </c>
      <c r="H401">
        <v>70.5</v>
      </c>
      <c r="I401" t="s">
        <v>26</v>
      </c>
      <c r="J401">
        <v>58.78</v>
      </c>
      <c r="K401" s="3">
        <f t="shared" si="6"/>
        <v>71.64</v>
      </c>
      <c r="L401" t="s">
        <v>27</v>
      </c>
      <c r="M401" t="s">
        <v>41</v>
      </c>
      <c r="N401">
        <v>26</v>
      </c>
      <c r="O401" t="s">
        <v>72</v>
      </c>
      <c r="P401" t="s">
        <v>56</v>
      </c>
      <c r="Q401" t="s">
        <v>30</v>
      </c>
      <c r="R401">
        <v>467</v>
      </c>
      <c r="S401">
        <v>77.833333330000002</v>
      </c>
      <c r="T401" t="s">
        <v>49</v>
      </c>
      <c r="U401" t="s">
        <v>32</v>
      </c>
      <c r="V401" t="s">
        <v>49</v>
      </c>
      <c r="W401" t="s">
        <v>49</v>
      </c>
      <c r="X401" t="s">
        <v>34</v>
      </c>
      <c r="Y401" t="s">
        <v>58</v>
      </c>
      <c r="Z401" t="s">
        <v>44</v>
      </c>
      <c r="AA401" t="s">
        <v>131</v>
      </c>
      <c r="AB401" t="s">
        <v>46</v>
      </c>
      <c r="AC401">
        <f>IF(Cdacdata[[#This Row],[placement_status]]="Placed",1,0)</f>
        <v>1</v>
      </c>
      <c r="AD401" t="s">
        <v>160</v>
      </c>
      <c r="AE401" t="s">
        <v>75</v>
      </c>
      <c r="AF401" t="s">
        <v>55</v>
      </c>
      <c r="AG401">
        <v>2021</v>
      </c>
      <c r="AH401" t="s">
        <v>111</v>
      </c>
      <c r="AI401" t="str">
        <f>IF(Cdacdata[ccat_rank]&lt;=100,"Top 100",
IF(Cdacdata[ccat_rank]&lt;=500,"101–500",
IF(Cdacdata[ccat_rank]&lt;=1000,"501–1000",
"1000+")))</f>
        <v>101–500</v>
      </c>
    </row>
    <row r="402" spans="1:35" x14ac:dyDescent="0.3">
      <c r="A402" s="1" t="s">
        <v>158</v>
      </c>
      <c r="B402">
        <v>210300506</v>
      </c>
      <c r="C402" s="2">
        <v>44315</v>
      </c>
      <c r="D402" s="2" t="s">
        <v>655</v>
      </c>
      <c r="E402">
        <v>527</v>
      </c>
      <c r="F402" s="2">
        <v>36211</v>
      </c>
      <c r="G402">
        <v>83.6</v>
      </c>
      <c r="H402">
        <v>65.23</v>
      </c>
      <c r="I402" t="s">
        <v>26</v>
      </c>
      <c r="J402">
        <v>69.7</v>
      </c>
      <c r="K402" s="3">
        <f t="shared" si="6"/>
        <v>72.84333333333332</v>
      </c>
      <c r="L402" t="s">
        <v>27</v>
      </c>
      <c r="M402" t="s">
        <v>41</v>
      </c>
      <c r="N402">
        <v>22</v>
      </c>
      <c r="O402" t="s">
        <v>28</v>
      </c>
      <c r="P402" t="s">
        <v>56</v>
      </c>
      <c r="Q402" t="s">
        <v>30</v>
      </c>
      <c r="R402">
        <v>380</v>
      </c>
      <c r="S402">
        <v>63.333333330000002</v>
      </c>
      <c r="T402" t="s">
        <v>49</v>
      </c>
      <c r="U402" t="s">
        <v>32</v>
      </c>
      <c r="V402" t="s">
        <v>49</v>
      </c>
      <c r="W402" t="s">
        <v>31</v>
      </c>
      <c r="X402" t="s">
        <v>34</v>
      </c>
      <c r="Y402" t="s">
        <v>50</v>
      </c>
      <c r="Z402" t="s">
        <v>44</v>
      </c>
      <c r="AA402" t="s">
        <v>167</v>
      </c>
      <c r="AB402" t="s">
        <v>46</v>
      </c>
      <c r="AC402">
        <f>IF(Cdacdata[[#This Row],[placement_status]]="Placed",1,0)</f>
        <v>1</v>
      </c>
      <c r="AD402" t="s">
        <v>160</v>
      </c>
      <c r="AE402" t="s">
        <v>75</v>
      </c>
      <c r="AF402" t="s">
        <v>57</v>
      </c>
      <c r="AG402">
        <v>2021</v>
      </c>
      <c r="AH402" t="s">
        <v>111</v>
      </c>
      <c r="AI402" t="str">
        <f>IF(Cdacdata[ccat_rank]&lt;=100,"Top 100",
IF(Cdacdata[ccat_rank]&lt;=500,"101–500",
IF(Cdacdata[ccat_rank]&lt;=1000,"501–1000",
"1000+")))</f>
        <v>501–1000</v>
      </c>
    </row>
    <row r="403" spans="1:35" x14ac:dyDescent="0.3">
      <c r="A403" s="1" t="s">
        <v>158</v>
      </c>
      <c r="B403">
        <v>210304528</v>
      </c>
      <c r="C403" s="2">
        <v>44320</v>
      </c>
      <c r="D403" s="2" t="s">
        <v>656</v>
      </c>
      <c r="E403">
        <v>1466</v>
      </c>
      <c r="F403" s="2">
        <v>35398</v>
      </c>
      <c r="G403">
        <v>79.64</v>
      </c>
      <c r="H403">
        <v>66</v>
      </c>
      <c r="I403" t="s">
        <v>26</v>
      </c>
      <c r="J403">
        <v>64.98</v>
      </c>
      <c r="K403" s="3">
        <f t="shared" si="6"/>
        <v>70.206666666666663</v>
      </c>
      <c r="L403" t="s">
        <v>27</v>
      </c>
      <c r="M403" t="s">
        <v>27</v>
      </c>
      <c r="N403">
        <v>24</v>
      </c>
      <c r="O403" t="s">
        <v>28</v>
      </c>
      <c r="P403" t="s">
        <v>60</v>
      </c>
      <c r="Q403" t="s">
        <v>30</v>
      </c>
      <c r="R403">
        <v>411</v>
      </c>
      <c r="S403">
        <v>68.5</v>
      </c>
      <c r="T403" t="s">
        <v>49</v>
      </c>
      <c r="U403" t="s">
        <v>32</v>
      </c>
      <c r="V403" t="s">
        <v>49</v>
      </c>
      <c r="W403" t="s">
        <v>49</v>
      </c>
      <c r="X403" t="s">
        <v>34</v>
      </c>
      <c r="Y403" t="s">
        <v>50</v>
      </c>
      <c r="Z403" t="s">
        <v>44</v>
      </c>
      <c r="AA403" t="s">
        <v>93</v>
      </c>
      <c r="AB403" t="s">
        <v>46</v>
      </c>
      <c r="AC403">
        <f>IF(Cdacdata[[#This Row],[placement_status]]="Placed",1,0)</f>
        <v>1</v>
      </c>
      <c r="AD403" t="s">
        <v>160</v>
      </c>
      <c r="AE403" t="s">
        <v>47</v>
      </c>
      <c r="AF403" t="s">
        <v>39</v>
      </c>
      <c r="AG403">
        <v>2021</v>
      </c>
      <c r="AH403" t="s">
        <v>111</v>
      </c>
      <c r="AI403" t="str">
        <f>IF(Cdacdata[ccat_rank]&lt;=100,"Top 100",
IF(Cdacdata[ccat_rank]&lt;=500,"101–500",
IF(Cdacdata[ccat_rank]&lt;=1000,"501–1000",
"1000+")))</f>
        <v>1000+</v>
      </c>
    </row>
    <row r="404" spans="1:35" x14ac:dyDescent="0.3">
      <c r="A404" s="1" t="s">
        <v>158</v>
      </c>
      <c r="B404">
        <v>210301001</v>
      </c>
      <c r="C404" s="2">
        <v>44315</v>
      </c>
      <c r="D404" s="2" t="s">
        <v>657</v>
      </c>
      <c r="E404">
        <v>788</v>
      </c>
      <c r="F404" s="2">
        <v>35329</v>
      </c>
      <c r="G404">
        <v>87.09</v>
      </c>
      <c r="H404">
        <v>60</v>
      </c>
      <c r="I404" t="s">
        <v>26</v>
      </c>
      <c r="J404">
        <v>51.05</v>
      </c>
      <c r="K404" s="3">
        <f t="shared" si="6"/>
        <v>66.046666666666667</v>
      </c>
      <c r="L404" t="s">
        <v>27</v>
      </c>
      <c r="M404" t="s">
        <v>27</v>
      </c>
      <c r="N404">
        <v>24</v>
      </c>
      <c r="O404" t="s">
        <v>72</v>
      </c>
      <c r="P404" t="s">
        <v>26</v>
      </c>
      <c r="Q404" t="s">
        <v>30</v>
      </c>
      <c r="R404">
        <v>449</v>
      </c>
      <c r="S404">
        <v>74.833333330000002</v>
      </c>
      <c r="T404" t="s">
        <v>33</v>
      </c>
      <c r="U404" t="s">
        <v>32</v>
      </c>
      <c r="V404" t="s">
        <v>33</v>
      </c>
      <c r="W404" t="s">
        <v>49</v>
      </c>
      <c r="X404" t="s">
        <v>34</v>
      </c>
      <c r="Y404" t="s">
        <v>58</v>
      </c>
      <c r="Z404" t="s">
        <v>44</v>
      </c>
      <c r="AA404" t="s">
        <v>91</v>
      </c>
      <c r="AB404" t="s">
        <v>46</v>
      </c>
      <c r="AC404">
        <f>IF(Cdacdata[[#This Row],[placement_status]]="Placed",1,0)</f>
        <v>1</v>
      </c>
      <c r="AD404" t="s">
        <v>160</v>
      </c>
      <c r="AE404" t="s">
        <v>75</v>
      </c>
      <c r="AF404" t="s">
        <v>39</v>
      </c>
      <c r="AG404">
        <v>2021</v>
      </c>
      <c r="AH404" t="s">
        <v>111</v>
      </c>
      <c r="AI404" t="str">
        <f>IF(Cdacdata[ccat_rank]&lt;=100,"Top 100",
IF(Cdacdata[ccat_rank]&lt;=500,"101–500",
IF(Cdacdata[ccat_rank]&lt;=1000,"501–1000",
"1000+")))</f>
        <v>501–1000</v>
      </c>
    </row>
    <row r="405" spans="1:35" x14ac:dyDescent="0.3">
      <c r="A405" s="1" t="s">
        <v>158</v>
      </c>
      <c r="B405">
        <v>210306672</v>
      </c>
      <c r="C405" s="2">
        <v>44315</v>
      </c>
      <c r="D405" s="2" t="s">
        <v>658</v>
      </c>
      <c r="E405">
        <v>1472</v>
      </c>
      <c r="F405" s="2">
        <v>35643</v>
      </c>
      <c r="G405">
        <v>76.180000000000007</v>
      </c>
      <c r="H405">
        <v>60.92</v>
      </c>
      <c r="I405" t="s">
        <v>26</v>
      </c>
      <c r="J405">
        <v>58.69</v>
      </c>
      <c r="K405" s="3">
        <f t="shared" si="6"/>
        <v>65.263333333333335</v>
      </c>
      <c r="L405" t="s">
        <v>27</v>
      </c>
      <c r="M405" t="s">
        <v>41</v>
      </c>
      <c r="N405">
        <v>23</v>
      </c>
      <c r="O405" t="s">
        <v>72</v>
      </c>
      <c r="P405" t="s">
        <v>60</v>
      </c>
      <c r="Q405" t="s">
        <v>30</v>
      </c>
      <c r="R405">
        <v>400</v>
      </c>
      <c r="S405">
        <v>66.666666669999998</v>
      </c>
      <c r="T405" t="s">
        <v>31</v>
      </c>
      <c r="U405" t="s">
        <v>32</v>
      </c>
      <c r="V405" t="s">
        <v>31</v>
      </c>
      <c r="W405" t="s">
        <v>33</v>
      </c>
      <c r="X405" t="s">
        <v>34</v>
      </c>
      <c r="Y405" t="s">
        <v>50</v>
      </c>
      <c r="Z405" t="s">
        <v>44</v>
      </c>
      <c r="AA405" t="s">
        <v>163</v>
      </c>
      <c r="AB405" t="s">
        <v>46</v>
      </c>
      <c r="AC405">
        <f>IF(Cdacdata[[#This Row],[placement_status]]="Placed",1,0)</f>
        <v>1</v>
      </c>
      <c r="AD405" t="s">
        <v>160</v>
      </c>
      <c r="AE405" t="s">
        <v>47</v>
      </c>
      <c r="AF405" t="s">
        <v>39</v>
      </c>
      <c r="AG405">
        <v>2021</v>
      </c>
      <c r="AH405" t="s">
        <v>111</v>
      </c>
      <c r="AI405" t="str">
        <f>IF(Cdacdata[ccat_rank]&lt;=100,"Top 100",
IF(Cdacdata[ccat_rank]&lt;=500,"101–500",
IF(Cdacdata[ccat_rank]&lt;=1000,"501–1000",
"1000+")))</f>
        <v>1000+</v>
      </c>
    </row>
    <row r="406" spans="1:35" x14ac:dyDescent="0.3">
      <c r="A406" s="1" t="s">
        <v>158</v>
      </c>
      <c r="B406">
        <v>210300773</v>
      </c>
      <c r="C406" s="2">
        <v>44315</v>
      </c>
      <c r="D406" s="2" t="s">
        <v>659</v>
      </c>
      <c r="E406">
        <v>1428</v>
      </c>
      <c r="F406" s="2">
        <v>36340</v>
      </c>
      <c r="G406">
        <v>88</v>
      </c>
      <c r="H406">
        <v>70.45</v>
      </c>
      <c r="I406" t="s">
        <v>26</v>
      </c>
      <c r="J406">
        <v>6.7</v>
      </c>
      <c r="K406" s="3">
        <f t="shared" si="6"/>
        <v>55.04999999999999</v>
      </c>
      <c r="L406" t="s">
        <v>27</v>
      </c>
      <c r="M406" t="s">
        <v>41</v>
      </c>
      <c r="N406">
        <v>21</v>
      </c>
      <c r="O406" t="s">
        <v>62</v>
      </c>
      <c r="P406" t="s">
        <v>26</v>
      </c>
      <c r="Q406" t="s">
        <v>43</v>
      </c>
      <c r="R406">
        <v>428</v>
      </c>
      <c r="S406">
        <v>71.333333330000002</v>
      </c>
      <c r="T406" t="s">
        <v>33</v>
      </c>
      <c r="U406" t="s">
        <v>32</v>
      </c>
      <c r="V406" t="s">
        <v>33</v>
      </c>
      <c r="W406" t="s">
        <v>33</v>
      </c>
      <c r="X406" t="s">
        <v>34</v>
      </c>
      <c r="Y406" t="s">
        <v>58</v>
      </c>
      <c r="Z406" t="s">
        <v>44</v>
      </c>
      <c r="AA406" t="s">
        <v>91</v>
      </c>
      <c r="AB406" t="s">
        <v>46</v>
      </c>
      <c r="AC406">
        <f>IF(Cdacdata[[#This Row],[placement_status]]="Placed",1,0)</f>
        <v>1</v>
      </c>
      <c r="AD406" t="s">
        <v>160</v>
      </c>
      <c r="AE406" t="s">
        <v>47</v>
      </c>
      <c r="AF406" t="s">
        <v>57</v>
      </c>
      <c r="AG406">
        <v>2021</v>
      </c>
      <c r="AH406" t="s">
        <v>111</v>
      </c>
      <c r="AI406" t="str">
        <f>IF(Cdacdata[ccat_rank]&lt;=100,"Top 100",
IF(Cdacdata[ccat_rank]&lt;=500,"101–500",
IF(Cdacdata[ccat_rank]&lt;=1000,"501–1000",
"1000+")))</f>
        <v>1000+</v>
      </c>
    </row>
    <row r="407" spans="1:35" x14ac:dyDescent="0.3">
      <c r="A407" s="1" t="s">
        <v>158</v>
      </c>
      <c r="B407">
        <v>210301169</v>
      </c>
      <c r="C407" s="2">
        <v>44319</v>
      </c>
      <c r="D407" s="2" t="s">
        <v>660</v>
      </c>
      <c r="E407">
        <v>1139</v>
      </c>
      <c r="F407" s="2">
        <v>36301</v>
      </c>
      <c r="G407">
        <v>87.6</v>
      </c>
      <c r="H407">
        <v>69.849999999999994</v>
      </c>
      <c r="I407" t="s">
        <v>26</v>
      </c>
      <c r="J407">
        <v>0</v>
      </c>
      <c r="K407" s="3">
        <f t="shared" si="6"/>
        <v>52.483333333333327</v>
      </c>
      <c r="L407" t="s">
        <v>27</v>
      </c>
      <c r="M407" t="s">
        <v>41</v>
      </c>
      <c r="N407">
        <v>21</v>
      </c>
      <c r="O407" t="s">
        <v>62</v>
      </c>
      <c r="P407" t="s">
        <v>26</v>
      </c>
      <c r="Q407" t="s">
        <v>43</v>
      </c>
      <c r="R407">
        <v>423</v>
      </c>
      <c r="S407">
        <v>70.5</v>
      </c>
      <c r="T407" t="s">
        <v>33</v>
      </c>
      <c r="U407" t="s">
        <v>32</v>
      </c>
      <c r="V407" t="s">
        <v>33</v>
      </c>
      <c r="W407" t="s">
        <v>49</v>
      </c>
      <c r="X407" t="s">
        <v>34</v>
      </c>
      <c r="Y407" t="s">
        <v>58</v>
      </c>
      <c r="Z407" t="s">
        <v>44</v>
      </c>
      <c r="AA407" t="s">
        <v>99</v>
      </c>
      <c r="AB407" t="s">
        <v>46</v>
      </c>
      <c r="AC407">
        <f>IF(Cdacdata[[#This Row],[placement_status]]="Placed",1,0)</f>
        <v>1</v>
      </c>
      <c r="AD407" t="s">
        <v>160</v>
      </c>
      <c r="AE407" t="s">
        <v>47</v>
      </c>
      <c r="AF407" t="s">
        <v>57</v>
      </c>
      <c r="AG407">
        <v>2021</v>
      </c>
      <c r="AH407" t="s">
        <v>111</v>
      </c>
      <c r="AI407" t="str">
        <f>IF(Cdacdata[ccat_rank]&lt;=100,"Top 100",
IF(Cdacdata[ccat_rank]&lt;=500,"101–500",
IF(Cdacdata[ccat_rank]&lt;=1000,"501–1000",
"1000+")))</f>
        <v>1000+</v>
      </c>
    </row>
    <row r="408" spans="1:35" x14ac:dyDescent="0.3">
      <c r="A408" s="1" t="s">
        <v>158</v>
      </c>
      <c r="B408">
        <v>210300176</v>
      </c>
      <c r="C408" s="2">
        <v>44315</v>
      </c>
      <c r="D408" s="2" t="s">
        <v>661</v>
      </c>
      <c r="E408">
        <v>1436</v>
      </c>
      <c r="F408" s="2">
        <v>35328</v>
      </c>
      <c r="G408">
        <v>78</v>
      </c>
      <c r="H408">
        <v>73</v>
      </c>
      <c r="I408" t="s">
        <v>26</v>
      </c>
      <c r="J408">
        <v>63</v>
      </c>
      <c r="K408" s="3">
        <f t="shared" si="6"/>
        <v>71.333333333333329</v>
      </c>
      <c r="L408" t="s">
        <v>27</v>
      </c>
      <c r="M408" t="s">
        <v>27</v>
      </c>
      <c r="N408">
        <v>24</v>
      </c>
      <c r="O408" t="s">
        <v>28</v>
      </c>
      <c r="P408" t="s">
        <v>60</v>
      </c>
      <c r="Q408" t="s">
        <v>30</v>
      </c>
      <c r="R408">
        <v>327</v>
      </c>
      <c r="S408">
        <v>54.5</v>
      </c>
      <c r="T408" t="s">
        <v>31</v>
      </c>
      <c r="U408" t="s">
        <v>32</v>
      </c>
      <c r="V408" t="s">
        <v>31</v>
      </c>
      <c r="W408" t="s">
        <v>31</v>
      </c>
      <c r="X408" t="s">
        <v>34</v>
      </c>
      <c r="Y408" t="s">
        <v>35</v>
      </c>
      <c r="Z408" t="s">
        <v>44</v>
      </c>
      <c r="AA408" t="s">
        <v>179</v>
      </c>
      <c r="AB408" t="s">
        <v>46</v>
      </c>
      <c r="AC408">
        <f>IF(Cdacdata[[#This Row],[placement_status]]="Placed",1,0)</f>
        <v>1</v>
      </c>
      <c r="AD408" t="s">
        <v>160</v>
      </c>
      <c r="AE408" t="s">
        <v>47</v>
      </c>
      <c r="AF408" t="s">
        <v>39</v>
      </c>
      <c r="AG408">
        <v>2021</v>
      </c>
      <c r="AH408" t="s">
        <v>111</v>
      </c>
      <c r="AI408" t="str">
        <f>IF(Cdacdata[ccat_rank]&lt;=100,"Top 100",
IF(Cdacdata[ccat_rank]&lt;=500,"101–500",
IF(Cdacdata[ccat_rank]&lt;=1000,"501–1000",
"1000+")))</f>
        <v>1000+</v>
      </c>
    </row>
    <row r="409" spans="1:35" x14ac:dyDescent="0.3">
      <c r="A409" s="1" t="s">
        <v>158</v>
      </c>
      <c r="B409">
        <v>210303928</v>
      </c>
      <c r="C409" s="2">
        <v>44315</v>
      </c>
      <c r="D409" s="2" t="s">
        <v>662</v>
      </c>
      <c r="E409">
        <v>795</v>
      </c>
      <c r="F409" s="2">
        <v>36059</v>
      </c>
      <c r="G409">
        <v>84.2</v>
      </c>
      <c r="H409">
        <v>68.31</v>
      </c>
      <c r="I409" t="s">
        <v>26</v>
      </c>
      <c r="J409">
        <v>66.83</v>
      </c>
      <c r="K409" s="3">
        <f t="shared" si="6"/>
        <v>73.11333333333333</v>
      </c>
      <c r="L409" t="s">
        <v>27</v>
      </c>
      <c r="M409" t="s">
        <v>41</v>
      </c>
      <c r="N409">
        <v>22</v>
      </c>
      <c r="O409" t="s">
        <v>28</v>
      </c>
      <c r="P409" t="s">
        <v>26</v>
      </c>
      <c r="Q409" t="s">
        <v>30</v>
      </c>
      <c r="R409">
        <v>397</v>
      </c>
      <c r="S409">
        <v>66.166666669999998</v>
      </c>
      <c r="T409" t="s">
        <v>33</v>
      </c>
      <c r="U409" t="s">
        <v>32</v>
      </c>
      <c r="V409" t="s">
        <v>33</v>
      </c>
      <c r="W409" t="s">
        <v>49</v>
      </c>
      <c r="X409" t="s">
        <v>34</v>
      </c>
      <c r="Y409" t="s">
        <v>50</v>
      </c>
      <c r="Z409" t="s">
        <v>44</v>
      </c>
      <c r="AA409" t="s">
        <v>177</v>
      </c>
      <c r="AB409" t="s">
        <v>46</v>
      </c>
      <c r="AC409">
        <f>IF(Cdacdata[[#This Row],[placement_status]]="Placed",1,0)</f>
        <v>1</v>
      </c>
      <c r="AD409" t="s">
        <v>160</v>
      </c>
      <c r="AE409" t="s">
        <v>75</v>
      </c>
      <c r="AF409" t="s">
        <v>57</v>
      </c>
      <c r="AG409">
        <v>2021</v>
      </c>
      <c r="AH409" t="s">
        <v>111</v>
      </c>
      <c r="AI409" t="str">
        <f>IF(Cdacdata[ccat_rank]&lt;=100,"Top 100",
IF(Cdacdata[ccat_rank]&lt;=500,"101–500",
IF(Cdacdata[ccat_rank]&lt;=1000,"501–1000",
"1000+")))</f>
        <v>501–1000</v>
      </c>
    </row>
    <row r="410" spans="1:35" x14ac:dyDescent="0.3">
      <c r="A410" s="1" t="s">
        <v>158</v>
      </c>
      <c r="B410">
        <v>210302285</v>
      </c>
      <c r="C410" s="2">
        <v>44315</v>
      </c>
      <c r="D410" s="2" t="s">
        <v>663</v>
      </c>
      <c r="E410">
        <v>909</v>
      </c>
      <c r="F410" s="2">
        <v>35501</v>
      </c>
      <c r="G410">
        <v>83.45</v>
      </c>
      <c r="H410">
        <v>56.46</v>
      </c>
      <c r="I410" t="s">
        <v>26</v>
      </c>
      <c r="J410">
        <v>66.239999999999995</v>
      </c>
      <c r="K410" s="3">
        <f t="shared" si="6"/>
        <v>68.716666666666654</v>
      </c>
      <c r="L410" t="s">
        <v>27</v>
      </c>
      <c r="M410" t="s">
        <v>27</v>
      </c>
      <c r="N410">
        <v>24</v>
      </c>
      <c r="O410" t="s">
        <v>28</v>
      </c>
      <c r="P410" t="s">
        <v>60</v>
      </c>
      <c r="Q410" t="s">
        <v>30</v>
      </c>
      <c r="R410">
        <v>403</v>
      </c>
      <c r="S410">
        <v>67.166666669999998</v>
      </c>
      <c r="T410" t="s">
        <v>33</v>
      </c>
      <c r="U410" t="s">
        <v>32</v>
      </c>
      <c r="V410" t="s">
        <v>33</v>
      </c>
      <c r="W410" t="s">
        <v>33</v>
      </c>
      <c r="X410" t="s">
        <v>34</v>
      </c>
      <c r="Y410" t="s">
        <v>50</v>
      </c>
      <c r="Z410" t="s">
        <v>44</v>
      </c>
      <c r="AA410" t="s">
        <v>172</v>
      </c>
      <c r="AB410" t="s">
        <v>46</v>
      </c>
      <c r="AC410">
        <f>IF(Cdacdata[[#This Row],[placement_status]]="Placed",1,0)</f>
        <v>1</v>
      </c>
      <c r="AD410" t="s">
        <v>160</v>
      </c>
      <c r="AE410" t="s">
        <v>75</v>
      </c>
      <c r="AF410" t="s">
        <v>39</v>
      </c>
      <c r="AG410">
        <v>2021</v>
      </c>
      <c r="AH410" t="s">
        <v>111</v>
      </c>
      <c r="AI410" t="str">
        <f>IF(Cdacdata[ccat_rank]&lt;=100,"Top 100",
IF(Cdacdata[ccat_rank]&lt;=500,"101–500",
IF(Cdacdata[ccat_rank]&lt;=1000,"501–1000",
"1000+")))</f>
        <v>501–1000</v>
      </c>
    </row>
    <row r="411" spans="1:35" x14ac:dyDescent="0.3">
      <c r="A411" s="1" t="s">
        <v>158</v>
      </c>
      <c r="B411">
        <v>210306121</v>
      </c>
      <c r="C411" s="2">
        <v>44315</v>
      </c>
      <c r="D411" s="2" t="s">
        <v>664</v>
      </c>
      <c r="E411">
        <v>895</v>
      </c>
      <c r="F411" s="2">
        <v>35903</v>
      </c>
      <c r="G411">
        <v>78</v>
      </c>
      <c r="H411">
        <v>58</v>
      </c>
      <c r="I411" t="s">
        <v>26</v>
      </c>
      <c r="J411">
        <v>71</v>
      </c>
      <c r="K411" s="3">
        <f t="shared" si="6"/>
        <v>69</v>
      </c>
      <c r="L411" t="s">
        <v>27</v>
      </c>
      <c r="M411" t="s">
        <v>27</v>
      </c>
      <c r="N411">
        <v>23</v>
      </c>
      <c r="O411" t="s">
        <v>28</v>
      </c>
      <c r="P411" t="s">
        <v>65</v>
      </c>
      <c r="Q411" t="s">
        <v>30</v>
      </c>
      <c r="R411">
        <v>457</v>
      </c>
      <c r="S411">
        <v>76.166666669999998</v>
      </c>
      <c r="T411" t="s">
        <v>33</v>
      </c>
      <c r="U411" t="s">
        <v>32</v>
      </c>
      <c r="V411" t="s">
        <v>33</v>
      </c>
      <c r="W411" t="s">
        <v>33</v>
      </c>
      <c r="X411" t="s">
        <v>34</v>
      </c>
      <c r="Y411" t="s">
        <v>58</v>
      </c>
      <c r="Z411" t="s">
        <v>44</v>
      </c>
      <c r="AA411" t="s">
        <v>78</v>
      </c>
      <c r="AB411" t="s">
        <v>46</v>
      </c>
      <c r="AC411">
        <f>IF(Cdacdata[[#This Row],[placement_status]]="Placed",1,0)</f>
        <v>1</v>
      </c>
      <c r="AD411" t="s">
        <v>160</v>
      </c>
      <c r="AE411" t="s">
        <v>75</v>
      </c>
      <c r="AF411" t="s">
        <v>39</v>
      </c>
      <c r="AG411">
        <v>2021</v>
      </c>
      <c r="AH411" t="s">
        <v>111</v>
      </c>
      <c r="AI411" t="str">
        <f>IF(Cdacdata[ccat_rank]&lt;=100,"Top 100",
IF(Cdacdata[ccat_rank]&lt;=500,"101–500",
IF(Cdacdata[ccat_rank]&lt;=1000,"501–1000",
"1000+")))</f>
        <v>501–1000</v>
      </c>
    </row>
    <row r="412" spans="1:35" x14ac:dyDescent="0.3">
      <c r="A412" s="1" t="s">
        <v>158</v>
      </c>
      <c r="B412">
        <v>210302725</v>
      </c>
      <c r="C412" s="2">
        <v>44315</v>
      </c>
      <c r="D412" s="2" t="s">
        <v>665</v>
      </c>
      <c r="E412">
        <v>1507</v>
      </c>
      <c r="F412" s="2">
        <v>35323</v>
      </c>
      <c r="G412">
        <v>74.180000000000007</v>
      </c>
      <c r="H412" t="s">
        <v>26</v>
      </c>
      <c r="I412">
        <v>76.59</v>
      </c>
      <c r="J412">
        <v>73.34</v>
      </c>
      <c r="K412" s="3">
        <f t="shared" si="6"/>
        <v>74.703333333333333</v>
      </c>
      <c r="L412" t="s">
        <v>27</v>
      </c>
      <c r="M412" t="s">
        <v>41</v>
      </c>
      <c r="N412">
        <v>24</v>
      </c>
      <c r="O412" t="s">
        <v>28</v>
      </c>
      <c r="P412" t="s">
        <v>60</v>
      </c>
      <c r="Q412" t="s">
        <v>26</v>
      </c>
      <c r="R412">
        <v>401</v>
      </c>
      <c r="S412">
        <v>66.833333330000002</v>
      </c>
      <c r="T412" t="s">
        <v>33</v>
      </c>
      <c r="U412" t="s">
        <v>32</v>
      </c>
      <c r="V412" t="s">
        <v>33</v>
      </c>
      <c r="W412" t="s">
        <v>49</v>
      </c>
      <c r="X412" t="s">
        <v>34</v>
      </c>
      <c r="Y412" t="s">
        <v>50</v>
      </c>
      <c r="Z412" t="s">
        <v>44</v>
      </c>
      <c r="AA412" t="s">
        <v>91</v>
      </c>
      <c r="AB412" t="s">
        <v>46</v>
      </c>
      <c r="AC412">
        <f>IF(Cdacdata[[#This Row],[placement_status]]="Placed",1,0)</f>
        <v>1</v>
      </c>
      <c r="AD412" t="s">
        <v>160</v>
      </c>
      <c r="AE412" t="s">
        <v>47</v>
      </c>
      <c r="AF412" t="s">
        <v>39</v>
      </c>
      <c r="AG412">
        <v>2021</v>
      </c>
      <c r="AH412" t="s">
        <v>111</v>
      </c>
      <c r="AI412" t="str">
        <f>IF(Cdacdata[ccat_rank]&lt;=100,"Top 100",
IF(Cdacdata[ccat_rank]&lt;=500,"101–500",
IF(Cdacdata[ccat_rank]&lt;=1000,"501–1000",
"1000+")))</f>
        <v>1000+</v>
      </c>
    </row>
    <row r="413" spans="1:35" x14ac:dyDescent="0.3">
      <c r="A413" s="1" t="s">
        <v>158</v>
      </c>
      <c r="B413">
        <v>210301378</v>
      </c>
      <c r="C413" s="2">
        <v>44316</v>
      </c>
      <c r="D413" s="2" t="s">
        <v>666</v>
      </c>
      <c r="E413">
        <v>1390</v>
      </c>
      <c r="F413" s="2">
        <v>35233</v>
      </c>
      <c r="G413">
        <v>82.91</v>
      </c>
      <c r="H413">
        <v>64.31</v>
      </c>
      <c r="I413" t="s">
        <v>26</v>
      </c>
      <c r="J413">
        <v>70.11</v>
      </c>
      <c r="K413" s="3">
        <f t="shared" si="6"/>
        <v>72.443333333333328</v>
      </c>
      <c r="L413" t="s">
        <v>27</v>
      </c>
      <c r="M413" t="s">
        <v>27</v>
      </c>
      <c r="N413">
        <v>24</v>
      </c>
      <c r="O413" t="s">
        <v>28</v>
      </c>
      <c r="P413" t="s">
        <v>65</v>
      </c>
      <c r="Q413" t="s">
        <v>30</v>
      </c>
      <c r="R413">
        <v>370</v>
      </c>
      <c r="S413">
        <v>61.666666669999998</v>
      </c>
      <c r="T413" t="s">
        <v>31</v>
      </c>
      <c r="U413" t="s">
        <v>32</v>
      </c>
      <c r="V413" t="s">
        <v>31</v>
      </c>
      <c r="W413" t="s">
        <v>33</v>
      </c>
      <c r="X413" t="s">
        <v>34</v>
      </c>
      <c r="Y413" t="s">
        <v>50</v>
      </c>
      <c r="Z413" t="s">
        <v>44</v>
      </c>
      <c r="AA413" t="s">
        <v>91</v>
      </c>
      <c r="AB413" t="s">
        <v>46</v>
      </c>
      <c r="AC413">
        <f>IF(Cdacdata[[#This Row],[placement_status]]="Placed",1,0)</f>
        <v>1</v>
      </c>
      <c r="AD413" t="s">
        <v>160</v>
      </c>
      <c r="AE413" t="s">
        <v>47</v>
      </c>
      <c r="AF413" t="s">
        <v>39</v>
      </c>
      <c r="AG413">
        <v>2021</v>
      </c>
      <c r="AH413" t="s">
        <v>111</v>
      </c>
      <c r="AI413" t="str">
        <f>IF(Cdacdata[ccat_rank]&lt;=100,"Top 100",
IF(Cdacdata[ccat_rank]&lt;=500,"101–500",
IF(Cdacdata[ccat_rank]&lt;=1000,"501–1000",
"1000+")))</f>
        <v>1000+</v>
      </c>
    </row>
    <row r="414" spans="1:35" x14ac:dyDescent="0.3">
      <c r="A414" s="1" t="s">
        <v>158</v>
      </c>
      <c r="B414">
        <v>210302286</v>
      </c>
      <c r="C414" s="2">
        <v>44315</v>
      </c>
      <c r="D414" s="2" t="s">
        <v>667</v>
      </c>
      <c r="E414">
        <v>760</v>
      </c>
      <c r="F414" s="2">
        <v>35479</v>
      </c>
      <c r="G414">
        <v>89.45</v>
      </c>
      <c r="H414">
        <v>67.23</v>
      </c>
      <c r="I414" t="s">
        <v>26</v>
      </c>
      <c r="J414">
        <v>66.239999999999995</v>
      </c>
      <c r="K414" s="3">
        <f t="shared" si="6"/>
        <v>74.306666666666672</v>
      </c>
      <c r="L414" t="s">
        <v>27</v>
      </c>
      <c r="M414" t="s">
        <v>41</v>
      </c>
      <c r="N414">
        <v>24</v>
      </c>
      <c r="O414" t="s">
        <v>28</v>
      </c>
      <c r="P414" t="s">
        <v>60</v>
      </c>
      <c r="Q414" t="s">
        <v>30</v>
      </c>
      <c r="R414">
        <v>470</v>
      </c>
      <c r="S414">
        <v>78.333333330000002</v>
      </c>
      <c r="T414" t="s">
        <v>33</v>
      </c>
      <c r="U414" t="s">
        <v>32</v>
      </c>
      <c r="V414" t="s">
        <v>33</v>
      </c>
      <c r="W414" t="s">
        <v>49</v>
      </c>
      <c r="X414" t="s">
        <v>34</v>
      </c>
      <c r="Y414" t="s">
        <v>58</v>
      </c>
      <c r="Z414" t="s">
        <v>44</v>
      </c>
      <c r="AA414" t="s">
        <v>78</v>
      </c>
      <c r="AB414" t="s">
        <v>46</v>
      </c>
      <c r="AC414">
        <f>IF(Cdacdata[[#This Row],[placement_status]]="Placed",1,0)</f>
        <v>1</v>
      </c>
      <c r="AD414" t="s">
        <v>160</v>
      </c>
      <c r="AE414" t="s">
        <v>75</v>
      </c>
      <c r="AF414" t="s">
        <v>39</v>
      </c>
      <c r="AG414">
        <v>2021</v>
      </c>
      <c r="AH414" t="s">
        <v>111</v>
      </c>
      <c r="AI414" t="str">
        <f>IF(Cdacdata[ccat_rank]&lt;=100,"Top 100",
IF(Cdacdata[ccat_rank]&lt;=500,"101–500",
IF(Cdacdata[ccat_rank]&lt;=1000,"501–1000",
"1000+")))</f>
        <v>501–1000</v>
      </c>
    </row>
    <row r="415" spans="1:35" x14ac:dyDescent="0.3">
      <c r="A415" s="1" t="s">
        <v>158</v>
      </c>
      <c r="B415">
        <v>210307431</v>
      </c>
      <c r="C415" s="2">
        <v>44315</v>
      </c>
      <c r="D415" s="2" t="s">
        <v>668</v>
      </c>
      <c r="E415">
        <v>1428</v>
      </c>
      <c r="F415" s="2">
        <v>35060</v>
      </c>
      <c r="G415">
        <v>67.2</v>
      </c>
      <c r="H415">
        <v>48.5</v>
      </c>
      <c r="I415" t="s">
        <v>26</v>
      </c>
      <c r="J415">
        <v>7.02</v>
      </c>
      <c r="K415" s="3">
        <f t="shared" si="6"/>
        <v>40.906666666666666</v>
      </c>
      <c r="L415" t="s">
        <v>27</v>
      </c>
      <c r="M415" t="s">
        <v>41</v>
      </c>
      <c r="N415">
        <v>25</v>
      </c>
      <c r="O415" t="s">
        <v>62</v>
      </c>
      <c r="P415" t="s">
        <v>56</v>
      </c>
      <c r="Q415" t="s">
        <v>30</v>
      </c>
      <c r="R415">
        <v>371</v>
      </c>
      <c r="S415">
        <v>61.833333330000002</v>
      </c>
      <c r="T415" t="s">
        <v>33</v>
      </c>
      <c r="U415" t="s">
        <v>32</v>
      </c>
      <c r="V415" t="s">
        <v>33</v>
      </c>
      <c r="W415" t="s">
        <v>33</v>
      </c>
      <c r="X415" t="s">
        <v>34</v>
      </c>
      <c r="Y415" t="s">
        <v>50</v>
      </c>
      <c r="Z415" t="s">
        <v>44</v>
      </c>
      <c r="AA415" t="s">
        <v>73</v>
      </c>
      <c r="AB415" t="s">
        <v>46</v>
      </c>
      <c r="AC415">
        <f>IF(Cdacdata[[#This Row],[placement_status]]="Placed",1,0)</f>
        <v>1</v>
      </c>
      <c r="AD415" t="s">
        <v>160</v>
      </c>
      <c r="AE415" t="s">
        <v>47</v>
      </c>
      <c r="AF415" t="s">
        <v>39</v>
      </c>
      <c r="AG415">
        <v>2021</v>
      </c>
      <c r="AH415" t="s">
        <v>111</v>
      </c>
      <c r="AI415" t="str">
        <f>IF(Cdacdata[ccat_rank]&lt;=100,"Top 100",
IF(Cdacdata[ccat_rank]&lt;=500,"101–500",
IF(Cdacdata[ccat_rank]&lt;=1000,"501–1000",
"1000+")))</f>
        <v>1000+</v>
      </c>
    </row>
    <row r="416" spans="1:35" x14ac:dyDescent="0.3">
      <c r="A416" s="1" t="s">
        <v>158</v>
      </c>
      <c r="B416">
        <v>210304997</v>
      </c>
      <c r="C416" s="2">
        <v>44315</v>
      </c>
      <c r="D416" s="2" t="s">
        <v>669</v>
      </c>
      <c r="E416">
        <v>1326</v>
      </c>
      <c r="F416" s="2">
        <v>35684</v>
      </c>
      <c r="G416">
        <v>85.45</v>
      </c>
      <c r="H416">
        <v>75.23</v>
      </c>
      <c r="I416" t="s">
        <v>26</v>
      </c>
      <c r="J416">
        <v>68.02</v>
      </c>
      <c r="K416" s="3">
        <f t="shared" si="6"/>
        <v>76.233333333333334</v>
      </c>
      <c r="L416" t="s">
        <v>27</v>
      </c>
      <c r="M416" t="s">
        <v>41</v>
      </c>
      <c r="N416">
        <v>23</v>
      </c>
      <c r="O416" t="s">
        <v>28</v>
      </c>
      <c r="P416" t="s">
        <v>60</v>
      </c>
      <c r="Q416" t="s">
        <v>30</v>
      </c>
      <c r="R416">
        <v>345</v>
      </c>
      <c r="S416">
        <v>57.5</v>
      </c>
      <c r="T416" t="s">
        <v>31</v>
      </c>
      <c r="U416" t="s">
        <v>32</v>
      </c>
      <c r="V416" t="s">
        <v>31</v>
      </c>
      <c r="W416" t="s">
        <v>31</v>
      </c>
      <c r="X416" t="s">
        <v>34</v>
      </c>
      <c r="Y416" t="s">
        <v>35</v>
      </c>
      <c r="Z416" t="s">
        <v>44</v>
      </c>
      <c r="AA416" t="s">
        <v>180</v>
      </c>
      <c r="AB416" t="s">
        <v>46</v>
      </c>
      <c r="AC416">
        <f>IF(Cdacdata[[#This Row],[placement_status]]="Placed",1,0)</f>
        <v>1</v>
      </c>
      <c r="AD416" t="s">
        <v>160</v>
      </c>
      <c r="AE416" t="s">
        <v>47</v>
      </c>
      <c r="AF416" t="s">
        <v>39</v>
      </c>
      <c r="AG416">
        <v>2021</v>
      </c>
      <c r="AH416" t="s">
        <v>111</v>
      </c>
      <c r="AI416" t="str">
        <f>IF(Cdacdata[ccat_rank]&lt;=100,"Top 100",
IF(Cdacdata[ccat_rank]&lt;=500,"101–500",
IF(Cdacdata[ccat_rank]&lt;=1000,"501–1000",
"1000+")))</f>
        <v>1000+</v>
      </c>
    </row>
    <row r="417" spans="1:35" x14ac:dyDescent="0.3">
      <c r="A417" s="1" t="s">
        <v>158</v>
      </c>
      <c r="B417">
        <v>210303297</v>
      </c>
      <c r="C417" s="2">
        <v>44319</v>
      </c>
      <c r="D417" s="2" t="s">
        <v>670</v>
      </c>
      <c r="E417">
        <v>1320</v>
      </c>
      <c r="F417" s="2">
        <v>34631</v>
      </c>
      <c r="G417">
        <v>90.73</v>
      </c>
      <c r="H417">
        <v>65</v>
      </c>
      <c r="I417" t="s">
        <v>26</v>
      </c>
      <c r="J417">
        <v>56.89</v>
      </c>
      <c r="K417" s="3">
        <f t="shared" si="6"/>
        <v>70.873333333333335</v>
      </c>
      <c r="L417" t="s">
        <v>27</v>
      </c>
      <c r="M417" t="s">
        <v>27</v>
      </c>
      <c r="N417">
        <v>26</v>
      </c>
      <c r="O417" t="s">
        <v>72</v>
      </c>
      <c r="P417" t="s">
        <v>52</v>
      </c>
      <c r="Q417" t="s">
        <v>26</v>
      </c>
      <c r="R417">
        <v>275</v>
      </c>
      <c r="S417">
        <v>45.833333330000002</v>
      </c>
      <c r="T417" t="s">
        <v>33</v>
      </c>
      <c r="U417" t="s">
        <v>64</v>
      </c>
      <c r="V417" t="s">
        <v>33</v>
      </c>
      <c r="W417" t="s">
        <v>64</v>
      </c>
      <c r="X417" t="s">
        <v>34</v>
      </c>
      <c r="Y417" t="s">
        <v>80</v>
      </c>
      <c r="Z417" t="s">
        <v>36</v>
      </c>
      <c r="AA417" t="s">
        <v>1268</v>
      </c>
      <c r="AB417" t="s">
        <v>36</v>
      </c>
      <c r="AC417">
        <f>IF(Cdacdata[[#This Row],[placement_status]]="Placed",1,0)</f>
        <v>0</v>
      </c>
      <c r="AD417" t="s">
        <v>160</v>
      </c>
      <c r="AE417" t="s">
        <v>47</v>
      </c>
      <c r="AF417" t="s">
        <v>55</v>
      </c>
      <c r="AG417">
        <v>2021</v>
      </c>
      <c r="AH417" t="s">
        <v>111</v>
      </c>
      <c r="AI417" t="str">
        <f>IF(Cdacdata[ccat_rank]&lt;=100,"Top 100",
IF(Cdacdata[ccat_rank]&lt;=500,"101–500",
IF(Cdacdata[ccat_rank]&lt;=1000,"501–1000",
"1000+")))</f>
        <v>1000+</v>
      </c>
    </row>
    <row r="418" spans="1:35" x14ac:dyDescent="0.3">
      <c r="A418" s="1" t="s">
        <v>158</v>
      </c>
      <c r="B418">
        <v>210301291</v>
      </c>
      <c r="C418" s="2">
        <v>44315</v>
      </c>
      <c r="D418" s="2" t="s">
        <v>671</v>
      </c>
      <c r="E418">
        <v>1171</v>
      </c>
      <c r="F418" s="2">
        <v>35932</v>
      </c>
      <c r="G418">
        <v>77.8</v>
      </c>
      <c r="H418">
        <v>65.08</v>
      </c>
      <c r="I418" t="s">
        <v>26</v>
      </c>
      <c r="J418">
        <v>59.71</v>
      </c>
      <c r="K418" s="3">
        <f t="shared" si="6"/>
        <v>67.53</v>
      </c>
      <c r="L418" t="s">
        <v>27</v>
      </c>
      <c r="M418" t="s">
        <v>41</v>
      </c>
      <c r="N418">
        <v>22</v>
      </c>
      <c r="O418" t="s">
        <v>62</v>
      </c>
      <c r="P418" t="s">
        <v>26</v>
      </c>
      <c r="Q418" t="s">
        <v>26</v>
      </c>
      <c r="R418">
        <v>416</v>
      </c>
      <c r="S418">
        <v>69.333333330000002</v>
      </c>
      <c r="T418" t="s">
        <v>49</v>
      </c>
      <c r="U418" t="s">
        <v>32</v>
      </c>
      <c r="V418" t="s">
        <v>49</v>
      </c>
      <c r="W418" t="s">
        <v>49</v>
      </c>
      <c r="X418" t="s">
        <v>34</v>
      </c>
      <c r="Y418" t="s">
        <v>50</v>
      </c>
      <c r="Z418" t="s">
        <v>44</v>
      </c>
      <c r="AA418" t="s">
        <v>117</v>
      </c>
      <c r="AB418" t="s">
        <v>46</v>
      </c>
      <c r="AC418">
        <f>IF(Cdacdata[[#This Row],[placement_status]]="Placed",1,0)</f>
        <v>1</v>
      </c>
      <c r="AD418" t="s">
        <v>160</v>
      </c>
      <c r="AE418" t="s">
        <v>47</v>
      </c>
      <c r="AF418" t="s">
        <v>57</v>
      </c>
      <c r="AG418">
        <v>2021</v>
      </c>
      <c r="AH418" t="s">
        <v>111</v>
      </c>
      <c r="AI418" t="str">
        <f>IF(Cdacdata[ccat_rank]&lt;=100,"Top 100",
IF(Cdacdata[ccat_rank]&lt;=500,"101–500",
IF(Cdacdata[ccat_rank]&lt;=1000,"501–1000",
"1000+")))</f>
        <v>1000+</v>
      </c>
    </row>
    <row r="419" spans="1:35" x14ac:dyDescent="0.3">
      <c r="A419" s="1" t="s">
        <v>158</v>
      </c>
      <c r="B419">
        <v>210302998</v>
      </c>
      <c r="C419" s="2">
        <v>44315</v>
      </c>
      <c r="D419" s="2" t="s">
        <v>672</v>
      </c>
      <c r="E419">
        <v>1526</v>
      </c>
      <c r="F419" s="2">
        <v>35483</v>
      </c>
      <c r="G419">
        <v>77.8</v>
      </c>
      <c r="H419">
        <v>65.08</v>
      </c>
      <c r="I419">
        <v>82.13</v>
      </c>
      <c r="J419">
        <v>67.599999999999994</v>
      </c>
      <c r="K419" s="3">
        <f t="shared" si="6"/>
        <v>73.152500000000003</v>
      </c>
      <c r="L419" t="s">
        <v>27</v>
      </c>
      <c r="M419" t="s">
        <v>27</v>
      </c>
      <c r="N419">
        <v>24</v>
      </c>
      <c r="O419" t="s">
        <v>28</v>
      </c>
      <c r="P419" t="s">
        <v>26</v>
      </c>
      <c r="Q419" t="s">
        <v>30</v>
      </c>
      <c r="R419">
        <v>423</v>
      </c>
      <c r="S419">
        <v>70.5</v>
      </c>
      <c r="T419" t="s">
        <v>33</v>
      </c>
      <c r="U419" t="s">
        <v>32</v>
      </c>
      <c r="V419" t="s">
        <v>33</v>
      </c>
      <c r="W419" t="s">
        <v>33</v>
      </c>
      <c r="X419" t="s">
        <v>34</v>
      </c>
      <c r="Y419" t="s">
        <v>58</v>
      </c>
      <c r="Z419" t="s">
        <v>44</v>
      </c>
      <c r="AA419" t="s">
        <v>163</v>
      </c>
      <c r="AB419" t="s">
        <v>46</v>
      </c>
      <c r="AC419">
        <f>IF(Cdacdata[[#This Row],[placement_status]]="Placed",1,0)</f>
        <v>1</v>
      </c>
      <c r="AD419" t="s">
        <v>160</v>
      </c>
      <c r="AE419" t="s">
        <v>47</v>
      </c>
      <c r="AF419" t="s">
        <v>39</v>
      </c>
      <c r="AG419">
        <v>2021</v>
      </c>
      <c r="AH419" t="s">
        <v>111</v>
      </c>
      <c r="AI419" t="str">
        <f>IF(Cdacdata[ccat_rank]&lt;=100,"Top 100",
IF(Cdacdata[ccat_rank]&lt;=500,"101–500",
IF(Cdacdata[ccat_rank]&lt;=1000,"501–1000",
"1000+")))</f>
        <v>1000+</v>
      </c>
    </row>
    <row r="420" spans="1:35" x14ac:dyDescent="0.3">
      <c r="A420" s="1" t="s">
        <v>158</v>
      </c>
      <c r="B420">
        <v>210304985</v>
      </c>
      <c r="C420" s="2">
        <v>44315</v>
      </c>
      <c r="D420" s="2" t="s">
        <v>673</v>
      </c>
      <c r="E420">
        <v>1443</v>
      </c>
      <c r="F420" s="2">
        <v>35648</v>
      </c>
      <c r="G420">
        <v>79.819999999999993</v>
      </c>
      <c r="H420" t="s">
        <v>26</v>
      </c>
      <c r="I420">
        <v>64</v>
      </c>
      <c r="J420">
        <v>5.87</v>
      </c>
      <c r="K420" s="3">
        <f t="shared" si="6"/>
        <v>49.896666666666668</v>
      </c>
      <c r="L420" t="s">
        <v>27</v>
      </c>
      <c r="M420" t="s">
        <v>27</v>
      </c>
      <c r="N420">
        <v>23</v>
      </c>
      <c r="O420" t="s">
        <v>62</v>
      </c>
      <c r="P420" t="s">
        <v>26</v>
      </c>
      <c r="Q420" t="s">
        <v>30</v>
      </c>
      <c r="R420">
        <v>323</v>
      </c>
      <c r="S420">
        <v>53.833333330000002</v>
      </c>
      <c r="T420" t="s">
        <v>33</v>
      </c>
      <c r="U420" t="s">
        <v>32</v>
      </c>
      <c r="V420" t="s">
        <v>33</v>
      </c>
      <c r="W420" t="s">
        <v>33</v>
      </c>
      <c r="X420" t="s">
        <v>34</v>
      </c>
      <c r="Y420" t="s">
        <v>35</v>
      </c>
      <c r="Z420" t="s">
        <v>44</v>
      </c>
      <c r="AA420" t="s">
        <v>168</v>
      </c>
      <c r="AB420" t="s">
        <v>46</v>
      </c>
      <c r="AC420">
        <f>IF(Cdacdata[[#This Row],[placement_status]]="Placed",1,0)</f>
        <v>1</v>
      </c>
      <c r="AD420" t="s">
        <v>160</v>
      </c>
      <c r="AE420" t="s">
        <v>47</v>
      </c>
      <c r="AF420" t="s">
        <v>39</v>
      </c>
      <c r="AG420">
        <v>2021</v>
      </c>
      <c r="AH420" t="s">
        <v>111</v>
      </c>
      <c r="AI420" t="str">
        <f>IF(Cdacdata[ccat_rank]&lt;=100,"Top 100",
IF(Cdacdata[ccat_rank]&lt;=500,"101–500",
IF(Cdacdata[ccat_rank]&lt;=1000,"501–1000",
"1000+")))</f>
        <v>1000+</v>
      </c>
    </row>
    <row r="421" spans="1:35" x14ac:dyDescent="0.3">
      <c r="A421" s="1" t="s">
        <v>158</v>
      </c>
      <c r="B421">
        <v>210304669</v>
      </c>
      <c r="C421" s="2">
        <v>44316</v>
      </c>
      <c r="D421" s="2" t="s">
        <v>674</v>
      </c>
      <c r="E421">
        <v>1458</v>
      </c>
      <c r="F421" s="2">
        <v>36061</v>
      </c>
      <c r="G421">
        <v>79.8</v>
      </c>
      <c r="H421" t="s">
        <v>26</v>
      </c>
      <c r="I421">
        <v>71.42</v>
      </c>
      <c r="J421">
        <v>56.65</v>
      </c>
      <c r="K421" s="3">
        <f t="shared" si="6"/>
        <v>69.290000000000006</v>
      </c>
      <c r="L421" t="s">
        <v>27</v>
      </c>
      <c r="M421" t="s">
        <v>41</v>
      </c>
      <c r="N421">
        <v>22</v>
      </c>
      <c r="O421" t="s">
        <v>72</v>
      </c>
      <c r="P421" t="s">
        <v>60</v>
      </c>
      <c r="Q421" t="s">
        <v>30</v>
      </c>
      <c r="R421">
        <v>389</v>
      </c>
      <c r="S421">
        <v>64.833333330000002</v>
      </c>
      <c r="T421" t="s">
        <v>33</v>
      </c>
      <c r="U421" t="s">
        <v>32</v>
      </c>
      <c r="V421" t="s">
        <v>33</v>
      </c>
      <c r="W421" t="s">
        <v>33</v>
      </c>
      <c r="X421" t="s">
        <v>34</v>
      </c>
      <c r="Y421" t="s">
        <v>50</v>
      </c>
      <c r="Z421" t="s">
        <v>44</v>
      </c>
      <c r="AA421" t="s">
        <v>165</v>
      </c>
      <c r="AB421" t="s">
        <v>46</v>
      </c>
      <c r="AC421">
        <f>IF(Cdacdata[[#This Row],[placement_status]]="Placed",1,0)</f>
        <v>1</v>
      </c>
      <c r="AD421" t="s">
        <v>160</v>
      </c>
      <c r="AE421" t="s">
        <v>47</v>
      </c>
      <c r="AF421" t="s">
        <v>57</v>
      </c>
      <c r="AG421">
        <v>2021</v>
      </c>
      <c r="AH421" t="s">
        <v>111</v>
      </c>
      <c r="AI421" t="str">
        <f>IF(Cdacdata[ccat_rank]&lt;=100,"Top 100",
IF(Cdacdata[ccat_rank]&lt;=500,"101–500",
IF(Cdacdata[ccat_rank]&lt;=1000,"501–1000",
"1000+")))</f>
        <v>1000+</v>
      </c>
    </row>
    <row r="422" spans="1:35" x14ac:dyDescent="0.3">
      <c r="A422" s="1" t="s">
        <v>158</v>
      </c>
      <c r="B422">
        <v>210303288</v>
      </c>
      <c r="C422" s="2">
        <v>44316</v>
      </c>
      <c r="D422" s="2" t="s">
        <v>675</v>
      </c>
      <c r="E422">
        <v>1482</v>
      </c>
      <c r="F422" s="2">
        <v>35353</v>
      </c>
      <c r="G422">
        <v>71</v>
      </c>
      <c r="H422">
        <v>62</v>
      </c>
      <c r="I422" t="s">
        <v>26</v>
      </c>
      <c r="J422">
        <v>67.84</v>
      </c>
      <c r="K422" s="3">
        <f t="shared" si="6"/>
        <v>66.946666666666673</v>
      </c>
      <c r="L422" t="s">
        <v>27</v>
      </c>
      <c r="M422" t="s">
        <v>27</v>
      </c>
      <c r="N422">
        <v>24</v>
      </c>
      <c r="O422" t="s">
        <v>28</v>
      </c>
      <c r="P422" t="s">
        <v>26</v>
      </c>
      <c r="Q422" t="s">
        <v>26</v>
      </c>
      <c r="R422">
        <v>408</v>
      </c>
      <c r="S422">
        <v>68</v>
      </c>
      <c r="T422" t="s">
        <v>49</v>
      </c>
      <c r="U422" t="s">
        <v>32</v>
      </c>
      <c r="V422" t="s">
        <v>49</v>
      </c>
      <c r="W422" t="s">
        <v>33</v>
      </c>
      <c r="X422" t="s">
        <v>34</v>
      </c>
      <c r="Y422" t="s">
        <v>50</v>
      </c>
      <c r="Z422" t="s">
        <v>44</v>
      </c>
      <c r="AA422" t="s">
        <v>159</v>
      </c>
      <c r="AB422" t="s">
        <v>46</v>
      </c>
      <c r="AC422">
        <f>IF(Cdacdata[[#This Row],[placement_status]]="Placed",1,0)</f>
        <v>1</v>
      </c>
      <c r="AD422" t="s">
        <v>160</v>
      </c>
      <c r="AE422" t="s">
        <v>47</v>
      </c>
      <c r="AF422" t="s">
        <v>39</v>
      </c>
      <c r="AG422">
        <v>2021</v>
      </c>
      <c r="AH422" t="s">
        <v>111</v>
      </c>
      <c r="AI422" t="str">
        <f>IF(Cdacdata[ccat_rank]&lt;=100,"Top 100",
IF(Cdacdata[ccat_rank]&lt;=500,"101–500",
IF(Cdacdata[ccat_rank]&lt;=1000,"501–1000",
"1000+")))</f>
        <v>1000+</v>
      </c>
    </row>
    <row r="423" spans="1:35" x14ac:dyDescent="0.3">
      <c r="A423" s="1" t="s">
        <v>158</v>
      </c>
      <c r="B423">
        <v>191100800</v>
      </c>
      <c r="C423" s="2"/>
      <c r="D423" s="2"/>
      <c r="E423" t="s">
        <v>63</v>
      </c>
      <c r="G423">
        <v>0</v>
      </c>
      <c r="H423">
        <v>0</v>
      </c>
      <c r="I423">
        <v>0</v>
      </c>
      <c r="J423">
        <v>0</v>
      </c>
      <c r="K423" s="3">
        <f t="shared" si="6"/>
        <v>0</v>
      </c>
      <c r="L423" t="s">
        <v>27</v>
      </c>
      <c r="M423" t="s">
        <v>27</v>
      </c>
      <c r="N423">
        <v>23</v>
      </c>
      <c r="O423" t="s">
        <v>373</v>
      </c>
      <c r="P423" t="s">
        <v>26</v>
      </c>
      <c r="Q423" t="s">
        <v>374</v>
      </c>
      <c r="R423">
        <v>448</v>
      </c>
      <c r="S423">
        <v>74.666666669999998</v>
      </c>
      <c r="T423" t="s">
        <v>49</v>
      </c>
      <c r="U423" t="s">
        <v>32</v>
      </c>
      <c r="V423" t="s">
        <v>49</v>
      </c>
      <c r="W423" t="s">
        <v>49</v>
      </c>
      <c r="X423" t="s">
        <v>34</v>
      </c>
      <c r="Y423" t="s">
        <v>58</v>
      </c>
      <c r="Z423" t="s">
        <v>44</v>
      </c>
      <c r="AA423" t="s">
        <v>131</v>
      </c>
      <c r="AB423" t="s">
        <v>46</v>
      </c>
      <c r="AC423">
        <f>IF(Cdacdata[[#This Row],[placement_status]]="Placed",1,0)</f>
        <v>1</v>
      </c>
      <c r="AD423" t="s">
        <v>160</v>
      </c>
      <c r="AE423" t="s">
        <v>63</v>
      </c>
      <c r="AF423" t="s">
        <v>63</v>
      </c>
      <c r="AG423">
        <v>2021</v>
      </c>
      <c r="AH423" t="s">
        <v>111</v>
      </c>
      <c r="AI423" t="str">
        <f>IF(Cdacdata[ccat_rank]&lt;=100,"Top 100",
IF(Cdacdata[ccat_rank]&lt;=500,"101–500",
IF(Cdacdata[ccat_rank]&lt;=1000,"501–1000",
"1000+")))</f>
        <v>1000+</v>
      </c>
    </row>
    <row r="424" spans="1:35" x14ac:dyDescent="0.3">
      <c r="A424" s="1" t="s">
        <v>158</v>
      </c>
      <c r="B424">
        <v>191000936</v>
      </c>
      <c r="C424" s="2"/>
      <c r="D424" s="2"/>
      <c r="E424" t="s">
        <v>63</v>
      </c>
      <c r="G424">
        <v>0</v>
      </c>
      <c r="H424">
        <v>0</v>
      </c>
      <c r="I424">
        <v>0</v>
      </c>
      <c r="J424">
        <v>0</v>
      </c>
      <c r="K424" s="3">
        <f t="shared" si="6"/>
        <v>0</v>
      </c>
      <c r="L424" t="s">
        <v>27</v>
      </c>
      <c r="M424" t="s">
        <v>27</v>
      </c>
      <c r="N424">
        <v>23</v>
      </c>
      <c r="O424" t="s">
        <v>373</v>
      </c>
      <c r="P424" t="s">
        <v>26</v>
      </c>
      <c r="Q424" t="s">
        <v>374</v>
      </c>
      <c r="R424">
        <v>423</v>
      </c>
      <c r="S424">
        <v>70.5</v>
      </c>
      <c r="T424" t="s">
        <v>49</v>
      </c>
      <c r="U424" t="s">
        <v>32</v>
      </c>
      <c r="V424" t="s">
        <v>49</v>
      </c>
      <c r="W424" t="s">
        <v>49</v>
      </c>
      <c r="X424" t="s">
        <v>34</v>
      </c>
      <c r="Y424" t="s">
        <v>58</v>
      </c>
      <c r="Z424" t="s">
        <v>44</v>
      </c>
      <c r="AA424" t="s">
        <v>112</v>
      </c>
      <c r="AB424" t="s">
        <v>46</v>
      </c>
      <c r="AC424">
        <f>IF(Cdacdata[[#This Row],[placement_status]]="Placed",1,0)</f>
        <v>1</v>
      </c>
      <c r="AD424" t="s">
        <v>160</v>
      </c>
      <c r="AE424" t="s">
        <v>63</v>
      </c>
      <c r="AF424" t="s">
        <v>63</v>
      </c>
      <c r="AG424">
        <v>2021</v>
      </c>
      <c r="AH424" t="s">
        <v>111</v>
      </c>
      <c r="AI424" t="str">
        <f>IF(Cdacdata[ccat_rank]&lt;=100,"Top 100",
IF(Cdacdata[ccat_rank]&lt;=500,"101–500",
IF(Cdacdata[ccat_rank]&lt;=1000,"501–1000",
"1000+")))</f>
        <v>1000+</v>
      </c>
    </row>
    <row r="425" spans="1:35" x14ac:dyDescent="0.3">
      <c r="A425" s="1" t="s">
        <v>158</v>
      </c>
      <c r="B425">
        <v>191103882</v>
      </c>
      <c r="C425" s="2">
        <v>44317</v>
      </c>
      <c r="D425" s="2" t="s">
        <v>676</v>
      </c>
      <c r="E425">
        <v>1610</v>
      </c>
      <c r="F425" s="2">
        <v>35666</v>
      </c>
      <c r="G425">
        <v>68.36</v>
      </c>
      <c r="H425">
        <v>54.77</v>
      </c>
      <c r="I425" t="s">
        <v>26</v>
      </c>
      <c r="J425">
        <v>58.81</v>
      </c>
      <c r="K425" s="3">
        <f t="shared" si="6"/>
        <v>60.646666666666668</v>
      </c>
      <c r="L425" t="s">
        <v>27</v>
      </c>
      <c r="M425" t="s">
        <v>41</v>
      </c>
      <c r="N425">
        <v>23</v>
      </c>
      <c r="O425" t="s">
        <v>72</v>
      </c>
      <c r="P425" t="s">
        <v>65</v>
      </c>
      <c r="Q425" t="s">
        <v>30</v>
      </c>
      <c r="R425">
        <v>434</v>
      </c>
      <c r="S425">
        <v>72.333333330000002</v>
      </c>
      <c r="T425" t="s">
        <v>33</v>
      </c>
      <c r="U425" t="s">
        <v>32</v>
      </c>
      <c r="V425" t="s">
        <v>33</v>
      </c>
      <c r="W425" t="s">
        <v>33</v>
      </c>
      <c r="X425" t="s">
        <v>34</v>
      </c>
      <c r="Y425" t="s">
        <v>58</v>
      </c>
      <c r="Z425" t="s">
        <v>44</v>
      </c>
      <c r="AA425" t="s">
        <v>171</v>
      </c>
      <c r="AB425" t="s">
        <v>46</v>
      </c>
      <c r="AC425">
        <f>IF(Cdacdata[[#This Row],[placement_status]]="Placed",1,0)</f>
        <v>1</v>
      </c>
      <c r="AD425" t="s">
        <v>160</v>
      </c>
      <c r="AE425" t="s">
        <v>47</v>
      </c>
      <c r="AF425" t="s">
        <v>39</v>
      </c>
      <c r="AG425">
        <v>2021</v>
      </c>
      <c r="AH425" t="s">
        <v>111</v>
      </c>
      <c r="AI425" t="str">
        <f>IF(Cdacdata[ccat_rank]&lt;=100,"Top 100",
IF(Cdacdata[ccat_rank]&lt;=500,"101–500",
IF(Cdacdata[ccat_rank]&lt;=1000,"501–1000",
"1000+")))</f>
        <v>1000+</v>
      </c>
    </row>
    <row r="426" spans="1:35" x14ac:dyDescent="0.3">
      <c r="A426" s="1" t="s">
        <v>158</v>
      </c>
      <c r="B426">
        <v>210303178</v>
      </c>
      <c r="C426" s="2">
        <v>44315</v>
      </c>
      <c r="D426" s="2" t="s">
        <v>677</v>
      </c>
      <c r="E426">
        <v>1553</v>
      </c>
      <c r="F426" s="2">
        <v>34718</v>
      </c>
      <c r="G426">
        <v>82</v>
      </c>
      <c r="H426">
        <v>45.83</v>
      </c>
      <c r="I426">
        <v>67.239999999999995</v>
      </c>
      <c r="J426">
        <v>58.95</v>
      </c>
      <c r="K426" s="3">
        <f t="shared" si="6"/>
        <v>63.504999999999995</v>
      </c>
      <c r="L426" t="s">
        <v>27</v>
      </c>
      <c r="M426" t="s">
        <v>27</v>
      </c>
      <c r="N426">
        <v>26</v>
      </c>
      <c r="O426" t="s">
        <v>72</v>
      </c>
      <c r="P426" t="s">
        <v>26</v>
      </c>
      <c r="Q426" t="s">
        <v>26</v>
      </c>
      <c r="R426">
        <v>258</v>
      </c>
      <c r="S426">
        <v>43</v>
      </c>
      <c r="T426" t="s">
        <v>33</v>
      </c>
      <c r="U426" t="s">
        <v>64</v>
      </c>
      <c r="V426" t="s">
        <v>33</v>
      </c>
      <c r="W426" t="s">
        <v>64</v>
      </c>
      <c r="X426" t="s">
        <v>34</v>
      </c>
      <c r="Y426" t="s">
        <v>80</v>
      </c>
      <c r="Z426" t="s">
        <v>36</v>
      </c>
      <c r="AA426" t="s">
        <v>1268</v>
      </c>
      <c r="AB426" t="s">
        <v>36</v>
      </c>
      <c r="AC426">
        <f>IF(Cdacdata[[#This Row],[placement_status]]="Placed",1,0)</f>
        <v>0</v>
      </c>
      <c r="AD426" t="s">
        <v>160</v>
      </c>
      <c r="AE426" t="s">
        <v>47</v>
      </c>
      <c r="AF426" t="s">
        <v>55</v>
      </c>
      <c r="AG426">
        <v>2021</v>
      </c>
      <c r="AH426" t="s">
        <v>111</v>
      </c>
      <c r="AI426" t="str">
        <f>IF(Cdacdata[ccat_rank]&lt;=100,"Top 100",
IF(Cdacdata[ccat_rank]&lt;=500,"101–500",
IF(Cdacdata[ccat_rank]&lt;=1000,"501–1000",
"1000+")))</f>
        <v>1000+</v>
      </c>
    </row>
    <row r="427" spans="1:35" x14ac:dyDescent="0.3">
      <c r="A427" s="1" t="s">
        <v>158</v>
      </c>
      <c r="B427">
        <v>210303348</v>
      </c>
      <c r="C427" s="2">
        <v>44316</v>
      </c>
      <c r="D427" s="2" t="s">
        <v>678</v>
      </c>
      <c r="E427">
        <v>1335</v>
      </c>
      <c r="F427" s="2">
        <v>33588</v>
      </c>
      <c r="G427">
        <v>66</v>
      </c>
      <c r="H427" t="s">
        <v>26</v>
      </c>
      <c r="I427">
        <v>62.18</v>
      </c>
      <c r="J427">
        <v>5.37</v>
      </c>
      <c r="K427" s="3">
        <f t="shared" si="6"/>
        <v>44.516666666666673</v>
      </c>
      <c r="L427" t="s">
        <v>27</v>
      </c>
      <c r="M427" t="s">
        <v>27</v>
      </c>
      <c r="N427">
        <v>29</v>
      </c>
      <c r="O427" t="s">
        <v>62</v>
      </c>
      <c r="P427" t="s">
        <v>29</v>
      </c>
      <c r="Q427" t="s">
        <v>30</v>
      </c>
      <c r="R427">
        <v>286</v>
      </c>
      <c r="S427">
        <v>47.666666669999998</v>
      </c>
      <c r="T427" t="s">
        <v>33</v>
      </c>
      <c r="U427" t="s">
        <v>32</v>
      </c>
      <c r="V427" t="s">
        <v>33</v>
      </c>
      <c r="W427" t="s">
        <v>33</v>
      </c>
      <c r="X427" t="s">
        <v>34</v>
      </c>
      <c r="Y427" t="s">
        <v>80</v>
      </c>
      <c r="Z427" t="s">
        <v>44</v>
      </c>
      <c r="AA427" t="s">
        <v>180</v>
      </c>
      <c r="AB427" t="s">
        <v>46</v>
      </c>
      <c r="AC427">
        <f>IF(Cdacdata[[#This Row],[placement_status]]="Placed",1,0)</f>
        <v>1</v>
      </c>
      <c r="AD427" t="s">
        <v>160</v>
      </c>
      <c r="AE427" t="s">
        <v>47</v>
      </c>
      <c r="AF427" t="s">
        <v>69</v>
      </c>
      <c r="AG427">
        <v>2021</v>
      </c>
      <c r="AH427" t="s">
        <v>111</v>
      </c>
      <c r="AI427" t="str">
        <f>IF(Cdacdata[ccat_rank]&lt;=100,"Top 100",
IF(Cdacdata[ccat_rank]&lt;=500,"101–500",
IF(Cdacdata[ccat_rank]&lt;=1000,"501–1000",
"1000+")))</f>
        <v>1000+</v>
      </c>
    </row>
    <row r="428" spans="1:35" x14ac:dyDescent="0.3">
      <c r="A428" s="1" t="s">
        <v>158</v>
      </c>
      <c r="B428">
        <v>210300234</v>
      </c>
      <c r="C428" s="2">
        <v>44315</v>
      </c>
      <c r="D428" s="2" t="s">
        <v>679</v>
      </c>
      <c r="E428">
        <v>1296</v>
      </c>
      <c r="F428" s="2">
        <v>35010</v>
      </c>
      <c r="G428">
        <v>74.73</v>
      </c>
      <c r="H428">
        <v>52.33</v>
      </c>
      <c r="I428" t="s">
        <v>26</v>
      </c>
      <c r="J428">
        <v>60.66</v>
      </c>
      <c r="K428" s="3">
        <f t="shared" si="6"/>
        <v>62.573333333333331</v>
      </c>
      <c r="L428" t="s">
        <v>27</v>
      </c>
      <c r="M428" t="s">
        <v>27</v>
      </c>
      <c r="N428">
        <v>25</v>
      </c>
      <c r="O428" t="s">
        <v>28</v>
      </c>
      <c r="P428" t="s">
        <v>29</v>
      </c>
      <c r="Q428" t="s">
        <v>30</v>
      </c>
      <c r="R428">
        <v>434</v>
      </c>
      <c r="S428">
        <v>72.333333330000002</v>
      </c>
      <c r="T428" t="s">
        <v>49</v>
      </c>
      <c r="U428" t="s">
        <v>32</v>
      </c>
      <c r="V428" t="s">
        <v>49</v>
      </c>
      <c r="W428" t="s">
        <v>49</v>
      </c>
      <c r="X428" t="s">
        <v>34</v>
      </c>
      <c r="Y428" t="s">
        <v>58</v>
      </c>
      <c r="Z428" t="s">
        <v>44</v>
      </c>
      <c r="AA428" t="s">
        <v>131</v>
      </c>
      <c r="AB428" t="s">
        <v>46</v>
      </c>
      <c r="AC428">
        <f>IF(Cdacdata[[#This Row],[placement_status]]="Placed",1,0)</f>
        <v>1</v>
      </c>
      <c r="AD428" t="s">
        <v>160</v>
      </c>
      <c r="AE428" t="s">
        <v>47</v>
      </c>
      <c r="AF428" t="s">
        <v>39</v>
      </c>
      <c r="AG428">
        <v>2021</v>
      </c>
      <c r="AH428" t="s">
        <v>111</v>
      </c>
      <c r="AI428" t="str">
        <f>IF(Cdacdata[ccat_rank]&lt;=100,"Top 100",
IF(Cdacdata[ccat_rank]&lt;=500,"101–500",
IF(Cdacdata[ccat_rank]&lt;=1000,"501–1000",
"1000+")))</f>
        <v>1000+</v>
      </c>
    </row>
    <row r="429" spans="1:35" x14ac:dyDescent="0.3">
      <c r="A429" s="1" t="s">
        <v>158</v>
      </c>
      <c r="B429">
        <v>210300466</v>
      </c>
      <c r="C429" s="2">
        <v>44315</v>
      </c>
      <c r="D429" s="2" t="s">
        <v>680</v>
      </c>
      <c r="E429">
        <v>1260</v>
      </c>
      <c r="F429" s="2">
        <v>34987</v>
      </c>
      <c r="G429">
        <v>77.599999999999994</v>
      </c>
      <c r="H429">
        <v>72</v>
      </c>
      <c r="I429" t="s">
        <v>26</v>
      </c>
      <c r="J429">
        <v>65.5</v>
      </c>
      <c r="K429" s="3">
        <f t="shared" si="6"/>
        <v>71.7</v>
      </c>
      <c r="L429" t="s">
        <v>27</v>
      </c>
      <c r="M429" t="s">
        <v>41</v>
      </c>
      <c r="N429">
        <v>25</v>
      </c>
      <c r="O429" t="s">
        <v>28</v>
      </c>
      <c r="P429" t="s">
        <v>26</v>
      </c>
      <c r="Q429" t="s">
        <v>30</v>
      </c>
      <c r="R429">
        <v>490</v>
      </c>
      <c r="S429">
        <v>81.666666669999998</v>
      </c>
      <c r="T429" t="s">
        <v>33</v>
      </c>
      <c r="U429" t="s">
        <v>32</v>
      </c>
      <c r="V429" t="s">
        <v>33</v>
      </c>
      <c r="W429" t="s">
        <v>49</v>
      </c>
      <c r="X429" t="s">
        <v>34</v>
      </c>
      <c r="Y429" t="s">
        <v>58</v>
      </c>
      <c r="Z429" t="s">
        <v>44</v>
      </c>
      <c r="AA429" t="s">
        <v>91</v>
      </c>
      <c r="AB429" t="s">
        <v>46</v>
      </c>
      <c r="AC429">
        <f>IF(Cdacdata[[#This Row],[placement_status]]="Placed",1,0)</f>
        <v>1</v>
      </c>
      <c r="AD429" t="s">
        <v>160</v>
      </c>
      <c r="AE429" t="s">
        <v>47</v>
      </c>
      <c r="AF429" t="s">
        <v>39</v>
      </c>
      <c r="AG429">
        <v>2021</v>
      </c>
      <c r="AH429" t="s">
        <v>111</v>
      </c>
      <c r="AI429" t="str">
        <f>IF(Cdacdata[ccat_rank]&lt;=100,"Top 100",
IF(Cdacdata[ccat_rank]&lt;=500,"101–500",
IF(Cdacdata[ccat_rank]&lt;=1000,"501–1000",
"1000+")))</f>
        <v>1000+</v>
      </c>
    </row>
    <row r="430" spans="1:35" x14ac:dyDescent="0.3">
      <c r="A430" s="1" t="s">
        <v>158</v>
      </c>
      <c r="B430">
        <v>210302786</v>
      </c>
      <c r="C430" s="2">
        <v>44315</v>
      </c>
      <c r="D430" s="2" t="s">
        <v>681</v>
      </c>
      <c r="E430">
        <v>1454</v>
      </c>
      <c r="F430" s="2">
        <v>35470</v>
      </c>
      <c r="G430">
        <v>73.64</v>
      </c>
      <c r="H430">
        <v>61</v>
      </c>
      <c r="I430" t="s">
        <v>26</v>
      </c>
      <c r="J430">
        <v>5.49</v>
      </c>
      <c r="K430" s="3">
        <f t="shared" si="6"/>
        <v>46.71</v>
      </c>
      <c r="L430" t="s">
        <v>27</v>
      </c>
      <c r="M430" t="s">
        <v>41</v>
      </c>
      <c r="N430">
        <v>24</v>
      </c>
      <c r="O430" t="s">
        <v>62</v>
      </c>
      <c r="P430" t="s">
        <v>60</v>
      </c>
      <c r="Q430" t="s">
        <v>30</v>
      </c>
      <c r="R430">
        <v>387</v>
      </c>
      <c r="S430">
        <v>64.5</v>
      </c>
      <c r="T430" t="s">
        <v>33</v>
      </c>
      <c r="U430" t="s">
        <v>32</v>
      </c>
      <c r="V430" t="s">
        <v>33</v>
      </c>
      <c r="W430" t="s">
        <v>31</v>
      </c>
      <c r="X430" t="s">
        <v>34</v>
      </c>
      <c r="Y430" t="s">
        <v>50</v>
      </c>
      <c r="Z430" t="s">
        <v>44</v>
      </c>
      <c r="AA430" t="s">
        <v>172</v>
      </c>
      <c r="AB430" t="s">
        <v>46</v>
      </c>
      <c r="AC430">
        <f>IF(Cdacdata[[#This Row],[placement_status]]="Placed",1,0)</f>
        <v>1</v>
      </c>
      <c r="AD430" t="s">
        <v>160</v>
      </c>
      <c r="AE430" t="s">
        <v>47</v>
      </c>
      <c r="AF430" t="s">
        <v>39</v>
      </c>
      <c r="AG430">
        <v>2021</v>
      </c>
      <c r="AH430" t="s">
        <v>111</v>
      </c>
      <c r="AI430" t="str">
        <f>IF(Cdacdata[ccat_rank]&lt;=100,"Top 100",
IF(Cdacdata[ccat_rank]&lt;=500,"101–500",
IF(Cdacdata[ccat_rank]&lt;=1000,"501–1000",
"1000+")))</f>
        <v>1000+</v>
      </c>
    </row>
    <row r="431" spans="1:35" x14ac:dyDescent="0.3">
      <c r="A431" s="1" t="s">
        <v>158</v>
      </c>
      <c r="B431">
        <v>210301525</v>
      </c>
      <c r="C431" s="2">
        <v>44316</v>
      </c>
      <c r="D431" s="2" t="s">
        <v>682</v>
      </c>
      <c r="E431">
        <v>1295</v>
      </c>
      <c r="F431" s="2">
        <v>36274</v>
      </c>
      <c r="G431">
        <v>86.2</v>
      </c>
      <c r="H431" t="s">
        <v>26</v>
      </c>
      <c r="I431">
        <v>79.19</v>
      </c>
      <c r="J431">
        <v>70.11</v>
      </c>
      <c r="K431" s="3">
        <f t="shared" si="6"/>
        <v>78.5</v>
      </c>
      <c r="L431" t="s">
        <v>27</v>
      </c>
      <c r="M431" t="s">
        <v>27</v>
      </c>
      <c r="N431">
        <v>22</v>
      </c>
      <c r="O431" t="s">
        <v>28</v>
      </c>
      <c r="P431" t="s">
        <v>65</v>
      </c>
      <c r="Q431" t="s">
        <v>30</v>
      </c>
      <c r="R431">
        <v>420</v>
      </c>
      <c r="S431">
        <v>70</v>
      </c>
      <c r="T431" t="s">
        <v>49</v>
      </c>
      <c r="U431" t="s">
        <v>32</v>
      </c>
      <c r="V431" t="s">
        <v>49</v>
      </c>
      <c r="W431" t="s">
        <v>49</v>
      </c>
      <c r="X431" t="s">
        <v>34</v>
      </c>
      <c r="Y431" t="s">
        <v>58</v>
      </c>
      <c r="Z431" t="s">
        <v>44</v>
      </c>
      <c r="AA431" t="s">
        <v>118</v>
      </c>
      <c r="AB431" t="s">
        <v>46</v>
      </c>
      <c r="AC431">
        <f>IF(Cdacdata[[#This Row],[placement_status]]="Placed",1,0)</f>
        <v>1</v>
      </c>
      <c r="AD431" t="s">
        <v>160</v>
      </c>
      <c r="AE431" t="s">
        <v>47</v>
      </c>
      <c r="AF431" t="s">
        <v>57</v>
      </c>
      <c r="AG431">
        <v>2021</v>
      </c>
      <c r="AH431" t="s">
        <v>111</v>
      </c>
      <c r="AI431" t="str">
        <f>IF(Cdacdata[ccat_rank]&lt;=100,"Top 100",
IF(Cdacdata[ccat_rank]&lt;=500,"101–500",
IF(Cdacdata[ccat_rank]&lt;=1000,"501–1000",
"1000+")))</f>
        <v>1000+</v>
      </c>
    </row>
    <row r="432" spans="1:35" x14ac:dyDescent="0.3">
      <c r="A432" s="1" t="s">
        <v>158</v>
      </c>
      <c r="B432">
        <v>210303181</v>
      </c>
      <c r="C432" s="2">
        <v>44315</v>
      </c>
      <c r="D432" s="2" t="s">
        <v>683</v>
      </c>
      <c r="E432">
        <v>1547</v>
      </c>
      <c r="F432" s="2">
        <v>34015</v>
      </c>
      <c r="G432">
        <v>81.84</v>
      </c>
      <c r="H432">
        <v>61.17</v>
      </c>
      <c r="I432" t="s">
        <v>26</v>
      </c>
      <c r="J432">
        <v>54.95</v>
      </c>
      <c r="K432" s="3">
        <f t="shared" si="6"/>
        <v>65.986666666666665</v>
      </c>
      <c r="L432" t="s">
        <v>27</v>
      </c>
      <c r="M432" t="s">
        <v>27</v>
      </c>
      <c r="N432">
        <v>28</v>
      </c>
      <c r="O432" t="s">
        <v>72</v>
      </c>
      <c r="P432" t="s">
        <v>65</v>
      </c>
      <c r="Q432" t="s">
        <v>30</v>
      </c>
      <c r="R432">
        <v>451</v>
      </c>
      <c r="S432">
        <v>75.166666669999998</v>
      </c>
      <c r="T432" t="s">
        <v>49</v>
      </c>
      <c r="U432" t="s">
        <v>32</v>
      </c>
      <c r="V432" t="s">
        <v>49</v>
      </c>
      <c r="W432" t="s">
        <v>33</v>
      </c>
      <c r="X432" t="s">
        <v>34</v>
      </c>
      <c r="Y432" t="s">
        <v>58</v>
      </c>
      <c r="Z432" t="s">
        <v>44</v>
      </c>
      <c r="AA432" t="s">
        <v>91</v>
      </c>
      <c r="AB432" t="s">
        <v>46</v>
      </c>
      <c r="AC432">
        <f>IF(Cdacdata[[#This Row],[placement_status]]="Placed",1,0)</f>
        <v>1</v>
      </c>
      <c r="AD432" t="s">
        <v>160</v>
      </c>
      <c r="AE432" t="s">
        <v>47</v>
      </c>
      <c r="AF432" t="s">
        <v>55</v>
      </c>
      <c r="AG432">
        <v>2021</v>
      </c>
      <c r="AH432" t="s">
        <v>111</v>
      </c>
      <c r="AI432" t="str">
        <f>IF(Cdacdata[ccat_rank]&lt;=100,"Top 100",
IF(Cdacdata[ccat_rank]&lt;=500,"101–500",
IF(Cdacdata[ccat_rank]&lt;=1000,"501–1000",
"1000+")))</f>
        <v>1000+</v>
      </c>
    </row>
    <row r="433" spans="1:35" x14ac:dyDescent="0.3">
      <c r="A433" s="1" t="s">
        <v>158</v>
      </c>
      <c r="B433">
        <v>210302149</v>
      </c>
      <c r="C433" s="2">
        <v>44315</v>
      </c>
      <c r="D433" s="2" t="s">
        <v>684</v>
      </c>
      <c r="E433">
        <v>314</v>
      </c>
      <c r="F433" s="2">
        <v>35343</v>
      </c>
      <c r="G433">
        <v>91.2</v>
      </c>
      <c r="H433" t="s">
        <v>26</v>
      </c>
      <c r="I433">
        <v>80.099999999999994</v>
      </c>
      <c r="J433">
        <v>73.02</v>
      </c>
      <c r="K433" s="3">
        <f t="shared" si="6"/>
        <v>81.44</v>
      </c>
      <c r="L433" t="s">
        <v>27</v>
      </c>
      <c r="M433" t="s">
        <v>41</v>
      </c>
      <c r="N433">
        <v>24</v>
      </c>
      <c r="O433" t="s">
        <v>28</v>
      </c>
      <c r="P433" t="s">
        <v>26</v>
      </c>
      <c r="Q433" t="s">
        <v>43</v>
      </c>
      <c r="R433">
        <v>442</v>
      </c>
      <c r="S433">
        <v>73.666666669999998</v>
      </c>
      <c r="T433" t="s">
        <v>49</v>
      </c>
      <c r="U433" t="s">
        <v>32</v>
      </c>
      <c r="V433" t="s">
        <v>49</v>
      </c>
      <c r="W433" t="s">
        <v>49</v>
      </c>
      <c r="X433" t="s">
        <v>34</v>
      </c>
      <c r="Y433" t="s">
        <v>58</v>
      </c>
      <c r="Z433" t="s">
        <v>44</v>
      </c>
      <c r="AA433" t="s">
        <v>78</v>
      </c>
      <c r="AB433" t="s">
        <v>46</v>
      </c>
      <c r="AC433">
        <f>IF(Cdacdata[[#This Row],[placement_status]]="Placed",1,0)</f>
        <v>1</v>
      </c>
      <c r="AD433" t="s">
        <v>160</v>
      </c>
      <c r="AE433" t="s">
        <v>75</v>
      </c>
      <c r="AF433" t="s">
        <v>39</v>
      </c>
      <c r="AG433">
        <v>2021</v>
      </c>
      <c r="AH433" t="s">
        <v>111</v>
      </c>
      <c r="AI433" t="str">
        <f>IF(Cdacdata[ccat_rank]&lt;=100,"Top 100",
IF(Cdacdata[ccat_rank]&lt;=500,"101–500",
IF(Cdacdata[ccat_rank]&lt;=1000,"501–1000",
"1000+")))</f>
        <v>101–500</v>
      </c>
    </row>
    <row r="434" spans="1:35" x14ac:dyDescent="0.3">
      <c r="A434" s="1" t="s">
        <v>158</v>
      </c>
      <c r="B434">
        <v>210300398</v>
      </c>
      <c r="C434" s="2">
        <v>44316</v>
      </c>
      <c r="D434" s="2" t="s">
        <v>685</v>
      </c>
      <c r="E434">
        <v>1500</v>
      </c>
      <c r="F434" s="2">
        <v>36366</v>
      </c>
      <c r="G434">
        <v>73</v>
      </c>
      <c r="H434" t="s">
        <v>26</v>
      </c>
      <c r="I434">
        <v>71.88</v>
      </c>
      <c r="J434">
        <v>64.760000000000005</v>
      </c>
      <c r="K434" s="3">
        <f t="shared" si="6"/>
        <v>69.88</v>
      </c>
      <c r="L434" t="s">
        <v>27</v>
      </c>
      <c r="M434" t="s">
        <v>41</v>
      </c>
      <c r="N434">
        <v>21</v>
      </c>
      <c r="O434" t="s">
        <v>28</v>
      </c>
      <c r="P434" t="s">
        <v>60</v>
      </c>
      <c r="Q434" t="s">
        <v>30</v>
      </c>
      <c r="R434">
        <v>345</v>
      </c>
      <c r="S434">
        <v>57.5</v>
      </c>
      <c r="T434" t="s">
        <v>33</v>
      </c>
      <c r="U434" t="s">
        <v>32</v>
      </c>
      <c r="V434" t="s">
        <v>33</v>
      </c>
      <c r="W434" t="s">
        <v>49</v>
      </c>
      <c r="X434" t="s">
        <v>34</v>
      </c>
      <c r="Y434" t="s">
        <v>35</v>
      </c>
      <c r="Z434" t="s">
        <v>44</v>
      </c>
      <c r="AA434" t="s">
        <v>163</v>
      </c>
      <c r="AB434" t="s">
        <v>46</v>
      </c>
      <c r="AC434">
        <f>IF(Cdacdata[[#This Row],[placement_status]]="Placed",1,0)</f>
        <v>1</v>
      </c>
      <c r="AD434" t="s">
        <v>160</v>
      </c>
      <c r="AE434" t="s">
        <v>47</v>
      </c>
      <c r="AF434" t="s">
        <v>57</v>
      </c>
      <c r="AG434">
        <v>2021</v>
      </c>
      <c r="AH434" t="s">
        <v>111</v>
      </c>
      <c r="AI434" t="str">
        <f>IF(Cdacdata[ccat_rank]&lt;=100,"Top 100",
IF(Cdacdata[ccat_rank]&lt;=500,"101–500",
IF(Cdacdata[ccat_rank]&lt;=1000,"501–1000",
"1000+")))</f>
        <v>1000+</v>
      </c>
    </row>
    <row r="435" spans="1:35" x14ac:dyDescent="0.3">
      <c r="A435" s="1" t="s">
        <v>158</v>
      </c>
      <c r="B435">
        <v>210300183</v>
      </c>
      <c r="C435" s="2">
        <v>44315</v>
      </c>
      <c r="D435" s="2" t="s">
        <v>686</v>
      </c>
      <c r="E435">
        <v>1520</v>
      </c>
      <c r="F435" s="2">
        <v>35693</v>
      </c>
      <c r="G435">
        <v>88.55</v>
      </c>
      <c r="H435" t="s">
        <v>26</v>
      </c>
      <c r="I435">
        <v>88.82</v>
      </c>
      <c r="J435">
        <v>64</v>
      </c>
      <c r="K435" s="3">
        <f t="shared" si="6"/>
        <v>80.456666666666663</v>
      </c>
      <c r="L435" t="s">
        <v>27</v>
      </c>
      <c r="M435" t="s">
        <v>27</v>
      </c>
      <c r="N435">
        <v>23</v>
      </c>
      <c r="O435" t="s">
        <v>28</v>
      </c>
      <c r="P435" t="s">
        <v>26</v>
      </c>
      <c r="Q435" t="s">
        <v>30</v>
      </c>
      <c r="R435">
        <v>414</v>
      </c>
      <c r="S435">
        <v>69</v>
      </c>
      <c r="T435" t="s">
        <v>49</v>
      </c>
      <c r="U435" t="s">
        <v>32</v>
      </c>
      <c r="V435" t="s">
        <v>49</v>
      </c>
      <c r="W435" t="s">
        <v>49</v>
      </c>
      <c r="X435" t="s">
        <v>34</v>
      </c>
      <c r="Y435" t="s">
        <v>50</v>
      </c>
      <c r="Z435" t="s">
        <v>44</v>
      </c>
      <c r="AA435" t="s">
        <v>91</v>
      </c>
      <c r="AB435" t="s">
        <v>46</v>
      </c>
      <c r="AC435">
        <f>IF(Cdacdata[[#This Row],[placement_status]]="Placed",1,0)</f>
        <v>1</v>
      </c>
      <c r="AD435" t="s">
        <v>160</v>
      </c>
      <c r="AE435" t="s">
        <v>47</v>
      </c>
      <c r="AF435" t="s">
        <v>39</v>
      </c>
      <c r="AG435">
        <v>2021</v>
      </c>
      <c r="AH435" t="s">
        <v>111</v>
      </c>
      <c r="AI435" t="str">
        <f>IF(Cdacdata[ccat_rank]&lt;=100,"Top 100",
IF(Cdacdata[ccat_rank]&lt;=500,"101–500",
IF(Cdacdata[ccat_rank]&lt;=1000,"501–1000",
"1000+")))</f>
        <v>1000+</v>
      </c>
    </row>
    <row r="436" spans="1:35" x14ac:dyDescent="0.3">
      <c r="A436" s="1" t="s">
        <v>158</v>
      </c>
      <c r="B436">
        <v>210301834</v>
      </c>
      <c r="C436" s="2">
        <v>44315</v>
      </c>
      <c r="D436" s="2" t="s">
        <v>687</v>
      </c>
      <c r="E436">
        <v>278</v>
      </c>
      <c r="F436" s="2">
        <v>35264</v>
      </c>
      <c r="G436">
        <v>89.84</v>
      </c>
      <c r="H436">
        <v>74.150000000000006</v>
      </c>
      <c r="I436" t="s">
        <v>26</v>
      </c>
      <c r="J436">
        <v>66.02</v>
      </c>
      <c r="K436" s="3">
        <f t="shared" si="6"/>
        <v>76.67</v>
      </c>
      <c r="L436" t="s">
        <v>27</v>
      </c>
      <c r="M436" t="s">
        <v>27</v>
      </c>
      <c r="N436">
        <v>24</v>
      </c>
      <c r="O436" t="s">
        <v>28</v>
      </c>
      <c r="P436" t="s">
        <v>60</v>
      </c>
      <c r="Q436" t="s">
        <v>30</v>
      </c>
      <c r="R436">
        <v>454</v>
      </c>
      <c r="S436">
        <v>75.666666669999998</v>
      </c>
      <c r="T436" t="s">
        <v>49</v>
      </c>
      <c r="U436" t="s">
        <v>32</v>
      </c>
      <c r="V436" t="s">
        <v>49</v>
      </c>
      <c r="W436" t="s">
        <v>33</v>
      </c>
      <c r="X436" t="s">
        <v>34</v>
      </c>
      <c r="Y436" t="s">
        <v>58</v>
      </c>
      <c r="Z436" t="s">
        <v>44</v>
      </c>
      <c r="AA436" t="s">
        <v>93</v>
      </c>
      <c r="AB436" t="s">
        <v>46</v>
      </c>
      <c r="AC436">
        <f>IF(Cdacdata[[#This Row],[placement_status]]="Placed",1,0)</f>
        <v>1</v>
      </c>
      <c r="AD436" t="s">
        <v>160</v>
      </c>
      <c r="AE436" t="s">
        <v>75</v>
      </c>
      <c r="AF436" t="s">
        <v>39</v>
      </c>
      <c r="AG436">
        <v>2021</v>
      </c>
      <c r="AH436" t="s">
        <v>111</v>
      </c>
      <c r="AI436" t="str">
        <f>IF(Cdacdata[ccat_rank]&lt;=100,"Top 100",
IF(Cdacdata[ccat_rank]&lt;=500,"101–500",
IF(Cdacdata[ccat_rank]&lt;=1000,"501–1000",
"1000+")))</f>
        <v>101–500</v>
      </c>
    </row>
    <row r="437" spans="1:35" x14ac:dyDescent="0.3">
      <c r="A437" s="1" t="s">
        <v>158</v>
      </c>
      <c r="B437">
        <v>210301503</v>
      </c>
      <c r="C437" s="2">
        <v>44315</v>
      </c>
      <c r="D437" s="2" t="s">
        <v>688</v>
      </c>
      <c r="E437">
        <v>1339</v>
      </c>
      <c r="F437" s="2">
        <v>35320</v>
      </c>
      <c r="G437">
        <v>77.45</v>
      </c>
      <c r="H437" t="s">
        <v>26</v>
      </c>
      <c r="I437">
        <v>55.77</v>
      </c>
      <c r="J437">
        <v>59</v>
      </c>
      <c r="K437" s="3">
        <f t="shared" si="6"/>
        <v>64.073333333333338</v>
      </c>
      <c r="L437" t="s">
        <v>27</v>
      </c>
      <c r="M437" t="s">
        <v>27</v>
      </c>
      <c r="N437">
        <v>24</v>
      </c>
      <c r="O437" t="s">
        <v>72</v>
      </c>
      <c r="P437" t="s">
        <v>65</v>
      </c>
      <c r="Q437" t="s">
        <v>30</v>
      </c>
      <c r="R437">
        <v>398</v>
      </c>
      <c r="S437">
        <v>66.333333330000002</v>
      </c>
      <c r="T437" t="s">
        <v>33</v>
      </c>
      <c r="U437" t="s">
        <v>32</v>
      </c>
      <c r="V437" t="s">
        <v>33</v>
      </c>
      <c r="W437" t="s">
        <v>33</v>
      </c>
      <c r="X437" t="s">
        <v>34</v>
      </c>
      <c r="Y437" t="s">
        <v>50</v>
      </c>
      <c r="Z437" t="s">
        <v>44</v>
      </c>
      <c r="AA437" t="s">
        <v>165</v>
      </c>
      <c r="AB437" t="s">
        <v>46</v>
      </c>
      <c r="AC437">
        <f>IF(Cdacdata[[#This Row],[placement_status]]="Placed",1,0)</f>
        <v>1</v>
      </c>
      <c r="AD437" t="s">
        <v>160</v>
      </c>
      <c r="AE437" t="s">
        <v>47</v>
      </c>
      <c r="AF437" t="s">
        <v>39</v>
      </c>
      <c r="AG437">
        <v>2021</v>
      </c>
      <c r="AH437" t="s">
        <v>111</v>
      </c>
      <c r="AI437" t="str">
        <f>IF(Cdacdata[ccat_rank]&lt;=100,"Top 100",
IF(Cdacdata[ccat_rank]&lt;=500,"101–500",
IF(Cdacdata[ccat_rank]&lt;=1000,"501–1000",
"1000+")))</f>
        <v>1000+</v>
      </c>
    </row>
    <row r="438" spans="1:35" x14ac:dyDescent="0.3">
      <c r="A438" s="1" t="s">
        <v>158</v>
      </c>
      <c r="B438">
        <v>210303859</v>
      </c>
      <c r="C438" s="2">
        <v>44316</v>
      </c>
      <c r="D438" s="2" t="s">
        <v>689</v>
      </c>
      <c r="E438">
        <v>1458</v>
      </c>
      <c r="F438" s="2">
        <v>35956</v>
      </c>
      <c r="G438">
        <v>84.8</v>
      </c>
      <c r="H438" t="s">
        <v>26</v>
      </c>
      <c r="I438">
        <v>71.290000000000006</v>
      </c>
      <c r="J438">
        <v>69.58</v>
      </c>
      <c r="K438" s="3">
        <f t="shared" si="6"/>
        <v>75.223333333333343</v>
      </c>
      <c r="L438" t="s">
        <v>27</v>
      </c>
      <c r="M438" t="s">
        <v>27</v>
      </c>
      <c r="N438">
        <v>22</v>
      </c>
      <c r="O438" t="s">
        <v>28</v>
      </c>
      <c r="P438" t="s">
        <v>26</v>
      </c>
      <c r="Q438" t="s">
        <v>30</v>
      </c>
      <c r="R438">
        <v>398</v>
      </c>
      <c r="S438">
        <v>66.333333330000002</v>
      </c>
      <c r="T438" t="s">
        <v>33</v>
      </c>
      <c r="U438" t="s">
        <v>32</v>
      </c>
      <c r="V438" t="s">
        <v>33</v>
      </c>
      <c r="W438" t="s">
        <v>33</v>
      </c>
      <c r="X438" t="s">
        <v>34</v>
      </c>
      <c r="Y438" t="s">
        <v>50</v>
      </c>
      <c r="Z438" t="s">
        <v>44</v>
      </c>
      <c r="AA438" t="s">
        <v>172</v>
      </c>
      <c r="AB438" t="s">
        <v>46</v>
      </c>
      <c r="AC438">
        <f>IF(Cdacdata[[#This Row],[placement_status]]="Placed",1,0)</f>
        <v>1</v>
      </c>
      <c r="AD438" t="s">
        <v>160</v>
      </c>
      <c r="AE438" t="s">
        <v>47</v>
      </c>
      <c r="AF438" t="s">
        <v>57</v>
      </c>
      <c r="AG438">
        <v>2021</v>
      </c>
      <c r="AH438" t="s">
        <v>111</v>
      </c>
      <c r="AI438" t="str">
        <f>IF(Cdacdata[ccat_rank]&lt;=100,"Top 100",
IF(Cdacdata[ccat_rank]&lt;=500,"101–500",
IF(Cdacdata[ccat_rank]&lt;=1000,"501–1000",
"1000+")))</f>
        <v>1000+</v>
      </c>
    </row>
    <row r="439" spans="1:35" x14ac:dyDescent="0.3">
      <c r="A439" s="1" t="s">
        <v>158</v>
      </c>
      <c r="B439">
        <v>210306360</v>
      </c>
      <c r="C439" s="2">
        <v>44319</v>
      </c>
      <c r="D439" s="2" t="s">
        <v>690</v>
      </c>
      <c r="E439">
        <v>1443</v>
      </c>
      <c r="F439" s="2">
        <v>35168</v>
      </c>
      <c r="G439">
        <v>79.400000000000006</v>
      </c>
      <c r="H439">
        <v>65.2</v>
      </c>
      <c r="I439" t="s">
        <v>26</v>
      </c>
      <c r="J439">
        <v>72.400000000000006</v>
      </c>
      <c r="K439" s="3">
        <f t="shared" si="6"/>
        <v>72.333333333333343</v>
      </c>
      <c r="L439" t="s">
        <v>27</v>
      </c>
      <c r="M439" t="s">
        <v>27</v>
      </c>
      <c r="N439">
        <v>25</v>
      </c>
      <c r="O439" t="s">
        <v>28</v>
      </c>
      <c r="P439" t="s">
        <v>65</v>
      </c>
      <c r="Q439" t="s">
        <v>43</v>
      </c>
      <c r="R439">
        <v>327</v>
      </c>
      <c r="S439">
        <v>54.5</v>
      </c>
      <c r="T439" t="s">
        <v>31</v>
      </c>
      <c r="U439" t="s">
        <v>32</v>
      </c>
      <c r="V439" t="s">
        <v>31</v>
      </c>
      <c r="W439" t="s">
        <v>33</v>
      </c>
      <c r="X439" t="s">
        <v>34</v>
      </c>
      <c r="Y439" t="s">
        <v>35</v>
      </c>
      <c r="Z439" t="s">
        <v>44</v>
      </c>
      <c r="AA439" t="s">
        <v>73</v>
      </c>
      <c r="AB439" t="s">
        <v>46</v>
      </c>
      <c r="AC439">
        <f>IF(Cdacdata[[#This Row],[placement_status]]="Placed",1,0)</f>
        <v>1</v>
      </c>
      <c r="AD439" t="s">
        <v>160</v>
      </c>
      <c r="AE439" t="s">
        <v>47</v>
      </c>
      <c r="AF439" t="s">
        <v>39</v>
      </c>
      <c r="AG439">
        <v>2021</v>
      </c>
      <c r="AH439" t="s">
        <v>111</v>
      </c>
      <c r="AI439" t="str">
        <f>IF(Cdacdata[ccat_rank]&lt;=100,"Top 100",
IF(Cdacdata[ccat_rank]&lt;=500,"101–500",
IF(Cdacdata[ccat_rank]&lt;=1000,"501–1000",
"1000+")))</f>
        <v>1000+</v>
      </c>
    </row>
    <row r="440" spans="1:35" x14ac:dyDescent="0.3">
      <c r="A440" s="1" t="s">
        <v>158</v>
      </c>
      <c r="B440">
        <v>210301858</v>
      </c>
      <c r="C440" s="2">
        <v>44318</v>
      </c>
      <c r="D440" s="2" t="s">
        <v>691</v>
      </c>
      <c r="E440">
        <v>1472</v>
      </c>
      <c r="F440" s="2">
        <v>35569</v>
      </c>
      <c r="G440">
        <v>70.36</v>
      </c>
      <c r="H440">
        <v>60.15</v>
      </c>
      <c r="I440" t="s">
        <v>26</v>
      </c>
      <c r="J440">
        <v>74.66</v>
      </c>
      <c r="K440" s="3">
        <f t="shared" si="6"/>
        <v>68.39</v>
      </c>
      <c r="L440" t="s">
        <v>27</v>
      </c>
      <c r="M440" t="s">
        <v>27</v>
      </c>
      <c r="N440">
        <v>23</v>
      </c>
      <c r="O440" t="s">
        <v>62</v>
      </c>
      <c r="P440" t="s">
        <v>26</v>
      </c>
      <c r="Q440" t="s">
        <v>30</v>
      </c>
      <c r="R440">
        <v>256</v>
      </c>
      <c r="S440">
        <v>42.666666669999998</v>
      </c>
      <c r="T440" t="s">
        <v>31</v>
      </c>
      <c r="U440" t="s">
        <v>64</v>
      </c>
      <c r="V440" t="s">
        <v>31</v>
      </c>
      <c r="W440" t="s">
        <v>64</v>
      </c>
      <c r="X440" t="s">
        <v>34</v>
      </c>
      <c r="Y440" t="s">
        <v>80</v>
      </c>
      <c r="Z440" t="s">
        <v>36</v>
      </c>
      <c r="AA440" t="s">
        <v>1268</v>
      </c>
      <c r="AB440" t="s">
        <v>36</v>
      </c>
      <c r="AC440">
        <f>IF(Cdacdata[[#This Row],[placement_status]]="Placed",1,0)</f>
        <v>0</v>
      </c>
      <c r="AD440" t="s">
        <v>160</v>
      </c>
      <c r="AE440" t="s">
        <v>47</v>
      </c>
      <c r="AF440" t="s">
        <v>39</v>
      </c>
      <c r="AG440">
        <v>2021</v>
      </c>
      <c r="AH440" t="s">
        <v>111</v>
      </c>
      <c r="AI440" t="str">
        <f>IF(Cdacdata[ccat_rank]&lt;=100,"Top 100",
IF(Cdacdata[ccat_rank]&lt;=500,"101–500",
IF(Cdacdata[ccat_rank]&lt;=1000,"501–1000",
"1000+")))</f>
        <v>1000+</v>
      </c>
    </row>
    <row r="441" spans="1:35" x14ac:dyDescent="0.3">
      <c r="A441" s="1" t="s">
        <v>158</v>
      </c>
      <c r="B441">
        <v>210300079</v>
      </c>
      <c r="C441" s="2">
        <v>44316</v>
      </c>
      <c r="D441" s="2" t="s">
        <v>692</v>
      </c>
      <c r="E441">
        <v>1489</v>
      </c>
      <c r="F441" s="2">
        <v>35597</v>
      </c>
      <c r="G441">
        <v>92.55</v>
      </c>
      <c r="H441">
        <v>61.38</v>
      </c>
      <c r="I441" t="s">
        <v>26</v>
      </c>
      <c r="J441">
        <v>57.81</v>
      </c>
      <c r="K441" s="3">
        <f t="shared" si="6"/>
        <v>70.58</v>
      </c>
      <c r="L441" t="s">
        <v>27</v>
      </c>
      <c r="M441" t="s">
        <v>41</v>
      </c>
      <c r="N441">
        <v>23</v>
      </c>
      <c r="O441" t="s">
        <v>72</v>
      </c>
      <c r="P441" t="s">
        <v>65</v>
      </c>
      <c r="Q441" t="s">
        <v>26</v>
      </c>
      <c r="R441">
        <v>469</v>
      </c>
      <c r="S441">
        <v>78.166666669999998</v>
      </c>
      <c r="T441" t="s">
        <v>33</v>
      </c>
      <c r="U441" t="s">
        <v>32</v>
      </c>
      <c r="V441" t="s">
        <v>33</v>
      </c>
      <c r="W441" t="s">
        <v>33</v>
      </c>
      <c r="X441" t="s">
        <v>34</v>
      </c>
      <c r="Y441" t="s">
        <v>58</v>
      </c>
      <c r="Z441" t="s">
        <v>44</v>
      </c>
      <c r="AA441" t="s">
        <v>171</v>
      </c>
      <c r="AB441" t="s">
        <v>46</v>
      </c>
      <c r="AC441">
        <f>IF(Cdacdata[[#This Row],[placement_status]]="Placed",1,0)</f>
        <v>1</v>
      </c>
      <c r="AD441" t="s">
        <v>160</v>
      </c>
      <c r="AE441" t="s">
        <v>47</v>
      </c>
      <c r="AF441" t="s">
        <v>39</v>
      </c>
      <c r="AG441">
        <v>2021</v>
      </c>
      <c r="AH441" t="s">
        <v>111</v>
      </c>
      <c r="AI441" t="str">
        <f>IF(Cdacdata[ccat_rank]&lt;=100,"Top 100",
IF(Cdacdata[ccat_rank]&lt;=500,"101–500",
IF(Cdacdata[ccat_rank]&lt;=1000,"501–1000",
"1000+")))</f>
        <v>1000+</v>
      </c>
    </row>
    <row r="442" spans="1:35" x14ac:dyDescent="0.3">
      <c r="A442" s="1" t="s">
        <v>158</v>
      </c>
      <c r="B442">
        <v>210301918</v>
      </c>
      <c r="C442" s="2">
        <v>44315</v>
      </c>
      <c r="D442" s="2" t="s">
        <v>693</v>
      </c>
      <c r="E442">
        <v>942</v>
      </c>
      <c r="F442" s="2">
        <v>35704</v>
      </c>
      <c r="G442">
        <v>80</v>
      </c>
      <c r="H442">
        <v>52.42</v>
      </c>
      <c r="I442" t="s">
        <v>26</v>
      </c>
      <c r="J442">
        <v>55</v>
      </c>
      <c r="K442" s="3">
        <f t="shared" si="6"/>
        <v>62.473333333333336</v>
      </c>
      <c r="L442" t="s">
        <v>27</v>
      </c>
      <c r="M442" t="s">
        <v>27</v>
      </c>
      <c r="N442">
        <v>23</v>
      </c>
      <c r="O442" t="s">
        <v>72</v>
      </c>
      <c r="P442" t="s">
        <v>26</v>
      </c>
      <c r="Q442" t="s">
        <v>30</v>
      </c>
      <c r="R442">
        <v>383</v>
      </c>
      <c r="S442">
        <v>63.833333330000002</v>
      </c>
      <c r="T442" t="s">
        <v>33</v>
      </c>
      <c r="U442" t="s">
        <v>32</v>
      </c>
      <c r="V442" t="s">
        <v>33</v>
      </c>
      <c r="W442" t="s">
        <v>33</v>
      </c>
      <c r="X442" t="s">
        <v>34</v>
      </c>
      <c r="Y442" t="s">
        <v>50</v>
      </c>
      <c r="Z442" t="s">
        <v>44</v>
      </c>
      <c r="AA442" t="s">
        <v>180</v>
      </c>
      <c r="AB442" t="s">
        <v>46</v>
      </c>
      <c r="AC442">
        <f>IF(Cdacdata[[#This Row],[placement_status]]="Placed",1,0)</f>
        <v>1</v>
      </c>
      <c r="AD442" t="s">
        <v>160</v>
      </c>
      <c r="AE442" t="s">
        <v>75</v>
      </c>
      <c r="AF442" t="s">
        <v>39</v>
      </c>
      <c r="AG442">
        <v>2021</v>
      </c>
      <c r="AH442" t="s">
        <v>111</v>
      </c>
      <c r="AI442" t="str">
        <f>IF(Cdacdata[ccat_rank]&lt;=100,"Top 100",
IF(Cdacdata[ccat_rank]&lt;=500,"101–500",
IF(Cdacdata[ccat_rank]&lt;=1000,"501–1000",
"1000+")))</f>
        <v>501–1000</v>
      </c>
    </row>
    <row r="443" spans="1:35" x14ac:dyDescent="0.3">
      <c r="A443" s="1" t="s">
        <v>158</v>
      </c>
      <c r="B443">
        <v>210302944</v>
      </c>
      <c r="C443" s="2">
        <v>44319</v>
      </c>
      <c r="D443" s="2" t="s">
        <v>694</v>
      </c>
      <c r="E443">
        <v>1482</v>
      </c>
      <c r="F443" s="2">
        <v>34994</v>
      </c>
      <c r="G443">
        <v>75.819999999999993</v>
      </c>
      <c r="H443" t="s">
        <v>26</v>
      </c>
      <c r="I443">
        <v>60</v>
      </c>
      <c r="J443">
        <v>61.5</v>
      </c>
      <c r="K443" s="3">
        <f t="shared" si="6"/>
        <v>65.773333333333326</v>
      </c>
      <c r="L443" t="s">
        <v>27</v>
      </c>
      <c r="M443" t="s">
        <v>27</v>
      </c>
      <c r="N443">
        <v>25</v>
      </c>
      <c r="O443" t="s">
        <v>28</v>
      </c>
      <c r="P443" t="s">
        <v>26</v>
      </c>
      <c r="Q443" t="s">
        <v>26</v>
      </c>
      <c r="R443">
        <v>365</v>
      </c>
      <c r="S443">
        <v>60.833333330000002</v>
      </c>
      <c r="T443" t="s">
        <v>33</v>
      </c>
      <c r="U443" t="s">
        <v>32</v>
      </c>
      <c r="V443" t="s">
        <v>33</v>
      </c>
      <c r="W443" t="s">
        <v>31</v>
      </c>
      <c r="X443" t="s">
        <v>34</v>
      </c>
      <c r="Y443" t="s">
        <v>50</v>
      </c>
      <c r="Z443" t="s">
        <v>44</v>
      </c>
      <c r="AA443" t="s">
        <v>141</v>
      </c>
      <c r="AB443" t="s">
        <v>46</v>
      </c>
      <c r="AC443">
        <f>IF(Cdacdata[[#This Row],[placement_status]]="Placed",1,0)</f>
        <v>1</v>
      </c>
      <c r="AD443" t="s">
        <v>160</v>
      </c>
      <c r="AE443" t="s">
        <v>47</v>
      </c>
      <c r="AF443" t="s">
        <v>39</v>
      </c>
      <c r="AG443">
        <v>2021</v>
      </c>
      <c r="AH443" t="s">
        <v>111</v>
      </c>
      <c r="AI443" t="str">
        <f>IF(Cdacdata[ccat_rank]&lt;=100,"Top 100",
IF(Cdacdata[ccat_rank]&lt;=500,"101–500",
IF(Cdacdata[ccat_rank]&lt;=1000,"501–1000",
"1000+")))</f>
        <v>1000+</v>
      </c>
    </row>
    <row r="444" spans="1:35" x14ac:dyDescent="0.3">
      <c r="A444" s="1" t="s">
        <v>158</v>
      </c>
      <c r="B444">
        <v>210307563</v>
      </c>
      <c r="C444" s="2">
        <v>44315</v>
      </c>
      <c r="D444" s="2" t="s">
        <v>695</v>
      </c>
      <c r="E444">
        <v>1466</v>
      </c>
      <c r="F444" s="2">
        <v>34613</v>
      </c>
      <c r="G444">
        <v>87.09</v>
      </c>
      <c r="H444">
        <v>63.5</v>
      </c>
      <c r="I444" t="s">
        <v>26</v>
      </c>
      <c r="J444">
        <v>70.260000000000005</v>
      </c>
      <c r="K444" s="3">
        <f t="shared" si="6"/>
        <v>73.616666666666674</v>
      </c>
      <c r="L444" t="s">
        <v>27</v>
      </c>
      <c r="M444" t="s">
        <v>41</v>
      </c>
      <c r="N444">
        <v>26</v>
      </c>
      <c r="O444" t="s">
        <v>28</v>
      </c>
      <c r="P444" t="s">
        <v>42</v>
      </c>
      <c r="Q444" t="s">
        <v>30</v>
      </c>
      <c r="R444">
        <v>404</v>
      </c>
      <c r="S444">
        <v>67.333333330000002</v>
      </c>
      <c r="T444" t="s">
        <v>33</v>
      </c>
      <c r="U444" t="s">
        <v>32</v>
      </c>
      <c r="V444" t="s">
        <v>33</v>
      </c>
      <c r="W444" t="s">
        <v>33</v>
      </c>
      <c r="X444" t="s">
        <v>34</v>
      </c>
      <c r="Y444" t="s">
        <v>50</v>
      </c>
      <c r="Z444" t="s">
        <v>44</v>
      </c>
      <c r="AA444" t="s">
        <v>180</v>
      </c>
      <c r="AB444" t="s">
        <v>46</v>
      </c>
      <c r="AC444">
        <f>IF(Cdacdata[[#This Row],[placement_status]]="Placed",1,0)</f>
        <v>1</v>
      </c>
      <c r="AD444" t="s">
        <v>160</v>
      </c>
      <c r="AE444" t="s">
        <v>47</v>
      </c>
      <c r="AF444" t="s">
        <v>55</v>
      </c>
      <c r="AG444">
        <v>2021</v>
      </c>
      <c r="AH444" t="s">
        <v>111</v>
      </c>
      <c r="AI444" t="str">
        <f>IF(Cdacdata[ccat_rank]&lt;=100,"Top 100",
IF(Cdacdata[ccat_rank]&lt;=500,"101–500",
IF(Cdacdata[ccat_rank]&lt;=1000,"501–1000",
"1000+")))</f>
        <v>1000+</v>
      </c>
    </row>
    <row r="445" spans="1:35" x14ac:dyDescent="0.3">
      <c r="A445" s="1" t="s">
        <v>158</v>
      </c>
      <c r="B445">
        <v>210300654</v>
      </c>
      <c r="C445" s="2">
        <v>44315</v>
      </c>
      <c r="D445" s="2" t="s">
        <v>696</v>
      </c>
      <c r="E445">
        <v>1139</v>
      </c>
      <c r="F445" s="2">
        <v>36144</v>
      </c>
      <c r="G445">
        <v>86.8</v>
      </c>
      <c r="H445">
        <v>66</v>
      </c>
      <c r="I445" t="s">
        <v>26</v>
      </c>
      <c r="J445">
        <v>66.239999999999995</v>
      </c>
      <c r="K445" s="3">
        <f t="shared" si="6"/>
        <v>73.013333333333335</v>
      </c>
      <c r="L445" t="s">
        <v>27</v>
      </c>
      <c r="M445" t="s">
        <v>41</v>
      </c>
      <c r="N445">
        <v>22</v>
      </c>
      <c r="O445" t="s">
        <v>28</v>
      </c>
      <c r="P445" t="s">
        <v>26</v>
      </c>
      <c r="Q445" t="s">
        <v>43</v>
      </c>
      <c r="R445">
        <v>441</v>
      </c>
      <c r="S445">
        <v>73.5</v>
      </c>
      <c r="T445" t="s">
        <v>49</v>
      </c>
      <c r="U445" t="s">
        <v>32</v>
      </c>
      <c r="V445" t="s">
        <v>49</v>
      </c>
      <c r="W445" t="s">
        <v>49</v>
      </c>
      <c r="X445" t="s">
        <v>34</v>
      </c>
      <c r="Y445" t="s">
        <v>58</v>
      </c>
      <c r="Z445" t="s">
        <v>44</v>
      </c>
      <c r="AA445" t="s">
        <v>159</v>
      </c>
      <c r="AB445" t="s">
        <v>46</v>
      </c>
      <c r="AC445">
        <f>IF(Cdacdata[[#This Row],[placement_status]]="Placed",1,0)</f>
        <v>1</v>
      </c>
      <c r="AD445" t="s">
        <v>160</v>
      </c>
      <c r="AE445" t="s">
        <v>47</v>
      </c>
      <c r="AF445" t="s">
        <v>57</v>
      </c>
      <c r="AG445">
        <v>2021</v>
      </c>
      <c r="AH445" t="s">
        <v>111</v>
      </c>
      <c r="AI445" t="str">
        <f>IF(Cdacdata[ccat_rank]&lt;=100,"Top 100",
IF(Cdacdata[ccat_rank]&lt;=500,"101–500",
IF(Cdacdata[ccat_rank]&lt;=1000,"501–1000",
"1000+")))</f>
        <v>1000+</v>
      </c>
    </row>
    <row r="446" spans="1:35" x14ac:dyDescent="0.3">
      <c r="A446" s="1" t="s">
        <v>158</v>
      </c>
      <c r="B446">
        <v>210301602</v>
      </c>
      <c r="C446" s="2">
        <v>44315</v>
      </c>
      <c r="D446" s="2" t="s">
        <v>697</v>
      </c>
      <c r="E446">
        <v>1500</v>
      </c>
      <c r="F446" s="2">
        <v>36291</v>
      </c>
      <c r="G446">
        <v>80</v>
      </c>
      <c r="H446">
        <v>65.23</v>
      </c>
      <c r="I446" t="s">
        <v>26</v>
      </c>
      <c r="J446">
        <v>71.8</v>
      </c>
      <c r="K446" s="3">
        <f t="shared" si="6"/>
        <v>72.343333333333348</v>
      </c>
      <c r="L446" t="s">
        <v>27</v>
      </c>
      <c r="M446" t="s">
        <v>27</v>
      </c>
      <c r="N446">
        <v>21</v>
      </c>
      <c r="O446" t="s">
        <v>28</v>
      </c>
      <c r="P446" t="s">
        <v>60</v>
      </c>
      <c r="Q446" t="s">
        <v>26</v>
      </c>
      <c r="R446">
        <v>475</v>
      </c>
      <c r="S446">
        <v>79.166666669999998</v>
      </c>
      <c r="T446" t="s">
        <v>33</v>
      </c>
      <c r="U446" t="s">
        <v>32</v>
      </c>
      <c r="V446" t="s">
        <v>33</v>
      </c>
      <c r="W446" t="s">
        <v>49</v>
      </c>
      <c r="X446" t="s">
        <v>34</v>
      </c>
      <c r="Y446" t="s">
        <v>58</v>
      </c>
      <c r="Z446" t="s">
        <v>44</v>
      </c>
      <c r="AA446" t="s">
        <v>93</v>
      </c>
      <c r="AB446" t="s">
        <v>46</v>
      </c>
      <c r="AC446">
        <f>IF(Cdacdata[[#This Row],[placement_status]]="Placed",1,0)</f>
        <v>1</v>
      </c>
      <c r="AD446" t="s">
        <v>160</v>
      </c>
      <c r="AE446" t="s">
        <v>47</v>
      </c>
      <c r="AF446" t="s">
        <v>57</v>
      </c>
      <c r="AG446">
        <v>2021</v>
      </c>
      <c r="AH446" t="s">
        <v>111</v>
      </c>
      <c r="AI446" t="str">
        <f>IF(Cdacdata[ccat_rank]&lt;=100,"Top 100",
IF(Cdacdata[ccat_rank]&lt;=500,"101–500",
IF(Cdacdata[ccat_rank]&lt;=1000,"501–1000",
"1000+")))</f>
        <v>1000+</v>
      </c>
    </row>
    <row r="447" spans="1:35" x14ac:dyDescent="0.3">
      <c r="A447" s="1" t="s">
        <v>158</v>
      </c>
      <c r="B447">
        <v>210304197</v>
      </c>
      <c r="C447" s="2">
        <v>44316</v>
      </c>
      <c r="D447" s="2" t="s">
        <v>698</v>
      </c>
      <c r="E447">
        <v>1443</v>
      </c>
      <c r="F447" s="2">
        <v>35407</v>
      </c>
      <c r="G447">
        <v>91.2</v>
      </c>
      <c r="H447">
        <v>68.31</v>
      </c>
      <c r="I447" t="s">
        <v>26</v>
      </c>
      <c r="J447">
        <v>68.53</v>
      </c>
      <c r="K447" s="3">
        <f t="shared" si="6"/>
        <v>76.013333333333335</v>
      </c>
      <c r="L447" t="s">
        <v>27</v>
      </c>
      <c r="M447" t="s">
        <v>27</v>
      </c>
      <c r="N447">
        <v>24</v>
      </c>
      <c r="O447" t="s">
        <v>28</v>
      </c>
      <c r="P447" t="s">
        <v>60</v>
      </c>
      <c r="Q447" t="s">
        <v>30</v>
      </c>
      <c r="R447">
        <v>419</v>
      </c>
      <c r="S447">
        <v>69.833333330000002</v>
      </c>
      <c r="T447" t="s">
        <v>49</v>
      </c>
      <c r="U447" t="s">
        <v>32</v>
      </c>
      <c r="V447" t="s">
        <v>49</v>
      </c>
      <c r="W447" t="s">
        <v>31</v>
      </c>
      <c r="X447" t="s">
        <v>34</v>
      </c>
      <c r="Y447" t="s">
        <v>50</v>
      </c>
      <c r="Z447" t="s">
        <v>44</v>
      </c>
      <c r="AA447" t="s">
        <v>91</v>
      </c>
      <c r="AB447" t="s">
        <v>46</v>
      </c>
      <c r="AC447">
        <f>IF(Cdacdata[[#This Row],[placement_status]]="Placed",1,0)</f>
        <v>1</v>
      </c>
      <c r="AD447" t="s">
        <v>160</v>
      </c>
      <c r="AE447" t="s">
        <v>47</v>
      </c>
      <c r="AF447" t="s">
        <v>39</v>
      </c>
      <c r="AG447">
        <v>2021</v>
      </c>
      <c r="AH447" t="s">
        <v>111</v>
      </c>
      <c r="AI447" t="str">
        <f>IF(Cdacdata[ccat_rank]&lt;=100,"Top 100",
IF(Cdacdata[ccat_rank]&lt;=500,"101–500",
IF(Cdacdata[ccat_rank]&lt;=1000,"501–1000",
"1000+")))</f>
        <v>1000+</v>
      </c>
    </row>
    <row r="448" spans="1:35" x14ac:dyDescent="0.3">
      <c r="A448" s="1" t="s">
        <v>158</v>
      </c>
      <c r="B448">
        <v>210300090</v>
      </c>
      <c r="C448" s="2">
        <v>44316</v>
      </c>
      <c r="D448" s="2" t="s">
        <v>699</v>
      </c>
      <c r="E448">
        <v>1281</v>
      </c>
      <c r="F448" s="2">
        <v>35859</v>
      </c>
      <c r="G448">
        <v>88.8</v>
      </c>
      <c r="H448">
        <v>82.62</v>
      </c>
      <c r="I448" t="s">
        <v>26</v>
      </c>
      <c r="J448">
        <v>59.45</v>
      </c>
      <c r="K448" s="3">
        <f t="shared" si="6"/>
        <v>76.956666666666663</v>
      </c>
      <c r="L448" t="s">
        <v>27</v>
      </c>
      <c r="M448" t="s">
        <v>27</v>
      </c>
      <c r="N448">
        <v>23</v>
      </c>
      <c r="O448" t="s">
        <v>62</v>
      </c>
      <c r="P448" t="s">
        <v>56</v>
      </c>
      <c r="Q448" t="s">
        <v>30</v>
      </c>
      <c r="R448">
        <v>379</v>
      </c>
      <c r="S448">
        <v>63.166666669999998</v>
      </c>
      <c r="T448" t="s">
        <v>49</v>
      </c>
      <c r="U448" t="s">
        <v>32</v>
      </c>
      <c r="V448" t="s">
        <v>49</v>
      </c>
      <c r="W448" t="s">
        <v>33</v>
      </c>
      <c r="X448" t="s">
        <v>34</v>
      </c>
      <c r="Y448" t="s">
        <v>50</v>
      </c>
      <c r="Z448" t="s">
        <v>44</v>
      </c>
      <c r="AA448" t="s">
        <v>131</v>
      </c>
      <c r="AB448" t="s">
        <v>46</v>
      </c>
      <c r="AC448">
        <f>IF(Cdacdata[[#This Row],[placement_status]]="Placed",1,0)</f>
        <v>1</v>
      </c>
      <c r="AD448" t="s">
        <v>160</v>
      </c>
      <c r="AE448" t="s">
        <v>47</v>
      </c>
      <c r="AF448" t="s">
        <v>39</v>
      </c>
      <c r="AG448">
        <v>2021</v>
      </c>
      <c r="AH448" t="s">
        <v>111</v>
      </c>
      <c r="AI448" t="str">
        <f>IF(Cdacdata[ccat_rank]&lt;=100,"Top 100",
IF(Cdacdata[ccat_rank]&lt;=500,"101–500",
IF(Cdacdata[ccat_rank]&lt;=1000,"501–1000",
"1000+")))</f>
        <v>1000+</v>
      </c>
    </row>
    <row r="449" spans="1:35" x14ac:dyDescent="0.3">
      <c r="A449" s="1" t="s">
        <v>158</v>
      </c>
      <c r="B449">
        <v>210306949</v>
      </c>
      <c r="C449" s="2">
        <v>44316</v>
      </c>
      <c r="D449" s="2" t="s">
        <v>700</v>
      </c>
      <c r="E449">
        <v>1007</v>
      </c>
      <c r="F449" s="2">
        <v>34949</v>
      </c>
      <c r="G449">
        <v>82.36</v>
      </c>
      <c r="H449">
        <v>47.83</v>
      </c>
      <c r="I449" t="s">
        <v>26</v>
      </c>
      <c r="J449">
        <v>6.03</v>
      </c>
      <c r="K449" s="3">
        <f t="shared" si="6"/>
        <v>45.406666666666666</v>
      </c>
      <c r="L449" t="s">
        <v>27</v>
      </c>
      <c r="M449" t="s">
        <v>41</v>
      </c>
      <c r="N449">
        <v>25</v>
      </c>
      <c r="O449" t="s">
        <v>62</v>
      </c>
      <c r="P449" t="s">
        <v>60</v>
      </c>
      <c r="Q449" t="s">
        <v>30</v>
      </c>
      <c r="R449">
        <v>385</v>
      </c>
      <c r="S449">
        <v>64.166666669999998</v>
      </c>
      <c r="T449" t="s">
        <v>31</v>
      </c>
      <c r="U449" t="s">
        <v>32</v>
      </c>
      <c r="V449" t="s">
        <v>31</v>
      </c>
      <c r="W449" t="s">
        <v>49</v>
      </c>
      <c r="X449" t="s">
        <v>34</v>
      </c>
      <c r="Y449" t="s">
        <v>50</v>
      </c>
      <c r="Z449" t="s">
        <v>44</v>
      </c>
      <c r="AA449" t="s">
        <v>179</v>
      </c>
      <c r="AB449" t="s">
        <v>46</v>
      </c>
      <c r="AC449">
        <f>IF(Cdacdata[[#This Row],[placement_status]]="Placed",1,0)</f>
        <v>1</v>
      </c>
      <c r="AD449" t="s">
        <v>160</v>
      </c>
      <c r="AE449" t="s">
        <v>47</v>
      </c>
      <c r="AF449" t="s">
        <v>39</v>
      </c>
      <c r="AG449">
        <v>2021</v>
      </c>
      <c r="AH449" t="s">
        <v>111</v>
      </c>
      <c r="AI449" t="str">
        <f>IF(Cdacdata[ccat_rank]&lt;=100,"Top 100",
IF(Cdacdata[ccat_rank]&lt;=500,"101–500",
IF(Cdacdata[ccat_rank]&lt;=1000,"501–1000",
"1000+")))</f>
        <v>1000+</v>
      </c>
    </row>
    <row r="450" spans="1:35" x14ac:dyDescent="0.3">
      <c r="A450" s="1" t="s">
        <v>158</v>
      </c>
      <c r="B450">
        <v>210302641</v>
      </c>
      <c r="C450" s="2">
        <v>44315</v>
      </c>
      <c r="D450" s="2" t="s">
        <v>701</v>
      </c>
      <c r="E450">
        <v>1339</v>
      </c>
      <c r="F450" s="2">
        <v>35416</v>
      </c>
      <c r="G450">
        <v>90.55</v>
      </c>
      <c r="H450">
        <v>78</v>
      </c>
      <c r="I450" t="s">
        <v>26</v>
      </c>
      <c r="J450">
        <v>66.540000000000006</v>
      </c>
      <c r="K450" s="3">
        <f t="shared" ref="K450:K513" si="7">AVERAGE(G450,H450,I450,J450)</f>
        <v>78.363333333333344</v>
      </c>
      <c r="L450" t="s">
        <v>27</v>
      </c>
      <c r="M450" t="s">
        <v>27</v>
      </c>
      <c r="N450">
        <v>24</v>
      </c>
      <c r="O450" t="s">
        <v>28</v>
      </c>
      <c r="P450" t="s">
        <v>42</v>
      </c>
      <c r="Q450" t="s">
        <v>30</v>
      </c>
      <c r="R450">
        <v>409</v>
      </c>
      <c r="S450">
        <v>68.166666669999998</v>
      </c>
      <c r="T450" t="s">
        <v>33</v>
      </c>
      <c r="U450" t="s">
        <v>32</v>
      </c>
      <c r="V450" t="s">
        <v>33</v>
      </c>
      <c r="W450" t="s">
        <v>33</v>
      </c>
      <c r="X450" t="s">
        <v>34</v>
      </c>
      <c r="Y450" t="s">
        <v>50</v>
      </c>
      <c r="Z450" t="s">
        <v>44</v>
      </c>
      <c r="AA450" t="s">
        <v>163</v>
      </c>
      <c r="AB450" t="s">
        <v>46</v>
      </c>
      <c r="AC450">
        <f>IF(Cdacdata[[#This Row],[placement_status]]="Placed",1,0)</f>
        <v>1</v>
      </c>
      <c r="AD450" t="s">
        <v>160</v>
      </c>
      <c r="AE450" t="s">
        <v>47</v>
      </c>
      <c r="AF450" t="s">
        <v>39</v>
      </c>
      <c r="AG450">
        <v>2021</v>
      </c>
      <c r="AH450" t="s">
        <v>111</v>
      </c>
      <c r="AI450" t="str">
        <f>IF(Cdacdata[ccat_rank]&lt;=100,"Top 100",
IF(Cdacdata[ccat_rank]&lt;=500,"101–500",
IF(Cdacdata[ccat_rank]&lt;=1000,"501–1000",
"1000+")))</f>
        <v>1000+</v>
      </c>
    </row>
    <row r="451" spans="1:35" x14ac:dyDescent="0.3">
      <c r="A451" s="1" t="s">
        <v>158</v>
      </c>
      <c r="B451">
        <v>191104841</v>
      </c>
      <c r="C451" s="2"/>
      <c r="D451" s="2"/>
      <c r="E451" t="s">
        <v>63</v>
      </c>
      <c r="G451">
        <v>0</v>
      </c>
      <c r="H451">
        <v>0</v>
      </c>
      <c r="I451">
        <v>0</v>
      </c>
      <c r="J451">
        <v>0</v>
      </c>
      <c r="K451" s="3">
        <f t="shared" si="7"/>
        <v>0</v>
      </c>
      <c r="L451" t="s">
        <v>27</v>
      </c>
      <c r="M451" t="s">
        <v>27</v>
      </c>
      <c r="N451">
        <v>23</v>
      </c>
      <c r="O451" t="s">
        <v>373</v>
      </c>
      <c r="P451" t="s">
        <v>26</v>
      </c>
      <c r="Q451" t="s">
        <v>374</v>
      </c>
      <c r="R451">
        <v>423</v>
      </c>
      <c r="S451">
        <v>70.5</v>
      </c>
      <c r="T451" t="s">
        <v>33</v>
      </c>
      <c r="U451" t="s">
        <v>32</v>
      </c>
      <c r="V451" t="s">
        <v>33</v>
      </c>
      <c r="W451" t="s">
        <v>33</v>
      </c>
      <c r="X451" t="s">
        <v>34</v>
      </c>
      <c r="Y451" t="s">
        <v>58</v>
      </c>
      <c r="Z451" t="s">
        <v>44</v>
      </c>
      <c r="AA451" t="s">
        <v>181</v>
      </c>
      <c r="AB451" t="s">
        <v>46</v>
      </c>
      <c r="AC451">
        <f>IF(Cdacdata[[#This Row],[placement_status]]="Placed",1,0)</f>
        <v>1</v>
      </c>
      <c r="AD451" t="s">
        <v>160</v>
      </c>
      <c r="AE451" t="s">
        <v>63</v>
      </c>
      <c r="AF451" t="s">
        <v>63</v>
      </c>
      <c r="AG451">
        <v>2021</v>
      </c>
      <c r="AH451" t="s">
        <v>111</v>
      </c>
      <c r="AI451" t="str">
        <f>IF(Cdacdata[ccat_rank]&lt;=100,"Top 100",
IF(Cdacdata[ccat_rank]&lt;=500,"101–500",
IF(Cdacdata[ccat_rank]&lt;=1000,"501–1000",
"1000+")))</f>
        <v>1000+</v>
      </c>
    </row>
    <row r="452" spans="1:35" x14ac:dyDescent="0.3">
      <c r="A452" s="1" t="s">
        <v>158</v>
      </c>
      <c r="B452">
        <v>210307115</v>
      </c>
      <c r="C452" s="2">
        <v>44315</v>
      </c>
      <c r="D452" s="2" t="s">
        <v>702</v>
      </c>
      <c r="E452">
        <v>3312</v>
      </c>
      <c r="F452" s="2">
        <v>35776</v>
      </c>
      <c r="G452">
        <v>74</v>
      </c>
      <c r="H452">
        <v>66</v>
      </c>
      <c r="I452" t="s">
        <v>26</v>
      </c>
      <c r="J452">
        <v>60</v>
      </c>
      <c r="K452" s="3">
        <f t="shared" si="7"/>
        <v>66.666666666666671</v>
      </c>
      <c r="L452" t="s">
        <v>27</v>
      </c>
      <c r="M452" t="s">
        <v>27</v>
      </c>
      <c r="N452">
        <v>23</v>
      </c>
      <c r="O452" t="s">
        <v>28</v>
      </c>
      <c r="P452" t="s">
        <v>42</v>
      </c>
      <c r="Q452" t="s">
        <v>30</v>
      </c>
      <c r="R452">
        <v>421</v>
      </c>
      <c r="S452">
        <v>70.166666669999998</v>
      </c>
      <c r="T452" t="s">
        <v>49</v>
      </c>
      <c r="U452" t="s">
        <v>32</v>
      </c>
      <c r="V452" t="s">
        <v>49</v>
      </c>
      <c r="W452" t="s">
        <v>33</v>
      </c>
      <c r="X452" t="s">
        <v>96</v>
      </c>
      <c r="Y452" t="s">
        <v>58</v>
      </c>
      <c r="Z452" t="s">
        <v>44</v>
      </c>
      <c r="AA452" t="s">
        <v>163</v>
      </c>
      <c r="AB452" t="s">
        <v>46</v>
      </c>
      <c r="AC452">
        <f>IF(Cdacdata[[#This Row],[placement_status]]="Placed",1,0)</f>
        <v>1</v>
      </c>
      <c r="AD452" t="s">
        <v>160</v>
      </c>
      <c r="AE452" t="s">
        <v>98</v>
      </c>
      <c r="AF452" t="s">
        <v>39</v>
      </c>
      <c r="AG452">
        <v>2021</v>
      </c>
      <c r="AH452" t="s">
        <v>111</v>
      </c>
      <c r="AI452" t="str">
        <f>IF(Cdacdata[ccat_rank]&lt;=100,"Top 100",
IF(Cdacdata[ccat_rank]&lt;=500,"101–500",
IF(Cdacdata[ccat_rank]&lt;=1000,"501–1000",
"1000+")))</f>
        <v>1000+</v>
      </c>
    </row>
    <row r="453" spans="1:35" x14ac:dyDescent="0.3">
      <c r="A453" s="1" t="s">
        <v>158</v>
      </c>
      <c r="B453">
        <v>210307661</v>
      </c>
      <c r="C453" s="2">
        <v>44315</v>
      </c>
      <c r="D453" s="2" t="s">
        <v>703</v>
      </c>
      <c r="E453">
        <v>1602</v>
      </c>
      <c r="F453" s="2">
        <v>34910</v>
      </c>
      <c r="G453">
        <v>73.45</v>
      </c>
      <c r="H453">
        <v>55.33</v>
      </c>
      <c r="I453" t="s">
        <v>26</v>
      </c>
      <c r="J453">
        <v>58.22</v>
      </c>
      <c r="K453" s="3">
        <f t="shared" si="7"/>
        <v>62.333333333333336</v>
      </c>
      <c r="L453" t="s">
        <v>41</v>
      </c>
      <c r="M453" t="s">
        <v>27</v>
      </c>
      <c r="N453">
        <v>25</v>
      </c>
      <c r="O453" t="s">
        <v>72</v>
      </c>
      <c r="P453" t="s">
        <v>26</v>
      </c>
      <c r="Q453" t="s">
        <v>30</v>
      </c>
      <c r="R453">
        <v>500</v>
      </c>
      <c r="S453">
        <v>83.333333330000002</v>
      </c>
      <c r="T453" t="s">
        <v>49</v>
      </c>
      <c r="U453" t="s">
        <v>32</v>
      </c>
      <c r="V453" t="s">
        <v>49</v>
      </c>
      <c r="W453" t="s">
        <v>49</v>
      </c>
      <c r="X453" t="s">
        <v>96</v>
      </c>
      <c r="Y453" t="s">
        <v>58</v>
      </c>
      <c r="Z453" t="s">
        <v>44</v>
      </c>
      <c r="AA453" t="s">
        <v>182</v>
      </c>
      <c r="AB453" t="s">
        <v>46</v>
      </c>
      <c r="AC453">
        <f>IF(Cdacdata[[#This Row],[placement_status]]="Placed",1,0)</f>
        <v>1</v>
      </c>
      <c r="AD453" t="s">
        <v>160</v>
      </c>
      <c r="AE453" t="s">
        <v>47</v>
      </c>
      <c r="AF453" t="s">
        <v>39</v>
      </c>
      <c r="AG453">
        <v>2021</v>
      </c>
      <c r="AH453" t="s">
        <v>111</v>
      </c>
      <c r="AI453" t="str">
        <f>IF(Cdacdata[ccat_rank]&lt;=100,"Top 100",
IF(Cdacdata[ccat_rank]&lt;=500,"101–500",
IF(Cdacdata[ccat_rank]&lt;=1000,"501–1000",
"1000+")))</f>
        <v>1000+</v>
      </c>
    </row>
    <row r="454" spans="1:35" x14ac:dyDescent="0.3">
      <c r="A454" s="1" t="s">
        <v>158</v>
      </c>
      <c r="B454">
        <v>210303374</v>
      </c>
      <c r="C454" s="2">
        <v>44319</v>
      </c>
      <c r="D454" s="2" t="s">
        <v>704</v>
      </c>
      <c r="E454">
        <v>179</v>
      </c>
      <c r="F454" s="2">
        <v>35183</v>
      </c>
      <c r="G454">
        <v>90.36</v>
      </c>
      <c r="H454">
        <v>66.33</v>
      </c>
      <c r="I454" t="s">
        <v>26</v>
      </c>
      <c r="J454">
        <v>62.95</v>
      </c>
      <c r="K454" s="3">
        <f t="shared" si="7"/>
        <v>73.213333333333324</v>
      </c>
      <c r="L454" t="s">
        <v>27</v>
      </c>
      <c r="M454" t="s">
        <v>27</v>
      </c>
      <c r="N454">
        <v>25</v>
      </c>
      <c r="O454" t="s">
        <v>28</v>
      </c>
      <c r="P454" t="s">
        <v>65</v>
      </c>
      <c r="Q454" t="s">
        <v>43</v>
      </c>
      <c r="R454">
        <v>488</v>
      </c>
      <c r="S454">
        <v>81.333333330000002</v>
      </c>
      <c r="T454" t="s">
        <v>49</v>
      </c>
      <c r="U454" t="s">
        <v>32</v>
      </c>
      <c r="V454" t="s">
        <v>49</v>
      </c>
      <c r="W454" t="s">
        <v>31</v>
      </c>
      <c r="X454" t="s">
        <v>96</v>
      </c>
      <c r="Y454" t="s">
        <v>58</v>
      </c>
      <c r="Z454" t="s">
        <v>44</v>
      </c>
      <c r="AA454" t="s">
        <v>183</v>
      </c>
      <c r="AB454" t="s">
        <v>46</v>
      </c>
      <c r="AC454">
        <f>IF(Cdacdata[[#This Row],[placement_status]]="Placed",1,0)</f>
        <v>1</v>
      </c>
      <c r="AD454" t="s">
        <v>160</v>
      </c>
      <c r="AE454" t="s">
        <v>75</v>
      </c>
      <c r="AF454" t="s">
        <v>39</v>
      </c>
      <c r="AG454">
        <v>2021</v>
      </c>
      <c r="AH454" t="s">
        <v>111</v>
      </c>
      <c r="AI454" t="str">
        <f>IF(Cdacdata[ccat_rank]&lt;=100,"Top 100",
IF(Cdacdata[ccat_rank]&lt;=500,"101–500",
IF(Cdacdata[ccat_rank]&lt;=1000,"501–1000",
"1000+")))</f>
        <v>101–500</v>
      </c>
    </row>
    <row r="455" spans="1:35" x14ac:dyDescent="0.3">
      <c r="A455" s="1" t="s">
        <v>158</v>
      </c>
      <c r="B455">
        <v>210300369</v>
      </c>
      <c r="C455" s="2">
        <v>44315</v>
      </c>
      <c r="D455" s="2" t="s">
        <v>705</v>
      </c>
      <c r="E455">
        <v>4037</v>
      </c>
      <c r="F455" s="2">
        <v>34124</v>
      </c>
      <c r="G455">
        <v>75.069999999999993</v>
      </c>
      <c r="H455">
        <v>52.83</v>
      </c>
      <c r="I455" t="s">
        <v>26</v>
      </c>
      <c r="J455">
        <v>70.2</v>
      </c>
      <c r="K455" s="3">
        <f t="shared" si="7"/>
        <v>66.033333333333331</v>
      </c>
      <c r="L455" t="s">
        <v>27</v>
      </c>
      <c r="M455" t="s">
        <v>27</v>
      </c>
      <c r="N455">
        <v>27</v>
      </c>
      <c r="O455" t="s">
        <v>28</v>
      </c>
      <c r="P455" t="s">
        <v>26</v>
      </c>
      <c r="Q455" t="s">
        <v>30</v>
      </c>
      <c r="R455">
        <v>340</v>
      </c>
      <c r="S455">
        <v>56.666666669999998</v>
      </c>
      <c r="T455" t="s">
        <v>49</v>
      </c>
      <c r="U455" t="s">
        <v>32</v>
      </c>
      <c r="V455" t="s">
        <v>49</v>
      </c>
      <c r="W455" t="s">
        <v>33</v>
      </c>
      <c r="X455" t="s">
        <v>96</v>
      </c>
      <c r="Y455" t="s">
        <v>35</v>
      </c>
      <c r="Z455" t="s">
        <v>44</v>
      </c>
      <c r="AA455" t="s">
        <v>154</v>
      </c>
      <c r="AB455" t="s">
        <v>46</v>
      </c>
      <c r="AC455">
        <f>IF(Cdacdata[[#This Row],[placement_status]]="Placed",1,0)</f>
        <v>1</v>
      </c>
      <c r="AD455" t="s">
        <v>160</v>
      </c>
      <c r="AE455" t="s">
        <v>184</v>
      </c>
      <c r="AF455" t="s">
        <v>55</v>
      </c>
      <c r="AG455">
        <v>2021</v>
      </c>
      <c r="AH455" t="s">
        <v>111</v>
      </c>
      <c r="AI455" t="str">
        <f>IF(Cdacdata[ccat_rank]&lt;=100,"Top 100",
IF(Cdacdata[ccat_rank]&lt;=500,"101–500",
IF(Cdacdata[ccat_rank]&lt;=1000,"501–1000",
"1000+")))</f>
        <v>1000+</v>
      </c>
    </row>
    <row r="456" spans="1:35" x14ac:dyDescent="0.3">
      <c r="A456" s="1" t="s">
        <v>158</v>
      </c>
      <c r="B456">
        <v>210303957</v>
      </c>
      <c r="C456" s="2">
        <v>44315</v>
      </c>
      <c r="D456" s="2" t="s">
        <v>706</v>
      </c>
      <c r="E456">
        <v>3293</v>
      </c>
      <c r="F456" s="2">
        <v>36115</v>
      </c>
      <c r="G456">
        <v>71</v>
      </c>
      <c r="H456" t="s">
        <v>26</v>
      </c>
      <c r="I456" t="s">
        <v>26</v>
      </c>
      <c r="J456">
        <v>71</v>
      </c>
      <c r="K456" s="3">
        <f t="shared" si="7"/>
        <v>71</v>
      </c>
      <c r="L456" t="s">
        <v>27</v>
      </c>
      <c r="M456" t="s">
        <v>27</v>
      </c>
      <c r="N456">
        <v>22</v>
      </c>
      <c r="O456" t="s">
        <v>28</v>
      </c>
      <c r="P456" t="s">
        <v>26</v>
      </c>
      <c r="Q456" t="s">
        <v>26</v>
      </c>
      <c r="R456">
        <v>388</v>
      </c>
      <c r="S456">
        <v>64.666666669999998</v>
      </c>
      <c r="T456" t="s">
        <v>49</v>
      </c>
      <c r="U456" t="s">
        <v>32</v>
      </c>
      <c r="V456" t="s">
        <v>49</v>
      </c>
      <c r="W456" t="s">
        <v>49</v>
      </c>
      <c r="X456" t="s">
        <v>96</v>
      </c>
      <c r="Y456" t="s">
        <v>50</v>
      </c>
      <c r="Z456" t="s">
        <v>44</v>
      </c>
      <c r="AA456" t="s">
        <v>185</v>
      </c>
      <c r="AB456" t="s">
        <v>46</v>
      </c>
      <c r="AC456">
        <f>IF(Cdacdata[[#This Row],[placement_status]]="Placed",1,0)</f>
        <v>1</v>
      </c>
      <c r="AD456" t="s">
        <v>160</v>
      </c>
      <c r="AE456" t="s">
        <v>98</v>
      </c>
      <c r="AF456" t="s">
        <v>57</v>
      </c>
      <c r="AG456">
        <v>2021</v>
      </c>
      <c r="AH456" t="s">
        <v>111</v>
      </c>
      <c r="AI456" t="str">
        <f>IF(Cdacdata[ccat_rank]&lt;=100,"Top 100",
IF(Cdacdata[ccat_rank]&lt;=500,"101–500",
IF(Cdacdata[ccat_rank]&lt;=1000,"501–1000",
"1000+")))</f>
        <v>1000+</v>
      </c>
    </row>
    <row r="457" spans="1:35" x14ac:dyDescent="0.3">
      <c r="A457" s="1" t="s">
        <v>158</v>
      </c>
      <c r="B457">
        <v>210301946</v>
      </c>
      <c r="C457" s="2">
        <v>44319</v>
      </c>
      <c r="D457" s="2" t="s">
        <v>707</v>
      </c>
      <c r="E457">
        <v>4159</v>
      </c>
      <c r="F457" s="2">
        <v>34919</v>
      </c>
      <c r="G457">
        <v>72</v>
      </c>
      <c r="H457" t="s">
        <v>26</v>
      </c>
      <c r="I457">
        <v>65.94</v>
      </c>
      <c r="J457">
        <v>56.51</v>
      </c>
      <c r="K457" s="3">
        <f t="shared" si="7"/>
        <v>64.816666666666663</v>
      </c>
      <c r="L457" t="s">
        <v>27</v>
      </c>
      <c r="M457" t="s">
        <v>27</v>
      </c>
      <c r="N457">
        <v>25</v>
      </c>
      <c r="O457" t="s">
        <v>72</v>
      </c>
      <c r="P457" t="s">
        <v>26</v>
      </c>
      <c r="Q457" t="s">
        <v>30</v>
      </c>
      <c r="R457">
        <v>352</v>
      </c>
      <c r="S457">
        <v>58.666666669999998</v>
      </c>
      <c r="T457" t="s">
        <v>49</v>
      </c>
      <c r="U457" t="s">
        <v>32</v>
      </c>
      <c r="V457" t="s">
        <v>49</v>
      </c>
      <c r="W457" t="s">
        <v>49</v>
      </c>
      <c r="X457" t="s">
        <v>96</v>
      </c>
      <c r="Y457" t="s">
        <v>35</v>
      </c>
      <c r="Z457" t="s">
        <v>44</v>
      </c>
      <c r="AA457" t="s">
        <v>186</v>
      </c>
      <c r="AB457" t="s">
        <v>46</v>
      </c>
      <c r="AC457">
        <f>IF(Cdacdata[[#This Row],[placement_status]]="Placed",1,0)</f>
        <v>1</v>
      </c>
      <c r="AD457" t="s">
        <v>160</v>
      </c>
      <c r="AE457" t="s">
        <v>184</v>
      </c>
      <c r="AF457" t="s">
        <v>39</v>
      </c>
      <c r="AG457">
        <v>2021</v>
      </c>
      <c r="AH457" t="s">
        <v>111</v>
      </c>
      <c r="AI457" t="str">
        <f>IF(Cdacdata[ccat_rank]&lt;=100,"Top 100",
IF(Cdacdata[ccat_rank]&lt;=500,"101–500",
IF(Cdacdata[ccat_rank]&lt;=1000,"501–1000",
"1000+")))</f>
        <v>1000+</v>
      </c>
    </row>
    <row r="458" spans="1:35" x14ac:dyDescent="0.3">
      <c r="A458" s="1" t="s">
        <v>158</v>
      </c>
      <c r="B458">
        <v>210303573</v>
      </c>
      <c r="C458" s="2">
        <v>44315</v>
      </c>
      <c r="D458" s="2" t="s">
        <v>708</v>
      </c>
      <c r="E458">
        <v>4321</v>
      </c>
      <c r="F458" s="2">
        <v>35484</v>
      </c>
      <c r="G458">
        <v>70</v>
      </c>
      <c r="H458">
        <v>60</v>
      </c>
      <c r="I458" t="s">
        <v>26</v>
      </c>
      <c r="J458">
        <v>6.5</v>
      </c>
      <c r="K458" s="3">
        <f t="shared" si="7"/>
        <v>45.5</v>
      </c>
      <c r="L458" t="s">
        <v>27</v>
      </c>
      <c r="M458" t="s">
        <v>27</v>
      </c>
      <c r="N458">
        <v>24</v>
      </c>
      <c r="O458" t="s">
        <v>62</v>
      </c>
      <c r="P458" t="s">
        <v>26</v>
      </c>
      <c r="Q458" t="s">
        <v>30</v>
      </c>
      <c r="R458">
        <v>276</v>
      </c>
      <c r="S458">
        <v>46</v>
      </c>
      <c r="T458" t="s">
        <v>31</v>
      </c>
      <c r="U458" t="s">
        <v>64</v>
      </c>
      <c r="V458" t="s">
        <v>31</v>
      </c>
      <c r="W458" t="s">
        <v>103</v>
      </c>
      <c r="X458" t="s">
        <v>96</v>
      </c>
      <c r="Y458" t="s">
        <v>80</v>
      </c>
      <c r="Z458" t="s">
        <v>36</v>
      </c>
      <c r="AA458" t="s">
        <v>1268</v>
      </c>
      <c r="AB458" t="s">
        <v>36</v>
      </c>
      <c r="AC458">
        <f>IF(Cdacdata[[#This Row],[placement_status]]="Placed",1,0)</f>
        <v>0</v>
      </c>
      <c r="AD458" t="s">
        <v>160</v>
      </c>
      <c r="AE458" t="s">
        <v>184</v>
      </c>
      <c r="AF458" t="s">
        <v>39</v>
      </c>
      <c r="AG458">
        <v>2021</v>
      </c>
      <c r="AH458" t="s">
        <v>111</v>
      </c>
      <c r="AI458" t="str">
        <f>IF(Cdacdata[ccat_rank]&lt;=100,"Top 100",
IF(Cdacdata[ccat_rank]&lt;=500,"101–500",
IF(Cdacdata[ccat_rank]&lt;=1000,"501–1000",
"1000+")))</f>
        <v>1000+</v>
      </c>
    </row>
    <row r="459" spans="1:35" x14ac:dyDescent="0.3">
      <c r="A459" s="1" t="s">
        <v>158</v>
      </c>
      <c r="B459">
        <v>210301787</v>
      </c>
      <c r="C459" s="2">
        <v>44321</v>
      </c>
      <c r="D459" s="2" t="s">
        <v>709</v>
      </c>
      <c r="E459">
        <v>3843</v>
      </c>
      <c r="F459" s="2">
        <v>34521</v>
      </c>
      <c r="G459">
        <v>80.180000000000007</v>
      </c>
      <c r="H459">
        <v>64.67</v>
      </c>
      <c r="I459" t="s">
        <v>26</v>
      </c>
      <c r="J459">
        <v>58.32</v>
      </c>
      <c r="K459" s="3">
        <f t="shared" si="7"/>
        <v>67.723333333333343</v>
      </c>
      <c r="L459" t="s">
        <v>27</v>
      </c>
      <c r="M459" t="s">
        <v>41</v>
      </c>
      <c r="N459">
        <v>26</v>
      </c>
      <c r="O459" t="s">
        <v>72</v>
      </c>
      <c r="P459" t="s">
        <v>56</v>
      </c>
      <c r="Q459" t="s">
        <v>30</v>
      </c>
      <c r="R459">
        <v>315</v>
      </c>
      <c r="S459">
        <v>52.5</v>
      </c>
      <c r="T459" t="s">
        <v>33</v>
      </c>
      <c r="U459" t="s">
        <v>32</v>
      </c>
      <c r="V459" t="s">
        <v>33</v>
      </c>
      <c r="W459" t="s">
        <v>33</v>
      </c>
      <c r="X459" t="s">
        <v>96</v>
      </c>
      <c r="Y459" t="s">
        <v>35</v>
      </c>
      <c r="Z459" t="s">
        <v>44</v>
      </c>
      <c r="AA459" t="s">
        <v>182</v>
      </c>
      <c r="AB459" t="s">
        <v>46</v>
      </c>
      <c r="AC459">
        <f>IF(Cdacdata[[#This Row],[placement_status]]="Placed",1,0)</f>
        <v>1</v>
      </c>
      <c r="AD459" t="s">
        <v>160</v>
      </c>
      <c r="AE459" t="s">
        <v>98</v>
      </c>
      <c r="AF459" t="s">
        <v>55</v>
      </c>
      <c r="AG459">
        <v>2021</v>
      </c>
      <c r="AH459" t="s">
        <v>111</v>
      </c>
      <c r="AI459" t="str">
        <f>IF(Cdacdata[ccat_rank]&lt;=100,"Top 100",
IF(Cdacdata[ccat_rank]&lt;=500,"101–500",
IF(Cdacdata[ccat_rank]&lt;=1000,"501–1000",
"1000+")))</f>
        <v>1000+</v>
      </c>
    </row>
    <row r="460" spans="1:35" x14ac:dyDescent="0.3">
      <c r="A460" s="1" t="s">
        <v>158</v>
      </c>
      <c r="B460">
        <v>210307535</v>
      </c>
      <c r="C460" s="2">
        <v>44315</v>
      </c>
      <c r="D460" s="2" t="s">
        <v>710</v>
      </c>
      <c r="E460">
        <v>2173</v>
      </c>
      <c r="F460" s="2">
        <v>30963</v>
      </c>
      <c r="G460">
        <v>78</v>
      </c>
      <c r="H460">
        <v>76.67</v>
      </c>
      <c r="I460" t="s">
        <v>26</v>
      </c>
      <c r="J460">
        <v>76</v>
      </c>
      <c r="K460" s="3">
        <f t="shared" si="7"/>
        <v>76.89</v>
      </c>
      <c r="L460" t="s">
        <v>41</v>
      </c>
      <c r="M460" t="s">
        <v>27</v>
      </c>
      <c r="N460">
        <v>36</v>
      </c>
      <c r="O460" t="s">
        <v>48</v>
      </c>
      <c r="P460" t="s">
        <v>65</v>
      </c>
      <c r="Q460" t="s">
        <v>30</v>
      </c>
      <c r="R460">
        <v>389</v>
      </c>
      <c r="S460">
        <v>64.833333330000002</v>
      </c>
      <c r="T460" t="s">
        <v>33</v>
      </c>
      <c r="U460" t="s">
        <v>32</v>
      </c>
      <c r="V460" t="s">
        <v>33</v>
      </c>
      <c r="W460" t="s">
        <v>31</v>
      </c>
      <c r="X460" t="s">
        <v>96</v>
      </c>
      <c r="Y460" t="s">
        <v>50</v>
      </c>
      <c r="Z460" t="s">
        <v>44</v>
      </c>
      <c r="AA460" t="s">
        <v>176</v>
      </c>
      <c r="AB460" t="s">
        <v>46</v>
      </c>
      <c r="AC460">
        <f>IF(Cdacdata[[#This Row],[placement_status]]="Placed",1,0)</f>
        <v>1</v>
      </c>
      <c r="AD460" t="s">
        <v>160</v>
      </c>
      <c r="AE460" t="s">
        <v>38</v>
      </c>
      <c r="AF460" t="s">
        <v>69</v>
      </c>
      <c r="AG460">
        <v>2021</v>
      </c>
      <c r="AH460" t="s">
        <v>111</v>
      </c>
      <c r="AI460" t="str">
        <f>IF(Cdacdata[ccat_rank]&lt;=100,"Top 100",
IF(Cdacdata[ccat_rank]&lt;=500,"101–500",
IF(Cdacdata[ccat_rank]&lt;=1000,"501–1000",
"1000+")))</f>
        <v>1000+</v>
      </c>
    </row>
    <row r="461" spans="1:35" x14ac:dyDescent="0.3">
      <c r="A461" s="1" t="s">
        <v>158</v>
      </c>
      <c r="B461">
        <v>210301313</v>
      </c>
      <c r="C461" s="2">
        <v>44315</v>
      </c>
      <c r="D461" s="2" t="s">
        <v>711</v>
      </c>
      <c r="E461">
        <v>3578</v>
      </c>
      <c r="F461" s="2">
        <v>35086</v>
      </c>
      <c r="G461">
        <v>70.3</v>
      </c>
      <c r="H461">
        <v>60.8</v>
      </c>
      <c r="I461" t="s">
        <v>26</v>
      </c>
      <c r="J461">
        <v>74.8</v>
      </c>
      <c r="K461" s="3">
        <f t="shared" si="7"/>
        <v>68.633333333333326</v>
      </c>
      <c r="L461" t="s">
        <v>27</v>
      </c>
      <c r="M461" t="s">
        <v>41</v>
      </c>
      <c r="N461">
        <v>25</v>
      </c>
      <c r="O461" t="s">
        <v>62</v>
      </c>
      <c r="P461" t="s">
        <v>56</v>
      </c>
      <c r="Q461" t="s">
        <v>43</v>
      </c>
      <c r="R461">
        <v>369</v>
      </c>
      <c r="S461">
        <v>61.5</v>
      </c>
      <c r="T461" t="s">
        <v>49</v>
      </c>
      <c r="U461" t="s">
        <v>32</v>
      </c>
      <c r="V461" t="s">
        <v>49</v>
      </c>
      <c r="W461" t="s">
        <v>49</v>
      </c>
      <c r="X461" t="s">
        <v>96</v>
      </c>
      <c r="Y461" t="s">
        <v>50</v>
      </c>
      <c r="Z461" t="s">
        <v>44</v>
      </c>
      <c r="AA461" t="s">
        <v>182</v>
      </c>
      <c r="AB461" t="s">
        <v>46</v>
      </c>
      <c r="AC461">
        <f>IF(Cdacdata[[#This Row],[placement_status]]="Placed",1,0)</f>
        <v>1</v>
      </c>
      <c r="AD461" t="s">
        <v>160</v>
      </c>
      <c r="AE461" t="s">
        <v>98</v>
      </c>
      <c r="AF461" t="s">
        <v>39</v>
      </c>
      <c r="AG461">
        <v>2021</v>
      </c>
      <c r="AH461" t="s">
        <v>111</v>
      </c>
      <c r="AI461" t="str">
        <f>IF(Cdacdata[ccat_rank]&lt;=100,"Top 100",
IF(Cdacdata[ccat_rank]&lt;=500,"101–500",
IF(Cdacdata[ccat_rank]&lt;=1000,"501–1000",
"1000+")))</f>
        <v>1000+</v>
      </c>
    </row>
    <row r="462" spans="1:35" x14ac:dyDescent="0.3">
      <c r="A462" s="1" t="s">
        <v>158</v>
      </c>
      <c r="B462">
        <v>210305195</v>
      </c>
      <c r="C462" s="2">
        <v>44315</v>
      </c>
      <c r="D462" s="2" t="s">
        <v>712</v>
      </c>
      <c r="E462">
        <v>3850</v>
      </c>
      <c r="F462" s="2">
        <v>33630</v>
      </c>
      <c r="G462">
        <v>49.84</v>
      </c>
      <c r="H462">
        <v>59</v>
      </c>
      <c r="I462">
        <v>60.86</v>
      </c>
      <c r="J462">
        <v>69.900000000000006</v>
      </c>
      <c r="K462" s="3">
        <f t="shared" si="7"/>
        <v>59.9</v>
      </c>
      <c r="L462" t="s">
        <v>27</v>
      </c>
      <c r="M462" t="s">
        <v>27</v>
      </c>
      <c r="N462">
        <v>29</v>
      </c>
      <c r="O462" t="s">
        <v>28</v>
      </c>
      <c r="P462" t="s">
        <v>65</v>
      </c>
      <c r="Q462" t="s">
        <v>30</v>
      </c>
      <c r="R462">
        <v>331</v>
      </c>
      <c r="S462">
        <v>55.166666669999998</v>
      </c>
      <c r="T462" t="s">
        <v>31</v>
      </c>
      <c r="U462" t="s">
        <v>32</v>
      </c>
      <c r="V462" t="s">
        <v>31</v>
      </c>
      <c r="W462" t="s">
        <v>33</v>
      </c>
      <c r="X462" t="s">
        <v>96</v>
      </c>
      <c r="Y462" t="s">
        <v>35</v>
      </c>
      <c r="Z462" t="s">
        <v>44</v>
      </c>
      <c r="AA462" t="s">
        <v>165</v>
      </c>
      <c r="AB462" t="s">
        <v>46</v>
      </c>
      <c r="AC462">
        <f>IF(Cdacdata[[#This Row],[placement_status]]="Placed",1,0)</f>
        <v>1</v>
      </c>
      <c r="AD462" t="s">
        <v>160</v>
      </c>
      <c r="AE462" t="s">
        <v>98</v>
      </c>
      <c r="AF462" t="s">
        <v>69</v>
      </c>
      <c r="AG462">
        <v>2021</v>
      </c>
      <c r="AH462" t="s">
        <v>111</v>
      </c>
      <c r="AI462" t="str">
        <f>IF(Cdacdata[ccat_rank]&lt;=100,"Top 100",
IF(Cdacdata[ccat_rank]&lt;=500,"101–500",
IF(Cdacdata[ccat_rank]&lt;=1000,"501–1000",
"1000+")))</f>
        <v>1000+</v>
      </c>
    </row>
    <row r="463" spans="1:35" x14ac:dyDescent="0.3">
      <c r="A463" s="1" t="s">
        <v>158</v>
      </c>
      <c r="B463">
        <v>210305853</v>
      </c>
      <c r="C463" s="2">
        <v>44315</v>
      </c>
      <c r="D463" s="2" t="s">
        <v>713</v>
      </c>
      <c r="E463">
        <v>4071</v>
      </c>
      <c r="F463" s="2">
        <v>35047</v>
      </c>
      <c r="G463">
        <v>69.64</v>
      </c>
      <c r="H463" t="s">
        <v>26</v>
      </c>
      <c r="I463">
        <v>60.11</v>
      </c>
      <c r="J463">
        <v>67.86</v>
      </c>
      <c r="K463" s="3">
        <f t="shared" si="7"/>
        <v>65.87</v>
      </c>
      <c r="L463" t="s">
        <v>27</v>
      </c>
      <c r="M463" t="s">
        <v>27</v>
      </c>
      <c r="N463">
        <v>25</v>
      </c>
      <c r="O463" t="s">
        <v>28</v>
      </c>
      <c r="P463" t="s">
        <v>65</v>
      </c>
      <c r="Q463" t="s">
        <v>30</v>
      </c>
      <c r="R463">
        <v>288</v>
      </c>
      <c r="S463">
        <v>48</v>
      </c>
      <c r="T463" t="s">
        <v>33</v>
      </c>
      <c r="U463" t="s">
        <v>64</v>
      </c>
      <c r="V463" t="s">
        <v>33</v>
      </c>
      <c r="W463" t="s">
        <v>64</v>
      </c>
      <c r="X463" t="s">
        <v>96</v>
      </c>
      <c r="Y463" t="s">
        <v>80</v>
      </c>
      <c r="Z463" t="s">
        <v>36</v>
      </c>
      <c r="AA463" t="s">
        <v>1268</v>
      </c>
      <c r="AB463" t="s">
        <v>36</v>
      </c>
      <c r="AC463">
        <f>IF(Cdacdata[[#This Row],[placement_status]]="Placed",1,0)</f>
        <v>0</v>
      </c>
      <c r="AD463" t="s">
        <v>160</v>
      </c>
      <c r="AE463" t="s">
        <v>184</v>
      </c>
      <c r="AF463" t="s">
        <v>39</v>
      </c>
      <c r="AG463">
        <v>2021</v>
      </c>
      <c r="AH463" t="s">
        <v>111</v>
      </c>
      <c r="AI463" t="str">
        <f>IF(Cdacdata[ccat_rank]&lt;=100,"Top 100",
IF(Cdacdata[ccat_rank]&lt;=500,"101–500",
IF(Cdacdata[ccat_rank]&lt;=1000,"501–1000",
"1000+")))</f>
        <v>1000+</v>
      </c>
    </row>
    <row r="464" spans="1:35" x14ac:dyDescent="0.3">
      <c r="A464" s="1" t="s">
        <v>158</v>
      </c>
      <c r="B464">
        <v>210303503</v>
      </c>
      <c r="C464" s="2">
        <v>44319</v>
      </c>
      <c r="D464" s="2" t="s">
        <v>714</v>
      </c>
      <c r="E464">
        <v>3369</v>
      </c>
      <c r="F464" s="2">
        <v>35582</v>
      </c>
      <c r="G464">
        <v>71.599999999999994</v>
      </c>
      <c r="H464">
        <v>53.08</v>
      </c>
      <c r="I464" t="s">
        <v>26</v>
      </c>
      <c r="J464">
        <v>0</v>
      </c>
      <c r="K464" s="3">
        <f t="shared" si="7"/>
        <v>41.559999999999995</v>
      </c>
      <c r="L464" t="s">
        <v>27</v>
      </c>
      <c r="M464" t="s">
        <v>27</v>
      </c>
      <c r="N464">
        <v>23</v>
      </c>
      <c r="O464" t="s">
        <v>62</v>
      </c>
      <c r="P464" t="s">
        <v>56</v>
      </c>
      <c r="Q464" t="s">
        <v>26</v>
      </c>
      <c r="R464">
        <v>224</v>
      </c>
      <c r="S464">
        <v>37.333333330000002</v>
      </c>
      <c r="T464" t="s">
        <v>31</v>
      </c>
      <c r="U464" t="s">
        <v>64</v>
      </c>
      <c r="V464" t="s">
        <v>31</v>
      </c>
      <c r="W464" t="s">
        <v>64</v>
      </c>
      <c r="X464" t="s">
        <v>96</v>
      </c>
      <c r="Y464" t="s">
        <v>64</v>
      </c>
      <c r="Z464" t="s">
        <v>36</v>
      </c>
      <c r="AA464" t="s">
        <v>1268</v>
      </c>
      <c r="AB464" t="s">
        <v>36</v>
      </c>
      <c r="AC464">
        <f>IF(Cdacdata[[#This Row],[placement_status]]="Placed",1,0)</f>
        <v>0</v>
      </c>
      <c r="AD464" t="s">
        <v>160</v>
      </c>
      <c r="AE464" t="s">
        <v>98</v>
      </c>
      <c r="AF464" t="s">
        <v>39</v>
      </c>
      <c r="AG464">
        <v>2021</v>
      </c>
      <c r="AH464" t="s">
        <v>111</v>
      </c>
      <c r="AI464" t="str">
        <f>IF(Cdacdata[ccat_rank]&lt;=100,"Top 100",
IF(Cdacdata[ccat_rank]&lt;=500,"101–500",
IF(Cdacdata[ccat_rank]&lt;=1000,"501–1000",
"1000+")))</f>
        <v>1000+</v>
      </c>
    </row>
    <row r="465" spans="1:35" x14ac:dyDescent="0.3">
      <c r="A465" s="1" t="s">
        <v>158</v>
      </c>
      <c r="B465">
        <v>210304029</v>
      </c>
      <c r="C465" s="2">
        <v>44316</v>
      </c>
      <c r="D465" s="2" t="s">
        <v>715</v>
      </c>
      <c r="E465">
        <v>970</v>
      </c>
      <c r="F465" s="2">
        <v>35289</v>
      </c>
      <c r="G465">
        <v>88.91</v>
      </c>
      <c r="H465">
        <v>78.31</v>
      </c>
      <c r="I465" t="s">
        <v>26</v>
      </c>
      <c r="J465">
        <v>87.51</v>
      </c>
      <c r="K465" s="3">
        <f t="shared" si="7"/>
        <v>84.910000000000011</v>
      </c>
      <c r="L465" t="s">
        <v>41</v>
      </c>
      <c r="M465" t="s">
        <v>27</v>
      </c>
      <c r="N465">
        <v>24</v>
      </c>
      <c r="O465" t="s">
        <v>48</v>
      </c>
      <c r="P465" t="s">
        <v>56</v>
      </c>
      <c r="Q465" t="s">
        <v>67</v>
      </c>
      <c r="R465">
        <v>412</v>
      </c>
      <c r="S465">
        <v>68.666666669999998</v>
      </c>
      <c r="T465" t="s">
        <v>49</v>
      </c>
      <c r="U465" t="s">
        <v>32</v>
      </c>
      <c r="V465" t="s">
        <v>49</v>
      </c>
      <c r="W465" t="s">
        <v>49</v>
      </c>
      <c r="X465" t="s">
        <v>96</v>
      </c>
      <c r="Y465" t="s">
        <v>50</v>
      </c>
      <c r="Z465" t="s">
        <v>44</v>
      </c>
      <c r="AA465" t="s">
        <v>183</v>
      </c>
      <c r="AB465" t="s">
        <v>46</v>
      </c>
      <c r="AC465">
        <f>IF(Cdacdata[[#This Row],[placement_status]]="Placed",1,0)</f>
        <v>1</v>
      </c>
      <c r="AD465" t="s">
        <v>160</v>
      </c>
      <c r="AE465" t="s">
        <v>75</v>
      </c>
      <c r="AF465" t="s">
        <v>39</v>
      </c>
      <c r="AG465">
        <v>2021</v>
      </c>
      <c r="AH465" t="s">
        <v>111</v>
      </c>
      <c r="AI465" t="str">
        <f>IF(Cdacdata[ccat_rank]&lt;=100,"Top 100",
IF(Cdacdata[ccat_rank]&lt;=500,"101–500",
IF(Cdacdata[ccat_rank]&lt;=1000,"501–1000",
"1000+")))</f>
        <v>501–1000</v>
      </c>
    </row>
    <row r="466" spans="1:35" x14ac:dyDescent="0.3">
      <c r="A466" s="1" t="s">
        <v>158</v>
      </c>
      <c r="B466">
        <v>210303255</v>
      </c>
      <c r="C466" s="2">
        <v>44316</v>
      </c>
      <c r="D466" s="2" t="s">
        <v>716</v>
      </c>
      <c r="E466">
        <v>3350</v>
      </c>
      <c r="F466" s="2">
        <v>36079</v>
      </c>
      <c r="G466">
        <v>71.599999999999994</v>
      </c>
      <c r="H466">
        <v>50.77</v>
      </c>
      <c r="I466" t="s">
        <v>26</v>
      </c>
      <c r="J466">
        <v>62.83</v>
      </c>
      <c r="K466" s="3">
        <f t="shared" si="7"/>
        <v>61.733333333333327</v>
      </c>
      <c r="L466" t="s">
        <v>27</v>
      </c>
      <c r="M466" t="s">
        <v>41</v>
      </c>
      <c r="N466">
        <v>22</v>
      </c>
      <c r="O466" t="s">
        <v>28</v>
      </c>
      <c r="P466" t="s">
        <v>29</v>
      </c>
      <c r="Q466" t="s">
        <v>30</v>
      </c>
      <c r="R466">
        <v>291</v>
      </c>
      <c r="S466">
        <v>48.5</v>
      </c>
      <c r="T466" t="s">
        <v>33</v>
      </c>
      <c r="U466" t="s">
        <v>32</v>
      </c>
      <c r="V466" t="s">
        <v>33</v>
      </c>
      <c r="W466" t="s">
        <v>33</v>
      </c>
      <c r="X466" t="s">
        <v>96</v>
      </c>
      <c r="Y466" t="s">
        <v>80</v>
      </c>
      <c r="Z466" t="s">
        <v>44</v>
      </c>
      <c r="AA466" t="s">
        <v>183</v>
      </c>
      <c r="AB466" t="s">
        <v>46</v>
      </c>
      <c r="AC466">
        <f>IF(Cdacdata[[#This Row],[placement_status]]="Placed",1,0)</f>
        <v>1</v>
      </c>
      <c r="AD466" t="s">
        <v>160</v>
      </c>
      <c r="AE466" t="s">
        <v>98</v>
      </c>
      <c r="AF466" t="s">
        <v>57</v>
      </c>
      <c r="AG466">
        <v>2021</v>
      </c>
      <c r="AH466" t="s">
        <v>111</v>
      </c>
      <c r="AI466" t="str">
        <f>IF(Cdacdata[ccat_rank]&lt;=100,"Top 100",
IF(Cdacdata[ccat_rank]&lt;=500,"101–500",
IF(Cdacdata[ccat_rank]&lt;=1000,"501–1000",
"1000+")))</f>
        <v>1000+</v>
      </c>
    </row>
    <row r="467" spans="1:35" x14ac:dyDescent="0.3">
      <c r="A467" s="1" t="s">
        <v>158</v>
      </c>
      <c r="B467">
        <v>210301373</v>
      </c>
      <c r="C467" s="2">
        <v>44315</v>
      </c>
      <c r="D467" s="2" t="s">
        <v>717</v>
      </c>
      <c r="E467">
        <v>2118</v>
      </c>
      <c r="F467" s="2">
        <v>35807</v>
      </c>
      <c r="G467">
        <v>81.8</v>
      </c>
      <c r="H467" t="s">
        <v>26</v>
      </c>
      <c r="I467">
        <v>85.19</v>
      </c>
      <c r="J467">
        <v>70</v>
      </c>
      <c r="K467" s="3">
        <f t="shared" si="7"/>
        <v>78.99666666666667</v>
      </c>
      <c r="L467" t="s">
        <v>27</v>
      </c>
      <c r="M467" t="s">
        <v>41</v>
      </c>
      <c r="N467">
        <v>23</v>
      </c>
      <c r="O467" t="s">
        <v>28</v>
      </c>
      <c r="P467" t="s">
        <v>56</v>
      </c>
      <c r="Q467" t="s">
        <v>30</v>
      </c>
      <c r="R467">
        <v>448</v>
      </c>
      <c r="S467">
        <v>74.666666669999998</v>
      </c>
      <c r="T467" t="s">
        <v>33</v>
      </c>
      <c r="U467" t="s">
        <v>32</v>
      </c>
      <c r="V467" t="s">
        <v>33</v>
      </c>
      <c r="W467" t="s">
        <v>31</v>
      </c>
      <c r="X467" t="s">
        <v>96</v>
      </c>
      <c r="Y467" t="s">
        <v>58</v>
      </c>
      <c r="Z467" t="s">
        <v>44</v>
      </c>
      <c r="AA467" t="s">
        <v>183</v>
      </c>
      <c r="AB467" t="s">
        <v>46</v>
      </c>
      <c r="AC467">
        <f>IF(Cdacdata[[#This Row],[placement_status]]="Placed",1,0)</f>
        <v>1</v>
      </c>
      <c r="AD467" t="s">
        <v>160</v>
      </c>
      <c r="AE467" t="s">
        <v>38</v>
      </c>
      <c r="AF467" t="s">
        <v>39</v>
      </c>
      <c r="AG467">
        <v>2021</v>
      </c>
      <c r="AH467" t="s">
        <v>111</v>
      </c>
      <c r="AI467" t="str">
        <f>IF(Cdacdata[ccat_rank]&lt;=100,"Top 100",
IF(Cdacdata[ccat_rank]&lt;=500,"101–500",
IF(Cdacdata[ccat_rank]&lt;=1000,"501–1000",
"1000+")))</f>
        <v>1000+</v>
      </c>
    </row>
    <row r="468" spans="1:35" x14ac:dyDescent="0.3">
      <c r="A468" s="1" t="s">
        <v>158</v>
      </c>
      <c r="B468">
        <v>210302692</v>
      </c>
      <c r="C468" s="2">
        <v>44316</v>
      </c>
      <c r="D468" s="2" t="s">
        <v>718</v>
      </c>
      <c r="E468">
        <v>2660</v>
      </c>
      <c r="F468" s="2">
        <v>36095</v>
      </c>
      <c r="G468">
        <v>83.6</v>
      </c>
      <c r="H468">
        <v>70</v>
      </c>
      <c r="I468" t="s">
        <v>26</v>
      </c>
      <c r="J468">
        <v>60.37</v>
      </c>
      <c r="K468" s="3">
        <f t="shared" si="7"/>
        <v>71.323333333333338</v>
      </c>
      <c r="L468" t="s">
        <v>27</v>
      </c>
      <c r="M468" t="s">
        <v>27</v>
      </c>
      <c r="N468">
        <v>22</v>
      </c>
      <c r="O468" t="s">
        <v>28</v>
      </c>
      <c r="P468" t="s">
        <v>26</v>
      </c>
      <c r="Q468" t="s">
        <v>30</v>
      </c>
      <c r="R468">
        <v>381</v>
      </c>
      <c r="S468">
        <v>63.5</v>
      </c>
      <c r="T468" t="s">
        <v>33</v>
      </c>
      <c r="U468" t="s">
        <v>32</v>
      </c>
      <c r="V468" t="s">
        <v>33</v>
      </c>
      <c r="W468" t="s">
        <v>33</v>
      </c>
      <c r="X468" t="s">
        <v>96</v>
      </c>
      <c r="Y468" t="s">
        <v>50</v>
      </c>
      <c r="Z468" t="s">
        <v>44</v>
      </c>
      <c r="AA468" t="s">
        <v>187</v>
      </c>
      <c r="AB468" t="s">
        <v>46</v>
      </c>
      <c r="AC468">
        <f>IF(Cdacdata[[#This Row],[placement_status]]="Placed",1,0)</f>
        <v>1</v>
      </c>
      <c r="AD468" t="s">
        <v>160</v>
      </c>
      <c r="AE468" t="s">
        <v>38</v>
      </c>
      <c r="AF468" t="s">
        <v>57</v>
      </c>
      <c r="AG468">
        <v>2021</v>
      </c>
      <c r="AH468" t="s">
        <v>111</v>
      </c>
      <c r="AI468" t="str">
        <f>IF(Cdacdata[ccat_rank]&lt;=100,"Top 100",
IF(Cdacdata[ccat_rank]&lt;=500,"101–500",
IF(Cdacdata[ccat_rank]&lt;=1000,"501–1000",
"1000+")))</f>
        <v>1000+</v>
      </c>
    </row>
    <row r="469" spans="1:35" x14ac:dyDescent="0.3">
      <c r="A469" s="1" t="s">
        <v>158</v>
      </c>
      <c r="B469">
        <v>210300632</v>
      </c>
      <c r="C469" s="2">
        <v>44316</v>
      </c>
      <c r="D469" s="2" t="s">
        <v>719</v>
      </c>
      <c r="E469">
        <v>2532</v>
      </c>
      <c r="F469" s="2">
        <v>35532</v>
      </c>
      <c r="G469">
        <v>72</v>
      </c>
      <c r="H469" t="s">
        <v>26</v>
      </c>
      <c r="I469">
        <v>73</v>
      </c>
      <c r="J469">
        <v>77</v>
      </c>
      <c r="K469" s="3">
        <f t="shared" si="7"/>
        <v>74</v>
      </c>
      <c r="L469" t="s">
        <v>27</v>
      </c>
      <c r="M469" t="s">
        <v>27</v>
      </c>
      <c r="N469">
        <v>24</v>
      </c>
      <c r="O469" t="s">
        <v>48</v>
      </c>
      <c r="P469" t="s">
        <v>26</v>
      </c>
      <c r="Q469" t="s">
        <v>30</v>
      </c>
      <c r="R469">
        <v>374</v>
      </c>
      <c r="S469">
        <v>62.333333330000002</v>
      </c>
      <c r="T469" t="s">
        <v>49</v>
      </c>
      <c r="U469" t="s">
        <v>32</v>
      </c>
      <c r="V469" t="s">
        <v>49</v>
      </c>
      <c r="W469" t="s">
        <v>31</v>
      </c>
      <c r="X469" t="s">
        <v>96</v>
      </c>
      <c r="Y469" t="s">
        <v>50</v>
      </c>
      <c r="Z469" t="s">
        <v>44</v>
      </c>
      <c r="AA469" t="s">
        <v>163</v>
      </c>
      <c r="AB469" t="s">
        <v>46</v>
      </c>
      <c r="AC469">
        <f>IF(Cdacdata[[#This Row],[placement_status]]="Placed",1,0)</f>
        <v>1</v>
      </c>
      <c r="AD469" t="s">
        <v>160</v>
      </c>
      <c r="AE469" t="s">
        <v>38</v>
      </c>
      <c r="AF469" t="s">
        <v>39</v>
      </c>
      <c r="AG469">
        <v>2021</v>
      </c>
      <c r="AH469" t="s">
        <v>111</v>
      </c>
      <c r="AI469" t="str">
        <f>IF(Cdacdata[ccat_rank]&lt;=100,"Top 100",
IF(Cdacdata[ccat_rank]&lt;=500,"101–500",
IF(Cdacdata[ccat_rank]&lt;=1000,"501–1000",
"1000+")))</f>
        <v>1000+</v>
      </c>
    </row>
    <row r="470" spans="1:35" x14ac:dyDescent="0.3">
      <c r="A470" s="1" t="s">
        <v>158</v>
      </c>
      <c r="B470">
        <v>210301521</v>
      </c>
      <c r="C470" s="2">
        <v>44315</v>
      </c>
      <c r="D470" s="2" t="s">
        <v>720</v>
      </c>
      <c r="E470">
        <v>3099</v>
      </c>
      <c r="F470" s="2">
        <v>35017</v>
      </c>
      <c r="G470">
        <v>74.099999999999994</v>
      </c>
      <c r="H470">
        <v>68.8</v>
      </c>
      <c r="I470" t="s">
        <v>26</v>
      </c>
      <c r="J470">
        <v>64.63</v>
      </c>
      <c r="K470" s="3">
        <f t="shared" si="7"/>
        <v>69.176666666666662</v>
      </c>
      <c r="L470" t="s">
        <v>27</v>
      </c>
      <c r="M470" t="s">
        <v>27</v>
      </c>
      <c r="N470">
        <v>25</v>
      </c>
      <c r="O470" t="s">
        <v>28</v>
      </c>
      <c r="P470" t="s">
        <v>26</v>
      </c>
      <c r="Q470" t="s">
        <v>30</v>
      </c>
      <c r="R470">
        <v>344</v>
      </c>
      <c r="S470">
        <v>57.333333330000002</v>
      </c>
      <c r="T470" t="s">
        <v>33</v>
      </c>
      <c r="U470" t="s">
        <v>32</v>
      </c>
      <c r="V470" t="s">
        <v>33</v>
      </c>
      <c r="W470" t="s">
        <v>33</v>
      </c>
      <c r="X470" t="s">
        <v>96</v>
      </c>
      <c r="Y470" t="s">
        <v>35</v>
      </c>
      <c r="Z470" t="s">
        <v>44</v>
      </c>
      <c r="AA470" t="s">
        <v>163</v>
      </c>
      <c r="AB470" t="s">
        <v>46</v>
      </c>
      <c r="AC470">
        <f>IF(Cdacdata[[#This Row],[placement_status]]="Placed",1,0)</f>
        <v>1</v>
      </c>
      <c r="AD470" t="s">
        <v>160</v>
      </c>
      <c r="AE470" t="s">
        <v>98</v>
      </c>
      <c r="AF470" t="s">
        <v>39</v>
      </c>
      <c r="AG470">
        <v>2021</v>
      </c>
      <c r="AH470" t="s">
        <v>111</v>
      </c>
      <c r="AI470" t="str">
        <f>IF(Cdacdata[ccat_rank]&lt;=100,"Top 100",
IF(Cdacdata[ccat_rank]&lt;=500,"101–500",
IF(Cdacdata[ccat_rank]&lt;=1000,"501–1000",
"1000+")))</f>
        <v>1000+</v>
      </c>
    </row>
    <row r="471" spans="1:35" x14ac:dyDescent="0.3">
      <c r="A471" s="1" t="s">
        <v>158</v>
      </c>
      <c r="B471">
        <v>210303341</v>
      </c>
      <c r="C471" s="2"/>
      <c r="D471" s="2"/>
      <c r="E471" t="s">
        <v>63</v>
      </c>
      <c r="G471">
        <v>0</v>
      </c>
      <c r="H471">
        <v>0</v>
      </c>
      <c r="I471">
        <v>0</v>
      </c>
      <c r="J471">
        <v>0</v>
      </c>
      <c r="K471" s="3">
        <f t="shared" si="7"/>
        <v>0</v>
      </c>
      <c r="L471" t="s">
        <v>27</v>
      </c>
      <c r="M471" t="s">
        <v>27</v>
      </c>
      <c r="N471">
        <v>23</v>
      </c>
      <c r="O471" t="s">
        <v>373</v>
      </c>
      <c r="P471" t="s">
        <v>26</v>
      </c>
      <c r="Q471" t="s">
        <v>374</v>
      </c>
      <c r="R471">
        <v>392</v>
      </c>
      <c r="S471">
        <v>65.333333330000002</v>
      </c>
      <c r="T471" t="s">
        <v>33</v>
      </c>
      <c r="U471" t="s">
        <v>32</v>
      </c>
      <c r="V471" t="s">
        <v>33</v>
      </c>
      <c r="W471" t="s">
        <v>33</v>
      </c>
      <c r="X471" t="s">
        <v>96</v>
      </c>
      <c r="Y471" t="s">
        <v>50</v>
      </c>
      <c r="Z471" t="s">
        <v>44</v>
      </c>
      <c r="AA471" t="s">
        <v>186</v>
      </c>
      <c r="AB471" t="s">
        <v>46</v>
      </c>
      <c r="AC471">
        <f>IF(Cdacdata[[#This Row],[placement_status]]="Placed",1,0)</f>
        <v>1</v>
      </c>
      <c r="AD471" t="s">
        <v>160</v>
      </c>
      <c r="AE471" t="s">
        <v>63</v>
      </c>
      <c r="AF471" t="s">
        <v>63</v>
      </c>
      <c r="AG471">
        <v>2021</v>
      </c>
      <c r="AH471" t="s">
        <v>111</v>
      </c>
      <c r="AI471" t="str">
        <f>IF(Cdacdata[ccat_rank]&lt;=100,"Top 100",
IF(Cdacdata[ccat_rank]&lt;=500,"101–500",
IF(Cdacdata[ccat_rank]&lt;=1000,"501–1000",
"1000+")))</f>
        <v>1000+</v>
      </c>
    </row>
    <row r="472" spans="1:35" x14ac:dyDescent="0.3">
      <c r="A472" s="1" t="s">
        <v>158</v>
      </c>
      <c r="B472">
        <v>210304159</v>
      </c>
      <c r="C472" s="2"/>
      <c r="D472" s="2"/>
      <c r="E472" t="s">
        <v>63</v>
      </c>
      <c r="G472">
        <v>0</v>
      </c>
      <c r="H472">
        <v>0</v>
      </c>
      <c r="I472">
        <v>0</v>
      </c>
      <c r="J472">
        <v>0</v>
      </c>
      <c r="K472" s="3">
        <f t="shared" si="7"/>
        <v>0</v>
      </c>
      <c r="L472" t="s">
        <v>27</v>
      </c>
      <c r="M472" t="s">
        <v>27</v>
      </c>
      <c r="N472">
        <v>23</v>
      </c>
      <c r="O472" t="s">
        <v>373</v>
      </c>
      <c r="P472" t="s">
        <v>26</v>
      </c>
      <c r="Q472" t="s">
        <v>374</v>
      </c>
      <c r="R472">
        <v>432</v>
      </c>
      <c r="S472">
        <v>72</v>
      </c>
      <c r="T472" t="s">
        <v>49</v>
      </c>
      <c r="U472" t="s">
        <v>32</v>
      </c>
      <c r="V472" t="s">
        <v>49</v>
      </c>
      <c r="W472" t="s">
        <v>31</v>
      </c>
      <c r="X472" t="s">
        <v>96</v>
      </c>
      <c r="Y472" t="s">
        <v>58</v>
      </c>
      <c r="Z472" t="s">
        <v>44</v>
      </c>
      <c r="AA472" t="s">
        <v>165</v>
      </c>
      <c r="AB472" t="s">
        <v>46</v>
      </c>
      <c r="AC472">
        <f>IF(Cdacdata[[#This Row],[placement_status]]="Placed",1,0)</f>
        <v>1</v>
      </c>
      <c r="AD472" t="s">
        <v>160</v>
      </c>
      <c r="AE472" t="s">
        <v>63</v>
      </c>
      <c r="AF472" t="s">
        <v>63</v>
      </c>
      <c r="AG472">
        <v>2021</v>
      </c>
      <c r="AH472" t="s">
        <v>111</v>
      </c>
      <c r="AI472" t="str">
        <f>IF(Cdacdata[ccat_rank]&lt;=100,"Top 100",
IF(Cdacdata[ccat_rank]&lt;=500,"101–500",
IF(Cdacdata[ccat_rank]&lt;=1000,"501–1000",
"1000+")))</f>
        <v>1000+</v>
      </c>
    </row>
    <row r="473" spans="1:35" x14ac:dyDescent="0.3">
      <c r="A473" s="1" t="s">
        <v>158</v>
      </c>
      <c r="B473">
        <v>210302036</v>
      </c>
      <c r="C473" s="2">
        <v>44316</v>
      </c>
      <c r="D473" s="2" t="s">
        <v>721</v>
      </c>
      <c r="E473">
        <v>2399</v>
      </c>
      <c r="F473" s="2">
        <v>35563</v>
      </c>
      <c r="G473">
        <v>90.73</v>
      </c>
      <c r="H473" t="s">
        <v>26</v>
      </c>
      <c r="I473" t="s">
        <v>26</v>
      </c>
      <c r="J473">
        <v>58.96</v>
      </c>
      <c r="K473" s="3">
        <f t="shared" si="7"/>
        <v>74.844999999999999</v>
      </c>
      <c r="L473" t="s">
        <v>27</v>
      </c>
      <c r="M473" t="s">
        <v>27</v>
      </c>
      <c r="N473">
        <v>23</v>
      </c>
      <c r="O473" t="s">
        <v>72</v>
      </c>
      <c r="P473" t="s">
        <v>26</v>
      </c>
      <c r="Q473" t="s">
        <v>26</v>
      </c>
      <c r="R473">
        <v>387</v>
      </c>
      <c r="S473">
        <v>64.5</v>
      </c>
      <c r="T473" t="s">
        <v>33</v>
      </c>
      <c r="U473" t="s">
        <v>32</v>
      </c>
      <c r="V473" t="s">
        <v>33</v>
      </c>
      <c r="W473" t="s">
        <v>31</v>
      </c>
      <c r="X473" t="s">
        <v>96</v>
      </c>
      <c r="Y473" t="s">
        <v>50</v>
      </c>
      <c r="Z473" t="s">
        <v>44</v>
      </c>
      <c r="AA473" t="s">
        <v>165</v>
      </c>
      <c r="AB473" t="s">
        <v>46</v>
      </c>
      <c r="AC473">
        <f>IF(Cdacdata[[#This Row],[placement_status]]="Placed",1,0)</f>
        <v>1</v>
      </c>
      <c r="AD473" t="s">
        <v>160</v>
      </c>
      <c r="AE473" t="s">
        <v>38</v>
      </c>
      <c r="AF473" t="s">
        <v>39</v>
      </c>
      <c r="AG473">
        <v>2021</v>
      </c>
      <c r="AH473" t="s">
        <v>111</v>
      </c>
      <c r="AI473" t="str">
        <f>IF(Cdacdata[ccat_rank]&lt;=100,"Top 100",
IF(Cdacdata[ccat_rank]&lt;=500,"101–500",
IF(Cdacdata[ccat_rank]&lt;=1000,"501–1000",
"1000+")))</f>
        <v>1000+</v>
      </c>
    </row>
    <row r="474" spans="1:35" x14ac:dyDescent="0.3">
      <c r="A474" s="1" t="s">
        <v>158</v>
      </c>
      <c r="B474">
        <v>210302616</v>
      </c>
      <c r="C474" s="2">
        <v>44319</v>
      </c>
      <c r="D474" s="2" t="s">
        <v>722</v>
      </c>
      <c r="E474">
        <v>4047</v>
      </c>
      <c r="F474" s="2">
        <v>35754</v>
      </c>
      <c r="G474">
        <v>74.8</v>
      </c>
      <c r="H474">
        <v>56.15</v>
      </c>
      <c r="I474">
        <v>76.75</v>
      </c>
      <c r="J474">
        <v>71.8</v>
      </c>
      <c r="K474" s="3">
        <f t="shared" si="7"/>
        <v>69.875</v>
      </c>
      <c r="L474" t="s">
        <v>27</v>
      </c>
      <c r="M474" t="s">
        <v>27</v>
      </c>
      <c r="N474">
        <v>23</v>
      </c>
      <c r="O474" t="s">
        <v>28</v>
      </c>
      <c r="P474" t="s">
        <v>26</v>
      </c>
      <c r="Q474" t="s">
        <v>30</v>
      </c>
      <c r="R474">
        <v>394</v>
      </c>
      <c r="S474">
        <v>65.666666669999998</v>
      </c>
      <c r="T474" t="s">
        <v>33</v>
      </c>
      <c r="U474" t="s">
        <v>32</v>
      </c>
      <c r="V474" t="s">
        <v>33</v>
      </c>
      <c r="W474" t="s">
        <v>33</v>
      </c>
      <c r="X474" t="s">
        <v>96</v>
      </c>
      <c r="Y474" t="s">
        <v>50</v>
      </c>
      <c r="Z474" t="s">
        <v>44</v>
      </c>
      <c r="AA474" t="s">
        <v>187</v>
      </c>
      <c r="AB474" t="s">
        <v>46</v>
      </c>
      <c r="AC474">
        <f>IF(Cdacdata[[#This Row],[placement_status]]="Placed",1,0)</f>
        <v>1</v>
      </c>
      <c r="AD474" t="s">
        <v>160</v>
      </c>
      <c r="AE474" t="s">
        <v>184</v>
      </c>
      <c r="AF474" t="s">
        <v>39</v>
      </c>
      <c r="AG474">
        <v>2021</v>
      </c>
      <c r="AH474" t="s">
        <v>111</v>
      </c>
      <c r="AI474" t="str">
        <f>IF(Cdacdata[ccat_rank]&lt;=100,"Top 100",
IF(Cdacdata[ccat_rank]&lt;=500,"101–500",
IF(Cdacdata[ccat_rank]&lt;=1000,"501–1000",
"1000+")))</f>
        <v>1000+</v>
      </c>
    </row>
    <row r="475" spans="1:35" x14ac:dyDescent="0.3">
      <c r="A475" s="1" t="s">
        <v>158</v>
      </c>
      <c r="B475">
        <v>210304031</v>
      </c>
      <c r="C475" s="2">
        <v>44316</v>
      </c>
      <c r="D475" s="2" t="s">
        <v>723</v>
      </c>
      <c r="E475">
        <v>2436</v>
      </c>
      <c r="F475" s="2">
        <v>35102</v>
      </c>
      <c r="G475">
        <v>92.18</v>
      </c>
      <c r="H475" t="s">
        <v>26</v>
      </c>
      <c r="I475">
        <v>73.349999999999994</v>
      </c>
      <c r="J475">
        <v>71</v>
      </c>
      <c r="K475" s="3">
        <f t="shared" si="7"/>
        <v>78.843333333333334</v>
      </c>
      <c r="L475" t="s">
        <v>27</v>
      </c>
      <c r="M475" t="s">
        <v>27</v>
      </c>
      <c r="N475">
        <v>25</v>
      </c>
      <c r="O475" t="s">
        <v>28</v>
      </c>
      <c r="P475" t="s">
        <v>26</v>
      </c>
      <c r="Q475" t="s">
        <v>30</v>
      </c>
      <c r="R475">
        <v>52</v>
      </c>
      <c r="S475">
        <v>8.6666666669999994</v>
      </c>
      <c r="T475" t="s">
        <v>31</v>
      </c>
      <c r="U475" t="s">
        <v>64</v>
      </c>
      <c r="V475" t="s">
        <v>31</v>
      </c>
      <c r="W475" t="s">
        <v>64</v>
      </c>
      <c r="X475" t="s">
        <v>96</v>
      </c>
      <c r="Y475" t="s">
        <v>64</v>
      </c>
      <c r="Z475" t="s">
        <v>36</v>
      </c>
      <c r="AA475" t="s">
        <v>1268</v>
      </c>
      <c r="AB475" t="s">
        <v>36</v>
      </c>
      <c r="AC475">
        <f>IF(Cdacdata[[#This Row],[placement_status]]="Placed",1,0)</f>
        <v>0</v>
      </c>
      <c r="AD475" t="s">
        <v>160</v>
      </c>
      <c r="AE475" t="s">
        <v>38</v>
      </c>
      <c r="AF475" t="s">
        <v>39</v>
      </c>
      <c r="AG475">
        <v>2021</v>
      </c>
      <c r="AH475" t="s">
        <v>111</v>
      </c>
      <c r="AI475" t="str">
        <f>IF(Cdacdata[ccat_rank]&lt;=100,"Top 100",
IF(Cdacdata[ccat_rank]&lt;=500,"101–500",
IF(Cdacdata[ccat_rank]&lt;=1000,"501–1000",
"1000+")))</f>
        <v>1000+</v>
      </c>
    </row>
    <row r="476" spans="1:35" x14ac:dyDescent="0.3">
      <c r="A476" s="1" t="s">
        <v>158</v>
      </c>
      <c r="B476">
        <v>210306071</v>
      </c>
      <c r="C476" s="2"/>
      <c r="D476" s="2"/>
      <c r="E476" t="s">
        <v>63</v>
      </c>
      <c r="G476">
        <v>0</v>
      </c>
      <c r="H476">
        <v>0</v>
      </c>
      <c r="I476">
        <v>0</v>
      </c>
      <c r="J476">
        <v>0</v>
      </c>
      <c r="K476" s="3">
        <f t="shared" si="7"/>
        <v>0</v>
      </c>
      <c r="L476" t="s">
        <v>27</v>
      </c>
      <c r="M476" t="s">
        <v>27</v>
      </c>
      <c r="N476">
        <v>23</v>
      </c>
      <c r="O476" t="s">
        <v>373</v>
      </c>
      <c r="P476" t="s">
        <v>26</v>
      </c>
      <c r="Q476" t="s">
        <v>374</v>
      </c>
      <c r="R476">
        <v>319</v>
      </c>
      <c r="S476">
        <v>53.166666669999998</v>
      </c>
      <c r="T476" t="s">
        <v>33</v>
      </c>
      <c r="U476" t="s">
        <v>32</v>
      </c>
      <c r="V476" t="s">
        <v>33</v>
      </c>
      <c r="W476" t="s">
        <v>103</v>
      </c>
      <c r="X476" t="s">
        <v>96</v>
      </c>
      <c r="Y476" t="s">
        <v>35</v>
      </c>
      <c r="Z476" t="s">
        <v>44</v>
      </c>
      <c r="AA476" t="s">
        <v>176</v>
      </c>
      <c r="AB476" t="s">
        <v>46</v>
      </c>
      <c r="AC476">
        <f>IF(Cdacdata[[#This Row],[placement_status]]="Placed",1,0)</f>
        <v>1</v>
      </c>
      <c r="AD476" t="s">
        <v>160</v>
      </c>
      <c r="AE476" t="s">
        <v>63</v>
      </c>
      <c r="AF476" t="s">
        <v>63</v>
      </c>
      <c r="AG476">
        <v>2021</v>
      </c>
      <c r="AH476" t="s">
        <v>111</v>
      </c>
      <c r="AI476" t="str">
        <f>IF(Cdacdata[ccat_rank]&lt;=100,"Top 100",
IF(Cdacdata[ccat_rank]&lt;=500,"101–500",
IF(Cdacdata[ccat_rank]&lt;=1000,"501–1000",
"1000+")))</f>
        <v>1000+</v>
      </c>
    </row>
    <row r="477" spans="1:35" x14ac:dyDescent="0.3">
      <c r="A477" s="1" t="s">
        <v>158</v>
      </c>
      <c r="B477">
        <v>191107783</v>
      </c>
      <c r="C477" s="2"/>
      <c r="D477" s="2"/>
      <c r="E477" t="s">
        <v>63</v>
      </c>
      <c r="G477">
        <v>0</v>
      </c>
      <c r="H477">
        <v>0</v>
      </c>
      <c r="I477">
        <v>0</v>
      </c>
      <c r="J477">
        <v>0</v>
      </c>
      <c r="K477" s="3">
        <f t="shared" si="7"/>
        <v>0</v>
      </c>
      <c r="L477" t="s">
        <v>27</v>
      </c>
      <c r="M477" t="s">
        <v>27</v>
      </c>
      <c r="N477">
        <v>23</v>
      </c>
      <c r="O477" t="s">
        <v>373</v>
      </c>
      <c r="P477" t="s">
        <v>26</v>
      </c>
      <c r="Q477" t="s">
        <v>374</v>
      </c>
      <c r="R477">
        <v>392</v>
      </c>
      <c r="S477">
        <v>65.333333330000002</v>
      </c>
      <c r="T477" t="s">
        <v>49</v>
      </c>
      <c r="U477" t="s">
        <v>32</v>
      </c>
      <c r="V477" t="s">
        <v>49</v>
      </c>
      <c r="W477" t="s">
        <v>33</v>
      </c>
      <c r="X477" t="s">
        <v>96</v>
      </c>
      <c r="Y477" t="s">
        <v>50</v>
      </c>
      <c r="Z477" t="s">
        <v>44</v>
      </c>
      <c r="AA477" t="s">
        <v>175</v>
      </c>
      <c r="AB477" t="s">
        <v>46</v>
      </c>
      <c r="AC477">
        <f>IF(Cdacdata[[#This Row],[placement_status]]="Placed",1,0)</f>
        <v>1</v>
      </c>
      <c r="AD477" t="s">
        <v>160</v>
      </c>
      <c r="AE477" t="s">
        <v>63</v>
      </c>
      <c r="AF477" t="s">
        <v>63</v>
      </c>
      <c r="AG477">
        <v>2021</v>
      </c>
      <c r="AH477" t="s">
        <v>111</v>
      </c>
      <c r="AI477" t="str">
        <f>IF(Cdacdata[ccat_rank]&lt;=100,"Top 100",
IF(Cdacdata[ccat_rank]&lt;=500,"101–500",
IF(Cdacdata[ccat_rank]&lt;=1000,"501–1000",
"1000+")))</f>
        <v>1000+</v>
      </c>
    </row>
    <row r="478" spans="1:35" x14ac:dyDescent="0.3">
      <c r="A478" s="1" t="s">
        <v>158</v>
      </c>
      <c r="B478">
        <v>210307566</v>
      </c>
      <c r="C478" s="2"/>
      <c r="D478" s="2"/>
      <c r="E478" t="s">
        <v>63</v>
      </c>
      <c r="G478">
        <v>0</v>
      </c>
      <c r="H478">
        <v>0</v>
      </c>
      <c r="I478">
        <v>0</v>
      </c>
      <c r="J478">
        <v>0</v>
      </c>
      <c r="K478" s="3">
        <f t="shared" si="7"/>
        <v>0</v>
      </c>
      <c r="L478" t="s">
        <v>27</v>
      </c>
      <c r="M478" t="s">
        <v>27</v>
      </c>
      <c r="N478">
        <v>23</v>
      </c>
      <c r="O478" t="s">
        <v>373</v>
      </c>
      <c r="P478" t="s">
        <v>26</v>
      </c>
      <c r="Q478" t="s">
        <v>374</v>
      </c>
      <c r="R478">
        <v>324</v>
      </c>
      <c r="S478">
        <v>54</v>
      </c>
      <c r="T478" t="s">
        <v>31</v>
      </c>
      <c r="U478" t="s">
        <v>64</v>
      </c>
      <c r="V478" t="s">
        <v>31</v>
      </c>
      <c r="W478" t="s">
        <v>64</v>
      </c>
      <c r="X478" t="s">
        <v>96</v>
      </c>
      <c r="Y478" t="s">
        <v>35</v>
      </c>
      <c r="Z478" t="s">
        <v>36</v>
      </c>
      <c r="AA478" t="s">
        <v>1268</v>
      </c>
      <c r="AB478" t="s">
        <v>36</v>
      </c>
      <c r="AC478">
        <f>IF(Cdacdata[[#This Row],[placement_status]]="Placed",1,0)</f>
        <v>0</v>
      </c>
      <c r="AD478" t="s">
        <v>160</v>
      </c>
      <c r="AE478" t="s">
        <v>63</v>
      </c>
      <c r="AF478" t="s">
        <v>63</v>
      </c>
      <c r="AG478">
        <v>2021</v>
      </c>
      <c r="AH478" t="s">
        <v>111</v>
      </c>
      <c r="AI478" t="str">
        <f>IF(Cdacdata[ccat_rank]&lt;=100,"Top 100",
IF(Cdacdata[ccat_rank]&lt;=500,"101–500",
IF(Cdacdata[ccat_rank]&lt;=1000,"501–1000",
"1000+")))</f>
        <v>1000+</v>
      </c>
    </row>
    <row r="479" spans="1:35" x14ac:dyDescent="0.3">
      <c r="A479" s="1" t="s">
        <v>158</v>
      </c>
      <c r="B479">
        <v>210303549</v>
      </c>
      <c r="C479" s="2">
        <v>44319</v>
      </c>
      <c r="D479" s="2" t="s">
        <v>724</v>
      </c>
      <c r="E479">
        <v>3713</v>
      </c>
      <c r="F479" s="2">
        <v>36191</v>
      </c>
      <c r="G479">
        <v>80.400000000000006</v>
      </c>
      <c r="H479" t="s">
        <v>26</v>
      </c>
      <c r="I479">
        <v>80.819999999999993</v>
      </c>
      <c r="J479">
        <v>69.099999999999994</v>
      </c>
      <c r="K479" s="3">
        <f t="shared" si="7"/>
        <v>76.773333333333326</v>
      </c>
      <c r="L479" t="s">
        <v>27</v>
      </c>
      <c r="M479" t="s">
        <v>41</v>
      </c>
      <c r="N479">
        <v>22</v>
      </c>
      <c r="O479" t="s">
        <v>28</v>
      </c>
      <c r="P479" t="s">
        <v>26</v>
      </c>
      <c r="Q479" t="s">
        <v>30</v>
      </c>
      <c r="R479">
        <v>412</v>
      </c>
      <c r="S479">
        <v>68.666666669999998</v>
      </c>
      <c r="T479" t="s">
        <v>49</v>
      </c>
      <c r="U479" t="s">
        <v>32</v>
      </c>
      <c r="V479" t="s">
        <v>49</v>
      </c>
      <c r="W479" t="s">
        <v>49</v>
      </c>
      <c r="X479" t="s">
        <v>96</v>
      </c>
      <c r="Y479" t="s">
        <v>50</v>
      </c>
      <c r="Z479" t="s">
        <v>44</v>
      </c>
      <c r="AA479" t="s">
        <v>141</v>
      </c>
      <c r="AB479" t="s">
        <v>46</v>
      </c>
      <c r="AC479">
        <f>IF(Cdacdata[[#This Row],[placement_status]]="Placed",1,0)</f>
        <v>1</v>
      </c>
      <c r="AD479" t="s">
        <v>160</v>
      </c>
      <c r="AE479" t="s">
        <v>98</v>
      </c>
      <c r="AF479" t="s">
        <v>57</v>
      </c>
      <c r="AG479">
        <v>2021</v>
      </c>
      <c r="AH479" t="s">
        <v>111</v>
      </c>
      <c r="AI479" t="str">
        <f>IF(Cdacdata[ccat_rank]&lt;=100,"Top 100",
IF(Cdacdata[ccat_rank]&lt;=500,"101–500",
IF(Cdacdata[ccat_rank]&lt;=1000,"501–1000",
"1000+")))</f>
        <v>1000+</v>
      </c>
    </row>
    <row r="480" spans="1:35" x14ac:dyDescent="0.3">
      <c r="A480" s="1" t="s">
        <v>158</v>
      </c>
      <c r="B480">
        <v>210303942</v>
      </c>
      <c r="C480" s="2">
        <v>44316</v>
      </c>
      <c r="D480" s="2" t="s">
        <v>725</v>
      </c>
      <c r="E480">
        <v>3751</v>
      </c>
      <c r="F480" s="2">
        <v>35637</v>
      </c>
      <c r="G480">
        <v>70.8</v>
      </c>
      <c r="H480">
        <v>51.69</v>
      </c>
      <c r="I480" t="s">
        <v>26</v>
      </c>
      <c r="J480">
        <v>71.8</v>
      </c>
      <c r="K480" s="3">
        <f t="shared" si="7"/>
        <v>64.763333333333335</v>
      </c>
      <c r="L480" t="s">
        <v>27</v>
      </c>
      <c r="M480" t="s">
        <v>27</v>
      </c>
      <c r="N480">
        <v>23</v>
      </c>
      <c r="O480" t="s">
        <v>28</v>
      </c>
      <c r="P480" t="s">
        <v>26</v>
      </c>
      <c r="Q480" t="s">
        <v>30</v>
      </c>
      <c r="R480">
        <v>379</v>
      </c>
      <c r="S480">
        <v>63.166666669999998</v>
      </c>
      <c r="T480" t="s">
        <v>49</v>
      </c>
      <c r="U480" t="s">
        <v>32</v>
      </c>
      <c r="V480" t="s">
        <v>49</v>
      </c>
      <c r="W480" t="s">
        <v>33</v>
      </c>
      <c r="X480" t="s">
        <v>96</v>
      </c>
      <c r="Y480" t="s">
        <v>50</v>
      </c>
      <c r="Z480" t="s">
        <v>44</v>
      </c>
      <c r="AA480" t="s">
        <v>188</v>
      </c>
      <c r="AB480" t="s">
        <v>46</v>
      </c>
      <c r="AC480">
        <f>IF(Cdacdata[[#This Row],[placement_status]]="Placed",1,0)</f>
        <v>1</v>
      </c>
      <c r="AD480" t="s">
        <v>160</v>
      </c>
      <c r="AE480" t="s">
        <v>98</v>
      </c>
      <c r="AF480" t="s">
        <v>39</v>
      </c>
      <c r="AG480">
        <v>2021</v>
      </c>
      <c r="AH480" t="s">
        <v>111</v>
      </c>
      <c r="AI480" t="str">
        <f>IF(Cdacdata[ccat_rank]&lt;=100,"Top 100",
IF(Cdacdata[ccat_rank]&lt;=500,"101–500",
IF(Cdacdata[ccat_rank]&lt;=1000,"501–1000",
"1000+")))</f>
        <v>1000+</v>
      </c>
    </row>
    <row r="481" spans="1:35" x14ac:dyDescent="0.3">
      <c r="A481" s="1" t="s">
        <v>158</v>
      </c>
      <c r="B481">
        <v>210300375</v>
      </c>
      <c r="C481" s="2">
        <v>44315</v>
      </c>
      <c r="D481" s="2" t="s">
        <v>726</v>
      </c>
      <c r="E481">
        <v>3964</v>
      </c>
      <c r="F481" s="2">
        <v>35009</v>
      </c>
      <c r="G481">
        <v>79.239999999999995</v>
      </c>
      <c r="H481" t="s">
        <v>26</v>
      </c>
      <c r="I481">
        <v>60.24</v>
      </c>
      <c r="J481">
        <v>62.77</v>
      </c>
      <c r="K481" s="3">
        <f t="shared" si="7"/>
        <v>67.416666666666671</v>
      </c>
      <c r="L481" t="s">
        <v>27</v>
      </c>
      <c r="M481" t="s">
        <v>27</v>
      </c>
      <c r="N481">
        <v>25</v>
      </c>
      <c r="O481" t="s">
        <v>28</v>
      </c>
      <c r="P481" t="s">
        <v>26</v>
      </c>
      <c r="Q481" t="s">
        <v>30</v>
      </c>
      <c r="R481">
        <v>323</v>
      </c>
      <c r="S481">
        <v>53.833333330000002</v>
      </c>
      <c r="T481" t="s">
        <v>33</v>
      </c>
      <c r="U481" t="s">
        <v>32</v>
      </c>
      <c r="V481" t="s">
        <v>33</v>
      </c>
      <c r="W481" t="s">
        <v>33</v>
      </c>
      <c r="X481" t="s">
        <v>96</v>
      </c>
      <c r="Y481" t="s">
        <v>35</v>
      </c>
      <c r="Z481" t="s">
        <v>44</v>
      </c>
      <c r="AA481" t="s">
        <v>176</v>
      </c>
      <c r="AB481" t="s">
        <v>46</v>
      </c>
      <c r="AC481">
        <f>IF(Cdacdata[[#This Row],[placement_status]]="Placed",1,0)</f>
        <v>1</v>
      </c>
      <c r="AD481" t="s">
        <v>160</v>
      </c>
      <c r="AE481" t="s">
        <v>98</v>
      </c>
      <c r="AF481" t="s">
        <v>39</v>
      </c>
      <c r="AG481">
        <v>2021</v>
      </c>
      <c r="AH481" t="s">
        <v>111</v>
      </c>
      <c r="AI481" t="str">
        <f>IF(Cdacdata[ccat_rank]&lt;=100,"Top 100",
IF(Cdacdata[ccat_rank]&lt;=500,"101–500",
IF(Cdacdata[ccat_rank]&lt;=1000,"501–1000",
"1000+")))</f>
        <v>1000+</v>
      </c>
    </row>
    <row r="482" spans="1:35" x14ac:dyDescent="0.3">
      <c r="A482" s="1" t="s">
        <v>158</v>
      </c>
      <c r="B482">
        <v>210300075</v>
      </c>
      <c r="C482" s="2"/>
      <c r="D482" s="2"/>
      <c r="E482" t="s">
        <v>63</v>
      </c>
      <c r="G482">
        <v>0</v>
      </c>
      <c r="H482">
        <v>0</v>
      </c>
      <c r="I482">
        <v>0</v>
      </c>
      <c r="J482">
        <v>0</v>
      </c>
      <c r="K482" s="3">
        <f t="shared" si="7"/>
        <v>0</v>
      </c>
      <c r="L482" t="s">
        <v>27</v>
      </c>
      <c r="M482" t="s">
        <v>27</v>
      </c>
      <c r="N482">
        <v>23</v>
      </c>
      <c r="O482" t="s">
        <v>373</v>
      </c>
      <c r="P482" t="s">
        <v>26</v>
      </c>
      <c r="Q482" t="s">
        <v>374</v>
      </c>
      <c r="R482">
        <v>410</v>
      </c>
      <c r="S482">
        <v>68.333333330000002</v>
      </c>
      <c r="T482" t="s">
        <v>33</v>
      </c>
      <c r="U482" t="s">
        <v>32</v>
      </c>
      <c r="V482" t="s">
        <v>33</v>
      </c>
      <c r="W482" t="s">
        <v>49</v>
      </c>
      <c r="X482" t="s">
        <v>96</v>
      </c>
      <c r="Y482" t="s">
        <v>50</v>
      </c>
      <c r="Z482" t="s">
        <v>44</v>
      </c>
      <c r="AA482" t="s">
        <v>165</v>
      </c>
      <c r="AB482" t="s">
        <v>46</v>
      </c>
      <c r="AC482">
        <f>IF(Cdacdata[[#This Row],[placement_status]]="Placed",1,0)</f>
        <v>1</v>
      </c>
      <c r="AD482" t="s">
        <v>160</v>
      </c>
      <c r="AE482" t="s">
        <v>63</v>
      </c>
      <c r="AF482" t="s">
        <v>63</v>
      </c>
      <c r="AG482">
        <v>2021</v>
      </c>
      <c r="AH482" t="s">
        <v>111</v>
      </c>
      <c r="AI482" t="str">
        <f>IF(Cdacdata[ccat_rank]&lt;=100,"Top 100",
IF(Cdacdata[ccat_rank]&lt;=500,"101–500",
IF(Cdacdata[ccat_rank]&lt;=1000,"501–1000",
"1000+")))</f>
        <v>1000+</v>
      </c>
    </row>
    <row r="483" spans="1:35" x14ac:dyDescent="0.3">
      <c r="A483" s="1" t="s">
        <v>158</v>
      </c>
      <c r="B483">
        <v>210305374</v>
      </c>
      <c r="C483" s="2">
        <v>44315</v>
      </c>
      <c r="D483" s="2" t="s">
        <v>727</v>
      </c>
      <c r="E483">
        <v>3411</v>
      </c>
      <c r="F483" s="2">
        <v>34916</v>
      </c>
      <c r="G483">
        <v>79.09</v>
      </c>
      <c r="H483">
        <v>60</v>
      </c>
      <c r="I483" t="s">
        <v>26</v>
      </c>
      <c r="J483">
        <v>60</v>
      </c>
      <c r="K483" s="3">
        <f t="shared" si="7"/>
        <v>66.36333333333333</v>
      </c>
      <c r="L483" t="s">
        <v>27</v>
      </c>
      <c r="M483" t="s">
        <v>27</v>
      </c>
      <c r="N483">
        <v>25</v>
      </c>
      <c r="O483" t="s">
        <v>28</v>
      </c>
      <c r="P483" t="s">
        <v>29</v>
      </c>
      <c r="Q483" t="s">
        <v>30</v>
      </c>
      <c r="R483">
        <v>435</v>
      </c>
      <c r="S483">
        <v>72.5</v>
      </c>
      <c r="T483" t="s">
        <v>49</v>
      </c>
      <c r="U483" t="s">
        <v>32</v>
      </c>
      <c r="V483" t="s">
        <v>49</v>
      </c>
      <c r="W483" t="s">
        <v>49</v>
      </c>
      <c r="X483" t="s">
        <v>96</v>
      </c>
      <c r="Y483" t="s">
        <v>58</v>
      </c>
      <c r="Z483" t="s">
        <v>44</v>
      </c>
      <c r="AA483" t="s">
        <v>141</v>
      </c>
      <c r="AB483" t="s">
        <v>46</v>
      </c>
      <c r="AC483">
        <f>IF(Cdacdata[[#This Row],[placement_status]]="Placed",1,0)</f>
        <v>1</v>
      </c>
      <c r="AD483" t="s">
        <v>160</v>
      </c>
      <c r="AE483" t="s">
        <v>98</v>
      </c>
      <c r="AF483" t="s">
        <v>39</v>
      </c>
      <c r="AG483">
        <v>2021</v>
      </c>
      <c r="AH483" t="s">
        <v>111</v>
      </c>
      <c r="AI483" t="str">
        <f>IF(Cdacdata[ccat_rank]&lt;=100,"Top 100",
IF(Cdacdata[ccat_rank]&lt;=500,"101–500",
IF(Cdacdata[ccat_rank]&lt;=1000,"501–1000",
"1000+")))</f>
        <v>1000+</v>
      </c>
    </row>
    <row r="484" spans="1:35" x14ac:dyDescent="0.3">
      <c r="A484" s="1" t="s">
        <v>158</v>
      </c>
      <c r="B484">
        <v>210301188</v>
      </c>
      <c r="C484" s="2">
        <v>44316</v>
      </c>
      <c r="D484" s="2" t="s">
        <v>728</v>
      </c>
      <c r="E484">
        <v>3421</v>
      </c>
      <c r="F484" s="2">
        <v>35818</v>
      </c>
      <c r="G484">
        <v>70.2</v>
      </c>
      <c r="H484" t="s">
        <v>26</v>
      </c>
      <c r="I484">
        <v>75</v>
      </c>
      <c r="J484">
        <v>6.34</v>
      </c>
      <c r="K484" s="3">
        <f t="shared" si="7"/>
        <v>50.513333333333328</v>
      </c>
      <c r="L484" t="s">
        <v>27</v>
      </c>
      <c r="M484" t="s">
        <v>27</v>
      </c>
      <c r="N484">
        <v>23</v>
      </c>
      <c r="O484" t="s">
        <v>62</v>
      </c>
      <c r="P484" t="s">
        <v>26</v>
      </c>
      <c r="Q484" t="s">
        <v>43</v>
      </c>
      <c r="R484">
        <v>250</v>
      </c>
      <c r="S484">
        <v>41.666666669999998</v>
      </c>
      <c r="T484" t="s">
        <v>33</v>
      </c>
      <c r="U484" t="s">
        <v>64</v>
      </c>
      <c r="V484" t="s">
        <v>33</v>
      </c>
      <c r="W484" t="s">
        <v>64</v>
      </c>
      <c r="X484" t="s">
        <v>96</v>
      </c>
      <c r="Y484" t="s">
        <v>80</v>
      </c>
      <c r="Z484" t="s">
        <v>36</v>
      </c>
      <c r="AA484" t="s">
        <v>1268</v>
      </c>
      <c r="AB484" t="s">
        <v>36</v>
      </c>
      <c r="AC484">
        <f>IF(Cdacdata[[#This Row],[placement_status]]="Placed",1,0)</f>
        <v>0</v>
      </c>
      <c r="AD484" t="s">
        <v>160</v>
      </c>
      <c r="AE484" t="s">
        <v>98</v>
      </c>
      <c r="AF484" t="s">
        <v>39</v>
      </c>
      <c r="AG484">
        <v>2021</v>
      </c>
      <c r="AH484" t="s">
        <v>111</v>
      </c>
      <c r="AI484" t="str">
        <f>IF(Cdacdata[ccat_rank]&lt;=100,"Top 100",
IF(Cdacdata[ccat_rank]&lt;=500,"101–500",
IF(Cdacdata[ccat_rank]&lt;=1000,"501–1000",
"1000+")))</f>
        <v>1000+</v>
      </c>
    </row>
    <row r="485" spans="1:35" x14ac:dyDescent="0.3">
      <c r="A485" s="1" t="s">
        <v>158</v>
      </c>
      <c r="B485">
        <v>210303710</v>
      </c>
      <c r="C485" s="2">
        <v>44316</v>
      </c>
      <c r="D485" s="2" t="s">
        <v>729</v>
      </c>
      <c r="E485">
        <v>2798</v>
      </c>
      <c r="F485" s="2">
        <v>35737</v>
      </c>
      <c r="G485">
        <v>70.180000000000007</v>
      </c>
      <c r="H485" t="s">
        <v>26</v>
      </c>
      <c r="I485">
        <v>65.13</v>
      </c>
      <c r="J485">
        <v>55.88</v>
      </c>
      <c r="K485" s="3">
        <f t="shared" si="7"/>
        <v>63.73</v>
      </c>
      <c r="L485" t="s">
        <v>27</v>
      </c>
      <c r="M485" t="s">
        <v>41</v>
      </c>
      <c r="N485">
        <v>23</v>
      </c>
      <c r="O485" t="s">
        <v>72</v>
      </c>
      <c r="P485" t="s">
        <v>26</v>
      </c>
      <c r="Q485" t="s">
        <v>30</v>
      </c>
      <c r="R485">
        <v>378</v>
      </c>
      <c r="S485">
        <v>63</v>
      </c>
      <c r="T485" t="s">
        <v>33</v>
      </c>
      <c r="U485" t="s">
        <v>32</v>
      </c>
      <c r="V485" t="s">
        <v>33</v>
      </c>
      <c r="W485" t="s">
        <v>31</v>
      </c>
      <c r="X485" t="s">
        <v>96</v>
      </c>
      <c r="Y485" t="s">
        <v>50</v>
      </c>
      <c r="Z485" t="s">
        <v>44</v>
      </c>
      <c r="AA485" t="s">
        <v>141</v>
      </c>
      <c r="AB485" t="s">
        <v>46</v>
      </c>
      <c r="AC485">
        <f>IF(Cdacdata[[#This Row],[placement_status]]="Placed",1,0)</f>
        <v>1</v>
      </c>
      <c r="AD485" t="s">
        <v>160</v>
      </c>
      <c r="AE485" t="s">
        <v>38</v>
      </c>
      <c r="AF485" t="s">
        <v>39</v>
      </c>
      <c r="AG485">
        <v>2021</v>
      </c>
      <c r="AH485" t="s">
        <v>111</v>
      </c>
      <c r="AI485" t="str">
        <f>IF(Cdacdata[ccat_rank]&lt;=100,"Top 100",
IF(Cdacdata[ccat_rank]&lt;=500,"101–500",
IF(Cdacdata[ccat_rank]&lt;=1000,"501–1000",
"1000+")))</f>
        <v>1000+</v>
      </c>
    </row>
    <row r="486" spans="1:35" x14ac:dyDescent="0.3">
      <c r="A486" s="1" t="s">
        <v>158</v>
      </c>
      <c r="B486">
        <v>210302332</v>
      </c>
      <c r="C486" s="2">
        <v>44319</v>
      </c>
      <c r="D486" s="2" t="s">
        <v>730</v>
      </c>
      <c r="E486">
        <v>4159</v>
      </c>
      <c r="F486" s="2">
        <v>35449</v>
      </c>
      <c r="G486">
        <v>76.73</v>
      </c>
      <c r="H486" t="s">
        <v>26</v>
      </c>
      <c r="I486">
        <v>76</v>
      </c>
      <c r="J486">
        <v>57</v>
      </c>
      <c r="K486" s="3">
        <f t="shared" si="7"/>
        <v>69.910000000000011</v>
      </c>
      <c r="L486" t="s">
        <v>27</v>
      </c>
      <c r="M486" t="s">
        <v>27</v>
      </c>
      <c r="N486">
        <v>24</v>
      </c>
      <c r="O486" t="s">
        <v>72</v>
      </c>
      <c r="P486" t="s">
        <v>65</v>
      </c>
      <c r="Q486" t="s">
        <v>26</v>
      </c>
      <c r="R486">
        <v>344</v>
      </c>
      <c r="S486">
        <v>57.333333330000002</v>
      </c>
      <c r="T486" t="s">
        <v>33</v>
      </c>
      <c r="U486" t="s">
        <v>32</v>
      </c>
      <c r="V486" t="s">
        <v>33</v>
      </c>
      <c r="W486" t="s">
        <v>31</v>
      </c>
      <c r="X486" t="s">
        <v>96</v>
      </c>
      <c r="Y486" t="s">
        <v>35</v>
      </c>
      <c r="Z486" t="s">
        <v>44</v>
      </c>
      <c r="AA486" t="s">
        <v>176</v>
      </c>
      <c r="AB486" t="s">
        <v>46</v>
      </c>
      <c r="AC486">
        <f>IF(Cdacdata[[#This Row],[placement_status]]="Placed",1,0)</f>
        <v>1</v>
      </c>
      <c r="AD486" t="s">
        <v>160</v>
      </c>
      <c r="AE486" t="s">
        <v>184</v>
      </c>
      <c r="AF486" t="s">
        <v>39</v>
      </c>
      <c r="AG486">
        <v>2021</v>
      </c>
      <c r="AH486" t="s">
        <v>111</v>
      </c>
      <c r="AI486" t="str">
        <f>IF(Cdacdata[ccat_rank]&lt;=100,"Top 100",
IF(Cdacdata[ccat_rank]&lt;=500,"101–500",
IF(Cdacdata[ccat_rank]&lt;=1000,"501–1000",
"1000+")))</f>
        <v>1000+</v>
      </c>
    </row>
    <row r="487" spans="1:35" x14ac:dyDescent="0.3">
      <c r="A487" s="1" t="s">
        <v>158</v>
      </c>
      <c r="B487">
        <v>210300189</v>
      </c>
      <c r="C487" s="2">
        <v>44316</v>
      </c>
      <c r="D487" s="2" t="s">
        <v>731</v>
      </c>
      <c r="E487">
        <v>2562</v>
      </c>
      <c r="F487" s="2">
        <v>35218</v>
      </c>
      <c r="G487">
        <v>57.45</v>
      </c>
      <c r="H487">
        <v>53.38</v>
      </c>
      <c r="I487" t="s">
        <v>26</v>
      </c>
      <c r="J487">
        <v>0</v>
      </c>
      <c r="K487" s="3">
        <f t="shared" si="7"/>
        <v>36.943333333333335</v>
      </c>
      <c r="L487" t="s">
        <v>27</v>
      </c>
      <c r="M487" t="s">
        <v>27</v>
      </c>
      <c r="N487">
        <v>24</v>
      </c>
      <c r="O487" t="s">
        <v>62</v>
      </c>
      <c r="P487" t="s">
        <v>65</v>
      </c>
      <c r="Q487" t="s">
        <v>30</v>
      </c>
      <c r="R487">
        <v>339</v>
      </c>
      <c r="S487">
        <v>56.5</v>
      </c>
      <c r="T487" t="s">
        <v>33</v>
      </c>
      <c r="U487" t="s">
        <v>32</v>
      </c>
      <c r="V487" t="s">
        <v>33</v>
      </c>
      <c r="W487" t="s">
        <v>31</v>
      </c>
      <c r="X487" t="s">
        <v>96</v>
      </c>
      <c r="Y487" t="s">
        <v>35</v>
      </c>
      <c r="Z487" t="s">
        <v>44</v>
      </c>
      <c r="AA487" t="s">
        <v>163</v>
      </c>
      <c r="AB487" t="s">
        <v>46</v>
      </c>
      <c r="AC487">
        <f>IF(Cdacdata[[#This Row],[placement_status]]="Placed",1,0)</f>
        <v>1</v>
      </c>
      <c r="AD487" t="s">
        <v>160</v>
      </c>
      <c r="AE487" t="s">
        <v>38</v>
      </c>
      <c r="AF487" t="s">
        <v>39</v>
      </c>
      <c r="AG487">
        <v>2021</v>
      </c>
      <c r="AH487" t="s">
        <v>111</v>
      </c>
      <c r="AI487" t="str">
        <f>IF(Cdacdata[ccat_rank]&lt;=100,"Top 100",
IF(Cdacdata[ccat_rank]&lt;=500,"101–500",
IF(Cdacdata[ccat_rank]&lt;=1000,"501–1000",
"1000+")))</f>
        <v>1000+</v>
      </c>
    </row>
    <row r="488" spans="1:35" x14ac:dyDescent="0.3">
      <c r="A488" s="1" t="s">
        <v>158</v>
      </c>
      <c r="B488">
        <v>210307972</v>
      </c>
      <c r="C488" s="2">
        <v>44316</v>
      </c>
      <c r="D488" s="2" t="s">
        <v>732</v>
      </c>
      <c r="E488">
        <v>3820</v>
      </c>
      <c r="F488" s="2">
        <v>34571</v>
      </c>
      <c r="G488">
        <v>88.2</v>
      </c>
      <c r="H488">
        <v>54</v>
      </c>
      <c r="I488" t="s">
        <v>26</v>
      </c>
      <c r="J488">
        <v>0</v>
      </c>
      <c r="K488" s="3">
        <f t="shared" si="7"/>
        <v>47.4</v>
      </c>
      <c r="L488" t="s">
        <v>27</v>
      </c>
      <c r="M488" t="s">
        <v>27</v>
      </c>
      <c r="N488">
        <v>26</v>
      </c>
      <c r="O488" t="s">
        <v>62</v>
      </c>
      <c r="P488" t="s">
        <v>29</v>
      </c>
      <c r="Q488" t="s">
        <v>26</v>
      </c>
      <c r="R488">
        <v>331</v>
      </c>
      <c r="S488">
        <v>55.166666669999998</v>
      </c>
      <c r="T488" t="s">
        <v>33</v>
      </c>
      <c r="U488" t="s">
        <v>32</v>
      </c>
      <c r="V488" t="s">
        <v>33</v>
      </c>
      <c r="W488" t="s">
        <v>31</v>
      </c>
      <c r="X488" t="s">
        <v>96</v>
      </c>
      <c r="Y488" t="s">
        <v>35</v>
      </c>
      <c r="Z488" t="s">
        <v>44</v>
      </c>
      <c r="AA488" t="s">
        <v>183</v>
      </c>
      <c r="AB488" t="s">
        <v>46</v>
      </c>
      <c r="AC488">
        <f>IF(Cdacdata[[#This Row],[placement_status]]="Placed",1,0)</f>
        <v>1</v>
      </c>
      <c r="AD488" t="s">
        <v>160</v>
      </c>
      <c r="AE488" t="s">
        <v>98</v>
      </c>
      <c r="AF488" t="s">
        <v>55</v>
      </c>
      <c r="AG488">
        <v>2021</v>
      </c>
      <c r="AH488" t="s">
        <v>111</v>
      </c>
      <c r="AI488" t="str">
        <f>IF(Cdacdata[ccat_rank]&lt;=100,"Top 100",
IF(Cdacdata[ccat_rank]&lt;=500,"101–500",
IF(Cdacdata[ccat_rank]&lt;=1000,"501–1000",
"1000+")))</f>
        <v>1000+</v>
      </c>
    </row>
    <row r="489" spans="1:35" x14ac:dyDescent="0.3">
      <c r="A489" s="1" t="s">
        <v>158</v>
      </c>
      <c r="B489">
        <v>210305258</v>
      </c>
      <c r="C489" s="2">
        <v>44315</v>
      </c>
      <c r="D489" s="2" t="s">
        <v>733</v>
      </c>
      <c r="E489">
        <v>2420</v>
      </c>
      <c r="F489" s="2">
        <v>35907</v>
      </c>
      <c r="G489">
        <v>82.4</v>
      </c>
      <c r="H489" t="s">
        <v>26</v>
      </c>
      <c r="I489">
        <v>70</v>
      </c>
      <c r="J489">
        <v>80</v>
      </c>
      <c r="K489" s="3">
        <f t="shared" si="7"/>
        <v>77.466666666666669</v>
      </c>
      <c r="L489" t="s">
        <v>27</v>
      </c>
      <c r="M489" t="s">
        <v>27</v>
      </c>
      <c r="N489">
        <v>23</v>
      </c>
      <c r="O489" t="s">
        <v>48</v>
      </c>
      <c r="P489" t="s">
        <v>65</v>
      </c>
      <c r="Q489" t="s">
        <v>30</v>
      </c>
      <c r="R489">
        <v>393</v>
      </c>
      <c r="S489">
        <v>65.5</v>
      </c>
      <c r="T489" t="s">
        <v>33</v>
      </c>
      <c r="U489" t="s">
        <v>32</v>
      </c>
      <c r="V489" t="s">
        <v>33</v>
      </c>
      <c r="W489" t="s">
        <v>31</v>
      </c>
      <c r="X489" t="s">
        <v>96</v>
      </c>
      <c r="Y489" t="s">
        <v>50</v>
      </c>
      <c r="Z489" t="s">
        <v>44</v>
      </c>
      <c r="AA489" t="s">
        <v>141</v>
      </c>
      <c r="AB489" t="s">
        <v>46</v>
      </c>
      <c r="AC489">
        <f>IF(Cdacdata[[#This Row],[placement_status]]="Placed",1,0)</f>
        <v>1</v>
      </c>
      <c r="AD489" t="s">
        <v>160</v>
      </c>
      <c r="AE489" t="s">
        <v>38</v>
      </c>
      <c r="AF489" t="s">
        <v>39</v>
      </c>
      <c r="AG489">
        <v>2021</v>
      </c>
      <c r="AH489" t="s">
        <v>111</v>
      </c>
      <c r="AI489" t="str">
        <f>IF(Cdacdata[ccat_rank]&lt;=100,"Top 100",
IF(Cdacdata[ccat_rank]&lt;=500,"101–500",
IF(Cdacdata[ccat_rank]&lt;=1000,"501–1000",
"1000+")))</f>
        <v>1000+</v>
      </c>
    </row>
    <row r="490" spans="1:35" x14ac:dyDescent="0.3">
      <c r="A490" s="1" t="s">
        <v>158</v>
      </c>
      <c r="B490">
        <v>210302634</v>
      </c>
      <c r="C490" s="2">
        <v>44315</v>
      </c>
      <c r="D490" s="2" t="s">
        <v>734</v>
      </c>
      <c r="E490">
        <v>1168</v>
      </c>
      <c r="F490" s="2">
        <v>35957</v>
      </c>
      <c r="G490">
        <v>90</v>
      </c>
      <c r="H490">
        <v>86.9</v>
      </c>
      <c r="I490" t="s">
        <v>26</v>
      </c>
      <c r="J490">
        <v>67.89</v>
      </c>
      <c r="K490" s="3">
        <f t="shared" si="7"/>
        <v>81.596666666666678</v>
      </c>
      <c r="L490" t="s">
        <v>27</v>
      </c>
      <c r="M490" t="s">
        <v>27</v>
      </c>
      <c r="N490">
        <v>22</v>
      </c>
      <c r="O490" t="s">
        <v>28</v>
      </c>
      <c r="P490" t="s">
        <v>26</v>
      </c>
      <c r="Q490" t="s">
        <v>43</v>
      </c>
      <c r="R490">
        <v>236</v>
      </c>
      <c r="S490">
        <v>39.333333330000002</v>
      </c>
      <c r="T490" t="s">
        <v>31</v>
      </c>
      <c r="U490" t="s">
        <v>64</v>
      </c>
      <c r="V490" t="s">
        <v>31</v>
      </c>
      <c r="W490" t="s">
        <v>64</v>
      </c>
      <c r="X490" t="s">
        <v>96</v>
      </c>
      <c r="Y490" t="s">
        <v>64</v>
      </c>
      <c r="Z490" t="s">
        <v>36</v>
      </c>
      <c r="AA490" t="s">
        <v>1268</v>
      </c>
      <c r="AB490" t="s">
        <v>36</v>
      </c>
      <c r="AC490">
        <f>IF(Cdacdata[[#This Row],[placement_status]]="Placed",1,0)</f>
        <v>0</v>
      </c>
      <c r="AD490" t="s">
        <v>160</v>
      </c>
      <c r="AE490" t="s">
        <v>47</v>
      </c>
      <c r="AF490" t="s">
        <v>57</v>
      </c>
      <c r="AG490">
        <v>2021</v>
      </c>
      <c r="AH490" t="s">
        <v>111</v>
      </c>
      <c r="AI490" t="str">
        <f>IF(Cdacdata[ccat_rank]&lt;=100,"Top 100",
IF(Cdacdata[ccat_rank]&lt;=500,"101–500",
IF(Cdacdata[ccat_rank]&lt;=1000,"501–1000",
"1000+")))</f>
        <v>1000+</v>
      </c>
    </row>
    <row r="491" spans="1:35" x14ac:dyDescent="0.3">
      <c r="A491" s="1" t="s">
        <v>158</v>
      </c>
      <c r="B491">
        <v>210306394</v>
      </c>
      <c r="C491" s="2">
        <v>44319</v>
      </c>
      <c r="D491" s="2" t="s">
        <v>735</v>
      </c>
      <c r="E491">
        <v>4076</v>
      </c>
      <c r="F491" s="2">
        <v>36269</v>
      </c>
      <c r="G491">
        <v>89</v>
      </c>
      <c r="H491">
        <v>67.38</v>
      </c>
      <c r="I491" t="s">
        <v>26</v>
      </c>
      <c r="J491">
        <v>82.3</v>
      </c>
      <c r="K491" s="3">
        <f t="shared" si="7"/>
        <v>79.56</v>
      </c>
      <c r="L491" t="s">
        <v>27</v>
      </c>
      <c r="M491" t="s">
        <v>27</v>
      </c>
      <c r="N491">
        <v>22</v>
      </c>
      <c r="O491" t="s">
        <v>48</v>
      </c>
      <c r="P491" t="s">
        <v>65</v>
      </c>
      <c r="Q491" t="s">
        <v>26</v>
      </c>
      <c r="R491">
        <v>384</v>
      </c>
      <c r="S491">
        <v>64</v>
      </c>
      <c r="T491" t="s">
        <v>33</v>
      </c>
      <c r="U491" t="s">
        <v>32</v>
      </c>
      <c r="V491" t="s">
        <v>33</v>
      </c>
      <c r="W491" t="s">
        <v>31</v>
      </c>
      <c r="X491" t="s">
        <v>96</v>
      </c>
      <c r="Y491" t="s">
        <v>50</v>
      </c>
      <c r="Z491" t="s">
        <v>44</v>
      </c>
      <c r="AA491" t="s">
        <v>183</v>
      </c>
      <c r="AB491" t="s">
        <v>46</v>
      </c>
      <c r="AC491">
        <f>IF(Cdacdata[[#This Row],[placement_status]]="Placed",1,0)</f>
        <v>1</v>
      </c>
      <c r="AD491" t="s">
        <v>160</v>
      </c>
      <c r="AE491" t="s">
        <v>184</v>
      </c>
      <c r="AF491" t="s">
        <v>57</v>
      </c>
      <c r="AG491">
        <v>2021</v>
      </c>
      <c r="AH491" t="s">
        <v>111</v>
      </c>
      <c r="AI491" t="str">
        <f>IF(Cdacdata[ccat_rank]&lt;=100,"Top 100",
IF(Cdacdata[ccat_rank]&lt;=500,"101–500",
IF(Cdacdata[ccat_rank]&lt;=1000,"501–1000",
"1000+")))</f>
        <v>1000+</v>
      </c>
    </row>
    <row r="492" spans="1:35" x14ac:dyDescent="0.3">
      <c r="A492" s="1" t="s">
        <v>158</v>
      </c>
      <c r="B492">
        <v>210306075</v>
      </c>
      <c r="C492" s="2">
        <v>44316</v>
      </c>
      <c r="D492" s="2" t="s">
        <v>736</v>
      </c>
      <c r="E492">
        <v>3661</v>
      </c>
      <c r="F492" s="2">
        <v>35961</v>
      </c>
      <c r="G492">
        <v>58.36</v>
      </c>
      <c r="H492">
        <v>57.08</v>
      </c>
      <c r="I492" t="s">
        <v>26</v>
      </c>
      <c r="J492">
        <v>65.28</v>
      </c>
      <c r="K492" s="3">
        <f t="shared" si="7"/>
        <v>60.24</v>
      </c>
      <c r="L492" t="s">
        <v>27</v>
      </c>
      <c r="M492" t="s">
        <v>27</v>
      </c>
      <c r="N492">
        <v>22</v>
      </c>
      <c r="O492" t="s">
        <v>28</v>
      </c>
      <c r="P492" t="s">
        <v>60</v>
      </c>
      <c r="Q492" t="s">
        <v>30</v>
      </c>
      <c r="R492">
        <v>333</v>
      </c>
      <c r="S492">
        <v>55.5</v>
      </c>
      <c r="T492" t="s">
        <v>33</v>
      </c>
      <c r="U492" t="s">
        <v>32</v>
      </c>
      <c r="V492" t="s">
        <v>33</v>
      </c>
      <c r="W492" t="s">
        <v>31</v>
      </c>
      <c r="X492" t="s">
        <v>96</v>
      </c>
      <c r="Y492" t="s">
        <v>35</v>
      </c>
      <c r="Z492" t="s">
        <v>36</v>
      </c>
      <c r="AA492" t="s">
        <v>1268</v>
      </c>
      <c r="AB492" t="s">
        <v>36</v>
      </c>
      <c r="AC492">
        <f>IF(Cdacdata[[#This Row],[placement_status]]="Placed",1,0)</f>
        <v>0</v>
      </c>
      <c r="AD492" t="s">
        <v>160</v>
      </c>
      <c r="AE492" t="s">
        <v>98</v>
      </c>
      <c r="AF492" t="s">
        <v>57</v>
      </c>
      <c r="AG492">
        <v>2021</v>
      </c>
      <c r="AH492" t="s">
        <v>111</v>
      </c>
      <c r="AI492" t="str">
        <f>IF(Cdacdata[ccat_rank]&lt;=100,"Top 100",
IF(Cdacdata[ccat_rank]&lt;=500,"101–500",
IF(Cdacdata[ccat_rank]&lt;=1000,"501–1000",
"1000+")))</f>
        <v>1000+</v>
      </c>
    </row>
    <row r="493" spans="1:35" x14ac:dyDescent="0.3">
      <c r="A493" s="1" t="s">
        <v>158</v>
      </c>
      <c r="B493">
        <v>210306782</v>
      </c>
      <c r="C493" s="2">
        <v>44316</v>
      </c>
      <c r="D493" s="2" t="s">
        <v>737</v>
      </c>
      <c r="E493">
        <v>2927</v>
      </c>
      <c r="F493" s="2">
        <v>34820</v>
      </c>
      <c r="G493">
        <v>69.819999999999993</v>
      </c>
      <c r="H493">
        <v>55</v>
      </c>
      <c r="I493" t="s">
        <v>26</v>
      </c>
      <c r="J493">
        <v>59.5</v>
      </c>
      <c r="K493" s="3">
        <f t="shared" si="7"/>
        <v>61.44</v>
      </c>
      <c r="L493" t="s">
        <v>27</v>
      </c>
      <c r="M493" t="s">
        <v>27</v>
      </c>
      <c r="N493">
        <v>25</v>
      </c>
      <c r="O493" t="s">
        <v>62</v>
      </c>
      <c r="P493" t="s">
        <v>56</v>
      </c>
      <c r="Q493" t="s">
        <v>30</v>
      </c>
      <c r="R493">
        <v>318</v>
      </c>
      <c r="S493">
        <v>53</v>
      </c>
      <c r="T493" t="s">
        <v>31</v>
      </c>
      <c r="U493" t="s">
        <v>32</v>
      </c>
      <c r="V493" t="s">
        <v>31</v>
      </c>
      <c r="W493" t="s">
        <v>31</v>
      </c>
      <c r="X493" t="s">
        <v>96</v>
      </c>
      <c r="Y493" t="s">
        <v>35</v>
      </c>
      <c r="Z493" t="s">
        <v>44</v>
      </c>
      <c r="AA493" t="s">
        <v>189</v>
      </c>
      <c r="AB493" t="s">
        <v>46</v>
      </c>
      <c r="AC493">
        <f>IF(Cdacdata[[#This Row],[placement_status]]="Placed",1,0)</f>
        <v>1</v>
      </c>
      <c r="AD493" t="s">
        <v>160</v>
      </c>
      <c r="AE493" t="s">
        <v>38</v>
      </c>
      <c r="AF493" t="s">
        <v>39</v>
      </c>
      <c r="AG493">
        <v>2021</v>
      </c>
      <c r="AH493" t="s">
        <v>111</v>
      </c>
      <c r="AI493" t="str">
        <f>IF(Cdacdata[ccat_rank]&lt;=100,"Top 100",
IF(Cdacdata[ccat_rank]&lt;=500,"101–500",
IF(Cdacdata[ccat_rank]&lt;=1000,"501–1000",
"1000+")))</f>
        <v>1000+</v>
      </c>
    </row>
    <row r="494" spans="1:35" x14ac:dyDescent="0.3">
      <c r="A494" s="1" t="s">
        <v>158</v>
      </c>
      <c r="B494">
        <v>210302366</v>
      </c>
      <c r="C494" s="2">
        <v>44319</v>
      </c>
      <c r="D494" s="2" t="s">
        <v>738</v>
      </c>
      <c r="E494">
        <v>2005</v>
      </c>
      <c r="F494" s="2">
        <v>36141</v>
      </c>
      <c r="G494">
        <v>73</v>
      </c>
      <c r="H494" t="s">
        <v>26</v>
      </c>
      <c r="I494">
        <v>64</v>
      </c>
      <c r="J494">
        <v>6.4</v>
      </c>
      <c r="K494" s="3">
        <f t="shared" si="7"/>
        <v>47.800000000000004</v>
      </c>
      <c r="L494" t="s">
        <v>27</v>
      </c>
      <c r="M494" t="s">
        <v>27</v>
      </c>
      <c r="N494">
        <v>22</v>
      </c>
      <c r="O494" t="s">
        <v>62</v>
      </c>
      <c r="P494" t="s">
        <v>26</v>
      </c>
      <c r="Q494" t="s">
        <v>26</v>
      </c>
      <c r="R494">
        <v>430</v>
      </c>
      <c r="S494">
        <v>71.666666669999998</v>
      </c>
      <c r="T494" t="s">
        <v>49</v>
      </c>
      <c r="U494" t="s">
        <v>32</v>
      </c>
      <c r="V494" t="s">
        <v>49</v>
      </c>
      <c r="W494" t="s">
        <v>49</v>
      </c>
      <c r="X494" t="s">
        <v>96</v>
      </c>
      <c r="Y494" t="s">
        <v>58</v>
      </c>
      <c r="Z494" t="s">
        <v>44</v>
      </c>
      <c r="AA494" t="s">
        <v>163</v>
      </c>
      <c r="AB494" t="s">
        <v>46</v>
      </c>
      <c r="AC494">
        <f>IF(Cdacdata[[#This Row],[placement_status]]="Placed",1,0)</f>
        <v>1</v>
      </c>
      <c r="AD494" t="s">
        <v>160</v>
      </c>
      <c r="AE494" t="s">
        <v>38</v>
      </c>
      <c r="AF494" t="s">
        <v>57</v>
      </c>
      <c r="AG494">
        <v>2021</v>
      </c>
      <c r="AH494" t="s">
        <v>111</v>
      </c>
      <c r="AI494" t="str">
        <f>IF(Cdacdata[ccat_rank]&lt;=100,"Top 100",
IF(Cdacdata[ccat_rank]&lt;=500,"101–500",
IF(Cdacdata[ccat_rank]&lt;=1000,"501–1000",
"1000+")))</f>
        <v>1000+</v>
      </c>
    </row>
    <row r="495" spans="1:35" x14ac:dyDescent="0.3">
      <c r="A495" s="1" t="s">
        <v>158</v>
      </c>
      <c r="B495">
        <v>210300197</v>
      </c>
      <c r="C495" s="2">
        <v>44319</v>
      </c>
      <c r="D495" s="2" t="s">
        <v>739</v>
      </c>
      <c r="E495">
        <v>4050</v>
      </c>
      <c r="F495" s="2">
        <v>35082</v>
      </c>
      <c r="G495">
        <v>52.91</v>
      </c>
      <c r="H495">
        <v>60</v>
      </c>
      <c r="I495">
        <v>62.65</v>
      </c>
      <c r="J495">
        <v>61.5</v>
      </c>
      <c r="K495" s="3">
        <f t="shared" si="7"/>
        <v>59.265000000000001</v>
      </c>
      <c r="L495" t="s">
        <v>27</v>
      </c>
      <c r="M495" t="s">
        <v>41</v>
      </c>
      <c r="N495">
        <v>25</v>
      </c>
      <c r="O495" t="s">
        <v>28</v>
      </c>
      <c r="P495" t="s">
        <v>65</v>
      </c>
      <c r="Q495" t="s">
        <v>26</v>
      </c>
      <c r="R495">
        <v>260</v>
      </c>
      <c r="S495">
        <v>43.333333330000002</v>
      </c>
      <c r="T495" t="s">
        <v>31</v>
      </c>
      <c r="U495" t="s">
        <v>64</v>
      </c>
      <c r="V495" t="s">
        <v>31</v>
      </c>
      <c r="W495" t="s">
        <v>64</v>
      </c>
      <c r="X495" t="s">
        <v>96</v>
      </c>
      <c r="Y495" t="s">
        <v>80</v>
      </c>
      <c r="Z495" t="s">
        <v>36</v>
      </c>
      <c r="AA495" t="s">
        <v>1268</v>
      </c>
      <c r="AB495" t="s">
        <v>36</v>
      </c>
      <c r="AC495">
        <f>IF(Cdacdata[[#This Row],[placement_status]]="Placed",1,0)</f>
        <v>0</v>
      </c>
      <c r="AD495" t="s">
        <v>160</v>
      </c>
      <c r="AE495" t="s">
        <v>184</v>
      </c>
      <c r="AF495" t="s">
        <v>39</v>
      </c>
      <c r="AG495">
        <v>2021</v>
      </c>
      <c r="AH495" t="s">
        <v>111</v>
      </c>
      <c r="AI495" t="str">
        <f>IF(Cdacdata[ccat_rank]&lt;=100,"Top 100",
IF(Cdacdata[ccat_rank]&lt;=500,"101–500",
IF(Cdacdata[ccat_rank]&lt;=1000,"501–1000",
"1000+")))</f>
        <v>1000+</v>
      </c>
    </row>
    <row r="496" spans="1:35" x14ac:dyDescent="0.3">
      <c r="A496" s="1" t="s">
        <v>158</v>
      </c>
      <c r="B496">
        <v>191112144</v>
      </c>
      <c r="C496" s="2"/>
      <c r="D496" s="2"/>
      <c r="E496" t="s">
        <v>63</v>
      </c>
      <c r="G496">
        <v>0</v>
      </c>
      <c r="H496">
        <v>0</v>
      </c>
      <c r="I496">
        <v>0</v>
      </c>
      <c r="J496">
        <v>0</v>
      </c>
      <c r="K496" s="3">
        <f t="shared" si="7"/>
        <v>0</v>
      </c>
      <c r="L496" t="s">
        <v>27</v>
      </c>
      <c r="M496" t="s">
        <v>27</v>
      </c>
      <c r="N496">
        <v>23</v>
      </c>
      <c r="O496" t="s">
        <v>373</v>
      </c>
      <c r="P496" t="s">
        <v>26</v>
      </c>
      <c r="Q496" t="s">
        <v>374</v>
      </c>
      <c r="R496">
        <v>376</v>
      </c>
      <c r="S496">
        <v>62.666666669999998</v>
      </c>
      <c r="T496" t="s">
        <v>49</v>
      </c>
      <c r="U496" t="s">
        <v>32</v>
      </c>
      <c r="V496" t="s">
        <v>49</v>
      </c>
      <c r="W496" t="s">
        <v>49</v>
      </c>
      <c r="X496" t="s">
        <v>96</v>
      </c>
      <c r="Y496" t="s">
        <v>50</v>
      </c>
      <c r="Z496" t="s">
        <v>44</v>
      </c>
      <c r="AA496" t="s">
        <v>176</v>
      </c>
      <c r="AB496" t="s">
        <v>46</v>
      </c>
      <c r="AC496">
        <f>IF(Cdacdata[[#This Row],[placement_status]]="Placed",1,0)</f>
        <v>1</v>
      </c>
      <c r="AD496" t="s">
        <v>160</v>
      </c>
      <c r="AE496" t="s">
        <v>63</v>
      </c>
      <c r="AF496" t="s">
        <v>63</v>
      </c>
      <c r="AG496">
        <v>2021</v>
      </c>
      <c r="AH496" t="s">
        <v>111</v>
      </c>
      <c r="AI496" t="str">
        <f>IF(Cdacdata[ccat_rank]&lt;=100,"Top 100",
IF(Cdacdata[ccat_rank]&lt;=500,"101–500",
IF(Cdacdata[ccat_rank]&lt;=1000,"501–1000",
"1000+")))</f>
        <v>1000+</v>
      </c>
    </row>
    <row r="497" spans="1:35" x14ac:dyDescent="0.3">
      <c r="A497" s="1" t="s">
        <v>158</v>
      </c>
      <c r="B497">
        <v>210303952</v>
      </c>
      <c r="C497" s="2">
        <v>44315</v>
      </c>
      <c r="D497" s="2" t="s">
        <v>740</v>
      </c>
      <c r="E497">
        <v>4228</v>
      </c>
      <c r="F497" s="2">
        <v>36373</v>
      </c>
      <c r="G497">
        <v>80</v>
      </c>
      <c r="H497" t="s">
        <v>26</v>
      </c>
      <c r="I497">
        <v>57.2</v>
      </c>
      <c r="J497">
        <v>63.62</v>
      </c>
      <c r="K497" s="3">
        <f t="shared" si="7"/>
        <v>66.94</v>
      </c>
      <c r="L497" t="s">
        <v>27</v>
      </c>
      <c r="M497" t="s">
        <v>27</v>
      </c>
      <c r="N497">
        <v>21</v>
      </c>
      <c r="O497" t="s">
        <v>28</v>
      </c>
      <c r="P497" t="s">
        <v>26</v>
      </c>
      <c r="Q497" t="s">
        <v>30</v>
      </c>
      <c r="R497">
        <v>359</v>
      </c>
      <c r="S497">
        <v>59.833333330000002</v>
      </c>
      <c r="T497" t="s">
        <v>33</v>
      </c>
      <c r="U497" t="s">
        <v>32</v>
      </c>
      <c r="V497" t="s">
        <v>33</v>
      </c>
      <c r="W497" t="s">
        <v>31</v>
      </c>
      <c r="X497" t="s">
        <v>96</v>
      </c>
      <c r="Y497" t="s">
        <v>35</v>
      </c>
      <c r="Z497" t="s">
        <v>44</v>
      </c>
      <c r="AA497" t="s">
        <v>183</v>
      </c>
      <c r="AB497" t="s">
        <v>46</v>
      </c>
      <c r="AC497">
        <f>IF(Cdacdata[[#This Row],[placement_status]]="Placed",1,0)</f>
        <v>1</v>
      </c>
      <c r="AD497" t="s">
        <v>160</v>
      </c>
      <c r="AE497" t="s">
        <v>184</v>
      </c>
      <c r="AF497" t="s">
        <v>57</v>
      </c>
      <c r="AG497">
        <v>2021</v>
      </c>
      <c r="AH497" t="s">
        <v>111</v>
      </c>
      <c r="AI497" t="str">
        <f>IF(Cdacdata[ccat_rank]&lt;=100,"Top 100",
IF(Cdacdata[ccat_rank]&lt;=500,"101–500",
IF(Cdacdata[ccat_rank]&lt;=1000,"501–1000",
"1000+")))</f>
        <v>1000+</v>
      </c>
    </row>
    <row r="498" spans="1:35" x14ac:dyDescent="0.3">
      <c r="A498" s="1" t="s">
        <v>158</v>
      </c>
      <c r="B498">
        <v>210304041</v>
      </c>
      <c r="C498" s="2">
        <v>44315</v>
      </c>
      <c r="D498" s="2" t="s">
        <v>741</v>
      </c>
      <c r="E498">
        <v>3971</v>
      </c>
      <c r="F498" s="2">
        <v>35322</v>
      </c>
      <c r="G498">
        <v>72.400000000000006</v>
      </c>
      <c r="H498">
        <v>54.77</v>
      </c>
      <c r="I498">
        <v>64.19</v>
      </c>
      <c r="J498">
        <v>74.7</v>
      </c>
      <c r="K498" s="3">
        <f t="shared" si="7"/>
        <v>66.515000000000001</v>
      </c>
      <c r="L498" t="s">
        <v>27</v>
      </c>
      <c r="M498" t="s">
        <v>41</v>
      </c>
      <c r="N498">
        <v>24</v>
      </c>
      <c r="O498" t="s">
        <v>62</v>
      </c>
      <c r="P498" t="s">
        <v>56</v>
      </c>
      <c r="Q498" t="s">
        <v>26</v>
      </c>
      <c r="R498">
        <v>326</v>
      </c>
      <c r="S498">
        <v>54.333333330000002</v>
      </c>
      <c r="T498" t="s">
        <v>31</v>
      </c>
      <c r="U498" t="s">
        <v>32</v>
      </c>
      <c r="V498" t="s">
        <v>31</v>
      </c>
      <c r="W498" t="s">
        <v>103</v>
      </c>
      <c r="X498" t="s">
        <v>96</v>
      </c>
      <c r="Y498" t="s">
        <v>35</v>
      </c>
      <c r="Z498" t="s">
        <v>44</v>
      </c>
      <c r="AA498" t="s">
        <v>190</v>
      </c>
      <c r="AB498" t="s">
        <v>46</v>
      </c>
      <c r="AC498">
        <f>IF(Cdacdata[[#This Row],[placement_status]]="Placed",1,0)</f>
        <v>1</v>
      </c>
      <c r="AD498" t="s">
        <v>160</v>
      </c>
      <c r="AE498" t="s">
        <v>98</v>
      </c>
      <c r="AF498" t="s">
        <v>39</v>
      </c>
      <c r="AG498">
        <v>2021</v>
      </c>
      <c r="AH498" t="s">
        <v>111</v>
      </c>
      <c r="AI498" t="str">
        <f>IF(Cdacdata[ccat_rank]&lt;=100,"Top 100",
IF(Cdacdata[ccat_rank]&lt;=500,"101–500",
IF(Cdacdata[ccat_rank]&lt;=1000,"501–1000",
"1000+")))</f>
        <v>1000+</v>
      </c>
    </row>
    <row r="499" spans="1:35" x14ac:dyDescent="0.3">
      <c r="A499" s="1" t="s">
        <v>158</v>
      </c>
      <c r="B499">
        <v>210301186</v>
      </c>
      <c r="C499" s="2">
        <v>44315</v>
      </c>
      <c r="D499" s="2" t="s">
        <v>742</v>
      </c>
      <c r="E499">
        <v>4267</v>
      </c>
      <c r="F499" s="2">
        <v>34318</v>
      </c>
      <c r="G499">
        <v>82.61</v>
      </c>
      <c r="H499">
        <v>58.33</v>
      </c>
      <c r="I499" t="s">
        <v>26</v>
      </c>
      <c r="J499">
        <v>67</v>
      </c>
      <c r="K499" s="3">
        <f t="shared" si="7"/>
        <v>69.313333333333333</v>
      </c>
      <c r="L499" t="s">
        <v>41</v>
      </c>
      <c r="M499" t="s">
        <v>27</v>
      </c>
      <c r="N499">
        <v>27</v>
      </c>
      <c r="O499" t="s">
        <v>28</v>
      </c>
      <c r="P499" t="s">
        <v>26</v>
      </c>
      <c r="Q499" t="s">
        <v>26</v>
      </c>
      <c r="R499">
        <v>365</v>
      </c>
      <c r="S499">
        <v>60.833333330000002</v>
      </c>
      <c r="T499" t="s">
        <v>33</v>
      </c>
      <c r="U499" t="s">
        <v>32</v>
      </c>
      <c r="V499" t="s">
        <v>33</v>
      </c>
      <c r="W499" t="s">
        <v>31</v>
      </c>
      <c r="X499" t="s">
        <v>96</v>
      </c>
      <c r="Y499" t="s">
        <v>50</v>
      </c>
      <c r="Z499" t="s">
        <v>44</v>
      </c>
      <c r="AA499" t="s">
        <v>154</v>
      </c>
      <c r="AB499" t="s">
        <v>46</v>
      </c>
      <c r="AC499">
        <f>IF(Cdacdata[[#This Row],[placement_status]]="Placed",1,0)</f>
        <v>1</v>
      </c>
      <c r="AD499" t="s">
        <v>160</v>
      </c>
      <c r="AE499" t="s">
        <v>184</v>
      </c>
      <c r="AF499" t="s">
        <v>55</v>
      </c>
      <c r="AG499">
        <v>2021</v>
      </c>
      <c r="AH499" t="s">
        <v>111</v>
      </c>
      <c r="AI499" t="str">
        <f>IF(Cdacdata[ccat_rank]&lt;=100,"Top 100",
IF(Cdacdata[ccat_rank]&lt;=500,"101–500",
IF(Cdacdata[ccat_rank]&lt;=1000,"501–1000",
"1000+")))</f>
        <v>1000+</v>
      </c>
    </row>
    <row r="500" spans="1:35" x14ac:dyDescent="0.3">
      <c r="A500" s="1" t="s">
        <v>158</v>
      </c>
      <c r="B500">
        <v>210301662</v>
      </c>
      <c r="C500" s="2">
        <v>44316</v>
      </c>
      <c r="D500" s="2" t="s">
        <v>743</v>
      </c>
      <c r="E500">
        <v>1776</v>
      </c>
      <c r="F500" s="2">
        <v>35998</v>
      </c>
      <c r="G500">
        <v>86.4</v>
      </c>
      <c r="H500">
        <v>63.54</v>
      </c>
      <c r="I500" t="s">
        <v>26</v>
      </c>
      <c r="J500">
        <v>59.83</v>
      </c>
      <c r="K500" s="3">
        <f t="shared" si="7"/>
        <v>69.923333333333332</v>
      </c>
      <c r="L500" t="s">
        <v>27</v>
      </c>
      <c r="M500" t="s">
        <v>41</v>
      </c>
      <c r="N500">
        <v>22</v>
      </c>
      <c r="O500" t="s">
        <v>62</v>
      </c>
      <c r="P500" t="s">
        <v>65</v>
      </c>
      <c r="Q500" t="s">
        <v>30</v>
      </c>
      <c r="R500">
        <v>449</v>
      </c>
      <c r="S500">
        <v>74.833333330000002</v>
      </c>
      <c r="T500" t="s">
        <v>33</v>
      </c>
      <c r="U500" t="s">
        <v>32</v>
      </c>
      <c r="V500" t="s">
        <v>33</v>
      </c>
      <c r="W500" t="s">
        <v>49</v>
      </c>
      <c r="X500" t="s">
        <v>96</v>
      </c>
      <c r="Y500" t="s">
        <v>58</v>
      </c>
      <c r="Z500" t="s">
        <v>44</v>
      </c>
      <c r="AA500" t="s">
        <v>93</v>
      </c>
      <c r="AB500" t="s">
        <v>46</v>
      </c>
      <c r="AC500">
        <f>IF(Cdacdata[[#This Row],[placement_status]]="Placed",1,0)</f>
        <v>1</v>
      </c>
      <c r="AD500" t="s">
        <v>160</v>
      </c>
      <c r="AE500" t="s">
        <v>47</v>
      </c>
      <c r="AF500" t="s">
        <v>57</v>
      </c>
      <c r="AG500">
        <v>2021</v>
      </c>
      <c r="AH500" t="s">
        <v>111</v>
      </c>
      <c r="AI500" t="str">
        <f>IF(Cdacdata[ccat_rank]&lt;=100,"Top 100",
IF(Cdacdata[ccat_rank]&lt;=500,"101–500",
IF(Cdacdata[ccat_rank]&lt;=1000,"501–1000",
"1000+")))</f>
        <v>1000+</v>
      </c>
    </row>
    <row r="501" spans="1:35" x14ac:dyDescent="0.3">
      <c r="A501" s="1" t="s">
        <v>158</v>
      </c>
      <c r="B501">
        <v>210302878</v>
      </c>
      <c r="C501" s="2">
        <v>44316</v>
      </c>
      <c r="D501" s="2" t="s">
        <v>744</v>
      </c>
      <c r="E501">
        <v>1699</v>
      </c>
      <c r="F501" s="2">
        <v>35894</v>
      </c>
      <c r="G501">
        <v>76.36</v>
      </c>
      <c r="H501" t="s">
        <v>26</v>
      </c>
      <c r="I501">
        <v>70.12</v>
      </c>
      <c r="J501">
        <v>58.64</v>
      </c>
      <c r="K501" s="3">
        <f t="shared" si="7"/>
        <v>68.373333333333335</v>
      </c>
      <c r="L501" t="s">
        <v>27</v>
      </c>
      <c r="M501" t="s">
        <v>27</v>
      </c>
      <c r="N501">
        <v>23</v>
      </c>
      <c r="O501" t="s">
        <v>72</v>
      </c>
      <c r="P501" t="s">
        <v>26</v>
      </c>
      <c r="Q501" t="s">
        <v>30</v>
      </c>
      <c r="R501">
        <v>400</v>
      </c>
      <c r="S501">
        <v>66.666666669999998</v>
      </c>
      <c r="T501" t="s">
        <v>49</v>
      </c>
      <c r="U501" t="s">
        <v>32</v>
      </c>
      <c r="V501" t="s">
        <v>49</v>
      </c>
      <c r="W501" t="s">
        <v>49</v>
      </c>
      <c r="X501" t="s">
        <v>96</v>
      </c>
      <c r="Y501" t="s">
        <v>50</v>
      </c>
      <c r="Z501" t="s">
        <v>44</v>
      </c>
      <c r="AA501" t="s">
        <v>176</v>
      </c>
      <c r="AB501" t="s">
        <v>46</v>
      </c>
      <c r="AC501">
        <f>IF(Cdacdata[[#This Row],[placement_status]]="Placed",1,0)</f>
        <v>1</v>
      </c>
      <c r="AD501" t="s">
        <v>160</v>
      </c>
      <c r="AE501" t="s">
        <v>47</v>
      </c>
      <c r="AF501" t="s">
        <v>39</v>
      </c>
      <c r="AG501">
        <v>2021</v>
      </c>
      <c r="AH501" t="s">
        <v>111</v>
      </c>
      <c r="AI501" t="str">
        <f>IF(Cdacdata[ccat_rank]&lt;=100,"Top 100",
IF(Cdacdata[ccat_rank]&lt;=500,"101–500",
IF(Cdacdata[ccat_rank]&lt;=1000,"501–1000",
"1000+")))</f>
        <v>1000+</v>
      </c>
    </row>
    <row r="502" spans="1:35" x14ac:dyDescent="0.3">
      <c r="A502" s="1" t="s">
        <v>158</v>
      </c>
      <c r="B502">
        <v>210302533</v>
      </c>
      <c r="C502" s="2">
        <v>44316</v>
      </c>
      <c r="D502" s="2" t="s">
        <v>745</v>
      </c>
      <c r="E502">
        <v>1085</v>
      </c>
      <c r="F502" s="2">
        <v>35845</v>
      </c>
      <c r="G502">
        <v>81.5</v>
      </c>
      <c r="H502">
        <v>51.23</v>
      </c>
      <c r="I502" t="s">
        <v>26</v>
      </c>
      <c r="J502">
        <v>71.459999999999994</v>
      </c>
      <c r="K502" s="3">
        <f t="shared" si="7"/>
        <v>68.063333333333333</v>
      </c>
      <c r="L502" t="s">
        <v>27</v>
      </c>
      <c r="M502" t="s">
        <v>27</v>
      </c>
      <c r="N502">
        <v>23</v>
      </c>
      <c r="O502" t="s">
        <v>28</v>
      </c>
      <c r="P502" t="s">
        <v>65</v>
      </c>
      <c r="Q502" t="s">
        <v>30</v>
      </c>
      <c r="R502">
        <v>435</v>
      </c>
      <c r="S502">
        <v>72.5</v>
      </c>
      <c r="T502" t="s">
        <v>49</v>
      </c>
      <c r="U502" t="s">
        <v>32</v>
      </c>
      <c r="V502" t="s">
        <v>49</v>
      </c>
      <c r="W502" t="s">
        <v>33</v>
      </c>
      <c r="X502" t="s">
        <v>96</v>
      </c>
      <c r="Y502" t="s">
        <v>58</v>
      </c>
      <c r="Z502" t="s">
        <v>44</v>
      </c>
      <c r="AA502" t="s">
        <v>176</v>
      </c>
      <c r="AB502" t="s">
        <v>46</v>
      </c>
      <c r="AC502">
        <f>IF(Cdacdata[[#This Row],[placement_status]]="Placed",1,0)</f>
        <v>1</v>
      </c>
      <c r="AD502" t="s">
        <v>160</v>
      </c>
      <c r="AE502" t="s">
        <v>47</v>
      </c>
      <c r="AF502" t="s">
        <v>39</v>
      </c>
      <c r="AG502">
        <v>2021</v>
      </c>
      <c r="AH502" t="s">
        <v>111</v>
      </c>
      <c r="AI502" t="str">
        <f>IF(Cdacdata[ccat_rank]&lt;=100,"Top 100",
IF(Cdacdata[ccat_rank]&lt;=500,"101–500",
IF(Cdacdata[ccat_rank]&lt;=1000,"501–1000",
"1000+")))</f>
        <v>1000+</v>
      </c>
    </row>
    <row r="503" spans="1:35" x14ac:dyDescent="0.3">
      <c r="A503" s="1" t="s">
        <v>158</v>
      </c>
      <c r="B503">
        <v>210300482</v>
      </c>
      <c r="C503" s="2">
        <v>44316</v>
      </c>
      <c r="D503" s="2" t="s">
        <v>746</v>
      </c>
      <c r="E503">
        <v>3941</v>
      </c>
      <c r="F503" s="2">
        <v>35599</v>
      </c>
      <c r="G503">
        <v>63.2</v>
      </c>
      <c r="H503">
        <v>62.15</v>
      </c>
      <c r="I503" t="s">
        <v>26</v>
      </c>
      <c r="J503">
        <v>64.36</v>
      </c>
      <c r="K503" s="3">
        <f t="shared" si="7"/>
        <v>63.236666666666657</v>
      </c>
      <c r="L503" t="s">
        <v>27</v>
      </c>
      <c r="M503" t="s">
        <v>27</v>
      </c>
      <c r="N503">
        <v>23</v>
      </c>
      <c r="O503" t="s">
        <v>28</v>
      </c>
      <c r="P503" t="s">
        <v>56</v>
      </c>
      <c r="Q503" t="s">
        <v>30</v>
      </c>
      <c r="R503">
        <v>362</v>
      </c>
      <c r="S503">
        <v>60.333333330000002</v>
      </c>
      <c r="T503" t="s">
        <v>33</v>
      </c>
      <c r="U503" t="s">
        <v>32</v>
      </c>
      <c r="V503" t="s">
        <v>33</v>
      </c>
      <c r="W503" t="s">
        <v>103</v>
      </c>
      <c r="X503" t="s">
        <v>96</v>
      </c>
      <c r="Y503" t="s">
        <v>50</v>
      </c>
      <c r="Z503" t="s">
        <v>44</v>
      </c>
      <c r="AA503" t="s">
        <v>141</v>
      </c>
      <c r="AB503" t="s">
        <v>46</v>
      </c>
      <c r="AC503">
        <f>IF(Cdacdata[[#This Row],[placement_status]]="Placed",1,0)</f>
        <v>1</v>
      </c>
      <c r="AD503" t="s">
        <v>160</v>
      </c>
      <c r="AE503" t="s">
        <v>98</v>
      </c>
      <c r="AF503" t="s">
        <v>39</v>
      </c>
      <c r="AG503">
        <v>2021</v>
      </c>
      <c r="AH503" t="s">
        <v>111</v>
      </c>
      <c r="AI503" t="str">
        <f>IF(Cdacdata[ccat_rank]&lt;=100,"Top 100",
IF(Cdacdata[ccat_rank]&lt;=500,"101–500",
IF(Cdacdata[ccat_rank]&lt;=1000,"501–1000",
"1000+")))</f>
        <v>1000+</v>
      </c>
    </row>
    <row r="504" spans="1:35" x14ac:dyDescent="0.3">
      <c r="A504" s="1" t="s">
        <v>158</v>
      </c>
      <c r="B504">
        <v>210303085</v>
      </c>
      <c r="C504" s="2">
        <v>44315</v>
      </c>
      <c r="D504" s="2" t="s">
        <v>747</v>
      </c>
      <c r="E504">
        <v>3771</v>
      </c>
      <c r="F504" s="2">
        <v>35605</v>
      </c>
      <c r="G504">
        <v>84.2</v>
      </c>
      <c r="H504" t="s">
        <v>26</v>
      </c>
      <c r="I504">
        <v>75.349999999999994</v>
      </c>
      <c r="J504">
        <v>67.41</v>
      </c>
      <c r="K504" s="3">
        <f t="shared" si="7"/>
        <v>75.653333333333336</v>
      </c>
      <c r="L504" t="s">
        <v>27</v>
      </c>
      <c r="M504" t="s">
        <v>27</v>
      </c>
      <c r="N504">
        <v>23</v>
      </c>
      <c r="O504" t="s">
        <v>28</v>
      </c>
      <c r="P504" t="s">
        <v>26</v>
      </c>
      <c r="Q504" t="s">
        <v>30</v>
      </c>
      <c r="R504">
        <v>358</v>
      </c>
      <c r="S504">
        <v>59.666666669999998</v>
      </c>
      <c r="T504" t="s">
        <v>49</v>
      </c>
      <c r="U504" t="s">
        <v>32</v>
      </c>
      <c r="V504" t="s">
        <v>49</v>
      </c>
      <c r="W504" t="s">
        <v>33</v>
      </c>
      <c r="X504" t="s">
        <v>96</v>
      </c>
      <c r="Y504" t="s">
        <v>35</v>
      </c>
      <c r="Z504" t="s">
        <v>44</v>
      </c>
      <c r="AA504" t="s">
        <v>183</v>
      </c>
      <c r="AB504" t="s">
        <v>46</v>
      </c>
      <c r="AC504">
        <f>IF(Cdacdata[[#This Row],[placement_status]]="Placed",1,0)</f>
        <v>1</v>
      </c>
      <c r="AD504" t="s">
        <v>160</v>
      </c>
      <c r="AE504" t="s">
        <v>98</v>
      </c>
      <c r="AF504" t="s">
        <v>39</v>
      </c>
      <c r="AG504">
        <v>2021</v>
      </c>
      <c r="AH504" t="s">
        <v>111</v>
      </c>
      <c r="AI504" t="str">
        <f>IF(Cdacdata[ccat_rank]&lt;=100,"Top 100",
IF(Cdacdata[ccat_rank]&lt;=500,"101–500",
IF(Cdacdata[ccat_rank]&lt;=1000,"501–1000",
"1000+")))</f>
        <v>1000+</v>
      </c>
    </row>
    <row r="505" spans="1:35" x14ac:dyDescent="0.3">
      <c r="A505" s="1" t="s">
        <v>158</v>
      </c>
      <c r="B505">
        <v>210300589</v>
      </c>
      <c r="C505" s="2">
        <v>44316</v>
      </c>
      <c r="D505" s="2" t="s">
        <v>748</v>
      </c>
      <c r="E505">
        <v>3305</v>
      </c>
      <c r="F505" s="2">
        <v>34161</v>
      </c>
      <c r="G505">
        <v>87.38</v>
      </c>
      <c r="H505">
        <v>58</v>
      </c>
      <c r="I505" t="s">
        <v>26</v>
      </c>
      <c r="J505">
        <v>63</v>
      </c>
      <c r="K505" s="3">
        <f t="shared" si="7"/>
        <v>69.459999999999994</v>
      </c>
      <c r="L505" t="s">
        <v>27</v>
      </c>
      <c r="M505" t="s">
        <v>27</v>
      </c>
      <c r="N505">
        <v>27</v>
      </c>
      <c r="O505" t="s">
        <v>28</v>
      </c>
      <c r="P505" t="s">
        <v>26</v>
      </c>
      <c r="Q505" t="s">
        <v>26</v>
      </c>
      <c r="R505">
        <v>363</v>
      </c>
      <c r="S505">
        <v>60.5</v>
      </c>
      <c r="T505" t="s">
        <v>33</v>
      </c>
      <c r="U505" t="s">
        <v>32</v>
      </c>
      <c r="V505" t="s">
        <v>33</v>
      </c>
      <c r="W505" t="s">
        <v>31</v>
      </c>
      <c r="X505" t="s">
        <v>96</v>
      </c>
      <c r="Y505" t="s">
        <v>50</v>
      </c>
      <c r="Z505" t="s">
        <v>44</v>
      </c>
      <c r="AA505" t="s">
        <v>191</v>
      </c>
      <c r="AB505" t="s">
        <v>46</v>
      </c>
      <c r="AC505">
        <f>IF(Cdacdata[[#This Row],[placement_status]]="Placed",1,0)</f>
        <v>1</v>
      </c>
      <c r="AD505" t="s">
        <v>160</v>
      </c>
      <c r="AE505" t="s">
        <v>98</v>
      </c>
      <c r="AF505" t="s">
        <v>55</v>
      </c>
      <c r="AG505">
        <v>2021</v>
      </c>
      <c r="AH505" t="s">
        <v>111</v>
      </c>
      <c r="AI505" t="str">
        <f>IF(Cdacdata[ccat_rank]&lt;=100,"Top 100",
IF(Cdacdata[ccat_rank]&lt;=500,"101–500",
IF(Cdacdata[ccat_rank]&lt;=1000,"501–1000",
"1000+")))</f>
        <v>1000+</v>
      </c>
    </row>
    <row r="506" spans="1:35" x14ac:dyDescent="0.3">
      <c r="A506" s="1" t="s">
        <v>158</v>
      </c>
      <c r="B506">
        <v>210301294</v>
      </c>
      <c r="C506" s="2">
        <v>44315</v>
      </c>
      <c r="D506" s="2" t="s">
        <v>749</v>
      </c>
      <c r="E506">
        <v>4292</v>
      </c>
      <c r="F506" s="2">
        <v>35629</v>
      </c>
      <c r="G506">
        <v>84.91</v>
      </c>
      <c r="H506">
        <v>51.38</v>
      </c>
      <c r="I506" t="s">
        <v>26</v>
      </c>
      <c r="J506">
        <v>74.41</v>
      </c>
      <c r="K506" s="3">
        <f t="shared" si="7"/>
        <v>70.233333333333334</v>
      </c>
      <c r="L506" t="s">
        <v>41</v>
      </c>
      <c r="M506" t="s">
        <v>27</v>
      </c>
      <c r="N506">
        <v>23</v>
      </c>
      <c r="O506" t="s">
        <v>62</v>
      </c>
      <c r="P506" t="s">
        <v>26</v>
      </c>
      <c r="Q506" t="s">
        <v>67</v>
      </c>
      <c r="R506">
        <v>403</v>
      </c>
      <c r="S506">
        <v>67.166666669999998</v>
      </c>
      <c r="T506" t="s">
        <v>33</v>
      </c>
      <c r="U506" t="s">
        <v>32</v>
      </c>
      <c r="V506" t="s">
        <v>33</v>
      </c>
      <c r="W506" t="s">
        <v>49</v>
      </c>
      <c r="X506" t="s">
        <v>96</v>
      </c>
      <c r="Y506" t="s">
        <v>50</v>
      </c>
      <c r="Z506" t="s">
        <v>44</v>
      </c>
      <c r="AA506" t="s">
        <v>182</v>
      </c>
      <c r="AB506" t="s">
        <v>46</v>
      </c>
      <c r="AC506">
        <f>IF(Cdacdata[[#This Row],[placement_status]]="Placed",1,0)</f>
        <v>1</v>
      </c>
      <c r="AD506" t="s">
        <v>160</v>
      </c>
      <c r="AE506" t="s">
        <v>184</v>
      </c>
      <c r="AF506" t="s">
        <v>39</v>
      </c>
      <c r="AG506">
        <v>2021</v>
      </c>
      <c r="AH506" t="s">
        <v>111</v>
      </c>
      <c r="AI506" t="str">
        <f>IF(Cdacdata[ccat_rank]&lt;=100,"Top 100",
IF(Cdacdata[ccat_rank]&lt;=500,"101–500",
IF(Cdacdata[ccat_rank]&lt;=1000,"501–1000",
"1000+")))</f>
        <v>1000+</v>
      </c>
    </row>
    <row r="507" spans="1:35" x14ac:dyDescent="0.3">
      <c r="A507" s="1" t="s">
        <v>158</v>
      </c>
      <c r="B507">
        <v>210303539</v>
      </c>
      <c r="C507" s="2">
        <v>44315</v>
      </c>
      <c r="D507" s="2" t="s">
        <v>750</v>
      </c>
      <c r="E507">
        <v>3636</v>
      </c>
      <c r="F507" s="2">
        <v>35623</v>
      </c>
      <c r="G507">
        <v>82</v>
      </c>
      <c r="H507">
        <v>59</v>
      </c>
      <c r="I507" t="s">
        <v>26</v>
      </c>
      <c r="J507">
        <v>83.5</v>
      </c>
      <c r="K507" s="3">
        <f t="shared" si="7"/>
        <v>74.833333333333329</v>
      </c>
      <c r="L507" t="s">
        <v>27</v>
      </c>
      <c r="M507" t="s">
        <v>27</v>
      </c>
      <c r="N507">
        <v>23</v>
      </c>
      <c r="O507" t="s">
        <v>48</v>
      </c>
      <c r="P507" t="s">
        <v>56</v>
      </c>
      <c r="Q507" t="s">
        <v>43</v>
      </c>
      <c r="R507">
        <v>431</v>
      </c>
      <c r="S507">
        <v>71.833333330000002</v>
      </c>
      <c r="T507" t="s">
        <v>49</v>
      </c>
      <c r="U507" t="s">
        <v>32</v>
      </c>
      <c r="V507" t="s">
        <v>49</v>
      </c>
      <c r="W507" t="s">
        <v>33</v>
      </c>
      <c r="X507" t="s">
        <v>96</v>
      </c>
      <c r="Y507" t="s">
        <v>58</v>
      </c>
      <c r="Z507" t="s">
        <v>44</v>
      </c>
      <c r="AA507" t="s">
        <v>183</v>
      </c>
      <c r="AB507" t="s">
        <v>46</v>
      </c>
      <c r="AC507">
        <f>IF(Cdacdata[[#This Row],[placement_status]]="Placed",1,0)</f>
        <v>1</v>
      </c>
      <c r="AD507" t="s">
        <v>160</v>
      </c>
      <c r="AE507" t="s">
        <v>98</v>
      </c>
      <c r="AF507" t="s">
        <v>39</v>
      </c>
      <c r="AG507">
        <v>2021</v>
      </c>
      <c r="AH507" t="s">
        <v>111</v>
      </c>
      <c r="AI507" t="str">
        <f>IF(Cdacdata[ccat_rank]&lt;=100,"Top 100",
IF(Cdacdata[ccat_rank]&lt;=500,"101–500",
IF(Cdacdata[ccat_rank]&lt;=1000,"501–1000",
"1000+")))</f>
        <v>1000+</v>
      </c>
    </row>
    <row r="508" spans="1:35" x14ac:dyDescent="0.3">
      <c r="A508" s="1" t="s">
        <v>158</v>
      </c>
      <c r="B508">
        <v>210301222</v>
      </c>
      <c r="C508" s="2">
        <v>44316</v>
      </c>
      <c r="D508" s="2" t="s">
        <v>751</v>
      </c>
      <c r="E508">
        <v>3756</v>
      </c>
      <c r="F508" s="2">
        <v>35159</v>
      </c>
      <c r="G508">
        <v>88.4</v>
      </c>
      <c r="H508">
        <v>57.34</v>
      </c>
      <c r="I508" t="s">
        <v>26</v>
      </c>
      <c r="J508">
        <v>60.42</v>
      </c>
      <c r="K508" s="3">
        <f t="shared" si="7"/>
        <v>68.720000000000013</v>
      </c>
      <c r="L508" t="s">
        <v>41</v>
      </c>
      <c r="M508" t="s">
        <v>27</v>
      </c>
      <c r="N508">
        <v>25</v>
      </c>
      <c r="O508" t="s">
        <v>28</v>
      </c>
      <c r="P508" t="s">
        <v>26</v>
      </c>
      <c r="Q508" t="s">
        <v>67</v>
      </c>
      <c r="R508">
        <v>333</v>
      </c>
      <c r="S508">
        <v>55.5</v>
      </c>
      <c r="T508" t="s">
        <v>33</v>
      </c>
      <c r="U508" t="s">
        <v>32</v>
      </c>
      <c r="V508" t="s">
        <v>33</v>
      </c>
      <c r="W508" t="s">
        <v>31</v>
      </c>
      <c r="X508" t="s">
        <v>96</v>
      </c>
      <c r="Y508" t="s">
        <v>35</v>
      </c>
      <c r="Z508" t="s">
        <v>44</v>
      </c>
      <c r="AA508" t="s">
        <v>141</v>
      </c>
      <c r="AB508" t="s">
        <v>46</v>
      </c>
      <c r="AC508">
        <f>IF(Cdacdata[[#This Row],[placement_status]]="Placed",1,0)</f>
        <v>1</v>
      </c>
      <c r="AD508" t="s">
        <v>160</v>
      </c>
      <c r="AE508" t="s">
        <v>98</v>
      </c>
      <c r="AF508" t="s">
        <v>39</v>
      </c>
      <c r="AG508">
        <v>2021</v>
      </c>
      <c r="AH508" t="s">
        <v>111</v>
      </c>
      <c r="AI508" t="str">
        <f>IF(Cdacdata[ccat_rank]&lt;=100,"Top 100",
IF(Cdacdata[ccat_rank]&lt;=500,"101–500",
IF(Cdacdata[ccat_rank]&lt;=1000,"501–1000",
"1000+")))</f>
        <v>1000+</v>
      </c>
    </row>
    <row r="509" spans="1:35" x14ac:dyDescent="0.3">
      <c r="A509" s="1" t="s">
        <v>158</v>
      </c>
      <c r="B509">
        <v>210302899</v>
      </c>
      <c r="C509" s="2">
        <v>44316</v>
      </c>
      <c r="D509" s="2" t="s">
        <v>752</v>
      </c>
      <c r="E509">
        <v>3167</v>
      </c>
      <c r="F509" s="2">
        <v>35690</v>
      </c>
      <c r="G509">
        <v>78.2</v>
      </c>
      <c r="H509">
        <v>61.85</v>
      </c>
      <c r="I509" t="s">
        <v>26</v>
      </c>
      <c r="J509">
        <v>59.67</v>
      </c>
      <c r="K509" s="3">
        <f t="shared" si="7"/>
        <v>66.573333333333338</v>
      </c>
      <c r="L509" t="s">
        <v>27</v>
      </c>
      <c r="M509" t="s">
        <v>27</v>
      </c>
      <c r="N509">
        <v>23</v>
      </c>
      <c r="O509" t="s">
        <v>62</v>
      </c>
      <c r="P509" t="s">
        <v>65</v>
      </c>
      <c r="Q509" t="s">
        <v>30</v>
      </c>
      <c r="R509">
        <v>397</v>
      </c>
      <c r="S509">
        <v>66.166666669999998</v>
      </c>
      <c r="T509" t="s">
        <v>49</v>
      </c>
      <c r="U509" t="s">
        <v>32</v>
      </c>
      <c r="V509" t="s">
        <v>49</v>
      </c>
      <c r="W509" t="s">
        <v>31</v>
      </c>
      <c r="X509" t="s">
        <v>96</v>
      </c>
      <c r="Y509" t="s">
        <v>50</v>
      </c>
      <c r="Z509" t="s">
        <v>44</v>
      </c>
      <c r="AA509" t="s">
        <v>163</v>
      </c>
      <c r="AB509" t="s">
        <v>46</v>
      </c>
      <c r="AC509">
        <f>IF(Cdacdata[[#This Row],[placement_status]]="Placed",1,0)</f>
        <v>1</v>
      </c>
      <c r="AD509" t="s">
        <v>160</v>
      </c>
      <c r="AE509" t="s">
        <v>98</v>
      </c>
      <c r="AF509" t="s">
        <v>39</v>
      </c>
      <c r="AG509">
        <v>2021</v>
      </c>
      <c r="AH509" t="s">
        <v>111</v>
      </c>
      <c r="AI509" t="str">
        <f>IF(Cdacdata[ccat_rank]&lt;=100,"Top 100",
IF(Cdacdata[ccat_rank]&lt;=500,"101–500",
IF(Cdacdata[ccat_rank]&lt;=1000,"501–1000",
"1000+")))</f>
        <v>1000+</v>
      </c>
    </row>
    <row r="510" spans="1:35" x14ac:dyDescent="0.3">
      <c r="A510" s="1" t="s">
        <v>158</v>
      </c>
      <c r="B510">
        <v>210301202</v>
      </c>
      <c r="C510" s="2">
        <v>44315</v>
      </c>
      <c r="D510" s="2" t="s">
        <v>753</v>
      </c>
      <c r="E510">
        <v>2550</v>
      </c>
      <c r="F510" s="2">
        <v>35094</v>
      </c>
      <c r="G510">
        <v>60.36</v>
      </c>
      <c r="H510">
        <v>46.67</v>
      </c>
      <c r="I510">
        <v>68.650000000000006</v>
      </c>
      <c r="J510">
        <v>56.87</v>
      </c>
      <c r="K510" s="3">
        <f t="shared" si="7"/>
        <v>58.137500000000003</v>
      </c>
      <c r="L510" t="s">
        <v>27</v>
      </c>
      <c r="M510" t="s">
        <v>27</v>
      </c>
      <c r="N510">
        <v>25</v>
      </c>
      <c r="O510" t="s">
        <v>72</v>
      </c>
      <c r="P510" t="s">
        <v>26</v>
      </c>
      <c r="Q510" t="s">
        <v>30</v>
      </c>
      <c r="R510">
        <v>338</v>
      </c>
      <c r="S510">
        <v>56.333333330000002</v>
      </c>
      <c r="T510" t="s">
        <v>33</v>
      </c>
      <c r="U510" t="s">
        <v>64</v>
      </c>
      <c r="V510" t="s">
        <v>33</v>
      </c>
      <c r="W510" t="s">
        <v>64</v>
      </c>
      <c r="X510" t="s">
        <v>96</v>
      </c>
      <c r="Y510" t="s">
        <v>35</v>
      </c>
      <c r="Z510" t="s">
        <v>36</v>
      </c>
      <c r="AA510" t="s">
        <v>1268</v>
      </c>
      <c r="AB510" t="s">
        <v>36</v>
      </c>
      <c r="AC510">
        <f>IF(Cdacdata[[#This Row],[placement_status]]="Placed",1,0)</f>
        <v>0</v>
      </c>
      <c r="AD510" t="s">
        <v>160</v>
      </c>
      <c r="AE510" t="s">
        <v>38</v>
      </c>
      <c r="AF510" t="s">
        <v>39</v>
      </c>
      <c r="AG510">
        <v>2021</v>
      </c>
      <c r="AH510" t="s">
        <v>111</v>
      </c>
      <c r="AI510" t="str">
        <f>IF(Cdacdata[ccat_rank]&lt;=100,"Top 100",
IF(Cdacdata[ccat_rank]&lt;=500,"101–500",
IF(Cdacdata[ccat_rank]&lt;=1000,"501–1000",
"1000+")))</f>
        <v>1000+</v>
      </c>
    </row>
    <row r="511" spans="1:35" x14ac:dyDescent="0.3">
      <c r="A511" s="1" t="s">
        <v>158</v>
      </c>
      <c r="B511">
        <v>210307155</v>
      </c>
      <c r="C511" s="2">
        <v>44315</v>
      </c>
      <c r="D511" s="2" t="s">
        <v>754</v>
      </c>
      <c r="E511">
        <v>2393</v>
      </c>
      <c r="F511" s="2">
        <v>35285</v>
      </c>
      <c r="G511">
        <v>81.16</v>
      </c>
      <c r="H511">
        <v>77</v>
      </c>
      <c r="I511" t="s">
        <v>26</v>
      </c>
      <c r="J511">
        <v>0</v>
      </c>
      <c r="K511" s="3">
        <f t="shared" si="7"/>
        <v>52.72</v>
      </c>
      <c r="L511" t="s">
        <v>27</v>
      </c>
      <c r="M511" t="s">
        <v>27</v>
      </c>
      <c r="N511">
        <v>24</v>
      </c>
      <c r="O511" t="s">
        <v>62</v>
      </c>
      <c r="P511" t="s">
        <v>26</v>
      </c>
      <c r="Q511" t="s">
        <v>43</v>
      </c>
      <c r="R511">
        <v>351</v>
      </c>
      <c r="S511">
        <v>58.5</v>
      </c>
      <c r="T511" t="s">
        <v>49</v>
      </c>
      <c r="U511" t="s">
        <v>32</v>
      </c>
      <c r="V511" t="s">
        <v>49</v>
      </c>
      <c r="W511" t="s">
        <v>33</v>
      </c>
      <c r="X511" t="s">
        <v>96</v>
      </c>
      <c r="Y511" t="s">
        <v>35</v>
      </c>
      <c r="Z511" t="s">
        <v>44</v>
      </c>
      <c r="AA511" t="s">
        <v>163</v>
      </c>
      <c r="AB511" t="s">
        <v>46</v>
      </c>
      <c r="AC511">
        <f>IF(Cdacdata[[#This Row],[placement_status]]="Placed",1,0)</f>
        <v>1</v>
      </c>
      <c r="AD511" t="s">
        <v>160</v>
      </c>
      <c r="AE511" t="s">
        <v>38</v>
      </c>
      <c r="AF511" t="s">
        <v>39</v>
      </c>
      <c r="AG511">
        <v>2021</v>
      </c>
      <c r="AH511" t="s">
        <v>111</v>
      </c>
      <c r="AI511" t="str">
        <f>IF(Cdacdata[ccat_rank]&lt;=100,"Top 100",
IF(Cdacdata[ccat_rank]&lt;=500,"101–500",
IF(Cdacdata[ccat_rank]&lt;=1000,"501–1000",
"1000+")))</f>
        <v>1000+</v>
      </c>
    </row>
    <row r="512" spans="1:35" x14ac:dyDescent="0.3">
      <c r="A512" s="1" t="s">
        <v>158</v>
      </c>
      <c r="B512">
        <v>210306398</v>
      </c>
      <c r="C512" s="2">
        <v>44316</v>
      </c>
      <c r="D512" s="2" t="s">
        <v>755</v>
      </c>
      <c r="E512">
        <v>2631</v>
      </c>
      <c r="F512" s="2">
        <v>35850</v>
      </c>
      <c r="G512">
        <v>81.400000000000006</v>
      </c>
      <c r="H512" t="s">
        <v>26</v>
      </c>
      <c r="I512">
        <v>79.819999999999993</v>
      </c>
      <c r="J512">
        <v>78</v>
      </c>
      <c r="K512" s="3">
        <f t="shared" si="7"/>
        <v>79.739999999999995</v>
      </c>
      <c r="L512" t="s">
        <v>27</v>
      </c>
      <c r="M512" t="s">
        <v>27</v>
      </c>
      <c r="N512">
        <v>23</v>
      </c>
      <c r="O512" t="s">
        <v>48</v>
      </c>
      <c r="P512" t="s">
        <v>56</v>
      </c>
      <c r="Q512" t="s">
        <v>30</v>
      </c>
      <c r="R512">
        <v>363</v>
      </c>
      <c r="S512">
        <v>60.5</v>
      </c>
      <c r="T512" t="s">
        <v>33</v>
      </c>
      <c r="U512" t="s">
        <v>32</v>
      </c>
      <c r="V512" t="s">
        <v>33</v>
      </c>
      <c r="W512" t="s">
        <v>31</v>
      </c>
      <c r="X512" t="s">
        <v>96</v>
      </c>
      <c r="Y512" t="s">
        <v>50</v>
      </c>
      <c r="Z512" t="s">
        <v>44</v>
      </c>
      <c r="AA512" t="s">
        <v>183</v>
      </c>
      <c r="AB512" t="s">
        <v>46</v>
      </c>
      <c r="AC512">
        <f>IF(Cdacdata[[#This Row],[placement_status]]="Placed",1,0)</f>
        <v>1</v>
      </c>
      <c r="AD512" t="s">
        <v>160</v>
      </c>
      <c r="AE512" t="s">
        <v>38</v>
      </c>
      <c r="AF512" t="s">
        <v>39</v>
      </c>
      <c r="AG512">
        <v>2021</v>
      </c>
      <c r="AH512" t="s">
        <v>111</v>
      </c>
      <c r="AI512" t="str">
        <f>IF(Cdacdata[ccat_rank]&lt;=100,"Top 100",
IF(Cdacdata[ccat_rank]&lt;=500,"101–500",
IF(Cdacdata[ccat_rank]&lt;=1000,"501–1000",
"1000+")))</f>
        <v>1000+</v>
      </c>
    </row>
    <row r="513" spans="1:35" x14ac:dyDescent="0.3">
      <c r="A513" s="1" t="s">
        <v>158</v>
      </c>
      <c r="B513">
        <v>210301880</v>
      </c>
      <c r="C513" s="2">
        <v>44315</v>
      </c>
      <c r="D513" s="2" t="s">
        <v>756</v>
      </c>
      <c r="E513">
        <v>2937</v>
      </c>
      <c r="F513" s="2">
        <v>35336</v>
      </c>
      <c r="G513">
        <v>84.6</v>
      </c>
      <c r="H513">
        <v>67.08</v>
      </c>
      <c r="I513" t="s">
        <v>26</v>
      </c>
      <c r="J513">
        <v>61.2</v>
      </c>
      <c r="K513" s="3">
        <f t="shared" si="7"/>
        <v>70.959999999999994</v>
      </c>
      <c r="L513" t="s">
        <v>27</v>
      </c>
      <c r="M513" t="s">
        <v>27</v>
      </c>
      <c r="N513">
        <v>24</v>
      </c>
      <c r="O513" t="s">
        <v>28</v>
      </c>
      <c r="P513" t="s">
        <v>56</v>
      </c>
      <c r="Q513" t="s">
        <v>30</v>
      </c>
      <c r="R513">
        <v>324</v>
      </c>
      <c r="S513">
        <v>54</v>
      </c>
      <c r="T513" t="s">
        <v>31</v>
      </c>
      <c r="U513" t="s">
        <v>64</v>
      </c>
      <c r="V513" t="s">
        <v>31</v>
      </c>
      <c r="W513" t="s">
        <v>64</v>
      </c>
      <c r="X513" t="s">
        <v>96</v>
      </c>
      <c r="Y513" t="s">
        <v>35</v>
      </c>
      <c r="Z513" t="s">
        <v>36</v>
      </c>
      <c r="AA513" t="s">
        <v>1268</v>
      </c>
      <c r="AB513" t="s">
        <v>36</v>
      </c>
      <c r="AC513">
        <f>IF(Cdacdata[[#This Row],[placement_status]]="Placed",1,0)</f>
        <v>0</v>
      </c>
      <c r="AD513" t="s">
        <v>160</v>
      </c>
      <c r="AE513" t="s">
        <v>38</v>
      </c>
      <c r="AF513" t="s">
        <v>39</v>
      </c>
      <c r="AG513">
        <v>2021</v>
      </c>
      <c r="AH513" t="s">
        <v>111</v>
      </c>
      <c r="AI513" t="str">
        <f>IF(Cdacdata[ccat_rank]&lt;=100,"Top 100",
IF(Cdacdata[ccat_rank]&lt;=500,"101–500",
IF(Cdacdata[ccat_rank]&lt;=1000,"501–1000",
"1000+")))</f>
        <v>1000+</v>
      </c>
    </row>
    <row r="514" spans="1:35" x14ac:dyDescent="0.3">
      <c r="A514" s="1" t="s">
        <v>158</v>
      </c>
      <c r="B514">
        <v>191102567</v>
      </c>
      <c r="C514" s="2"/>
      <c r="D514" s="2"/>
      <c r="E514" t="s">
        <v>63</v>
      </c>
      <c r="G514">
        <v>0</v>
      </c>
      <c r="H514">
        <v>0</v>
      </c>
      <c r="I514">
        <v>0</v>
      </c>
      <c r="J514">
        <v>0</v>
      </c>
      <c r="K514" s="3">
        <f t="shared" ref="K514:K577" si="8">AVERAGE(G514,H514,I514,J514)</f>
        <v>0</v>
      </c>
      <c r="L514" t="s">
        <v>27</v>
      </c>
      <c r="M514" t="s">
        <v>27</v>
      </c>
      <c r="N514">
        <v>23</v>
      </c>
      <c r="O514" t="s">
        <v>373</v>
      </c>
      <c r="P514" t="s">
        <v>26</v>
      </c>
      <c r="Q514" t="s">
        <v>374</v>
      </c>
      <c r="R514">
        <v>364</v>
      </c>
      <c r="S514">
        <v>60.666666669999998</v>
      </c>
      <c r="T514" t="s">
        <v>33</v>
      </c>
      <c r="U514" t="s">
        <v>32</v>
      </c>
      <c r="V514" t="s">
        <v>33</v>
      </c>
      <c r="W514" t="s">
        <v>33</v>
      </c>
      <c r="X514" t="s">
        <v>96</v>
      </c>
      <c r="Y514" t="s">
        <v>50</v>
      </c>
      <c r="Z514" t="s">
        <v>44</v>
      </c>
      <c r="AA514" t="s">
        <v>183</v>
      </c>
      <c r="AB514" t="s">
        <v>46</v>
      </c>
      <c r="AC514">
        <f>IF(Cdacdata[[#This Row],[placement_status]]="Placed",1,0)</f>
        <v>1</v>
      </c>
      <c r="AD514" t="s">
        <v>160</v>
      </c>
      <c r="AE514" t="s">
        <v>63</v>
      </c>
      <c r="AF514" t="s">
        <v>63</v>
      </c>
      <c r="AG514">
        <v>2021</v>
      </c>
      <c r="AH514" t="s">
        <v>111</v>
      </c>
      <c r="AI514" t="str">
        <f>IF(Cdacdata[ccat_rank]&lt;=100,"Top 100",
IF(Cdacdata[ccat_rank]&lt;=500,"101–500",
IF(Cdacdata[ccat_rank]&lt;=1000,"501–1000",
"1000+")))</f>
        <v>1000+</v>
      </c>
    </row>
    <row r="515" spans="1:35" x14ac:dyDescent="0.3">
      <c r="A515" s="1" t="s">
        <v>158</v>
      </c>
      <c r="B515">
        <v>191107416</v>
      </c>
      <c r="C515" s="2"/>
      <c r="D515" s="2"/>
      <c r="E515" t="s">
        <v>63</v>
      </c>
      <c r="G515">
        <v>0</v>
      </c>
      <c r="H515">
        <v>0</v>
      </c>
      <c r="I515">
        <v>0</v>
      </c>
      <c r="J515">
        <v>0</v>
      </c>
      <c r="K515" s="3">
        <f t="shared" si="8"/>
        <v>0</v>
      </c>
      <c r="L515" t="s">
        <v>27</v>
      </c>
      <c r="M515" t="s">
        <v>27</v>
      </c>
      <c r="N515">
        <v>23</v>
      </c>
      <c r="O515" t="s">
        <v>373</v>
      </c>
      <c r="P515" t="s">
        <v>26</v>
      </c>
      <c r="Q515" t="s">
        <v>374</v>
      </c>
      <c r="R515">
        <v>322</v>
      </c>
      <c r="S515">
        <v>53.666666669999998</v>
      </c>
      <c r="T515" t="s">
        <v>33</v>
      </c>
      <c r="U515" t="s">
        <v>32</v>
      </c>
      <c r="V515" t="s">
        <v>33</v>
      </c>
      <c r="W515" t="s">
        <v>33</v>
      </c>
      <c r="X515" t="s">
        <v>96</v>
      </c>
      <c r="Y515" t="s">
        <v>35</v>
      </c>
      <c r="Z515" t="s">
        <v>44</v>
      </c>
      <c r="AA515" t="s">
        <v>165</v>
      </c>
      <c r="AB515" t="s">
        <v>46</v>
      </c>
      <c r="AC515">
        <f>IF(Cdacdata[[#This Row],[placement_status]]="Placed",1,0)</f>
        <v>1</v>
      </c>
      <c r="AD515" t="s">
        <v>160</v>
      </c>
      <c r="AE515" t="s">
        <v>63</v>
      </c>
      <c r="AF515" t="s">
        <v>63</v>
      </c>
      <c r="AG515">
        <v>2021</v>
      </c>
      <c r="AH515" t="s">
        <v>111</v>
      </c>
      <c r="AI515" t="str">
        <f>IF(Cdacdata[ccat_rank]&lt;=100,"Top 100",
IF(Cdacdata[ccat_rank]&lt;=500,"101–500",
IF(Cdacdata[ccat_rank]&lt;=1000,"501–1000",
"1000+")))</f>
        <v>1000+</v>
      </c>
    </row>
    <row r="516" spans="1:35" x14ac:dyDescent="0.3">
      <c r="A516" s="1" t="s">
        <v>192</v>
      </c>
      <c r="B516">
        <v>221201217</v>
      </c>
      <c r="C516" s="2">
        <v>44995</v>
      </c>
      <c r="D516" s="2" t="s">
        <v>757</v>
      </c>
      <c r="E516">
        <v>1596</v>
      </c>
      <c r="F516" s="2">
        <v>35924</v>
      </c>
      <c r="G516">
        <v>85</v>
      </c>
      <c r="H516">
        <v>58</v>
      </c>
      <c r="I516" t="s">
        <v>26</v>
      </c>
      <c r="J516">
        <v>59</v>
      </c>
      <c r="K516" s="3">
        <f t="shared" si="8"/>
        <v>67.333333333333329</v>
      </c>
      <c r="L516" t="s">
        <v>27</v>
      </c>
      <c r="M516" t="s">
        <v>27</v>
      </c>
      <c r="N516">
        <v>24</v>
      </c>
      <c r="O516" t="s">
        <v>72</v>
      </c>
      <c r="P516" t="s">
        <v>42</v>
      </c>
      <c r="Q516" t="s">
        <v>30</v>
      </c>
      <c r="R516">
        <v>541</v>
      </c>
      <c r="S516">
        <v>67.625</v>
      </c>
      <c r="T516" t="s">
        <v>31</v>
      </c>
      <c r="U516" t="s">
        <v>32</v>
      </c>
      <c r="V516" t="s">
        <v>31</v>
      </c>
      <c r="W516" t="s">
        <v>33</v>
      </c>
      <c r="X516" t="s">
        <v>34</v>
      </c>
      <c r="Y516" t="s">
        <v>50</v>
      </c>
      <c r="Z516" t="s">
        <v>36</v>
      </c>
      <c r="AA516" t="s">
        <v>1268</v>
      </c>
      <c r="AB516" t="s">
        <v>36</v>
      </c>
      <c r="AC516">
        <f>IF(Cdacdata[[#This Row],[placement_status]]="Placed",1,0)</f>
        <v>0</v>
      </c>
      <c r="AD516" t="s">
        <v>193</v>
      </c>
      <c r="AE516" t="s">
        <v>47</v>
      </c>
      <c r="AF516" t="s">
        <v>39</v>
      </c>
      <c r="AG516">
        <v>2023</v>
      </c>
      <c r="AH516" t="s">
        <v>111</v>
      </c>
      <c r="AI516" t="str">
        <f>IF(Cdacdata[ccat_rank]&lt;=100,"Top 100",
IF(Cdacdata[ccat_rank]&lt;=500,"101–500",
IF(Cdacdata[ccat_rank]&lt;=1000,"501–1000",
"1000+")))</f>
        <v>1000+</v>
      </c>
    </row>
    <row r="517" spans="1:35" x14ac:dyDescent="0.3">
      <c r="A517" s="1" t="s">
        <v>192</v>
      </c>
      <c r="B517">
        <v>230100171</v>
      </c>
      <c r="C517" s="2">
        <v>44996</v>
      </c>
      <c r="D517" s="2" t="s">
        <v>758</v>
      </c>
      <c r="E517">
        <v>1720</v>
      </c>
      <c r="F517" s="2">
        <v>33591</v>
      </c>
      <c r="G517">
        <v>76.83</v>
      </c>
      <c r="H517">
        <v>53.23</v>
      </c>
      <c r="I517" t="s">
        <v>26</v>
      </c>
      <c r="J517">
        <v>66.489999999999995</v>
      </c>
      <c r="K517" s="3">
        <f t="shared" si="8"/>
        <v>65.516666666666666</v>
      </c>
      <c r="L517" t="s">
        <v>41</v>
      </c>
      <c r="M517" t="s">
        <v>41</v>
      </c>
      <c r="N517">
        <v>31</v>
      </c>
      <c r="O517" t="s">
        <v>28</v>
      </c>
      <c r="P517" t="s">
        <v>42</v>
      </c>
      <c r="Q517" t="s">
        <v>43</v>
      </c>
      <c r="R517">
        <v>443</v>
      </c>
      <c r="S517">
        <v>55.375</v>
      </c>
      <c r="T517" t="s">
        <v>31</v>
      </c>
      <c r="U517" t="s">
        <v>32</v>
      </c>
      <c r="V517" t="s">
        <v>31</v>
      </c>
      <c r="W517" t="s">
        <v>33</v>
      </c>
      <c r="X517" t="s">
        <v>34</v>
      </c>
      <c r="Y517" t="s">
        <v>35</v>
      </c>
      <c r="Z517" t="s">
        <v>36</v>
      </c>
      <c r="AA517" t="s">
        <v>1268</v>
      </c>
      <c r="AB517" t="s">
        <v>36</v>
      </c>
      <c r="AC517">
        <f>IF(Cdacdata[[#This Row],[placement_status]]="Placed",1,0)</f>
        <v>0</v>
      </c>
      <c r="AD517" t="s">
        <v>193</v>
      </c>
      <c r="AE517" t="s">
        <v>47</v>
      </c>
      <c r="AF517" t="s">
        <v>69</v>
      </c>
      <c r="AG517">
        <v>2023</v>
      </c>
      <c r="AH517" t="s">
        <v>111</v>
      </c>
      <c r="AI517" t="str">
        <f>IF(Cdacdata[ccat_rank]&lt;=100,"Top 100",
IF(Cdacdata[ccat_rank]&lt;=500,"101–500",
IF(Cdacdata[ccat_rank]&lt;=1000,"501–1000",
"1000+")))</f>
        <v>1000+</v>
      </c>
    </row>
    <row r="518" spans="1:35" x14ac:dyDescent="0.3">
      <c r="A518" s="1" t="s">
        <v>192</v>
      </c>
      <c r="B518">
        <v>230110548</v>
      </c>
      <c r="C518" s="2">
        <v>45001</v>
      </c>
      <c r="D518" s="2" t="s">
        <v>759</v>
      </c>
      <c r="E518">
        <v>1792</v>
      </c>
      <c r="F518" s="2">
        <v>36137</v>
      </c>
      <c r="G518">
        <v>73.8</v>
      </c>
      <c r="H518" t="s">
        <v>26</v>
      </c>
      <c r="I518">
        <v>67.94</v>
      </c>
      <c r="J518">
        <v>66.12</v>
      </c>
      <c r="K518" s="3">
        <f t="shared" si="8"/>
        <v>69.286666666666676</v>
      </c>
      <c r="L518" t="s">
        <v>27</v>
      </c>
      <c r="M518" t="s">
        <v>41</v>
      </c>
      <c r="N518">
        <v>24</v>
      </c>
      <c r="O518" t="s">
        <v>28</v>
      </c>
      <c r="P518" t="s">
        <v>60</v>
      </c>
      <c r="Q518" t="s">
        <v>30</v>
      </c>
      <c r="R518">
        <v>334</v>
      </c>
      <c r="S518">
        <v>41.75</v>
      </c>
      <c r="T518" t="s">
        <v>31</v>
      </c>
      <c r="U518" t="s">
        <v>64</v>
      </c>
      <c r="V518" t="s">
        <v>31</v>
      </c>
      <c r="W518" t="s">
        <v>64</v>
      </c>
      <c r="X518" t="s">
        <v>34</v>
      </c>
      <c r="Y518" t="s">
        <v>80</v>
      </c>
      <c r="Z518" t="s">
        <v>36</v>
      </c>
      <c r="AA518" t="s">
        <v>1268</v>
      </c>
      <c r="AB518" t="s">
        <v>36</v>
      </c>
      <c r="AC518">
        <f>IF(Cdacdata[[#This Row],[placement_status]]="Placed",1,0)</f>
        <v>0</v>
      </c>
      <c r="AD518" t="s">
        <v>193</v>
      </c>
      <c r="AE518" t="s">
        <v>47</v>
      </c>
      <c r="AF518" t="s">
        <v>39</v>
      </c>
      <c r="AG518">
        <v>2023</v>
      </c>
      <c r="AH518" t="s">
        <v>111</v>
      </c>
      <c r="AI518" t="str">
        <f>IF(Cdacdata[ccat_rank]&lt;=100,"Top 100",
IF(Cdacdata[ccat_rank]&lt;=500,"101–500",
IF(Cdacdata[ccat_rank]&lt;=1000,"501–1000",
"1000+")))</f>
        <v>1000+</v>
      </c>
    </row>
    <row r="519" spans="1:35" x14ac:dyDescent="0.3">
      <c r="A519" s="1" t="s">
        <v>192</v>
      </c>
      <c r="B519">
        <v>221202017</v>
      </c>
      <c r="C519" s="2">
        <v>44998</v>
      </c>
      <c r="D519" s="2" t="s">
        <v>760</v>
      </c>
      <c r="E519">
        <v>601</v>
      </c>
      <c r="F519" s="2">
        <v>34627</v>
      </c>
      <c r="G519">
        <v>90.55</v>
      </c>
      <c r="H519">
        <v>58.17</v>
      </c>
      <c r="I519" t="s">
        <v>26</v>
      </c>
      <c r="J519">
        <v>52.54</v>
      </c>
      <c r="K519" s="3">
        <f t="shared" si="8"/>
        <v>67.086666666666659</v>
      </c>
      <c r="L519" t="s">
        <v>27</v>
      </c>
      <c r="M519" t="s">
        <v>41</v>
      </c>
      <c r="N519">
        <v>28</v>
      </c>
      <c r="O519" t="s">
        <v>72</v>
      </c>
      <c r="P519" t="s">
        <v>60</v>
      </c>
      <c r="Q519" t="s">
        <v>30</v>
      </c>
      <c r="R519">
        <v>657</v>
      </c>
      <c r="S519">
        <v>82.125</v>
      </c>
      <c r="T519" t="s">
        <v>49</v>
      </c>
      <c r="U519" t="s">
        <v>32</v>
      </c>
      <c r="V519" t="s">
        <v>49</v>
      </c>
      <c r="W519" t="s">
        <v>49</v>
      </c>
      <c r="X519" t="s">
        <v>34</v>
      </c>
      <c r="Y519" t="s">
        <v>58</v>
      </c>
      <c r="Z519" t="s">
        <v>44</v>
      </c>
      <c r="AA519" t="s">
        <v>174</v>
      </c>
      <c r="AB519" t="s">
        <v>46</v>
      </c>
      <c r="AC519">
        <f>IF(Cdacdata[[#This Row],[placement_status]]="Placed",1,0)</f>
        <v>1</v>
      </c>
      <c r="AD519" t="s">
        <v>193</v>
      </c>
      <c r="AE519" t="s">
        <v>75</v>
      </c>
      <c r="AF519" t="s">
        <v>55</v>
      </c>
      <c r="AG519">
        <v>2023</v>
      </c>
      <c r="AH519" t="s">
        <v>111</v>
      </c>
      <c r="AI519" t="str">
        <f>IF(Cdacdata[ccat_rank]&lt;=100,"Top 100",
IF(Cdacdata[ccat_rank]&lt;=500,"101–500",
IF(Cdacdata[ccat_rank]&lt;=1000,"501–1000",
"1000+")))</f>
        <v>501–1000</v>
      </c>
    </row>
    <row r="520" spans="1:35" x14ac:dyDescent="0.3">
      <c r="A520" s="1" t="s">
        <v>192</v>
      </c>
      <c r="B520">
        <v>230108671</v>
      </c>
      <c r="C520" s="2">
        <v>44999</v>
      </c>
      <c r="D520" s="2" t="s">
        <v>761</v>
      </c>
      <c r="E520">
        <v>1419</v>
      </c>
      <c r="F520" s="2">
        <v>35848</v>
      </c>
      <c r="G520">
        <v>74</v>
      </c>
      <c r="H520">
        <v>65.540000000000006</v>
      </c>
      <c r="I520" t="s">
        <v>26</v>
      </c>
      <c r="J520">
        <v>73.599999999999994</v>
      </c>
      <c r="K520" s="3">
        <f t="shared" si="8"/>
        <v>71.046666666666667</v>
      </c>
      <c r="L520" t="s">
        <v>27</v>
      </c>
      <c r="M520" t="s">
        <v>27</v>
      </c>
      <c r="N520">
        <v>25</v>
      </c>
      <c r="O520" t="s">
        <v>28</v>
      </c>
      <c r="P520" t="s">
        <v>60</v>
      </c>
      <c r="Q520" t="s">
        <v>30</v>
      </c>
      <c r="R520">
        <v>547</v>
      </c>
      <c r="S520">
        <v>68.375</v>
      </c>
      <c r="T520" t="s">
        <v>49</v>
      </c>
      <c r="U520" t="s">
        <v>32</v>
      </c>
      <c r="V520" t="s">
        <v>49</v>
      </c>
      <c r="W520" t="s">
        <v>33</v>
      </c>
      <c r="X520" t="s">
        <v>34</v>
      </c>
      <c r="Y520" t="s">
        <v>50</v>
      </c>
      <c r="Z520" t="s">
        <v>44</v>
      </c>
      <c r="AA520" t="s">
        <v>194</v>
      </c>
      <c r="AB520" t="s">
        <v>46</v>
      </c>
      <c r="AC520">
        <f>IF(Cdacdata[[#This Row],[placement_status]]="Placed",1,0)</f>
        <v>1</v>
      </c>
      <c r="AD520" t="s">
        <v>193</v>
      </c>
      <c r="AE520" t="s">
        <v>47</v>
      </c>
      <c r="AF520" t="s">
        <v>39</v>
      </c>
      <c r="AG520">
        <v>2023</v>
      </c>
      <c r="AH520" t="s">
        <v>111</v>
      </c>
      <c r="AI520" t="str">
        <f>IF(Cdacdata[ccat_rank]&lt;=100,"Top 100",
IF(Cdacdata[ccat_rank]&lt;=500,"101–500",
IF(Cdacdata[ccat_rank]&lt;=1000,"501–1000",
"1000+")))</f>
        <v>1000+</v>
      </c>
    </row>
    <row r="521" spans="1:35" x14ac:dyDescent="0.3">
      <c r="A521" s="1" t="s">
        <v>192</v>
      </c>
      <c r="B521">
        <v>230106421</v>
      </c>
      <c r="C521" s="2">
        <v>44997</v>
      </c>
      <c r="D521" s="2" t="s">
        <v>762</v>
      </c>
      <c r="E521">
        <v>1658</v>
      </c>
      <c r="F521" s="2">
        <v>37077</v>
      </c>
      <c r="G521">
        <v>70.2</v>
      </c>
      <c r="H521" t="s">
        <v>26</v>
      </c>
      <c r="I521">
        <v>67.819999999999993</v>
      </c>
      <c r="J521">
        <v>75</v>
      </c>
      <c r="K521" s="3">
        <f t="shared" si="8"/>
        <v>71.006666666666661</v>
      </c>
      <c r="L521" t="s">
        <v>27</v>
      </c>
      <c r="M521" t="s">
        <v>27</v>
      </c>
      <c r="N521">
        <v>21</v>
      </c>
      <c r="O521" t="s">
        <v>48</v>
      </c>
      <c r="P521" t="s">
        <v>60</v>
      </c>
      <c r="Q521" t="s">
        <v>30</v>
      </c>
      <c r="R521">
        <v>385</v>
      </c>
      <c r="S521">
        <v>48.125</v>
      </c>
      <c r="T521" t="s">
        <v>31</v>
      </c>
      <c r="U521" t="s">
        <v>32</v>
      </c>
      <c r="V521" t="s">
        <v>31</v>
      </c>
      <c r="W521" t="s">
        <v>31</v>
      </c>
      <c r="X521" t="s">
        <v>34</v>
      </c>
      <c r="Y521" t="s">
        <v>80</v>
      </c>
      <c r="Z521" t="s">
        <v>36</v>
      </c>
      <c r="AA521" t="s">
        <v>1268</v>
      </c>
      <c r="AB521" t="s">
        <v>36</v>
      </c>
      <c r="AC521">
        <f>IF(Cdacdata[[#This Row],[placement_status]]="Placed",1,0)</f>
        <v>0</v>
      </c>
      <c r="AD521" t="s">
        <v>193</v>
      </c>
      <c r="AE521" t="s">
        <v>47</v>
      </c>
      <c r="AF521" t="s">
        <v>57</v>
      </c>
      <c r="AG521">
        <v>2023</v>
      </c>
      <c r="AH521" t="s">
        <v>111</v>
      </c>
      <c r="AI521" t="str">
        <f>IF(Cdacdata[ccat_rank]&lt;=100,"Top 100",
IF(Cdacdata[ccat_rank]&lt;=500,"101–500",
IF(Cdacdata[ccat_rank]&lt;=1000,"501–1000",
"1000+")))</f>
        <v>1000+</v>
      </c>
    </row>
    <row r="522" spans="1:35" x14ac:dyDescent="0.3">
      <c r="A522" s="1" t="s">
        <v>192</v>
      </c>
      <c r="B522">
        <v>230101590</v>
      </c>
      <c r="C522" s="2">
        <v>44995</v>
      </c>
      <c r="D522" s="2" t="s">
        <v>763</v>
      </c>
      <c r="E522">
        <v>1772</v>
      </c>
      <c r="F522" s="2">
        <v>34002</v>
      </c>
      <c r="G522">
        <v>79.23</v>
      </c>
      <c r="H522">
        <v>66</v>
      </c>
      <c r="I522" t="s">
        <v>26</v>
      </c>
      <c r="J522">
        <v>65.8</v>
      </c>
      <c r="K522" s="3">
        <f t="shared" si="8"/>
        <v>70.343333333333348</v>
      </c>
      <c r="L522" t="s">
        <v>27</v>
      </c>
      <c r="M522" t="s">
        <v>27</v>
      </c>
      <c r="N522">
        <v>30</v>
      </c>
      <c r="O522" t="s">
        <v>28</v>
      </c>
      <c r="P522" t="s">
        <v>52</v>
      </c>
      <c r="Q522" t="s">
        <v>30</v>
      </c>
      <c r="R522">
        <v>422</v>
      </c>
      <c r="S522">
        <v>52.75</v>
      </c>
      <c r="T522" t="s">
        <v>31</v>
      </c>
      <c r="U522" t="s">
        <v>32</v>
      </c>
      <c r="V522" t="s">
        <v>31</v>
      </c>
      <c r="W522" t="s">
        <v>33</v>
      </c>
      <c r="X522" t="s">
        <v>34</v>
      </c>
      <c r="Y522" t="s">
        <v>35</v>
      </c>
      <c r="Z522" t="s">
        <v>53</v>
      </c>
      <c r="AA522" t="s">
        <v>54</v>
      </c>
      <c r="AB522" t="s">
        <v>46</v>
      </c>
      <c r="AC522">
        <f>IF(Cdacdata[[#This Row],[placement_status]]="Placed",1,0)</f>
        <v>1</v>
      </c>
      <c r="AD522" t="s">
        <v>193</v>
      </c>
      <c r="AE522" t="s">
        <v>47</v>
      </c>
      <c r="AF522" t="s">
        <v>69</v>
      </c>
      <c r="AG522">
        <v>2023</v>
      </c>
      <c r="AH522" t="s">
        <v>111</v>
      </c>
      <c r="AI522" t="str">
        <f>IF(Cdacdata[ccat_rank]&lt;=100,"Top 100",
IF(Cdacdata[ccat_rank]&lt;=500,"101–500",
IF(Cdacdata[ccat_rank]&lt;=1000,"501–1000",
"1000+")))</f>
        <v>1000+</v>
      </c>
    </row>
    <row r="523" spans="1:35" x14ac:dyDescent="0.3">
      <c r="A523" s="1" t="s">
        <v>192</v>
      </c>
      <c r="B523">
        <v>230101598</v>
      </c>
      <c r="C523" s="2">
        <v>44993</v>
      </c>
      <c r="D523" s="2" t="s">
        <v>764</v>
      </c>
      <c r="E523">
        <v>1049</v>
      </c>
      <c r="F523" s="2">
        <v>36572</v>
      </c>
      <c r="G523">
        <v>91.8</v>
      </c>
      <c r="H523">
        <v>82.31</v>
      </c>
      <c r="I523" t="s">
        <v>26</v>
      </c>
      <c r="J523">
        <v>71.02</v>
      </c>
      <c r="K523" s="3">
        <f t="shared" si="8"/>
        <v>81.709999999999994</v>
      </c>
      <c r="L523" t="s">
        <v>27</v>
      </c>
      <c r="M523" t="s">
        <v>41</v>
      </c>
      <c r="N523">
        <v>23</v>
      </c>
      <c r="O523" t="s">
        <v>28</v>
      </c>
      <c r="P523" t="s">
        <v>60</v>
      </c>
      <c r="Q523" t="s">
        <v>43</v>
      </c>
      <c r="R523">
        <v>516</v>
      </c>
      <c r="S523">
        <v>64.5</v>
      </c>
      <c r="T523" t="s">
        <v>33</v>
      </c>
      <c r="U523" t="s">
        <v>32</v>
      </c>
      <c r="V523" t="s">
        <v>33</v>
      </c>
      <c r="W523" t="s">
        <v>33</v>
      </c>
      <c r="X523" t="s">
        <v>34</v>
      </c>
      <c r="Y523" t="s">
        <v>50</v>
      </c>
      <c r="Z523" t="s">
        <v>36</v>
      </c>
      <c r="AA523" t="s">
        <v>1268</v>
      </c>
      <c r="AB523" t="s">
        <v>36</v>
      </c>
      <c r="AC523">
        <f>IF(Cdacdata[[#This Row],[placement_status]]="Placed",1,0)</f>
        <v>0</v>
      </c>
      <c r="AD523" t="s">
        <v>193</v>
      </c>
      <c r="AE523" t="s">
        <v>47</v>
      </c>
      <c r="AF523" t="s">
        <v>39</v>
      </c>
      <c r="AG523">
        <v>2023</v>
      </c>
      <c r="AH523" t="s">
        <v>111</v>
      </c>
      <c r="AI523" t="str">
        <f>IF(Cdacdata[ccat_rank]&lt;=100,"Top 100",
IF(Cdacdata[ccat_rank]&lt;=500,"101–500",
IF(Cdacdata[ccat_rank]&lt;=1000,"501–1000",
"1000+")))</f>
        <v>1000+</v>
      </c>
    </row>
    <row r="524" spans="1:35" x14ac:dyDescent="0.3">
      <c r="A524" s="1" t="s">
        <v>192</v>
      </c>
      <c r="B524">
        <v>221201267</v>
      </c>
      <c r="C524" s="2">
        <v>44997</v>
      </c>
      <c r="D524" s="2" t="s">
        <v>765</v>
      </c>
      <c r="E524">
        <v>1799</v>
      </c>
      <c r="F524" s="2">
        <v>36208</v>
      </c>
      <c r="G524">
        <v>85.8</v>
      </c>
      <c r="H524">
        <v>59.08</v>
      </c>
      <c r="I524" t="s">
        <v>26</v>
      </c>
      <c r="J524">
        <v>71.900000000000006</v>
      </c>
      <c r="K524" s="3">
        <f t="shared" si="8"/>
        <v>72.260000000000005</v>
      </c>
      <c r="L524" t="s">
        <v>27</v>
      </c>
      <c r="M524" t="s">
        <v>27</v>
      </c>
      <c r="N524">
        <v>24</v>
      </c>
      <c r="O524" t="s">
        <v>28</v>
      </c>
      <c r="P524" t="s">
        <v>52</v>
      </c>
      <c r="Q524" t="s">
        <v>43</v>
      </c>
      <c r="R524">
        <v>398</v>
      </c>
      <c r="S524">
        <v>49.75</v>
      </c>
      <c r="T524" t="s">
        <v>33</v>
      </c>
      <c r="U524" t="s">
        <v>32</v>
      </c>
      <c r="V524" t="s">
        <v>33</v>
      </c>
      <c r="W524" t="s">
        <v>33</v>
      </c>
      <c r="X524" t="s">
        <v>34</v>
      </c>
      <c r="Y524" t="s">
        <v>80</v>
      </c>
      <c r="Z524" t="s">
        <v>36</v>
      </c>
      <c r="AA524" t="s">
        <v>1268</v>
      </c>
      <c r="AB524" t="s">
        <v>36</v>
      </c>
      <c r="AC524">
        <f>IF(Cdacdata[[#This Row],[placement_status]]="Placed",1,0)</f>
        <v>0</v>
      </c>
      <c r="AD524" t="s">
        <v>193</v>
      </c>
      <c r="AE524" t="s">
        <v>47</v>
      </c>
      <c r="AF524" t="s">
        <v>39</v>
      </c>
      <c r="AG524">
        <v>2023</v>
      </c>
      <c r="AH524" t="s">
        <v>111</v>
      </c>
      <c r="AI524" t="str">
        <f>IF(Cdacdata[ccat_rank]&lt;=100,"Top 100",
IF(Cdacdata[ccat_rank]&lt;=500,"101–500",
IF(Cdacdata[ccat_rank]&lt;=1000,"501–1000",
"1000+")))</f>
        <v>1000+</v>
      </c>
    </row>
    <row r="525" spans="1:35" x14ac:dyDescent="0.3">
      <c r="A525" s="1" t="s">
        <v>192</v>
      </c>
      <c r="B525">
        <v>230100227</v>
      </c>
      <c r="C525" s="2">
        <v>44998</v>
      </c>
      <c r="D525" s="2" t="s">
        <v>766</v>
      </c>
      <c r="E525">
        <v>919</v>
      </c>
      <c r="F525" s="2">
        <v>35831</v>
      </c>
      <c r="G525">
        <v>89.6</v>
      </c>
      <c r="H525">
        <v>74.150000000000006</v>
      </c>
      <c r="I525" t="s">
        <v>26</v>
      </c>
      <c r="J525">
        <v>64.91</v>
      </c>
      <c r="K525" s="3">
        <f t="shared" si="8"/>
        <v>76.22</v>
      </c>
      <c r="L525" t="s">
        <v>27</v>
      </c>
      <c r="M525" t="s">
        <v>41</v>
      </c>
      <c r="N525">
        <v>25</v>
      </c>
      <c r="O525" t="s">
        <v>28</v>
      </c>
      <c r="P525" t="s">
        <v>60</v>
      </c>
      <c r="Q525" t="s">
        <v>30</v>
      </c>
      <c r="R525">
        <v>601</v>
      </c>
      <c r="S525">
        <v>75.125</v>
      </c>
      <c r="T525" t="s">
        <v>33</v>
      </c>
      <c r="U525" t="s">
        <v>32</v>
      </c>
      <c r="V525" t="s">
        <v>33</v>
      </c>
      <c r="W525" t="s">
        <v>49</v>
      </c>
      <c r="X525" t="s">
        <v>34</v>
      </c>
      <c r="Y525" t="s">
        <v>58</v>
      </c>
      <c r="Z525" t="s">
        <v>44</v>
      </c>
      <c r="AA525" t="s">
        <v>195</v>
      </c>
      <c r="AB525" t="s">
        <v>46</v>
      </c>
      <c r="AC525">
        <f>IF(Cdacdata[[#This Row],[placement_status]]="Placed",1,0)</f>
        <v>1</v>
      </c>
      <c r="AD525" t="s">
        <v>193</v>
      </c>
      <c r="AE525" t="s">
        <v>75</v>
      </c>
      <c r="AF525" t="s">
        <v>39</v>
      </c>
      <c r="AG525">
        <v>2023</v>
      </c>
      <c r="AH525" t="s">
        <v>111</v>
      </c>
      <c r="AI525" t="str">
        <f>IF(Cdacdata[ccat_rank]&lt;=100,"Top 100",
IF(Cdacdata[ccat_rank]&lt;=500,"101–500",
IF(Cdacdata[ccat_rank]&lt;=1000,"501–1000",
"1000+")))</f>
        <v>501–1000</v>
      </c>
    </row>
    <row r="526" spans="1:35" x14ac:dyDescent="0.3">
      <c r="A526" s="1" t="s">
        <v>192</v>
      </c>
      <c r="B526">
        <v>221204262</v>
      </c>
      <c r="C526" s="2">
        <v>44995</v>
      </c>
      <c r="D526" s="2" t="s">
        <v>767</v>
      </c>
      <c r="E526">
        <v>1765</v>
      </c>
      <c r="F526" s="2">
        <v>36498</v>
      </c>
      <c r="G526">
        <v>88.2</v>
      </c>
      <c r="H526">
        <v>64.31</v>
      </c>
      <c r="I526" t="s">
        <v>26</v>
      </c>
      <c r="J526">
        <v>70.75</v>
      </c>
      <c r="K526" s="3">
        <f t="shared" si="8"/>
        <v>74.42</v>
      </c>
      <c r="L526" t="s">
        <v>27</v>
      </c>
      <c r="M526" t="s">
        <v>41</v>
      </c>
      <c r="N526">
        <v>23</v>
      </c>
      <c r="O526" t="s">
        <v>28</v>
      </c>
      <c r="P526" t="s">
        <v>60</v>
      </c>
      <c r="Q526" t="s">
        <v>30</v>
      </c>
      <c r="R526">
        <v>547</v>
      </c>
      <c r="S526">
        <v>68.375</v>
      </c>
      <c r="T526" t="s">
        <v>49</v>
      </c>
      <c r="U526" t="s">
        <v>32</v>
      </c>
      <c r="V526" t="s">
        <v>49</v>
      </c>
      <c r="W526" t="s">
        <v>33</v>
      </c>
      <c r="X526" t="s">
        <v>34</v>
      </c>
      <c r="Y526" t="s">
        <v>50</v>
      </c>
      <c r="Z526" t="s">
        <v>44</v>
      </c>
      <c r="AA526" t="s">
        <v>114</v>
      </c>
      <c r="AB526" t="s">
        <v>46</v>
      </c>
      <c r="AC526">
        <f>IF(Cdacdata[[#This Row],[placement_status]]="Placed",1,0)</f>
        <v>1</v>
      </c>
      <c r="AD526" t="s">
        <v>193</v>
      </c>
      <c r="AE526" t="s">
        <v>47</v>
      </c>
      <c r="AF526" t="s">
        <v>39</v>
      </c>
      <c r="AG526">
        <v>2023</v>
      </c>
      <c r="AH526" t="s">
        <v>111</v>
      </c>
      <c r="AI526" t="str">
        <f>IF(Cdacdata[ccat_rank]&lt;=100,"Top 100",
IF(Cdacdata[ccat_rank]&lt;=500,"101–500",
IF(Cdacdata[ccat_rank]&lt;=1000,"501–1000",
"1000+")))</f>
        <v>1000+</v>
      </c>
    </row>
    <row r="527" spans="1:35" x14ac:dyDescent="0.3">
      <c r="A527" s="1" t="s">
        <v>192</v>
      </c>
      <c r="B527">
        <v>221202765</v>
      </c>
      <c r="C527" s="2">
        <v>44995</v>
      </c>
      <c r="D527" s="2" t="s">
        <v>768</v>
      </c>
      <c r="E527">
        <v>970</v>
      </c>
      <c r="F527" s="2">
        <v>36866</v>
      </c>
      <c r="G527">
        <v>81.2</v>
      </c>
      <c r="H527" t="s">
        <v>26</v>
      </c>
      <c r="I527">
        <v>86.79</v>
      </c>
      <c r="J527">
        <v>87.68</v>
      </c>
      <c r="K527" s="3">
        <f t="shared" si="8"/>
        <v>85.223333333333343</v>
      </c>
      <c r="L527" t="s">
        <v>27</v>
      </c>
      <c r="M527" t="s">
        <v>41</v>
      </c>
      <c r="N527">
        <v>22</v>
      </c>
      <c r="O527" t="s">
        <v>48</v>
      </c>
      <c r="P527" t="s">
        <v>42</v>
      </c>
      <c r="Q527" t="s">
        <v>30</v>
      </c>
      <c r="R527">
        <v>556</v>
      </c>
      <c r="S527">
        <v>69.5</v>
      </c>
      <c r="T527" t="s">
        <v>49</v>
      </c>
      <c r="U527" t="s">
        <v>32</v>
      </c>
      <c r="V527" t="s">
        <v>49</v>
      </c>
      <c r="W527" t="s">
        <v>49</v>
      </c>
      <c r="X527" t="s">
        <v>34</v>
      </c>
      <c r="Y527" t="s">
        <v>50</v>
      </c>
      <c r="Z527" t="s">
        <v>44</v>
      </c>
      <c r="AA527" t="s">
        <v>74</v>
      </c>
      <c r="AB527" t="s">
        <v>46</v>
      </c>
      <c r="AC527">
        <f>IF(Cdacdata[[#This Row],[placement_status]]="Placed",1,0)</f>
        <v>1</v>
      </c>
      <c r="AD527" t="s">
        <v>193</v>
      </c>
      <c r="AE527" t="s">
        <v>75</v>
      </c>
      <c r="AF527" t="s">
        <v>57</v>
      </c>
      <c r="AG527">
        <v>2023</v>
      </c>
      <c r="AH527" t="s">
        <v>111</v>
      </c>
      <c r="AI527" t="str">
        <f>IF(Cdacdata[ccat_rank]&lt;=100,"Top 100",
IF(Cdacdata[ccat_rank]&lt;=500,"101–500",
IF(Cdacdata[ccat_rank]&lt;=1000,"501–1000",
"1000+")))</f>
        <v>501–1000</v>
      </c>
    </row>
    <row r="528" spans="1:35" x14ac:dyDescent="0.3">
      <c r="A528" s="1" t="s">
        <v>192</v>
      </c>
      <c r="B528">
        <v>221202791</v>
      </c>
      <c r="C528" s="2">
        <v>44997</v>
      </c>
      <c r="D528" s="2" t="s">
        <v>769</v>
      </c>
      <c r="E528">
        <v>1328</v>
      </c>
      <c r="F528" s="2">
        <v>36817</v>
      </c>
      <c r="G528">
        <v>88.2</v>
      </c>
      <c r="H528">
        <v>76.150000000000006</v>
      </c>
      <c r="I528" t="s">
        <v>26</v>
      </c>
      <c r="J528">
        <v>73.8</v>
      </c>
      <c r="K528" s="3">
        <f t="shared" si="8"/>
        <v>79.38333333333334</v>
      </c>
      <c r="L528" t="s">
        <v>27</v>
      </c>
      <c r="M528" t="s">
        <v>27</v>
      </c>
      <c r="N528">
        <v>22</v>
      </c>
      <c r="O528" t="s">
        <v>28</v>
      </c>
      <c r="P528" t="s">
        <v>60</v>
      </c>
      <c r="Q528" t="s">
        <v>30</v>
      </c>
      <c r="R528">
        <v>518</v>
      </c>
      <c r="S528">
        <v>64.75</v>
      </c>
      <c r="T528" t="s">
        <v>33</v>
      </c>
      <c r="U528" t="s">
        <v>32</v>
      </c>
      <c r="V528" t="s">
        <v>33</v>
      </c>
      <c r="W528" t="s">
        <v>33</v>
      </c>
      <c r="X528" t="s">
        <v>34</v>
      </c>
      <c r="Y528" t="s">
        <v>50</v>
      </c>
      <c r="Z528" t="s">
        <v>53</v>
      </c>
      <c r="AA528" t="s">
        <v>54</v>
      </c>
      <c r="AB528" t="s">
        <v>46</v>
      </c>
      <c r="AC528">
        <f>IF(Cdacdata[[#This Row],[placement_status]]="Placed",1,0)</f>
        <v>1</v>
      </c>
      <c r="AD528" t="s">
        <v>193</v>
      </c>
      <c r="AE528" t="s">
        <v>47</v>
      </c>
      <c r="AF528" t="s">
        <v>57</v>
      </c>
      <c r="AG528">
        <v>2023</v>
      </c>
      <c r="AH528" t="s">
        <v>111</v>
      </c>
      <c r="AI528" t="str">
        <f>IF(Cdacdata[ccat_rank]&lt;=100,"Top 100",
IF(Cdacdata[ccat_rank]&lt;=500,"101–500",
IF(Cdacdata[ccat_rank]&lt;=1000,"501–1000",
"1000+")))</f>
        <v>1000+</v>
      </c>
    </row>
    <row r="529" spans="1:35" x14ac:dyDescent="0.3">
      <c r="A529" s="1" t="s">
        <v>192</v>
      </c>
      <c r="B529">
        <v>230103925</v>
      </c>
      <c r="C529" s="2">
        <v>44994</v>
      </c>
      <c r="D529" s="2" t="s">
        <v>770</v>
      </c>
      <c r="E529">
        <v>1782</v>
      </c>
      <c r="F529" s="2">
        <v>35545</v>
      </c>
      <c r="G529">
        <v>92.2</v>
      </c>
      <c r="H529">
        <v>70.150000000000006</v>
      </c>
      <c r="I529" t="s">
        <v>26</v>
      </c>
      <c r="J529">
        <v>63.2</v>
      </c>
      <c r="K529" s="3">
        <f t="shared" si="8"/>
        <v>75.183333333333337</v>
      </c>
      <c r="L529" t="s">
        <v>41</v>
      </c>
      <c r="M529" t="s">
        <v>41</v>
      </c>
      <c r="N529">
        <v>25</v>
      </c>
      <c r="O529" t="s">
        <v>28</v>
      </c>
      <c r="P529" t="s">
        <v>60</v>
      </c>
      <c r="Q529" t="s">
        <v>30</v>
      </c>
      <c r="R529">
        <v>461</v>
      </c>
      <c r="S529">
        <v>57.625</v>
      </c>
      <c r="T529" t="s">
        <v>49</v>
      </c>
      <c r="U529" t="s">
        <v>32</v>
      </c>
      <c r="V529" t="s">
        <v>49</v>
      </c>
      <c r="W529" t="s">
        <v>33</v>
      </c>
      <c r="X529" t="s">
        <v>34</v>
      </c>
      <c r="Y529" t="s">
        <v>35</v>
      </c>
      <c r="Z529" t="s">
        <v>36</v>
      </c>
      <c r="AA529" t="s">
        <v>1268</v>
      </c>
      <c r="AB529" t="s">
        <v>36</v>
      </c>
      <c r="AC529">
        <f>IF(Cdacdata[[#This Row],[placement_status]]="Placed",1,0)</f>
        <v>0</v>
      </c>
      <c r="AD529" t="s">
        <v>193</v>
      </c>
      <c r="AE529" t="s">
        <v>47</v>
      </c>
      <c r="AF529" t="s">
        <v>39</v>
      </c>
      <c r="AG529">
        <v>2023</v>
      </c>
      <c r="AH529" t="s">
        <v>111</v>
      </c>
      <c r="AI529" t="str">
        <f>IF(Cdacdata[ccat_rank]&lt;=100,"Top 100",
IF(Cdacdata[ccat_rank]&lt;=500,"101–500",
IF(Cdacdata[ccat_rank]&lt;=1000,"501–1000",
"1000+")))</f>
        <v>1000+</v>
      </c>
    </row>
    <row r="530" spans="1:35" x14ac:dyDescent="0.3">
      <c r="A530" s="1" t="s">
        <v>192</v>
      </c>
      <c r="B530">
        <v>221205035</v>
      </c>
      <c r="C530" s="2">
        <v>44995</v>
      </c>
      <c r="D530" s="2" t="s">
        <v>771</v>
      </c>
      <c r="E530">
        <v>1851</v>
      </c>
      <c r="F530" s="2">
        <v>35473</v>
      </c>
      <c r="G530">
        <v>68.849999999999994</v>
      </c>
      <c r="H530">
        <v>61.8</v>
      </c>
      <c r="I530" t="s">
        <v>26</v>
      </c>
      <c r="J530">
        <v>68.22</v>
      </c>
      <c r="K530" s="3">
        <f t="shared" si="8"/>
        <v>66.289999999999992</v>
      </c>
      <c r="L530" t="s">
        <v>27</v>
      </c>
      <c r="M530" t="s">
        <v>27</v>
      </c>
      <c r="N530">
        <v>26</v>
      </c>
      <c r="O530" t="s">
        <v>28</v>
      </c>
      <c r="P530" t="s">
        <v>52</v>
      </c>
      <c r="Q530" t="s">
        <v>43</v>
      </c>
      <c r="R530">
        <v>632</v>
      </c>
      <c r="S530">
        <v>79</v>
      </c>
      <c r="T530" t="s">
        <v>49</v>
      </c>
      <c r="U530" t="s">
        <v>32</v>
      </c>
      <c r="V530" t="s">
        <v>49</v>
      </c>
      <c r="W530" t="s">
        <v>49</v>
      </c>
      <c r="X530" t="s">
        <v>34</v>
      </c>
      <c r="Y530" t="s">
        <v>58</v>
      </c>
      <c r="Z530" t="s">
        <v>44</v>
      </c>
      <c r="AA530" t="s">
        <v>196</v>
      </c>
      <c r="AB530" t="s">
        <v>46</v>
      </c>
      <c r="AC530">
        <f>IF(Cdacdata[[#This Row],[placement_status]]="Placed",1,0)</f>
        <v>1</v>
      </c>
      <c r="AD530" t="s">
        <v>193</v>
      </c>
      <c r="AE530" t="s">
        <v>47</v>
      </c>
      <c r="AF530" t="s">
        <v>55</v>
      </c>
      <c r="AG530">
        <v>2023</v>
      </c>
      <c r="AH530" t="s">
        <v>111</v>
      </c>
      <c r="AI530" t="str">
        <f>IF(Cdacdata[ccat_rank]&lt;=100,"Top 100",
IF(Cdacdata[ccat_rank]&lt;=500,"101–500",
IF(Cdacdata[ccat_rank]&lt;=1000,"501–1000",
"1000+")))</f>
        <v>1000+</v>
      </c>
    </row>
    <row r="531" spans="1:35" x14ac:dyDescent="0.3">
      <c r="A531" s="1" t="s">
        <v>192</v>
      </c>
      <c r="B531">
        <v>221203683</v>
      </c>
      <c r="C531" s="2">
        <v>44998</v>
      </c>
      <c r="D531" s="2" t="s">
        <v>772</v>
      </c>
      <c r="E531">
        <v>1002</v>
      </c>
      <c r="F531" s="2">
        <v>35210</v>
      </c>
      <c r="G531">
        <v>92</v>
      </c>
      <c r="H531">
        <v>63.08</v>
      </c>
      <c r="I531" t="s">
        <v>26</v>
      </c>
      <c r="J531">
        <v>69.66</v>
      </c>
      <c r="K531" s="3">
        <f t="shared" si="8"/>
        <v>74.913333333333327</v>
      </c>
      <c r="L531" t="s">
        <v>27</v>
      </c>
      <c r="M531" t="s">
        <v>41</v>
      </c>
      <c r="N531">
        <v>26</v>
      </c>
      <c r="O531" t="s">
        <v>28</v>
      </c>
      <c r="P531" t="s">
        <v>56</v>
      </c>
      <c r="Q531" t="s">
        <v>30</v>
      </c>
      <c r="R531">
        <v>587</v>
      </c>
      <c r="S531">
        <v>73.375</v>
      </c>
      <c r="T531" t="s">
        <v>49</v>
      </c>
      <c r="U531" t="s">
        <v>32</v>
      </c>
      <c r="V531" t="s">
        <v>49</v>
      </c>
      <c r="W531" t="s">
        <v>49</v>
      </c>
      <c r="X531" t="s">
        <v>34</v>
      </c>
      <c r="Y531" t="s">
        <v>58</v>
      </c>
      <c r="Z531" t="s">
        <v>44</v>
      </c>
      <c r="AA531" t="s">
        <v>197</v>
      </c>
      <c r="AB531" t="s">
        <v>46</v>
      </c>
      <c r="AC531">
        <f>IF(Cdacdata[[#This Row],[placement_status]]="Placed",1,0)</f>
        <v>1</v>
      </c>
      <c r="AD531" t="s">
        <v>193</v>
      </c>
      <c r="AE531" t="s">
        <v>47</v>
      </c>
      <c r="AF531" t="s">
        <v>55</v>
      </c>
      <c r="AG531">
        <v>2023</v>
      </c>
      <c r="AH531" t="s">
        <v>111</v>
      </c>
      <c r="AI531" t="str">
        <f>IF(Cdacdata[ccat_rank]&lt;=100,"Top 100",
IF(Cdacdata[ccat_rank]&lt;=500,"101–500",
IF(Cdacdata[ccat_rank]&lt;=1000,"501–1000",
"1000+")))</f>
        <v>1000+</v>
      </c>
    </row>
    <row r="532" spans="1:35" x14ac:dyDescent="0.3">
      <c r="A532" s="1" t="s">
        <v>192</v>
      </c>
      <c r="B532">
        <v>221200314</v>
      </c>
      <c r="C532" s="2">
        <v>44996</v>
      </c>
      <c r="D532" s="2" t="s">
        <v>773</v>
      </c>
      <c r="E532">
        <v>306</v>
      </c>
      <c r="F532" s="2">
        <v>35302</v>
      </c>
      <c r="G532">
        <v>80.67</v>
      </c>
      <c r="H532">
        <v>81.2</v>
      </c>
      <c r="I532" t="s">
        <v>26</v>
      </c>
      <c r="J532">
        <v>79.400000000000006</v>
      </c>
      <c r="K532" s="3">
        <f t="shared" si="8"/>
        <v>80.423333333333332</v>
      </c>
      <c r="L532" t="s">
        <v>27</v>
      </c>
      <c r="M532" t="s">
        <v>41</v>
      </c>
      <c r="N532">
        <v>26</v>
      </c>
      <c r="O532" t="s">
        <v>48</v>
      </c>
      <c r="P532" t="s">
        <v>56</v>
      </c>
      <c r="Q532" t="s">
        <v>30</v>
      </c>
      <c r="R532">
        <v>499</v>
      </c>
      <c r="S532">
        <v>62.375</v>
      </c>
      <c r="T532" t="s">
        <v>33</v>
      </c>
      <c r="U532" t="s">
        <v>32</v>
      </c>
      <c r="V532" t="s">
        <v>33</v>
      </c>
      <c r="W532" t="s">
        <v>31</v>
      </c>
      <c r="X532" t="s">
        <v>34</v>
      </c>
      <c r="Y532" t="s">
        <v>50</v>
      </c>
      <c r="Z532" t="s">
        <v>44</v>
      </c>
      <c r="AA532" t="s">
        <v>77</v>
      </c>
      <c r="AB532" t="s">
        <v>46</v>
      </c>
      <c r="AC532">
        <f>IF(Cdacdata[[#This Row],[placement_status]]="Placed",1,0)</f>
        <v>1</v>
      </c>
      <c r="AD532" t="s">
        <v>193</v>
      </c>
      <c r="AE532" t="s">
        <v>75</v>
      </c>
      <c r="AF532" t="s">
        <v>55</v>
      </c>
      <c r="AG532">
        <v>2023</v>
      </c>
      <c r="AH532" t="s">
        <v>111</v>
      </c>
      <c r="AI532" t="str">
        <f>IF(Cdacdata[ccat_rank]&lt;=100,"Top 100",
IF(Cdacdata[ccat_rank]&lt;=500,"101–500",
IF(Cdacdata[ccat_rank]&lt;=1000,"501–1000",
"1000+")))</f>
        <v>101–500</v>
      </c>
    </row>
    <row r="533" spans="1:35" x14ac:dyDescent="0.3">
      <c r="A533" s="1" t="s">
        <v>192</v>
      </c>
      <c r="B533">
        <v>230101657</v>
      </c>
      <c r="C533" s="2">
        <v>44997</v>
      </c>
      <c r="D533" s="2" t="s">
        <v>774</v>
      </c>
      <c r="E533">
        <v>1752</v>
      </c>
      <c r="F533" s="2">
        <v>36738</v>
      </c>
      <c r="G533">
        <v>87.8</v>
      </c>
      <c r="H533">
        <v>75.38</v>
      </c>
      <c r="I533" t="s">
        <v>26</v>
      </c>
      <c r="J533">
        <v>71.75</v>
      </c>
      <c r="K533" s="3">
        <f t="shared" si="8"/>
        <v>78.31</v>
      </c>
      <c r="L533" t="s">
        <v>27</v>
      </c>
      <c r="M533" t="s">
        <v>27</v>
      </c>
      <c r="N533">
        <v>22</v>
      </c>
      <c r="O533" t="s">
        <v>28</v>
      </c>
      <c r="P533" t="s">
        <v>60</v>
      </c>
      <c r="Q533" t="s">
        <v>30</v>
      </c>
      <c r="R533">
        <v>588</v>
      </c>
      <c r="S533">
        <v>73.5</v>
      </c>
      <c r="T533" t="s">
        <v>49</v>
      </c>
      <c r="U533" t="s">
        <v>32</v>
      </c>
      <c r="V533" t="s">
        <v>49</v>
      </c>
      <c r="W533" t="s">
        <v>49</v>
      </c>
      <c r="X533" t="s">
        <v>34</v>
      </c>
      <c r="Y533" t="s">
        <v>58</v>
      </c>
      <c r="Z533" t="s">
        <v>44</v>
      </c>
      <c r="AA533" t="s">
        <v>121</v>
      </c>
      <c r="AB533" t="s">
        <v>46</v>
      </c>
      <c r="AC533">
        <f>IF(Cdacdata[[#This Row],[placement_status]]="Placed",1,0)</f>
        <v>1</v>
      </c>
      <c r="AD533" t="s">
        <v>193</v>
      </c>
      <c r="AE533" t="s">
        <v>47</v>
      </c>
      <c r="AF533" t="s">
        <v>57</v>
      </c>
      <c r="AG533">
        <v>2023</v>
      </c>
      <c r="AH533" t="s">
        <v>111</v>
      </c>
      <c r="AI533" t="str">
        <f>IF(Cdacdata[ccat_rank]&lt;=100,"Top 100",
IF(Cdacdata[ccat_rank]&lt;=500,"101–500",
IF(Cdacdata[ccat_rank]&lt;=1000,"501–1000",
"1000+")))</f>
        <v>1000+</v>
      </c>
    </row>
    <row r="534" spans="1:35" x14ac:dyDescent="0.3">
      <c r="A534" s="1" t="s">
        <v>192</v>
      </c>
      <c r="B534">
        <v>221202800</v>
      </c>
      <c r="C534" s="2">
        <v>44998</v>
      </c>
      <c r="D534" s="2" t="s">
        <v>775</v>
      </c>
      <c r="E534">
        <v>1769</v>
      </c>
      <c r="F534" s="2">
        <v>36359</v>
      </c>
      <c r="G534">
        <v>86.4</v>
      </c>
      <c r="H534">
        <v>60.77</v>
      </c>
      <c r="I534" t="s">
        <v>26</v>
      </c>
      <c r="J534">
        <v>67.02</v>
      </c>
      <c r="K534" s="3">
        <f t="shared" si="8"/>
        <v>71.396666666666661</v>
      </c>
      <c r="L534" t="s">
        <v>27</v>
      </c>
      <c r="M534" t="s">
        <v>41</v>
      </c>
      <c r="N534">
        <v>23</v>
      </c>
      <c r="O534" t="s">
        <v>28</v>
      </c>
      <c r="P534" t="s">
        <v>60</v>
      </c>
      <c r="Q534" t="s">
        <v>30</v>
      </c>
      <c r="R534">
        <v>465</v>
      </c>
      <c r="S534">
        <v>58.125</v>
      </c>
      <c r="T534" t="s">
        <v>31</v>
      </c>
      <c r="U534" t="s">
        <v>32</v>
      </c>
      <c r="V534" t="s">
        <v>31</v>
      </c>
      <c r="W534" t="s">
        <v>31</v>
      </c>
      <c r="X534" t="s">
        <v>34</v>
      </c>
      <c r="Y534" t="s">
        <v>35</v>
      </c>
      <c r="Z534" t="s">
        <v>36</v>
      </c>
      <c r="AA534" t="s">
        <v>1268</v>
      </c>
      <c r="AB534" t="s">
        <v>36</v>
      </c>
      <c r="AC534">
        <f>IF(Cdacdata[[#This Row],[placement_status]]="Placed",1,0)</f>
        <v>0</v>
      </c>
      <c r="AD534" t="s">
        <v>193</v>
      </c>
      <c r="AE534" t="s">
        <v>47</v>
      </c>
      <c r="AF534" t="s">
        <v>39</v>
      </c>
      <c r="AG534">
        <v>2023</v>
      </c>
      <c r="AH534" t="s">
        <v>111</v>
      </c>
      <c r="AI534" t="str">
        <f>IF(Cdacdata[ccat_rank]&lt;=100,"Top 100",
IF(Cdacdata[ccat_rank]&lt;=500,"101–500",
IF(Cdacdata[ccat_rank]&lt;=1000,"501–1000",
"1000+")))</f>
        <v>1000+</v>
      </c>
    </row>
    <row r="535" spans="1:35" x14ac:dyDescent="0.3">
      <c r="A535" s="1" t="s">
        <v>192</v>
      </c>
      <c r="B535">
        <v>230102985</v>
      </c>
      <c r="C535" s="2">
        <v>44994</v>
      </c>
      <c r="D535" s="2" t="s">
        <v>776</v>
      </c>
      <c r="E535">
        <v>285</v>
      </c>
      <c r="F535" s="2">
        <v>36401</v>
      </c>
      <c r="G535">
        <v>82</v>
      </c>
      <c r="H535">
        <v>66.62</v>
      </c>
      <c r="I535" t="s">
        <v>26</v>
      </c>
      <c r="J535">
        <v>64.3</v>
      </c>
      <c r="K535" s="3">
        <f t="shared" si="8"/>
        <v>70.973333333333343</v>
      </c>
      <c r="L535" t="s">
        <v>27</v>
      </c>
      <c r="M535" t="s">
        <v>27</v>
      </c>
      <c r="N535">
        <v>23</v>
      </c>
      <c r="O535" t="s">
        <v>28</v>
      </c>
      <c r="P535" t="s">
        <v>56</v>
      </c>
      <c r="Q535" t="s">
        <v>43</v>
      </c>
      <c r="R535">
        <v>393</v>
      </c>
      <c r="S535">
        <v>49.125</v>
      </c>
      <c r="T535" t="s">
        <v>33</v>
      </c>
      <c r="U535" t="s">
        <v>32</v>
      </c>
      <c r="V535" t="s">
        <v>33</v>
      </c>
      <c r="W535" t="s">
        <v>31</v>
      </c>
      <c r="X535" t="s">
        <v>34</v>
      </c>
      <c r="Y535" t="s">
        <v>80</v>
      </c>
      <c r="Z535" t="s">
        <v>36</v>
      </c>
      <c r="AA535" t="s">
        <v>1268</v>
      </c>
      <c r="AB535" t="s">
        <v>36</v>
      </c>
      <c r="AC535">
        <f>IF(Cdacdata[[#This Row],[placement_status]]="Placed",1,0)</f>
        <v>0</v>
      </c>
      <c r="AD535" t="s">
        <v>193</v>
      </c>
      <c r="AE535" t="s">
        <v>75</v>
      </c>
      <c r="AF535" t="s">
        <v>39</v>
      </c>
      <c r="AG535">
        <v>2023</v>
      </c>
      <c r="AH535" t="s">
        <v>111</v>
      </c>
      <c r="AI535" t="str">
        <f>IF(Cdacdata[ccat_rank]&lt;=100,"Top 100",
IF(Cdacdata[ccat_rank]&lt;=500,"101–500",
IF(Cdacdata[ccat_rank]&lt;=1000,"501–1000",
"1000+")))</f>
        <v>101–500</v>
      </c>
    </row>
    <row r="536" spans="1:35" x14ac:dyDescent="0.3">
      <c r="A536" s="1" t="s">
        <v>192</v>
      </c>
      <c r="B536">
        <v>221201964</v>
      </c>
      <c r="C536" s="2">
        <v>44998</v>
      </c>
      <c r="D536" s="2" t="s">
        <v>777</v>
      </c>
      <c r="E536">
        <v>1654</v>
      </c>
      <c r="F536" s="2">
        <v>35441</v>
      </c>
      <c r="G536">
        <v>84</v>
      </c>
      <c r="H536">
        <v>62.62</v>
      </c>
      <c r="I536" t="s">
        <v>26</v>
      </c>
      <c r="J536">
        <v>64</v>
      </c>
      <c r="K536" s="3">
        <f t="shared" si="8"/>
        <v>70.206666666666663</v>
      </c>
      <c r="L536" t="s">
        <v>27</v>
      </c>
      <c r="M536" t="s">
        <v>41</v>
      </c>
      <c r="N536">
        <v>26</v>
      </c>
      <c r="O536" t="s">
        <v>28</v>
      </c>
      <c r="P536" t="s">
        <v>60</v>
      </c>
      <c r="Q536" t="s">
        <v>30</v>
      </c>
      <c r="R536">
        <v>540</v>
      </c>
      <c r="S536">
        <v>67.5</v>
      </c>
      <c r="T536" t="s">
        <v>33</v>
      </c>
      <c r="U536" t="s">
        <v>32</v>
      </c>
      <c r="V536" t="s">
        <v>33</v>
      </c>
      <c r="W536" t="s">
        <v>33</v>
      </c>
      <c r="X536" t="s">
        <v>34</v>
      </c>
      <c r="Y536" t="s">
        <v>50</v>
      </c>
      <c r="Z536" t="s">
        <v>44</v>
      </c>
      <c r="AA536" t="s">
        <v>196</v>
      </c>
      <c r="AB536" t="s">
        <v>46</v>
      </c>
      <c r="AC536">
        <f>IF(Cdacdata[[#This Row],[placement_status]]="Placed",1,0)</f>
        <v>1</v>
      </c>
      <c r="AD536" t="s">
        <v>193</v>
      </c>
      <c r="AE536" t="s">
        <v>47</v>
      </c>
      <c r="AF536" t="s">
        <v>55</v>
      </c>
      <c r="AG536">
        <v>2023</v>
      </c>
      <c r="AH536" t="s">
        <v>111</v>
      </c>
      <c r="AI536" t="str">
        <f>IF(Cdacdata[ccat_rank]&lt;=100,"Top 100",
IF(Cdacdata[ccat_rank]&lt;=500,"101–500",
IF(Cdacdata[ccat_rank]&lt;=1000,"501–1000",
"1000+")))</f>
        <v>1000+</v>
      </c>
    </row>
    <row r="537" spans="1:35" x14ac:dyDescent="0.3">
      <c r="A537" s="1" t="s">
        <v>192</v>
      </c>
      <c r="B537">
        <v>230102645</v>
      </c>
      <c r="C537" s="2">
        <v>44996</v>
      </c>
      <c r="D537" s="2" t="s">
        <v>778</v>
      </c>
      <c r="E537">
        <v>1349</v>
      </c>
      <c r="F537" s="2">
        <v>34885</v>
      </c>
      <c r="G537">
        <v>77.900000000000006</v>
      </c>
      <c r="H537">
        <v>62</v>
      </c>
      <c r="I537" t="s">
        <v>26</v>
      </c>
      <c r="J537">
        <v>68.66</v>
      </c>
      <c r="K537" s="3">
        <f t="shared" si="8"/>
        <v>69.52</v>
      </c>
      <c r="L537" t="s">
        <v>41</v>
      </c>
      <c r="M537" t="s">
        <v>27</v>
      </c>
      <c r="N537">
        <v>27</v>
      </c>
      <c r="O537" t="s">
        <v>28</v>
      </c>
      <c r="P537" t="s">
        <v>26</v>
      </c>
      <c r="Q537" t="s">
        <v>67</v>
      </c>
      <c r="R537">
        <v>459</v>
      </c>
      <c r="S537">
        <v>57.375</v>
      </c>
      <c r="T537" t="s">
        <v>49</v>
      </c>
      <c r="U537" t="s">
        <v>32</v>
      </c>
      <c r="V537" t="s">
        <v>49</v>
      </c>
      <c r="W537" t="s">
        <v>31</v>
      </c>
      <c r="X537" t="s">
        <v>34</v>
      </c>
      <c r="Y537" t="s">
        <v>35</v>
      </c>
      <c r="Z537" t="s">
        <v>36</v>
      </c>
      <c r="AA537" t="s">
        <v>1268</v>
      </c>
      <c r="AB537" t="s">
        <v>36</v>
      </c>
      <c r="AC537">
        <f>IF(Cdacdata[[#This Row],[placement_status]]="Placed",1,0)</f>
        <v>0</v>
      </c>
      <c r="AD537" t="s">
        <v>193</v>
      </c>
      <c r="AE537" t="s">
        <v>47</v>
      </c>
      <c r="AF537" t="s">
        <v>55</v>
      </c>
      <c r="AG537">
        <v>2023</v>
      </c>
      <c r="AH537" t="s">
        <v>111</v>
      </c>
      <c r="AI537" t="str">
        <f>IF(Cdacdata[ccat_rank]&lt;=100,"Top 100",
IF(Cdacdata[ccat_rank]&lt;=500,"101–500",
IF(Cdacdata[ccat_rank]&lt;=1000,"501–1000",
"1000+")))</f>
        <v>1000+</v>
      </c>
    </row>
    <row r="538" spans="1:35" x14ac:dyDescent="0.3">
      <c r="A538" s="1" t="s">
        <v>192</v>
      </c>
      <c r="B538">
        <v>230107397</v>
      </c>
      <c r="C538" s="2">
        <v>44999</v>
      </c>
      <c r="D538" s="2" t="s">
        <v>779</v>
      </c>
      <c r="E538">
        <v>413</v>
      </c>
      <c r="F538" s="2">
        <v>34970</v>
      </c>
      <c r="G538">
        <v>88.91</v>
      </c>
      <c r="H538">
        <v>55.67</v>
      </c>
      <c r="I538" t="s">
        <v>26</v>
      </c>
      <c r="J538">
        <v>68.87</v>
      </c>
      <c r="K538" s="3">
        <f t="shared" si="8"/>
        <v>71.149999999999991</v>
      </c>
      <c r="L538" t="s">
        <v>27</v>
      </c>
      <c r="M538" t="s">
        <v>41</v>
      </c>
      <c r="N538">
        <v>27</v>
      </c>
      <c r="O538" t="s">
        <v>28</v>
      </c>
      <c r="P538" t="s">
        <v>52</v>
      </c>
      <c r="Q538" t="s">
        <v>30</v>
      </c>
      <c r="R538">
        <v>532</v>
      </c>
      <c r="S538">
        <v>66.5</v>
      </c>
      <c r="T538" t="s">
        <v>49</v>
      </c>
      <c r="U538" t="s">
        <v>32</v>
      </c>
      <c r="V538" t="s">
        <v>49</v>
      </c>
      <c r="W538" t="s">
        <v>49</v>
      </c>
      <c r="X538" t="s">
        <v>34</v>
      </c>
      <c r="Y538" t="s">
        <v>50</v>
      </c>
      <c r="Z538" t="s">
        <v>36</v>
      </c>
      <c r="AA538" t="s">
        <v>1268</v>
      </c>
      <c r="AB538" t="s">
        <v>36</v>
      </c>
      <c r="AC538">
        <f>IF(Cdacdata[[#This Row],[placement_status]]="Placed",1,0)</f>
        <v>0</v>
      </c>
      <c r="AD538" t="s">
        <v>193</v>
      </c>
      <c r="AE538" t="s">
        <v>75</v>
      </c>
      <c r="AF538" t="s">
        <v>55</v>
      </c>
      <c r="AG538">
        <v>2023</v>
      </c>
      <c r="AH538" t="s">
        <v>111</v>
      </c>
      <c r="AI538" t="str">
        <f>IF(Cdacdata[ccat_rank]&lt;=100,"Top 100",
IF(Cdacdata[ccat_rank]&lt;=500,"101–500",
IF(Cdacdata[ccat_rank]&lt;=1000,"501–1000",
"1000+")))</f>
        <v>101–500</v>
      </c>
    </row>
    <row r="539" spans="1:35" x14ac:dyDescent="0.3">
      <c r="A539" s="1" t="s">
        <v>192</v>
      </c>
      <c r="B539">
        <v>221200824</v>
      </c>
      <c r="C539" s="2">
        <v>44995</v>
      </c>
      <c r="D539" s="2" t="s">
        <v>780</v>
      </c>
      <c r="E539">
        <v>1225</v>
      </c>
      <c r="F539" s="2">
        <v>36760</v>
      </c>
      <c r="G539">
        <v>82.4</v>
      </c>
      <c r="H539" t="s">
        <v>26</v>
      </c>
      <c r="I539">
        <v>84</v>
      </c>
      <c r="J539">
        <v>86</v>
      </c>
      <c r="K539" s="3">
        <f t="shared" si="8"/>
        <v>84.13333333333334</v>
      </c>
      <c r="L539" t="s">
        <v>27</v>
      </c>
      <c r="M539" t="s">
        <v>41</v>
      </c>
      <c r="N539">
        <v>22</v>
      </c>
      <c r="O539" t="s">
        <v>48</v>
      </c>
      <c r="P539" t="s">
        <v>60</v>
      </c>
      <c r="Q539" t="s">
        <v>30</v>
      </c>
      <c r="R539">
        <v>530</v>
      </c>
      <c r="S539">
        <v>66.25</v>
      </c>
      <c r="T539" t="s">
        <v>49</v>
      </c>
      <c r="U539" t="s">
        <v>32</v>
      </c>
      <c r="V539" t="s">
        <v>49</v>
      </c>
      <c r="W539" t="s">
        <v>33</v>
      </c>
      <c r="X539" t="s">
        <v>34</v>
      </c>
      <c r="Y539" t="s">
        <v>50</v>
      </c>
      <c r="Z539" t="s">
        <v>53</v>
      </c>
      <c r="AA539" t="s">
        <v>54</v>
      </c>
      <c r="AB539" t="s">
        <v>46</v>
      </c>
      <c r="AC539">
        <f>IF(Cdacdata[[#This Row],[placement_status]]="Placed",1,0)</f>
        <v>1</v>
      </c>
      <c r="AD539" t="s">
        <v>193</v>
      </c>
      <c r="AE539" t="s">
        <v>47</v>
      </c>
      <c r="AF539" t="s">
        <v>57</v>
      </c>
      <c r="AG539">
        <v>2023</v>
      </c>
      <c r="AH539" t="s">
        <v>111</v>
      </c>
      <c r="AI539" t="str">
        <f>IF(Cdacdata[ccat_rank]&lt;=100,"Top 100",
IF(Cdacdata[ccat_rank]&lt;=500,"101–500",
IF(Cdacdata[ccat_rank]&lt;=1000,"501–1000",
"1000+")))</f>
        <v>1000+</v>
      </c>
    </row>
    <row r="540" spans="1:35" x14ac:dyDescent="0.3">
      <c r="A540" s="1" t="s">
        <v>192</v>
      </c>
      <c r="B540">
        <v>221202919</v>
      </c>
      <c r="C540" s="2">
        <v>44993</v>
      </c>
      <c r="D540" s="2" t="s">
        <v>781</v>
      </c>
      <c r="E540">
        <v>1565</v>
      </c>
      <c r="F540" s="2">
        <v>35247</v>
      </c>
      <c r="G540">
        <v>77.709999999999994</v>
      </c>
      <c r="H540">
        <v>73.3</v>
      </c>
      <c r="I540" t="s">
        <v>26</v>
      </c>
      <c r="J540">
        <v>73.3</v>
      </c>
      <c r="K540" s="3">
        <f t="shared" si="8"/>
        <v>74.77</v>
      </c>
      <c r="L540" t="s">
        <v>27</v>
      </c>
      <c r="M540" t="s">
        <v>41</v>
      </c>
      <c r="N540">
        <v>26</v>
      </c>
      <c r="O540" t="s">
        <v>28</v>
      </c>
      <c r="P540" t="s">
        <v>60</v>
      </c>
      <c r="Q540" t="s">
        <v>30</v>
      </c>
      <c r="R540">
        <v>549</v>
      </c>
      <c r="S540">
        <v>68.625</v>
      </c>
      <c r="T540" t="s">
        <v>49</v>
      </c>
      <c r="U540" t="s">
        <v>32</v>
      </c>
      <c r="V540" t="s">
        <v>49</v>
      </c>
      <c r="W540" t="s">
        <v>49</v>
      </c>
      <c r="X540" t="s">
        <v>34</v>
      </c>
      <c r="Y540" t="s">
        <v>50</v>
      </c>
      <c r="Z540" t="s">
        <v>44</v>
      </c>
      <c r="AA540" t="s">
        <v>194</v>
      </c>
      <c r="AB540" t="s">
        <v>46</v>
      </c>
      <c r="AC540">
        <f>IF(Cdacdata[[#This Row],[placement_status]]="Placed",1,0)</f>
        <v>1</v>
      </c>
      <c r="AD540" t="s">
        <v>193</v>
      </c>
      <c r="AE540" t="s">
        <v>47</v>
      </c>
      <c r="AF540" t="s">
        <v>55</v>
      </c>
      <c r="AG540">
        <v>2023</v>
      </c>
      <c r="AH540" t="s">
        <v>111</v>
      </c>
      <c r="AI540" t="str">
        <f>IF(Cdacdata[ccat_rank]&lt;=100,"Top 100",
IF(Cdacdata[ccat_rank]&lt;=500,"101–500",
IF(Cdacdata[ccat_rank]&lt;=1000,"501–1000",
"1000+")))</f>
        <v>1000+</v>
      </c>
    </row>
    <row r="541" spans="1:35" x14ac:dyDescent="0.3">
      <c r="A541" s="1" t="s">
        <v>192</v>
      </c>
      <c r="B541">
        <v>230101192</v>
      </c>
      <c r="C541" s="2">
        <v>44995</v>
      </c>
      <c r="D541" s="2" t="s">
        <v>782</v>
      </c>
      <c r="E541">
        <v>1468</v>
      </c>
      <c r="F541" s="2">
        <v>35607</v>
      </c>
      <c r="G541">
        <v>84.4</v>
      </c>
      <c r="H541">
        <v>63</v>
      </c>
      <c r="I541" t="s">
        <v>26</v>
      </c>
      <c r="J541">
        <v>77.709999999999994</v>
      </c>
      <c r="K541" s="3">
        <f t="shared" si="8"/>
        <v>75.036666666666676</v>
      </c>
      <c r="L541" t="s">
        <v>27</v>
      </c>
      <c r="M541" t="s">
        <v>27</v>
      </c>
      <c r="N541">
        <v>25</v>
      </c>
      <c r="O541" t="s">
        <v>48</v>
      </c>
      <c r="P541" t="s">
        <v>42</v>
      </c>
      <c r="Q541" t="s">
        <v>30</v>
      </c>
      <c r="R541">
        <v>585</v>
      </c>
      <c r="S541">
        <v>73.125</v>
      </c>
      <c r="T541" t="s">
        <v>33</v>
      </c>
      <c r="U541" t="s">
        <v>32</v>
      </c>
      <c r="V541" t="s">
        <v>33</v>
      </c>
      <c r="W541" t="s">
        <v>49</v>
      </c>
      <c r="X541" t="s">
        <v>34</v>
      </c>
      <c r="Y541" t="s">
        <v>58</v>
      </c>
      <c r="Z541" t="s">
        <v>44</v>
      </c>
      <c r="AA541" t="s">
        <v>74</v>
      </c>
      <c r="AB541" t="s">
        <v>46</v>
      </c>
      <c r="AC541">
        <f>IF(Cdacdata[[#This Row],[placement_status]]="Placed",1,0)</f>
        <v>1</v>
      </c>
      <c r="AD541" t="s">
        <v>193</v>
      </c>
      <c r="AE541" t="s">
        <v>47</v>
      </c>
      <c r="AF541" t="s">
        <v>39</v>
      </c>
      <c r="AG541">
        <v>2023</v>
      </c>
      <c r="AH541" t="s">
        <v>111</v>
      </c>
      <c r="AI541" t="str">
        <f>IF(Cdacdata[ccat_rank]&lt;=100,"Top 100",
IF(Cdacdata[ccat_rank]&lt;=500,"101–500",
IF(Cdacdata[ccat_rank]&lt;=1000,"501–1000",
"1000+")))</f>
        <v>1000+</v>
      </c>
    </row>
    <row r="542" spans="1:35" x14ac:dyDescent="0.3">
      <c r="A542" s="1" t="s">
        <v>192</v>
      </c>
      <c r="B542">
        <v>221207584</v>
      </c>
      <c r="C542" s="2">
        <v>44995</v>
      </c>
      <c r="D542" s="2" t="s">
        <v>783</v>
      </c>
      <c r="E542">
        <v>1496</v>
      </c>
      <c r="F542" s="2">
        <v>36751</v>
      </c>
      <c r="G542">
        <v>92.04</v>
      </c>
      <c r="H542">
        <v>71.23</v>
      </c>
      <c r="I542" t="s">
        <v>26</v>
      </c>
      <c r="J542">
        <v>78.599999999999994</v>
      </c>
      <c r="K542" s="3">
        <f t="shared" si="8"/>
        <v>80.623333333333335</v>
      </c>
      <c r="L542" t="s">
        <v>27</v>
      </c>
      <c r="M542" t="s">
        <v>27</v>
      </c>
      <c r="N542">
        <v>22</v>
      </c>
      <c r="O542" t="s">
        <v>48</v>
      </c>
      <c r="P542" t="s">
        <v>56</v>
      </c>
      <c r="Q542" t="s">
        <v>43</v>
      </c>
      <c r="R542">
        <v>490</v>
      </c>
      <c r="S542">
        <v>61.25</v>
      </c>
      <c r="T542" t="s">
        <v>49</v>
      </c>
      <c r="U542" t="s">
        <v>32</v>
      </c>
      <c r="V542" t="s">
        <v>49</v>
      </c>
      <c r="W542" t="s">
        <v>31</v>
      </c>
      <c r="X542" t="s">
        <v>34</v>
      </c>
      <c r="Y542" t="s">
        <v>50</v>
      </c>
      <c r="Z542" t="s">
        <v>44</v>
      </c>
      <c r="AA542" t="s">
        <v>128</v>
      </c>
      <c r="AB542" t="s">
        <v>46</v>
      </c>
      <c r="AC542">
        <f>IF(Cdacdata[[#This Row],[placement_status]]="Placed",1,0)</f>
        <v>1</v>
      </c>
      <c r="AD542" t="s">
        <v>193</v>
      </c>
      <c r="AE542" t="s">
        <v>47</v>
      </c>
      <c r="AF542" t="s">
        <v>57</v>
      </c>
      <c r="AG542">
        <v>2023</v>
      </c>
      <c r="AH542" t="s">
        <v>111</v>
      </c>
      <c r="AI542" t="str">
        <f>IF(Cdacdata[ccat_rank]&lt;=100,"Top 100",
IF(Cdacdata[ccat_rank]&lt;=500,"101–500",
IF(Cdacdata[ccat_rank]&lt;=1000,"501–1000",
"1000+")))</f>
        <v>1000+</v>
      </c>
    </row>
    <row r="543" spans="1:35" x14ac:dyDescent="0.3">
      <c r="A543" s="1" t="s">
        <v>192</v>
      </c>
      <c r="B543">
        <v>221204981</v>
      </c>
      <c r="C543" s="2">
        <v>44995</v>
      </c>
      <c r="D543" s="2" t="s">
        <v>784</v>
      </c>
      <c r="E543">
        <v>1560</v>
      </c>
      <c r="F543" s="2">
        <v>35765</v>
      </c>
      <c r="G543">
        <v>64</v>
      </c>
      <c r="H543">
        <v>60</v>
      </c>
      <c r="I543">
        <v>60.91</v>
      </c>
      <c r="J543">
        <v>60.91</v>
      </c>
      <c r="K543" s="3">
        <f t="shared" si="8"/>
        <v>61.454999999999998</v>
      </c>
      <c r="L543" t="s">
        <v>27</v>
      </c>
      <c r="M543" t="s">
        <v>27</v>
      </c>
      <c r="N543">
        <v>25</v>
      </c>
      <c r="O543" t="s">
        <v>28</v>
      </c>
      <c r="P543" t="s">
        <v>56</v>
      </c>
      <c r="Q543" t="s">
        <v>30</v>
      </c>
      <c r="R543">
        <v>483</v>
      </c>
      <c r="S543">
        <v>60.375</v>
      </c>
      <c r="T543" t="s">
        <v>49</v>
      </c>
      <c r="U543" t="s">
        <v>32</v>
      </c>
      <c r="V543" t="s">
        <v>49</v>
      </c>
      <c r="W543" t="s">
        <v>49</v>
      </c>
      <c r="X543" t="s">
        <v>34</v>
      </c>
      <c r="Y543" t="s">
        <v>50</v>
      </c>
      <c r="Z543" t="s">
        <v>36</v>
      </c>
      <c r="AA543" t="s">
        <v>1268</v>
      </c>
      <c r="AB543" t="s">
        <v>36</v>
      </c>
      <c r="AC543">
        <f>IF(Cdacdata[[#This Row],[placement_status]]="Placed",1,0)</f>
        <v>0</v>
      </c>
      <c r="AD543" t="s">
        <v>193</v>
      </c>
      <c r="AE543" t="s">
        <v>47</v>
      </c>
      <c r="AF543" t="s">
        <v>39</v>
      </c>
      <c r="AG543">
        <v>2023</v>
      </c>
      <c r="AH543" t="s">
        <v>111</v>
      </c>
      <c r="AI543" t="str">
        <f>IF(Cdacdata[ccat_rank]&lt;=100,"Top 100",
IF(Cdacdata[ccat_rank]&lt;=500,"101–500",
IF(Cdacdata[ccat_rank]&lt;=1000,"501–1000",
"1000+")))</f>
        <v>1000+</v>
      </c>
    </row>
    <row r="544" spans="1:35" x14ac:dyDescent="0.3">
      <c r="A544" s="1" t="s">
        <v>192</v>
      </c>
      <c r="B544">
        <v>221200875</v>
      </c>
      <c r="C544" s="2">
        <v>44998</v>
      </c>
      <c r="D544" s="2" t="s">
        <v>785</v>
      </c>
      <c r="E544">
        <v>1663</v>
      </c>
      <c r="F544" s="2">
        <v>35587</v>
      </c>
      <c r="G544">
        <v>73.819999999999993</v>
      </c>
      <c r="H544">
        <v>65.23</v>
      </c>
      <c r="I544" t="s">
        <v>26</v>
      </c>
      <c r="J544">
        <v>68.400000000000006</v>
      </c>
      <c r="K544" s="3">
        <f t="shared" si="8"/>
        <v>69.150000000000006</v>
      </c>
      <c r="L544" t="s">
        <v>27</v>
      </c>
      <c r="M544" t="s">
        <v>41</v>
      </c>
      <c r="N544">
        <v>25</v>
      </c>
      <c r="O544" t="s">
        <v>28</v>
      </c>
      <c r="P544" t="s">
        <v>52</v>
      </c>
      <c r="Q544" t="s">
        <v>30</v>
      </c>
      <c r="R544">
        <v>479</v>
      </c>
      <c r="S544">
        <v>59.875</v>
      </c>
      <c r="T544" t="s">
        <v>33</v>
      </c>
      <c r="U544" t="s">
        <v>32</v>
      </c>
      <c r="V544" t="s">
        <v>33</v>
      </c>
      <c r="W544" t="s">
        <v>33</v>
      </c>
      <c r="X544" t="s">
        <v>34</v>
      </c>
      <c r="Y544" t="s">
        <v>35</v>
      </c>
      <c r="Z544" t="s">
        <v>44</v>
      </c>
      <c r="AA544" t="s">
        <v>83</v>
      </c>
      <c r="AB544" t="s">
        <v>46</v>
      </c>
      <c r="AC544">
        <f>IF(Cdacdata[[#This Row],[placement_status]]="Placed",1,0)</f>
        <v>1</v>
      </c>
      <c r="AD544" t="s">
        <v>193</v>
      </c>
      <c r="AE544" t="s">
        <v>47</v>
      </c>
      <c r="AF544" t="s">
        <v>39</v>
      </c>
      <c r="AG544">
        <v>2023</v>
      </c>
      <c r="AH544" t="s">
        <v>111</v>
      </c>
      <c r="AI544" t="str">
        <f>IF(Cdacdata[ccat_rank]&lt;=100,"Top 100",
IF(Cdacdata[ccat_rank]&lt;=500,"101–500",
IF(Cdacdata[ccat_rank]&lt;=1000,"501–1000",
"1000+")))</f>
        <v>1000+</v>
      </c>
    </row>
    <row r="545" spans="1:35" x14ac:dyDescent="0.3">
      <c r="A545" s="1" t="s">
        <v>192</v>
      </c>
      <c r="B545">
        <v>221200365</v>
      </c>
      <c r="C545" s="2">
        <v>44995</v>
      </c>
      <c r="D545" s="2" t="s">
        <v>786</v>
      </c>
      <c r="E545">
        <v>1261</v>
      </c>
      <c r="F545" s="2">
        <v>36694</v>
      </c>
      <c r="G545">
        <v>95.2</v>
      </c>
      <c r="H545">
        <v>77.540000000000006</v>
      </c>
      <c r="I545" t="s">
        <v>26</v>
      </c>
      <c r="J545">
        <v>82.95</v>
      </c>
      <c r="K545" s="3">
        <f t="shared" si="8"/>
        <v>85.23</v>
      </c>
      <c r="L545" t="s">
        <v>27</v>
      </c>
      <c r="M545" t="s">
        <v>41</v>
      </c>
      <c r="N545">
        <v>22</v>
      </c>
      <c r="O545" t="s">
        <v>48</v>
      </c>
      <c r="P545" t="s">
        <v>56</v>
      </c>
      <c r="Q545" t="s">
        <v>30</v>
      </c>
      <c r="R545">
        <v>592</v>
      </c>
      <c r="S545">
        <v>74</v>
      </c>
      <c r="T545" t="s">
        <v>49</v>
      </c>
      <c r="U545" t="s">
        <v>32</v>
      </c>
      <c r="V545" t="s">
        <v>49</v>
      </c>
      <c r="W545" t="s">
        <v>49</v>
      </c>
      <c r="X545" t="s">
        <v>34</v>
      </c>
      <c r="Y545" t="s">
        <v>58</v>
      </c>
      <c r="Z545" t="s">
        <v>44</v>
      </c>
      <c r="AA545" t="s">
        <v>174</v>
      </c>
      <c r="AB545" t="s">
        <v>46</v>
      </c>
      <c r="AC545">
        <f>IF(Cdacdata[[#This Row],[placement_status]]="Placed",1,0)</f>
        <v>1</v>
      </c>
      <c r="AD545" t="s">
        <v>193</v>
      </c>
      <c r="AE545" t="s">
        <v>47</v>
      </c>
      <c r="AF545" t="s">
        <v>57</v>
      </c>
      <c r="AG545">
        <v>2023</v>
      </c>
      <c r="AH545" t="s">
        <v>111</v>
      </c>
      <c r="AI545" t="str">
        <f>IF(Cdacdata[ccat_rank]&lt;=100,"Top 100",
IF(Cdacdata[ccat_rank]&lt;=500,"101–500",
IF(Cdacdata[ccat_rank]&lt;=1000,"501–1000",
"1000+")))</f>
        <v>1000+</v>
      </c>
    </row>
    <row r="546" spans="1:35" x14ac:dyDescent="0.3">
      <c r="A546" s="1" t="s">
        <v>192</v>
      </c>
      <c r="B546">
        <v>221206417</v>
      </c>
      <c r="C546" s="2">
        <v>44999</v>
      </c>
      <c r="D546" s="2" t="s">
        <v>787</v>
      </c>
      <c r="E546">
        <v>1803</v>
      </c>
      <c r="F546" s="2">
        <v>35527</v>
      </c>
      <c r="G546">
        <v>75.400000000000006</v>
      </c>
      <c r="H546">
        <v>58.92</v>
      </c>
      <c r="I546" t="s">
        <v>26</v>
      </c>
      <c r="J546">
        <v>72.58</v>
      </c>
      <c r="K546" s="3">
        <f t="shared" si="8"/>
        <v>68.966666666666654</v>
      </c>
      <c r="L546" t="s">
        <v>27</v>
      </c>
      <c r="M546" t="s">
        <v>41</v>
      </c>
      <c r="N546">
        <v>25</v>
      </c>
      <c r="O546" t="s">
        <v>28</v>
      </c>
      <c r="P546" t="s">
        <v>42</v>
      </c>
      <c r="Q546" t="s">
        <v>43</v>
      </c>
      <c r="R546">
        <v>239</v>
      </c>
      <c r="S546">
        <v>29.875</v>
      </c>
      <c r="T546" t="s">
        <v>31</v>
      </c>
      <c r="U546" t="s">
        <v>64</v>
      </c>
      <c r="V546" t="s">
        <v>31</v>
      </c>
      <c r="W546" t="s">
        <v>64</v>
      </c>
      <c r="X546" t="s">
        <v>34</v>
      </c>
      <c r="Y546" t="s">
        <v>64</v>
      </c>
      <c r="Z546" t="s">
        <v>36</v>
      </c>
      <c r="AA546" t="s">
        <v>1268</v>
      </c>
      <c r="AB546" t="s">
        <v>36</v>
      </c>
      <c r="AC546">
        <f>IF(Cdacdata[[#This Row],[placement_status]]="Placed",1,0)</f>
        <v>0</v>
      </c>
      <c r="AD546" t="s">
        <v>193</v>
      </c>
      <c r="AE546" t="s">
        <v>47</v>
      </c>
      <c r="AF546" t="s">
        <v>39</v>
      </c>
      <c r="AG546">
        <v>2023</v>
      </c>
      <c r="AH546" t="s">
        <v>111</v>
      </c>
      <c r="AI546" t="str">
        <f>IF(Cdacdata[ccat_rank]&lt;=100,"Top 100",
IF(Cdacdata[ccat_rank]&lt;=500,"101–500",
IF(Cdacdata[ccat_rank]&lt;=1000,"501–1000",
"1000+")))</f>
        <v>1000+</v>
      </c>
    </row>
    <row r="547" spans="1:35" x14ac:dyDescent="0.3">
      <c r="A547" s="1" t="s">
        <v>192</v>
      </c>
      <c r="B547">
        <v>221202140</v>
      </c>
      <c r="C547" s="2">
        <v>44994</v>
      </c>
      <c r="D547" s="2" t="s">
        <v>788</v>
      </c>
      <c r="E547">
        <v>1707</v>
      </c>
      <c r="F547" s="2">
        <v>36847</v>
      </c>
      <c r="G547">
        <v>92.4</v>
      </c>
      <c r="H547">
        <v>70.77</v>
      </c>
      <c r="I547" t="s">
        <v>26</v>
      </c>
      <c r="J547">
        <v>71</v>
      </c>
      <c r="K547" s="3">
        <f t="shared" si="8"/>
        <v>78.056666666666672</v>
      </c>
      <c r="L547" t="s">
        <v>27</v>
      </c>
      <c r="M547" t="s">
        <v>27</v>
      </c>
      <c r="N547">
        <v>22</v>
      </c>
      <c r="O547" t="s">
        <v>28</v>
      </c>
      <c r="P547" t="s">
        <v>65</v>
      </c>
      <c r="Q547" t="s">
        <v>30</v>
      </c>
      <c r="R547">
        <v>400</v>
      </c>
      <c r="S547">
        <v>50</v>
      </c>
      <c r="T547" t="s">
        <v>33</v>
      </c>
      <c r="U547" t="s">
        <v>32</v>
      </c>
      <c r="V547" t="s">
        <v>33</v>
      </c>
      <c r="W547" t="s">
        <v>31</v>
      </c>
      <c r="X547" t="s">
        <v>34</v>
      </c>
      <c r="Y547" t="s">
        <v>35</v>
      </c>
      <c r="Z547" t="s">
        <v>36</v>
      </c>
      <c r="AA547" t="s">
        <v>1268</v>
      </c>
      <c r="AB547" t="s">
        <v>36</v>
      </c>
      <c r="AC547">
        <f>IF(Cdacdata[[#This Row],[placement_status]]="Placed",1,0)</f>
        <v>0</v>
      </c>
      <c r="AD547" t="s">
        <v>193</v>
      </c>
      <c r="AE547" t="s">
        <v>47</v>
      </c>
      <c r="AF547" t="s">
        <v>57</v>
      </c>
      <c r="AG547">
        <v>2023</v>
      </c>
      <c r="AH547" t="s">
        <v>111</v>
      </c>
      <c r="AI547" t="str">
        <f>IF(Cdacdata[ccat_rank]&lt;=100,"Top 100",
IF(Cdacdata[ccat_rank]&lt;=500,"101–500",
IF(Cdacdata[ccat_rank]&lt;=1000,"501–1000",
"1000+")))</f>
        <v>1000+</v>
      </c>
    </row>
    <row r="548" spans="1:35" x14ac:dyDescent="0.3">
      <c r="A548" s="1" t="s">
        <v>192</v>
      </c>
      <c r="B548">
        <v>221206564</v>
      </c>
      <c r="C548" s="2">
        <v>44995</v>
      </c>
      <c r="D548" s="2" t="s">
        <v>789</v>
      </c>
      <c r="E548">
        <v>1572</v>
      </c>
      <c r="F548" s="2">
        <v>37028</v>
      </c>
      <c r="G548">
        <v>86.6</v>
      </c>
      <c r="H548">
        <v>84.15</v>
      </c>
      <c r="I548" t="s">
        <v>26</v>
      </c>
      <c r="J548">
        <v>73.180000000000007</v>
      </c>
      <c r="K548" s="3">
        <f t="shared" si="8"/>
        <v>81.31</v>
      </c>
      <c r="L548" t="s">
        <v>27</v>
      </c>
      <c r="M548" t="s">
        <v>41</v>
      </c>
      <c r="N548">
        <v>21</v>
      </c>
      <c r="O548" t="s">
        <v>28</v>
      </c>
      <c r="P548" t="s">
        <v>56</v>
      </c>
      <c r="Q548" t="s">
        <v>30</v>
      </c>
      <c r="R548">
        <v>461</v>
      </c>
      <c r="S548">
        <v>57.625</v>
      </c>
      <c r="T548" t="s">
        <v>31</v>
      </c>
      <c r="U548" t="s">
        <v>32</v>
      </c>
      <c r="V548" t="s">
        <v>31</v>
      </c>
      <c r="W548" t="s">
        <v>31</v>
      </c>
      <c r="X548" t="s">
        <v>34</v>
      </c>
      <c r="Y548" t="s">
        <v>35</v>
      </c>
      <c r="Z548" t="s">
        <v>36</v>
      </c>
      <c r="AA548" t="s">
        <v>1268</v>
      </c>
      <c r="AB548" t="s">
        <v>36</v>
      </c>
      <c r="AC548">
        <f>IF(Cdacdata[[#This Row],[placement_status]]="Placed",1,0)</f>
        <v>0</v>
      </c>
      <c r="AD548" t="s">
        <v>193</v>
      </c>
      <c r="AE548" t="s">
        <v>47</v>
      </c>
      <c r="AF548" t="s">
        <v>57</v>
      </c>
      <c r="AG548">
        <v>2023</v>
      </c>
      <c r="AH548" t="s">
        <v>111</v>
      </c>
      <c r="AI548" t="str">
        <f>IF(Cdacdata[ccat_rank]&lt;=100,"Top 100",
IF(Cdacdata[ccat_rank]&lt;=500,"101–500",
IF(Cdacdata[ccat_rank]&lt;=1000,"501–1000",
"1000+")))</f>
        <v>1000+</v>
      </c>
    </row>
    <row r="549" spans="1:35" x14ac:dyDescent="0.3">
      <c r="A549" s="1" t="s">
        <v>192</v>
      </c>
      <c r="B549">
        <v>230104130</v>
      </c>
      <c r="C549" s="2">
        <v>44996</v>
      </c>
      <c r="D549" s="2" t="s">
        <v>790</v>
      </c>
      <c r="E549">
        <v>265</v>
      </c>
      <c r="F549" s="2">
        <v>36220</v>
      </c>
      <c r="G549">
        <v>72.3</v>
      </c>
      <c r="H549">
        <v>80</v>
      </c>
      <c r="I549" t="s">
        <v>26</v>
      </c>
      <c r="J549">
        <v>87</v>
      </c>
      <c r="K549" s="3">
        <f t="shared" si="8"/>
        <v>79.766666666666666</v>
      </c>
      <c r="L549" t="s">
        <v>27</v>
      </c>
      <c r="M549" t="s">
        <v>41</v>
      </c>
      <c r="N549">
        <v>24</v>
      </c>
      <c r="O549" t="s">
        <v>48</v>
      </c>
      <c r="P549" t="s">
        <v>42</v>
      </c>
      <c r="Q549" t="s">
        <v>43</v>
      </c>
      <c r="R549">
        <v>467</v>
      </c>
      <c r="S549">
        <v>58.375</v>
      </c>
      <c r="T549" t="s">
        <v>31</v>
      </c>
      <c r="U549" t="s">
        <v>32</v>
      </c>
      <c r="V549" t="s">
        <v>31</v>
      </c>
      <c r="W549" t="s">
        <v>31</v>
      </c>
      <c r="X549" t="s">
        <v>34</v>
      </c>
      <c r="Y549" t="s">
        <v>35</v>
      </c>
      <c r="Z549" t="s">
        <v>36</v>
      </c>
      <c r="AA549" t="s">
        <v>1268</v>
      </c>
      <c r="AB549" t="s">
        <v>36</v>
      </c>
      <c r="AC549">
        <f>IF(Cdacdata[[#This Row],[placement_status]]="Placed",1,0)</f>
        <v>0</v>
      </c>
      <c r="AD549" t="s">
        <v>193</v>
      </c>
      <c r="AE549" t="s">
        <v>75</v>
      </c>
      <c r="AF549" t="s">
        <v>39</v>
      </c>
      <c r="AG549">
        <v>2023</v>
      </c>
      <c r="AH549" t="s">
        <v>111</v>
      </c>
      <c r="AI549" t="str">
        <f>IF(Cdacdata[ccat_rank]&lt;=100,"Top 100",
IF(Cdacdata[ccat_rank]&lt;=500,"101–500",
IF(Cdacdata[ccat_rank]&lt;=1000,"501–1000",
"1000+")))</f>
        <v>101–500</v>
      </c>
    </row>
    <row r="550" spans="1:35" x14ac:dyDescent="0.3">
      <c r="A550" s="1" t="s">
        <v>192</v>
      </c>
      <c r="B550">
        <v>221201532</v>
      </c>
      <c r="C550" s="2">
        <v>45000</v>
      </c>
      <c r="D550" s="2" t="s">
        <v>791</v>
      </c>
      <c r="E550">
        <v>1043</v>
      </c>
      <c r="F550" s="2">
        <v>36417</v>
      </c>
      <c r="G550">
        <v>78</v>
      </c>
      <c r="H550" t="s">
        <v>26</v>
      </c>
      <c r="I550">
        <v>79.709999999999994</v>
      </c>
      <c r="J550">
        <v>81.7</v>
      </c>
      <c r="K550" s="3">
        <f t="shared" si="8"/>
        <v>79.803333333333327</v>
      </c>
      <c r="L550" t="s">
        <v>27</v>
      </c>
      <c r="M550" t="s">
        <v>27</v>
      </c>
      <c r="N550">
        <v>23</v>
      </c>
      <c r="O550" t="s">
        <v>48</v>
      </c>
      <c r="P550" t="s">
        <v>65</v>
      </c>
      <c r="Q550" t="s">
        <v>30</v>
      </c>
      <c r="R550">
        <v>540</v>
      </c>
      <c r="S550">
        <v>67.5</v>
      </c>
      <c r="T550" t="s">
        <v>31</v>
      </c>
      <c r="U550" t="s">
        <v>32</v>
      </c>
      <c r="V550" t="s">
        <v>31</v>
      </c>
      <c r="W550" t="s">
        <v>33</v>
      </c>
      <c r="X550" t="s">
        <v>34</v>
      </c>
      <c r="Y550" t="s">
        <v>50</v>
      </c>
      <c r="Z550" t="s">
        <v>44</v>
      </c>
      <c r="AA550" t="s">
        <v>74</v>
      </c>
      <c r="AB550" t="s">
        <v>46</v>
      </c>
      <c r="AC550">
        <f>IF(Cdacdata[[#This Row],[placement_status]]="Placed",1,0)</f>
        <v>1</v>
      </c>
      <c r="AD550" t="s">
        <v>193</v>
      </c>
      <c r="AE550" t="s">
        <v>47</v>
      </c>
      <c r="AF550" t="s">
        <v>39</v>
      </c>
      <c r="AG550">
        <v>2023</v>
      </c>
      <c r="AH550" t="s">
        <v>111</v>
      </c>
      <c r="AI550" t="str">
        <f>IF(Cdacdata[ccat_rank]&lt;=100,"Top 100",
IF(Cdacdata[ccat_rank]&lt;=500,"101–500",
IF(Cdacdata[ccat_rank]&lt;=1000,"501–1000",
"1000+")))</f>
        <v>1000+</v>
      </c>
    </row>
    <row r="551" spans="1:35" x14ac:dyDescent="0.3">
      <c r="A551" s="1" t="s">
        <v>192</v>
      </c>
      <c r="B551">
        <v>230106293</v>
      </c>
      <c r="C551" s="2">
        <v>44996</v>
      </c>
      <c r="D551" s="2" t="s">
        <v>792</v>
      </c>
      <c r="E551">
        <v>1299</v>
      </c>
      <c r="F551" s="2">
        <v>35719</v>
      </c>
      <c r="G551">
        <v>74</v>
      </c>
      <c r="H551">
        <v>54.31</v>
      </c>
      <c r="I551" t="s">
        <v>26</v>
      </c>
      <c r="J551">
        <v>67</v>
      </c>
      <c r="K551" s="3">
        <f t="shared" si="8"/>
        <v>65.103333333333339</v>
      </c>
      <c r="L551" t="s">
        <v>27</v>
      </c>
      <c r="M551" t="s">
        <v>27</v>
      </c>
      <c r="N551">
        <v>25</v>
      </c>
      <c r="O551" t="s">
        <v>28</v>
      </c>
      <c r="P551" t="s">
        <v>60</v>
      </c>
      <c r="Q551" t="s">
        <v>30</v>
      </c>
      <c r="R551">
        <v>308</v>
      </c>
      <c r="S551">
        <v>38.5</v>
      </c>
      <c r="T551" t="s">
        <v>31</v>
      </c>
      <c r="U551" t="s">
        <v>64</v>
      </c>
      <c r="V551" t="s">
        <v>31</v>
      </c>
      <c r="W551" t="s">
        <v>64</v>
      </c>
      <c r="X551" t="s">
        <v>34</v>
      </c>
      <c r="Y551" t="s">
        <v>64</v>
      </c>
      <c r="Z551" t="s">
        <v>36</v>
      </c>
      <c r="AA551" t="s">
        <v>1268</v>
      </c>
      <c r="AB551" t="s">
        <v>36</v>
      </c>
      <c r="AC551">
        <f>IF(Cdacdata[[#This Row],[placement_status]]="Placed",1,0)</f>
        <v>0</v>
      </c>
      <c r="AD551" t="s">
        <v>193</v>
      </c>
      <c r="AE551" t="s">
        <v>47</v>
      </c>
      <c r="AF551" t="s">
        <v>39</v>
      </c>
      <c r="AG551">
        <v>2023</v>
      </c>
      <c r="AH551" t="s">
        <v>111</v>
      </c>
      <c r="AI551" t="str">
        <f>IF(Cdacdata[ccat_rank]&lt;=100,"Top 100",
IF(Cdacdata[ccat_rank]&lt;=500,"101–500",
IF(Cdacdata[ccat_rank]&lt;=1000,"501–1000",
"1000+")))</f>
        <v>1000+</v>
      </c>
    </row>
    <row r="552" spans="1:35" x14ac:dyDescent="0.3">
      <c r="A552" s="1" t="s">
        <v>192</v>
      </c>
      <c r="B552">
        <v>221201191</v>
      </c>
      <c r="C552" s="2">
        <v>44997</v>
      </c>
      <c r="D552" s="2" t="s">
        <v>793</v>
      </c>
      <c r="E552">
        <v>1681</v>
      </c>
      <c r="F552" s="2">
        <v>35533</v>
      </c>
      <c r="G552">
        <v>70</v>
      </c>
      <c r="H552">
        <v>53.4</v>
      </c>
      <c r="I552" t="s">
        <v>26</v>
      </c>
      <c r="J552">
        <v>67.739999999999995</v>
      </c>
      <c r="K552" s="3">
        <f t="shared" si="8"/>
        <v>63.713333333333331</v>
      </c>
      <c r="L552" t="s">
        <v>27</v>
      </c>
      <c r="M552" t="s">
        <v>27</v>
      </c>
      <c r="N552">
        <v>25</v>
      </c>
      <c r="O552" t="s">
        <v>28</v>
      </c>
      <c r="P552" t="s">
        <v>60</v>
      </c>
      <c r="Q552" t="s">
        <v>43</v>
      </c>
      <c r="R552">
        <v>385</v>
      </c>
      <c r="S552">
        <v>48.125</v>
      </c>
      <c r="T552" t="s">
        <v>49</v>
      </c>
      <c r="U552" t="s">
        <v>32</v>
      </c>
      <c r="V552" t="s">
        <v>49</v>
      </c>
      <c r="W552" t="s">
        <v>33</v>
      </c>
      <c r="X552" t="s">
        <v>34</v>
      </c>
      <c r="Y552" t="s">
        <v>80</v>
      </c>
      <c r="Z552" t="s">
        <v>36</v>
      </c>
      <c r="AA552" t="s">
        <v>1268</v>
      </c>
      <c r="AB552" t="s">
        <v>36</v>
      </c>
      <c r="AC552">
        <f>IF(Cdacdata[[#This Row],[placement_status]]="Placed",1,0)</f>
        <v>0</v>
      </c>
      <c r="AD552" t="s">
        <v>193</v>
      </c>
      <c r="AE552" t="s">
        <v>47</v>
      </c>
      <c r="AF552" t="s">
        <v>39</v>
      </c>
      <c r="AG552">
        <v>2023</v>
      </c>
      <c r="AH552" t="s">
        <v>111</v>
      </c>
      <c r="AI552" t="str">
        <f>IF(Cdacdata[ccat_rank]&lt;=100,"Top 100",
IF(Cdacdata[ccat_rank]&lt;=500,"101–500",
IF(Cdacdata[ccat_rank]&lt;=1000,"501–1000",
"1000+")))</f>
        <v>1000+</v>
      </c>
    </row>
    <row r="553" spans="1:35" x14ac:dyDescent="0.3">
      <c r="A553" s="1" t="s">
        <v>192</v>
      </c>
      <c r="B553">
        <v>230106526</v>
      </c>
      <c r="C553" s="2">
        <v>44995</v>
      </c>
      <c r="D553" s="2" t="s">
        <v>794</v>
      </c>
      <c r="E553">
        <v>1192</v>
      </c>
      <c r="F553" s="2">
        <v>36064</v>
      </c>
      <c r="G553">
        <v>83.4</v>
      </c>
      <c r="H553" t="s">
        <v>26</v>
      </c>
      <c r="I553">
        <v>71.760000000000005</v>
      </c>
      <c r="J553">
        <v>59.55</v>
      </c>
      <c r="K553" s="3">
        <f t="shared" si="8"/>
        <v>71.570000000000007</v>
      </c>
      <c r="L553" t="s">
        <v>27</v>
      </c>
      <c r="M553" t="s">
        <v>41</v>
      </c>
      <c r="N553">
        <v>24</v>
      </c>
      <c r="O553" t="s">
        <v>62</v>
      </c>
      <c r="P553" t="s">
        <v>60</v>
      </c>
      <c r="Q553" t="s">
        <v>30</v>
      </c>
      <c r="R553">
        <v>497</v>
      </c>
      <c r="S553">
        <v>62.125</v>
      </c>
      <c r="T553" t="s">
        <v>33</v>
      </c>
      <c r="U553" t="s">
        <v>32</v>
      </c>
      <c r="V553" t="s">
        <v>33</v>
      </c>
      <c r="W553" t="s">
        <v>33</v>
      </c>
      <c r="X553" t="s">
        <v>34</v>
      </c>
      <c r="Y553" t="s">
        <v>50</v>
      </c>
      <c r="Z553" t="s">
        <v>44</v>
      </c>
      <c r="AA553" t="s">
        <v>141</v>
      </c>
      <c r="AB553" t="s">
        <v>46</v>
      </c>
      <c r="AC553">
        <f>IF(Cdacdata[[#This Row],[placement_status]]="Placed",1,0)</f>
        <v>1</v>
      </c>
      <c r="AD553" t="s">
        <v>193</v>
      </c>
      <c r="AE553" t="s">
        <v>47</v>
      </c>
      <c r="AF553" t="s">
        <v>39</v>
      </c>
      <c r="AG553">
        <v>2023</v>
      </c>
      <c r="AH553" t="s">
        <v>111</v>
      </c>
      <c r="AI553" t="str">
        <f>IF(Cdacdata[ccat_rank]&lt;=100,"Top 100",
IF(Cdacdata[ccat_rank]&lt;=500,"101–500",
IF(Cdacdata[ccat_rank]&lt;=1000,"501–1000",
"1000+")))</f>
        <v>1000+</v>
      </c>
    </row>
    <row r="554" spans="1:35" x14ac:dyDescent="0.3">
      <c r="A554" s="1" t="s">
        <v>192</v>
      </c>
      <c r="B554">
        <v>221200649</v>
      </c>
      <c r="C554" s="2">
        <v>44995</v>
      </c>
      <c r="D554" s="2" t="s">
        <v>795</v>
      </c>
      <c r="E554">
        <v>1586</v>
      </c>
      <c r="F554" s="2">
        <v>35050</v>
      </c>
      <c r="G554">
        <v>70.3</v>
      </c>
      <c r="H554">
        <v>68.599999999999994</v>
      </c>
      <c r="I554" t="s">
        <v>26</v>
      </c>
      <c r="J554">
        <v>68.400000000000006</v>
      </c>
      <c r="K554" s="3">
        <f t="shared" si="8"/>
        <v>69.099999999999994</v>
      </c>
      <c r="L554" t="s">
        <v>27</v>
      </c>
      <c r="M554" t="s">
        <v>27</v>
      </c>
      <c r="N554">
        <v>27</v>
      </c>
      <c r="O554" t="s">
        <v>28</v>
      </c>
      <c r="P554" t="s">
        <v>56</v>
      </c>
      <c r="Q554" t="s">
        <v>30</v>
      </c>
      <c r="R554">
        <v>397</v>
      </c>
      <c r="S554">
        <v>49.625</v>
      </c>
      <c r="T554" t="s">
        <v>31</v>
      </c>
      <c r="U554" t="s">
        <v>32</v>
      </c>
      <c r="V554" t="s">
        <v>31</v>
      </c>
      <c r="W554" t="s">
        <v>33</v>
      </c>
      <c r="X554" t="s">
        <v>34</v>
      </c>
      <c r="Y554" t="s">
        <v>80</v>
      </c>
      <c r="Z554" t="s">
        <v>36</v>
      </c>
      <c r="AA554" t="s">
        <v>1268</v>
      </c>
      <c r="AB554" t="s">
        <v>36</v>
      </c>
      <c r="AC554">
        <f>IF(Cdacdata[[#This Row],[placement_status]]="Placed",1,0)</f>
        <v>0</v>
      </c>
      <c r="AD554" t="s">
        <v>193</v>
      </c>
      <c r="AE554" t="s">
        <v>47</v>
      </c>
      <c r="AF554" t="s">
        <v>55</v>
      </c>
      <c r="AG554">
        <v>2023</v>
      </c>
      <c r="AH554" t="s">
        <v>111</v>
      </c>
      <c r="AI554" t="str">
        <f>IF(Cdacdata[ccat_rank]&lt;=100,"Top 100",
IF(Cdacdata[ccat_rank]&lt;=500,"101–500",
IF(Cdacdata[ccat_rank]&lt;=1000,"501–1000",
"1000+")))</f>
        <v>1000+</v>
      </c>
    </row>
    <row r="555" spans="1:35" x14ac:dyDescent="0.3">
      <c r="A555" s="1" t="s">
        <v>192</v>
      </c>
      <c r="B555">
        <v>230107759</v>
      </c>
      <c r="C555" s="2">
        <v>44995</v>
      </c>
      <c r="D555" s="2" t="s">
        <v>796</v>
      </c>
      <c r="E555">
        <v>1639</v>
      </c>
      <c r="F555" s="2">
        <v>35892</v>
      </c>
      <c r="G555">
        <v>86.2</v>
      </c>
      <c r="H555" t="s">
        <v>26</v>
      </c>
      <c r="I555">
        <v>86.3</v>
      </c>
      <c r="J555">
        <v>75.59</v>
      </c>
      <c r="K555" s="3">
        <f t="shared" si="8"/>
        <v>82.696666666666673</v>
      </c>
      <c r="L555" t="s">
        <v>27</v>
      </c>
      <c r="M555" t="s">
        <v>27</v>
      </c>
      <c r="N555">
        <v>24</v>
      </c>
      <c r="O555" t="s">
        <v>48</v>
      </c>
      <c r="P555" t="s">
        <v>42</v>
      </c>
      <c r="Q555" t="s">
        <v>30</v>
      </c>
      <c r="R555">
        <v>555</v>
      </c>
      <c r="S555">
        <v>69.375</v>
      </c>
      <c r="T555" t="s">
        <v>49</v>
      </c>
      <c r="U555" t="s">
        <v>32</v>
      </c>
      <c r="V555" t="s">
        <v>49</v>
      </c>
      <c r="W555" t="s">
        <v>33</v>
      </c>
      <c r="X555" t="s">
        <v>34</v>
      </c>
      <c r="Y555" t="s">
        <v>50</v>
      </c>
      <c r="Z555" t="s">
        <v>44</v>
      </c>
      <c r="AA555" t="s">
        <v>121</v>
      </c>
      <c r="AB555" t="s">
        <v>46</v>
      </c>
      <c r="AC555">
        <f>IF(Cdacdata[[#This Row],[placement_status]]="Placed",1,0)</f>
        <v>1</v>
      </c>
      <c r="AD555" t="s">
        <v>193</v>
      </c>
      <c r="AE555" t="s">
        <v>47</v>
      </c>
      <c r="AF555" t="s">
        <v>39</v>
      </c>
      <c r="AG555">
        <v>2023</v>
      </c>
      <c r="AH555" t="s">
        <v>111</v>
      </c>
      <c r="AI555" t="str">
        <f>IF(Cdacdata[ccat_rank]&lt;=100,"Top 100",
IF(Cdacdata[ccat_rank]&lt;=500,"101–500",
IF(Cdacdata[ccat_rank]&lt;=1000,"501–1000",
"1000+")))</f>
        <v>1000+</v>
      </c>
    </row>
    <row r="556" spans="1:35" x14ac:dyDescent="0.3">
      <c r="A556" s="1" t="s">
        <v>192</v>
      </c>
      <c r="B556">
        <v>221203196</v>
      </c>
      <c r="C556" s="2">
        <v>44995</v>
      </c>
      <c r="D556" s="2" t="s">
        <v>797</v>
      </c>
      <c r="E556">
        <v>1651</v>
      </c>
      <c r="F556" s="2">
        <v>35555</v>
      </c>
      <c r="G556">
        <v>84.6</v>
      </c>
      <c r="H556">
        <v>69.23</v>
      </c>
      <c r="I556">
        <v>84.24</v>
      </c>
      <c r="J556">
        <v>71.19</v>
      </c>
      <c r="K556" s="3">
        <f t="shared" si="8"/>
        <v>77.314999999999998</v>
      </c>
      <c r="L556" t="s">
        <v>27</v>
      </c>
      <c r="M556" t="s">
        <v>41</v>
      </c>
      <c r="N556">
        <v>25</v>
      </c>
      <c r="O556" t="s">
        <v>28</v>
      </c>
      <c r="P556" t="s">
        <v>60</v>
      </c>
      <c r="Q556" t="s">
        <v>30</v>
      </c>
      <c r="R556">
        <v>537</v>
      </c>
      <c r="S556">
        <v>67.125</v>
      </c>
      <c r="T556" t="s">
        <v>31</v>
      </c>
      <c r="U556" t="s">
        <v>32</v>
      </c>
      <c r="V556" t="s">
        <v>31</v>
      </c>
      <c r="W556" t="s">
        <v>31</v>
      </c>
      <c r="X556" t="s">
        <v>34</v>
      </c>
      <c r="Y556" t="s">
        <v>50</v>
      </c>
      <c r="Z556" t="s">
        <v>36</v>
      </c>
      <c r="AA556" t="s">
        <v>1268</v>
      </c>
      <c r="AB556" t="s">
        <v>36</v>
      </c>
      <c r="AC556">
        <f>IF(Cdacdata[[#This Row],[placement_status]]="Placed",1,0)</f>
        <v>0</v>
      </c>
      <c r="AD556" t="s">
        <v>193</v>
      </c>
      <c r="AE556" t="s">
        <v>47</v>
      </c>
      <c r="AF556" t="s">
        <v>39</v>
      </c>
      <c r="AG556">
        <v>2023</v>
      </c>
      <c r="AH556" t="s">
        <v>111</v>
      </c>
      <c r="AI556" t="str">
        <f>IF(Cdacdata[ccat_rank]&lt;=100,"Top 100",
IF(Cdacdata[ccat_rank]&lt;=500,"101–500",
IF(Cdacdata[ccat_rank]&lt;=1000,"501–1000",
"1000+")))</f>
        <v>1000+</v>
      </c>
    </row>
    <row r="557" spans="1:35" x14ac:dyDescent="0.3">
      <c r="A557" s="1" t="s">
        <v>192</v>
      </c>
      <c r="B557">
        <v>230101923</v>
      </c>
      <c r="C557" s="2">
        <v>44995</v>
      </c>
      <c r="D557" s="2" t="s">
        <v>798</v>
      </c>
      <c r="E557">
        <v>1621</v>
      </c>
      <c r="F557" s="2">
        <v>36668</v>
      </c>
      <c r="G557">
        <v>93.4</v>
      </c>
      <c r="H557" t="s">
        <v>26</v>
      </c>
      <c r="I557">
        <v>80.44</v>
      </c>
      <c r="J557">
        <v>87.97</v>
      </c>
      <c r="K557" s="3">
        <f t="shared" si="8"/>
        <v>87.27</v>
      </c>
      <c r="L557" t="s">
        <v>27</v>
      </c>
      <c r="M557" t="s">
        <v>41</v>
      </c>
      <c r="N557">
        <v>22</v>
      </c>
      <c r="O557" t="s">
        <v>48</v>
      </c>
      <c r="P557" t="s">
        <v>60</v>
      </c>
      <c r="Q557" t="s">
        <v>30</v>
      </c>
      <c r="R557">
        <v>499</v>
      </c>
      <c r="S557">
        <v>62.375</v>
      </c>
      <c r="T557" t="s">
        <v>33</v>
      </c>
      <c r="U557" t="s">
        <v>32</v>
      </c>
      <c r="V557" t="s">
        <v>33</v>
      </c>
      <c r="W557" t="s">
        <v>33</v>
      </c>
      <c r="X557" t="s">
        <v>34</v>
      </c>
      <c r="Y557" t="s">
        <v>50</v>
      </c>
      <c r="Z557" t="s">
        <v>36</v>
      </c>
      <c r="AA557" t="s">
        <v>1268</v>
      </c>
      <c r="AB557" t="s">
        <v>36</v>
      </c>
      <c r="AC557">
        <f>IF(Cdacdata[[#This Row],[placement_status]]="Placed",1,0)</f>
        <v>0</v>
      </c>
      <c r="AD557" t="s">
        <v>193</v>
      </c>
      <c r="AE557" t="s">
        <v>47</v>
      </c>
      <c r="AF557" t="s">
        <v>57</v>
      </c>
      <c r="AG557">
        <v>2023</v>
      </c>
      <c r="AH557" t="s">
        <v>111</v>
      </c>
      <c r="AI557" t="str">
        <f>IF(Cdacdata[ccat_rank]&lt;=100,"Top 100",
IF(Cdacdata[ccat_rank]&lt;=500,"101–500",
IF(Cdacdata[ccat_rank]&lt;=1000,"501–1000",
"1000+")))</f>
        <v>1000+</v>
      </c>
    </row>
    <row r="558" spans="1:35" x14ac:dyDescent="0.3">
      <c r="A558" s="1" t="s">
        <v>192</v>
      </c>
      <c r="B558">
        <v>221204123</v>
      </c>
      <c r="C558" s="2">
        <v>44995</v>
      </c>
      <c r="D558" s="2" t="s">
        <v>799</v>
      </c>
      <c r="E558">
        <v>1429</v>
      </c>
      <c r="F558" s="2">
        <v>36302</v>
      </c>
      <c r="G558">
        <v>88.6</v>
      </c>
      <c r="H558">
        <v>71.23</v>
      </c>
      <c r="I558" t="s">
        <v>26</v>
      </c>
      <c r="J558">
        <v>67.67</v>
      </c>
      <c r="K558" s="3">
        <f t="shared" si="8"/>
        <v>75.833333333333329</v>
      </c>
      <c r="L558" t="s">
        <v>27</v>
      </c>
      <c r="M558" t="s">
        <v>27</v>
      </c>
      <c r="N558">
        <v>23</v>
      </c>
      <c r="O558" t="s">
        <v>28</v>
      </c>
      <c r="P558" t="s">
        <v>52</v>
      </c>
      <c r="Q558" t="s">
        <v>30</v>
      </c>
      <c r="R558">
        <v>585</v>
      </c>
      <c r="S558">
        <v>73.125</v>
      </c>
      <c r="T558" t="s">
        <v>49</v>
      </c>
      <c r="U558" t="s">
        <v>32</v>
      </c>
      <c r="V558" t="s">
        <v>49</v>
      </c>
      <c r="W558" t="s">
        <v>49</v>
      </c>
      <c r="X558" t="s">
        <v>34</v>
      </c>
      <c r="Y558" t="s">
        <v>58</v>
      </c>
      <c r="Z558" t="s">
        <v>44</v>
      </c>
      <c r="AA558" t="s">
        <v>198</v>
      </c>
      <c r="AB558" t="s">
        <v>46</v>
      </c>
      <c r="AC558">
        <f>IF(Cdacdata[[#This Row],[placement_status]]="Placed",1,0)</f>
        <v>1</v>
      </c>
      <c r="AD558" t="s">
        <v>193</v>
      </c>
      <c r="AE558" t="s">
        <v>47</v>
      </c>
      <c r="AF558" t="s">
        <v>39</v>
      </c>
      <c r="AG558">
        <v>2023</v>
      </c>
      <c r="AH558" t="s">
        <v>111</v>
      </c>
      <c r="AI558" t="str">
        <f>IF(Cdacdata[ccat_rank]&lt;=100,"Top 100",
IF(Cdacdata[ccat_rank]&lt;=500,"101–500",
IF(Cdacdata[ccat_rank]&lt;=1000,"501–1000",
"1000+")))</f>
        <v>1000+</v>
      </c>
    </row>
    <row r="559" spans="1:35" x14ac:dyDescent="0.3">
      <c r="A559" s="1" t="s">
        <v>192</v>
      </c>
      <c r="B559">
        <v>221203308</v>
      </c>
      <c r="C559" s="2">
        <v>44995</v>
      </c>
      <c r="D559" s="2" t="s">
        <v>800</v>
      </c>
      <c r="E559">
        <v>698</v>
      </c>
      <c r="F559" s="2">
        <v>35962</v>
      </c>
      <c r="G559">
        <v>90.2</v>
      </c>
      <c r="H559">
        <v>73.08</v>
      </c>
      <c r="I559" t="s">
        <v>26</v>
      </c>
      <c r="J559">
        <v>76.64</v>
      </c>
      <c r="K559" s="3">
        <f t="shared" si="8"/>
        <v>79.973333333333343</v>
      </c>
      <c r="L559" t="s">
        <v>27</v>
      </c>
      <c r="M559" t="s">
        <v>27</v>
      </c>
      <c r="N559">
        <v>24</v>
      </c>
      <c r="O559" t="s">
        <v>48</v>
      </c>
      <c r="P559" t="s">
        <v>60</v>
      </c>
      <c r="Q559" t="s">
        <v>30</v>
      </c>
      <c r="R559">
        <v>570</v>
      </c>
      <c r="S559">
        <v>71.25</v>
      </c>
      <c r="T559" t="s">
        <v>33</v>
      </c>
      <c r="U559" t="s">
        <v>32</v>
      </c>
      <c r="V559" t="s">
        <v>33</v>
      </c>
      <c r="W559" t="s">
        <v>31</v>
      </c>
      <c r="X559" t="s">
        <v>34</v>
      </c>
      <c r="Y559" t="s">
        <v>58</v>
      </c>
      <c r="Z559" t="s">
        <v>44</v>
      </c>
      <c r="AA559" t="s">
        <v>199</v>
      </c>
      <c r="AB559" t="s">
        <v>46</v>
      </c>
      <c r="AC559">
        <f>IF(Cdacdata[[#This Row],[placement_status]]="Placed",1,0)</f>
        <v>1</v>
      </c>
      <c r="AD559" t="s">
        <v>193</v>
      </c>
      <c r="AE559" t="s">
        <v>75</v>
      </c>
      <c r="AF559" t="s">
        <v>39</v>
      </c>
      <c r="AG559">
        <v>2023</v>
      </c>
      <c r="AH559" t="s">
        <v>111</v>
      </c>
      <c r="AI559" t="str">
        <f>IF(Cdacdata[ccat_rank]&lt;=100,"Top 100",
IF(Cdacdata[ccat_rank]&lt;=500,"101–500",
IF(Cdacdata[ccat_rank]&lt;=1000,"501–1000",
"1000+")))</f>
        <v>501–1000</v>
      </c>
    </row>
    <row r="560" spans="1:35" x14ac:dyDescent="0.3">
      <c r="A560" s="1" t="s">
        <v>192</v>
      </c>
      <c r="B560">
        <v>230106188</v>
      </c>
      <c r="C560" s="2">
        <v>44995</v>
      </c>
      <c r="D560" s="2" t="s">
        <v>801</v>
      </c>
      <c r="E560">
        <v>1531</v>
      </c>
      <c r="F560" s="2">
        <v>36638</v>
      </c>
      <c r="G560">
        <v>84</v>
      </c>
      <c r="H560">
        <v>66.62</v>
      </c>
      <c r="I560" t="s">
        <v>26</v>
      </c>
      <c r="J560">
        <v>72</v>
      </c>
      <c r="K560" s="3">
        <f t="shared" si="8"/>
        <v>74.206666666666663</v>
      </c>
      <c r="L560" t="s">
        <v>27</v>
      </c>
      <c r="M560" t="s">
        <v>27</v>
      </c>
      <c r="N560">
        <v>22</v>
      </c>
      <c r="O560" t="s">
        <v>28</v>
      </c>
      <c r="P560" t="s">
        <v>60</v>
      </c>
      <c r="Q560" t="s">
        <v>43</v>
      </c>
      <c r="R560">
        <v>319</v>
      </c>
      <c r="S560">
        <v>39.875</v>
      </c>
      <c r="T560" t="s">
        <v>31</v>
      </c>
      <c r="U560" t="s">
        <v>64</v>
      </c>
      <c r="V560" t="s">
        <v>31</v>
      </c>
      <c r="W560" t="s">
        <v>64</v>
      </c>
      <c r="X560" t="s">
        <v>34</v>
      </c>
      <c r="Y560" t="s">
        <v>64</v>
      </c>
      <c r="Z560" t="s">
        <v>36</v>
      </c>
      <c r="AA560" t="s">
        <v>1268</v>
      </c>
      <c r="AB560" t="s">
        <v>36</v>
      </c>
      <c r="AC560">
        <f>IF(Cdacdata[[#This Row],[placement_status]]="Placed",1,0)</f>
        <v>0</v>
      </c>
      <c r="AD560" t="s">
        <v>193</v>
      </c>
      <c r="AE560" t="s">
        <v>47</v>
      </c>
      <c r="AF560" t="s">
        <v>57</v>
      </c>
      <c r="AG560">
        <v>2023</v>
      </c>
      <c r="AH560" t="s">
        <v>111</v>
      </c>
      <c r="AI560" t="str">
        <f>IF(Cdacdata[ccat_rank]&lt;=100,"Top 100",
IF(Cdacdata[ccat_rank]&lt;=500,"101–500",
IF(Cdacdata[ccat_rank]&lt;=1000,"501–1000",
"1000+")))</f>
        <v>1000+</v>
      </c>
    </row>
    <row r="561" spans="1:35" x14ac:dyDescent="0.3">
      <c r="A561" s="1" t="s">
        <v>192</v>
      </c>
      <c r="B561">
        <v>221204946</v>
      </c>
      <c r="C561" s="2">
        <v>44997</v>
      </c>
      <c r="D561" s="2" t="s">
        <v>802</v>
      </c>
      <c r="E561">
        <v>541</v>
      </c>
      <c r="F561" s="2">
        <v>37043</v>
      </c>
      <c r="G561">
        <v>87.4</v>
      </c>
      <c r="H561" t="s">
        <v>26</v>
      </c>
      <c r="I561">
        <v>77.760000000000005</v>
      </c>
      <c r="J561">
        <v>86.24</v>
      </c>
      <c r="K561" s="3">
        <f t="shared" si="8"/>
        <v>83.800000000000011</v>
      </c>
      <c r="L561" t="s">
        <v>27</v>
      </c>
      <c r="M561" t="s">
        <v>27</v>
      </c>
      <c r="N561">
        <v>21</v>
      </c>
      <c r="O561" t="s">
        <v>48</v>
      </c>
      <c r="P561" t="s">
        <v>42</v>
      </c>
      <c r="Q561" t="s">
        <v>30</v>
      </c>
      <c r="R561">
        <v>615</v>
      </c>
      <c r="S561">
        <v>76.875</v>
      </c>
      <c r="T561" t="s">
        <v>33</v>
      </c>
      <c r="U561" t="s">
        <v>32</v>
      </c>
      <c r="V561" t="s">
        <v>33</v>
      </c>
      <c r="W561" t="s">
        <v>49</v>
      </c>
      <c r="X561" t="s">
        <v>34</v>
      </c>
      <c r="Y561" t="s">
        <v>58</v>
      </c>
      <c r="Z561" t="s">
        <v>44</v>
      </c>
      <c r="AA561" t="s">
        <v>121</v>
      </c>
      <c r="AB561" t="s">
        <v>46</v>
      </c>
      <c r="AC561">
        <f>IF(Cdacdata[[#This Row],[placement_status]]="Placed",1,0)</f>
        <v>1</v>
      </c>
      <c r="AD561" t="s">
        <v>193</v>
      </c>
      <c r="AE561" t="s">
        <v>75</v>
      </c>
      <c r="AF561" t="s">
        <v>57</v>
      </c>
      <c r="AG561">
        <v>2023</v>
      </c>
      <c r="AH561" t="s">
        <v>111</v>
      </c>
      <c r="AI561" t="str">
        <f>IF(Cdacdata[ccat_rank]&lt;=100,"Top 100",
IF(Cdacdata[ccat_rank]&lt;=500,"101–500",
IF(Cdacdata[ccat_rank]&lt;=1000,"501–1000",
"1000+")))</f>
        <v>501–1000</v>
      </c>
    </row>
    <row r="562" spans="1:35" x14ac:dyDescent="0.3">
      <c r="A562" s="1" t="s">
        <v>192</v>
      </c>
      <c r="B562">
        <v>221202295</v>
      </c>
      <c r="C562" s="2">
        <v>44995</v>
      </c>
      <c r="D562" s="2" t="s">
        <v>803</v>
      </c>
      <c r="E562">
        <v>1853</v>
      </c>
      <c r="F562" s="2">
        <v>35954</v>
      </c>
      <c r="G562">
        <v>82.2</v>
      </c>
      <c r="H562" t="s">
        <v>26</v>
      </c>
      <c r="I562">
        <v>74.12</v>
      </c>
      <c r="J562">
        <v>71.3</v>
      </c>
      <c r="K562" s="3">
        <f t="shared" si="8"/>
        <v>75.873333333333335</v>
      </c>
      <c r="L562" t="s">
        <v>27</v>
      </c>
      <c r="M562" t="s">
        <v>41</v>
      </c>
      <c r="N562">
        <v>24</v>
      </c>
      <c r="O562" t="s">
        <v>28</v>
      </c>
      <c r="P562" t="s">
        <v>29</v>
      </c>
      <c r="Q562" t="s">
        <v>30</v>
      </c>
      <c r="R562">
        <v>370</v>
      </c>
      <c r="S562">
        <v>46.25</v>
      </c>
      <c r="T562" t="s">
        <v>33</v>
      </c>
      <c r="U562" t="s">
        <v>32</v>
      </c>
      <c r="V562" t="s">
        <v>33</v>
      </c>
      <c r="W562" t="s">
        <v>31</v>
      </c>
      <c r="X562" t="s">
        <v>34</v>
      </c>
      <c r="Y562" t="s">
        <v>80</v>
      </c>
      <c r="Z562" t="s">
        <v>36</v>
      </c>
      <c r="AA562" t="s">
        <v>1268</v>
      </c>
      <c r="AB562" t="s">
        <v>36</v>
      </c>
      <c r="AC562">
        <f>IF(Cdacdata[[#This Row],[placement_status]]="Placed",1,0)</f>
        <v>0</v>
      </c>
      <c r="AD562" t="s">
        <v>193</v>
      </c>
      <c r="AE562" t="s">
        <v>47</v>
      </c>
      <c r="AF562" t="s">
        <v>39</v>
      </c>
      <c r="AG562">
        <v>2023</v>
      </c>
      <c r="AH562" t="s">
        <v>111</v>
      </c>
      <c r="AI562" t="str">
        <f>IF(Cdacdata[ccat_rank]&lt;=100,"Top 100",
IF(Cdacdata[ccat_rank]&lt;=500,"101–500",
IF(Cdacdata[ccat_rank]&lt;=1000,"501–1000",
"1000+")))</f>
        <v>1000+</v>
      </c>
    </row>
    <row r="563" spans="1:35" x14ac:dyDescent="0.3">
      <c r="A563" s="1" t="s">
        <v>192</v>
      </c>
      <c r="B563">
        <v>221206405</v>
      </c>
      <c r="C563" s="2">
        <v>44998</v>
      </c>
      <c r="D563" s="2" t="s">
        <v>804</v>
      </c>
      <c r="E563">
        <v>1217</v>
      </c>
      <c r="F563" s="2">
        <v>35703</v>
      </c>
      <c r="G563">
        <v>89.09</v>
      </c>
      <c r="H563" t="s">
        <v>26</v>
      </c>
      <c r="I563">
        <v>66.47</v>
      </c>
      <c r="J563">
        <v>64.760000000000005</v>
      </c>
      <c r="K563" s="3">
        <f t="shared" si="8"/>
        <v>73.44</v>
      </c>
      <c r="L563" t="s">
        <v>27</v>
      </c>
      <c r="M563" t="s">
        <v>27</v>
      </c>
      <c r="N563">
        <v>25</v>
      </c>
      <c r="O563" t="s">
        <v>28</v>
      </c>
      <c r="P563" t="s">
        <v>60</v>
      </c>
      <c r="Q563" t="s">
        <v>30</v>
      </c>
      <c r="R563">
        <v>563</v>
      </c>
      <c r="S563">
        <v>70.375</v>
      </c>
      <c r="T563" t="s">
        <v>49</v>
      </c>
      <c r="U563" t="s">
        <v>32</v>
      </c>
      <c r="V563" t="s">
        <v>49</v>
      </c>
      <c r="W563" t="s">
        <v>33</v>
      </c>
      <c r="X563" t="s">
        <v>34</v>
      </c>
      <c r="Y563" t="s">
        <v>58</v>
      </c>
      <c r="Z563" t="s">
        <v>44</v>
      </c>
      <c r="AA563" t="s">
        <v>141</v>
      </c>
      <c r="AB563" t="s">
        <v>46</v>
      </c>
      <c r="AC563">
        <f>IF(Cdacdata[[#This Row],[placement_status]]="Placed",1,0)</f>
        <v>1</v>
      </c>
      <c r="AD563" t="s">
        <v>193</v>
      </c>
      <c r="AE563" t="s">
        <v>47</v>
      </c>
      <c r="AF563" t="s">
        <v>39</v>
      </c>
      <c r="AG563">
        <v>2023</v>
      </c>
      <c r="AH563" t="s">
        <v>111</v>
      </c>
      <c r="AI563" t="str">
        <f>IF(Cdacdata[ccat_rank]&lt;=100,"Top 100",
IF(Cdacdata[ccat_rank]&lt;=500,"101–500",
IF(Cdacdata[ccat_rank]&lt;=1000,"501–1000",
"1000+")))</f>
        <v>1000+</v>
      </c>
    </row>
    <row r="564" spans="1:35" x14ac:dyDescent="0.3">
      <c r="A564" s="1" t="s">
        <v>192</v>
      </c>
      <c r="B564">
        <v>221200290</v>
      </c>
      <c r="C564" s="2">
        <v>44995</v>
      </c>
      <c r="D564" s="2" t="s">
        <v>805</v>
      </c>
      <c r="E564">
        <v>1810</v>
      </c>
      <c r="F564" s="2">
        <v>35568</v>
      </c>
      <c r="G564">
        <v>79</v>
      </c>
      <c r="H564">
        <v>60</v>
      </c>
      <c r="I564" t="s">
        <v>26</v>
      </c>
      <c r="J564">
        <v>52</v>
      </c>
      <c r="K564" s="3">
        <f t="shared" si="8"/>
        <v>63.666666666666664</v>
      </c>
      <c r="L564" t="s">
        <v>27</v>
      </c>
      <c r="M564" t="s">
        <v>27</v>
      </c>
      <c r="N564">
        <v>25</v>
      </c>
      <c r="O564" t="s">
        <v>72</v>
      </c>
      <c r="P564" t="s">
        <v>60</v>
      </c>
      <c r="Q564" t="s">
        <v>30</v>
      </c>
      <c r="R564">
        <v>454</v>
      </c>
      <c r="S564">
        <v>56.75</v>
      </c>
      <c r="T564" t="s">
        <v>33</v>
      </c>
      <c r="U564" t="s">
        <v>32</v>
      </c>
      <c r="V564" t="s">
        <v>33</v>
      </c>
      <c r="W564" t="s">
        <v>33</v>
      </c>
      <c r="X564" t="s">
        <v>34</v>
      </c>
      <c r="Y564" t="s">
        <v>35</v>
      </c>
      <c r="Z564" t="s">
        <v>44</v>
      </c>
      <c r="AA564" t="s">
        <v>195</v>
      </c>
      <c r="AB564" t="s">
        <v>46</v>
      </c>
      <c r="AC564">
        <f>IF(Cdacdata[[#This Row],[placement_status]]="Placed",1,0)</f>
        <v>1</v>
      </c>
      <c r="AD564" t="s">
        <v>193</v>
      </c>
      <c r="AE564" t="s">
        <v>47</v>
      </c>
      <c r="AF564" t="s">
        <v>39</v>
      </c>
      <c r="AG564">
        <v>2023</v>
      </c>
      <c r="AH564" t="s">
        <v>111</v>
      </c>
      <c r="AI564" t="str">
        <f>IF(Cdacdata[ccat_rank]&lt;=100,"Top 100",
IF(Cdacdata[ccat_rank]&lt;=500,"101–500",
IF(Cdacdata[ccat_rank]&lt;=1000,"501–1000",
"1000+")))</f>
        <v>1000+</v>
      </c>
    </row>
    <row r="565" spans="1:35" x14ac:dyDescent="0.3">
      <c r="A565" s="1" t="s">
        <v>192</v>
      </c>
      <c r="B565">
        <v>221200063</v>
      </c>
      <c r="C565" s="2">
        <v>44996</v>
      </c>
      <c r="D565" s="2" t="s">
        <v>806</v>
      </c>
      <c r="E565">
        <v>1847</v>
      </c>
      <c r="F565" s="2">
        <v>33217</v>
      </c>
      <c r="G565">
        <v>76</v>
      </c>
      <c r="H565">
        <v>64</v>
      </c>
      <c r="I565" t="s">
        <v>26</v>
      </c>
      <c r="J565">
        <v>76.06</v>
      </c>
      <c r="K565" s="3">
        <f t="shared" si="8"/>
        <v>72.02</v>
      </c>
      <c r="L565" t="s">
        <v>41</v>
      </c>
      <c r="M565" t="s">
        <v>41</v>
      </c>
      <c r="N565">
        <v>32</v>
      </c>
      <c r="O565" t="s">
        <v>48</v>
      </c>
      <c r="P565" t="s">
        <v>56</v>
      </c>
      <c r="Q565" t="s">
        <v>200</v>
      </c>
      <c r="R565">
        <v>562</v>
      </c>
      <c r="S565">
        <v>70.25</v>
      </c>
      <c r="T565" t="s">
        <v>49</v>
      </c>
      <c r="U565" t="s">
        <v>32</v>
      </c>
      <c r="V565" t="s">
        <v>49</v>
      </c>
      <c r="W565" t="s">
        <v>49</v>
      </c>
      <c r="X565" t="s">
        <v>34</v>
      </c>
      <c r="Y565" t="s">
        <v>58</v>
      </c>
      <c r="Z565" t="s">
        <v>44</v>
      </c>
      <c r="AA565" t="s">
        <v>74</v>
      </c>
      <c r="AB565" t="s">
        <v>46</v>
      </c>
      <c r="AC565">
        <f>IF(Cdacdata[[#This Row],[placement_status]]="Placed",1,0)</f>
        <v>1</v>
      </c>
      <c r="AD565" t="s">
        <v>193</v>
      </c>
      <c r="AE565" t="s">
        <v>47</v>
      </c>
      <c r="AF565" t="s">
        <v>69</v>
      </c>
      <c r="AG565">
        <v>2023</v>
      </c>
      <c r="AH565" t="s">
        <v>111</v>
      </c>
      <c r="AI565" t="str">
        <f>IF(Cdacdata[ccat_rank]&lt;=100,"Top 100",
IF(Cdacdata[ccat_rank]&lt;=500,"101–500",
IF(Cdacdata[ccat_rank]&lt;=1000,"501–1000",
"1000+")))</f>
        <v>1000+</v>
      </c>
    </row>
    <row r="566" spans="1:35" x14ac:dyDescent="0.3">
      <c r="A566" s="1" t="s">
        <v>192</v>
      </c>
      <c r="B566">
        <v>221201562</v>
      </c>
      <c r="C566" s="2">
        <v>44995</v>
      </c>
      <c r="D566" s="2" t="s">
        <v>807</v>
      </c>
      <c r="E566">
        <v>1665</v>
      </c>
      <c r="F566" s="2">
        <v>36499</v>
      </c>
      <c r="G566">
        <v>87.4</v>
      </c>
      <c r="H566">
        <v>81</v>
      </c>
      <c r="I566" t="s">
        <v>26</v>
      </c>
      <c r="J566">
        <v>79.819999999999993</v>
      </c>
      <c r="K566" s="3">
        <f t="shared" si="8"/>
        <v>82.74</v>
      </c>
      <c r="L566" t="s">
        <v>27</v>
      </c>
      <c r="M566" t="s">
        <v>27</v>
      </c>
      <c r="N566">
        <v>23</v>
      </c>
      <c r="O566" t="s">
        <v>48</v>
      </c>
      <c r="P566" t="s">
        <v>52</v>
      </c>
      <c r="Q566" t="s">
        <v>43</v>
      </c>
      <c r="R566">
        <v>488</v>
      </c>
      <c r="S566">
        <v>61</v>
      </c>
      <c r="T566" t="s">
        <v>49</v>
      </c>
      <c r="U566" t="s">
        <v>32</v>
      </c>
      <c r="V566" t="s">
        <v>49</v>
      </c>
      <c r="W566" t="s">
        <v>31</v>
      </c>
      <c r="X566" t="s">
        <v>34</v>
      </c>
      <c r="Y566" t="s">
        <v>50</v>
      </c>
      <c r="Z566" t="s">
        <v>44</v>
      </c>
      <c r="AA566" t="s">
        <v>114</v>
      </c>
      <c r="AB566" t="s">
        <v>46</v>
      </c>
      <c r="AC566">
        <f>IF(Cdacdata[[#This Row],[placement_status]]="Placed",1,0)</f>
        <v>1</v>
      </c>
      <c r="AD566" t="s">
        <v>193</v>
      </c>
      <c r="AE566" t="s">
        <v>47</v>
      </c>
      <c r="AF566" t="s">
        <v>39</v>
      </c>
      <c r="AG566">
        <v>2023</v>
      </c>
      <c r="AH566" t="s">
        <v>111</v>
      </c>
      <c r="AI566" t="str">
        <f>IF(Cdacdata[ccat_rank]&lt;=100,"Top 100",
IF(Cdacdata[ccat_rank]&lt;=500,"101–500",
IF(Cdacdata[ccat_rank]&lt;=1000,"501–1000",
"1000+")))</f>
        <v>1000+</v>
      </c>
    </row>
    <row r="567" spans="1:35" x14ac:dyDescent="0.3">
      <c r="A567" s="1" t="s">
        <v>192</v>
      </c>
      <c r="B567">
        <v>230100862</v>
      </c>
      <c r="C567" s="2">
        <v>44998</v>
      </c>
      <c r="D567" s="2" t="s">
        <v>808</v>
      </c>
      <c r="E567">
        <v>1666</v>
      </c>
      <c r="F567" s="2">
        <v>36746</v>
      </c>
      <c r="G567">
        <v>89.2</v>
      </c>
      <c r="H567">
        <v>57.75</v>
      </c>
      <c r="I567" t="s">
        <v>26</v>
      </c>
      <c r="J567">
        <v>76.69</v>
      </c>
      <c r="K567" s="3">
        <f t="shared" si="8"/>
        <v>74.546666666666667</v>
      </c>
      <c r="L567" t="s">
        <v>27</v>
      </c>
      <c r="M567" t="s">
        <v>27</v>
      </c>
      <c r="N567">
        <v>22</v>
      </c>
      <c r="O567" t="s">
        <v>48</v>
      </c>
      <c r="P567" t="s">
        <v>56</v>
      </c>
      <c r="Q567" t="s">
        <v>43</v>
      </c>
      <c r="R567">
        <v>493</v>
      </c>
      <c r="S567">
        <v>61.625</v>
      </c>
      <c r="T567" t="s">
        <v>31</v>
      </c>
      <c r="U567" t="s">
        <v>32</v>
      </c>
      <c r="V567" t="s">
        <v>31</v>
      </c>
      <c r="W567" t="s">
        <v>49</v>
      </c>
      <c r="X567" t="s">
        <v>34</v>
      </c>
      <c r="Y567" t="s">
        <v>50</v>
      </c>
      <c r="Z567" t="s">
        <v>44</v>
      </c>
      <c r="AA567" t="s">
        <v>197</v>
      </c>
      <c r="AB567" t="s">
        <v>46</v>
      </c>
      <c r="AC567">
        <f>IF(Cdacdata[[#This Row],[placement_status]]="Placed",1,0)</f>
        <v>1</v>
      </c>
      <c r="AD567" t="s">
        <v>193</v>
      </c>
      <c r="AE567" t="s">
        <v>47</v>
      </c>
      <c r="AF567" t="s">
        <v>57</v>
      </c>
      <c r="AG567">
        <v>2023</v>
      </c>
      <c r="AH567" t="s">
        <v>111</v>
      </c>
      <c r="AI567" t="str">
        <f>IF(Cdacdata[ccat_rank]&lt;=100,"Top 100",
IF(Cdacdata[ccat_rank]&lt;=500,"101–500",
IF(Cdacdata[ccat_rank]&lt;=1000,"501–1000",
"1000+")))</f>
        <v>1000+</v>
      </c>
    </row>
    <row r="568" spans="1:35" x14ac:dyDescent="0.3">
      <c r="A568" s="1" t="s">
        <v>192</v>
      </c>
      <c r="B568">
        <v>230105101</v>
      </c>
      <c r="C568" s="2">
        <v>44996</v>
      </c>
      <c r="D568" s="2" t="s">
        <v>809</v>
      </c>
      <c r="E568">
        <v>1650</v>
      </c>
      <c r="F568" s="2">
        <v>35901</v>
      </c>
      <c r="G568">
        <v>92.4</v>
      </c>
      <c r="H568" t="s">
        <v>26</v>
      </c>
      <c r="I568">
        <v>82.18</v>
      </c>
      <c r="J568">
        <v>78.64</v>
      </c>
      <c r="K568" s="3">
        <f t="shared" si="8"/>
        <v>84.40666666666668</v>
      </c>
      <c r="L568" t="s">
        <v>27</v>
      </c>
      <c r="M568" t="s">
        <v>41</v>
      </c>
      <c r="N568">
        <v>24</v>
      </c>
      <c r="O568" t="s">
        <v>48</v>
      </c>
      <c r="P568" t="s">
        <v>60</v>
      </c>
      <c r="Q568" t="s">
        <v>30</v>
      </c>
      <c r="R568">
        <v>526</v>
      </c>
      <c r="S568">
        <v>65.75</v>
      </c>
      <c r="T568" t="s">
        <v>49</v>
      </c>
      <c r="U568" t="s">
        <v>32</v>
      </c>
      <c r="V568" t="s">
        <v>49</v>
      </c>
      <c r="W568" t="s">
        <v>33</v>
      </c>
      <c r="X568" t="s">
        <v>34</v>
      </c>
      <c r="Y568" t="s">
        <v>50</v>
      </c>
      <c r="Z568" t="s">
        <v>44</v>
      </c>
      <c r="AA568" t="s">
        <v>121</v>
      </c>
      <c r="AB568" t="s">
        <v>46</v>
      </c>
      <c r="AC568">
        <f>IF(Cdacdata[[#This Row],[placement_status]]="Placed",1,0)</f>
        <v>1</v>
      </c>
      <c r="AD568" t="s">
        <v>193</v>
      </c>
      <c r="AE568" t="s">
        <v>47</v>
      </c>
      <c r="AF568" t="s">
        <v>39</v>
      </c>
      <c r="AG568">
        <v>2023</v>
      </c>
      <c r="AH568" t="s">
        <v>111</v>
      </c>
      <c r="AI568" t="str">
        <f>IF(Cdacdata[ccat_rank]&lt;=100,"Top 100",
IF(Cdacdata[ccat_rank]&lt;=500,"101–500",
IF(Cdacdata[ccat_rank]&lt;=1000,"501–1000",
"1000+")))</f>
        <v>1000+</v>
      </c>
    </row>
    <row r="569" spans="1:35" x14ac:dyDescent="0.3">
      <c r="A569" s="1" t="s">
        <v>192</v>
      </c>
      <c r="B569">
        <v>230105461</v>
      </c>
      <c r="C569" s="2">
        <v>44993</v>
      </c>
      <c r="D569" s="2" t="s">
        <v>810</v>
      </c>
      <c r="E569">
        <v>1602</v>
      </c>
      <c r="F569" s="2">
        <v>36389</v>
      </c>
      <c r="G569">
        <v>90</v>
      </c>
      <c r="H569" t="s">
        <v>26</v>
      </c>
      <c r="I569">
        <v>71.180000000000007</v>
      </c>
      <c r="J569">
        <v>82.16</v>
      </c>
      <c r="K569" s="3">
        <f t="shared" si="8"/>
        <v>81.11333333333333</v>
      </c>
      <c r="L569" t="s">
        <v>27</v>
      </c>
      <c r="M569" t="s">
        <v>41</v>
      </c>
      <c r="N569">
        <v>23</v>
      </c>
      <c r="O569" t="s">
        <v>48</v>
      </c>
      <c r="P569" t="s">
        <v>60</v>
      </c>
      <c r="Q569" t="s">
        <v>30</v>
      </c>
      <c r="R569">
        <v>495</v>
      </c>
      <c r="S569">
        <v>61.875</v>
      </c>
      <c r="T569" t="s">
        <v>31</v>
      </c>
      <c r="U569" t="s">
        <v>32</v>
      </c>
      <c r="V569" t="s">
        <v>31</v>
      </c>
      <c r="W569" t="s">
        <v>49</v>
      </c>
      <c r="X569" t="s">
        <v>34</v>
      </c>
      <c r="Y569" t="s">
        <v>50</v>
      </c>
      <c r="Z569" t="s">
        <v>44</v>
      </c>
      <c r="AA569" t="s">
        <v>74</v>
      </c>
      <c r="AB569" t="s">
        <v>46</v>
      </c>
      <c r="AC569">
        <f>IF(Cdacdata[[#This Row],[placement_status]]="Placed",1,0)</f>
        <v>1</v>
      </c>
      <c r="AD569" t="s">
        <v>193</v>
      </c>
      <c r="AE569" t="s">
        <v>47</v>
      </c>
      <c r="AF569" t="s">
        <v>39</v>
      </c>
      <c r="AG569">
        <v>2023</v>
      </c>
      <c r="AH569" t="s">
        <v>111</v>
      </c>
      <c r="AI569" t="str">
        <f>IF(Cdacdata[ccat_rank]&lt;=100,"Top 100",
IF(Cdacdata[ccat_rank]&lt;=500,"101–500",
IF(Cdacdata[ccat_rank]&lt;=1000,"501–1000",
"1000+")))</f>
        <v>1000+</v>
      </c>
    </row>
    <row r="570" spans="1:35" x14ac:dyDescent="0.3">
      <c r="A570" s="1" t="s">
        <v>192</v>
      </c>
      <c r="B570">
        <v>221200528</v>
      </c>
      <c r="C570" s="2"/>
      <c r="D570" s="2"/>
      <c r="E570" t="s">
        <v>63</v>
      </c>
      <c r="G570">
        <v>0</v>
      </c>
      <c r="H570">
        <v>0</v>
      </c>
      <c r="I570">
        <v>0</v>
      </c>
      <c r="J570">
        <v>0</v>
      </c>
      <c r="K570" s="3">
        <f t="shared" si="8"/>
        <v>0</v>
      </c>
      <c r="L570" t="s">
        <v>27</v>
      </c>
      <c r="M570" t="s">
        <v>27</v>
      </c>
      <c r="N570">
        <v>23</v>
      </c>
      <c r="O570" t="s">
        <v>373</v>
      </c>
      <c r="P570" t="s">
        <v>26</v>
      </c>
      <c r="Q570" t="s">
        <v>374</v>
      </c>
      <c r="R570">
        <v>634</v>
      </c>
      <c r="S570">
        <v>79.25</v>
      </c>
      <c r="T570" t="s">
        <v>49</v>
      </c>
      <c r="U570" t="s">
        <v>32</v>
      </c>
      <c r="V570" t="s">
        <v>49</v>
      </c>
      <c r="W570" t="s">
        <v>49</v>
      </c>
      <c r="X570" t="s">
        <v>34</v>
      </c>
      <c r="Y570" t="s">
        <v>58</v>
      </c>
      <c r="Z570" t="s">
        <v>44</v>
      </c>
      <c r="AA570" t="s">
        <v>201</v>
      </c>
      <c r="AB570" t="s">
        <v>46</v>
      </c>
      <c r="AC570">
        <f>IF(Cdacdata[[#This Row],[placement_status]]="Placed",1,0)</f>
        <v>1</v>
      </c>
      <c r="AD570" t="s">
        <v>193</v>
      </c>
      <c r="AE570" t="s">
        <v>63</v>
      </c>
      <c r="AF570" t="s">
        <v>63</v>
      </c>
      <c r="AG570">
        <v>2023</v>
      </c>
      <c r="AH570" t="s">
        <v>111</v>
      </c>
      <c r="AI570" t="str">
        <f>IF(Cdacdata[ccat_rank]&lt;=100,"Top 100",
IF(Cdacdata[ccat_rank]&lt;=500,"101–500",
IF(Cdacdata[ccat_rank]&lt;=1000,"501–1000",
"1000+")))</f>
        <v>1000+</v>
      </c>
    </row>
    <row r="571" spans="1:35" x14ac:dyDescent="0.3">
      <c r="A571" s="1" t="s">
        <v>192</v>
      </c>
      <c r="B571">
        <v>230109644</v>
      </c>
      <c r="C571" s="2">
        <v>44996</v>
      </c>
      <c r="D571" s="2" t="s">
        <v>811</v>
      </c>
      <c r="E571">
        <v>1789</v>
      </c>
      <c r="F571" s="2">
        <v>35617</v>
      </c>
      <c r="G571">
        <v>80.36</v>
      </c>
      <c r="H571">
        <v>73.69</v>
      </c>
      <c r="I571" t="s">
        <v>26</v>
      </c>
      <c r="J571">
        <v>68.5</v>
      </c>
      <c r="K571" s="3">
        <f t="shared" si="8"/>
        <v>74.183333333333337</v>
      </c>
      <c r="L571" t="s">
        <v>27</v>
      </c>
      <c r="M571" t="s">
        <v>27</v>
      </c>
      <c r="N571">
        <v>25</v>
      </c>
      <c r="O571" t="s">
        <v>28</v>
      </c>
      <c r="P571" t="s">
        <v>52</v>
      </c>
      <c r="Q571" t="s">
        <v>43</v>
      </c>
      <c r="R571">
        <v>445</v>
      </c>
      <c r="S571">
        <v>55.625</v>
      </c>
      <c r="T571" t="s">
        <v>31</v>
      </c>
      <c r="U571" t="s">
        <v>32</v>
      </c>
      <c r="V571" t="s">
        <v>31</v>
      </c>
      <c r="W571" t="s">
        <v>33</v>
      </c>
      <c r="X571" t="s">
        <v>34</v>
      </c>
      <c r="Y571" t="s">
        <v>35</v>
      </c>
      <c r="Z571" t="s">
        <v>36</v>
      </c>
      <c r="AA571" t="s">
        <v>1268</v>
      </c>
      <c r="AB571" t="s">
        <v>36</v>
      </c>
      <c r="AC571">
        <f>IF(Cdacdata[[#This Row],[placement_status]]="Placed",1,0)</f>
        <v>0</v>
      </c>
      <c r="AD571" t="s">
        <v>193</v>
      </c>
      <c r="AE571" t="s">
        <v>47</v>
      </c>
      <c r="AF571" t="s">
        <v>39</v>
      </c>
      <c r="AG571">
        <v>2023</v>
      </c>
      <c r="AH571" t="s">
        <v>111</v>
      </c>
      <c r="AI571" t="str">
        <f>IF(Cdacdata[ccat_rank]&lt;=100,"Top 100",
IF(Cdacdata[ccat_rank]&lt;=500,"101–500",
IF(Cdacdata[ccat_rank]&lt;=1000,"501–1000",
"1000+")))</f>
        <v>1000+</v>
      </c>
    </row>
    <row r="572" spans="1:35" x14ac:dyDescent="0.3">
      <c r="A572" s="1" t="s">
        <v>192</v>
      </c>
      <c r="B572">
        <v>221204353</v>
      </c>
      <c r="C572" s="2">
        <v>44997</v>
      </c>
      <c r="D572" s="2" t="s">
        <v>812</v>
      </c>
      <c r="E572">
        <v>1727</v>
      </c>
      <c r="F572" s="2">
        <v>35903</v>
      </c>
      <c r="G572">
        <v>91.6</v>
      </c>
      <c r="H572">
        <v>64.77</v>
      </c>
      <c r="I572" t="s">
        <v>26</v>
      </c>
      <c r="J572">
        <v>66.88</v>
      </c>
      <c r="K572" s="3">
        <f t="shared" si="8"/>
        <v>74.416666666666671</v>
      </c>
      <c r="L572" t="s">
        <v>27</v>
      </c>
      <c r="M572" t="s">
        <v>41</v>
      </c>
      <c r="N572">
        <v>24</v>
      </c>
      <c r="O572" t="s">
        <v>28</v>
      </c>
      <c r="P572" t="s">
        <v>26</v>
      </c>
      <c r="Q572" t="s">
        <v>43</v>
      </c>
      <c r="R572">
        <v>424</v>
      </c>
      <c r="S572">
        <v>53</v>
      </c>
      <c r="T572" t="s">
        <v>33</v>
      </c>
      <c r="U572" t="s">
        <v>32</v>
      </c>
      <c r="V572" t="s">
        <v>33</v>
      </c>
      <c r="W572" t="s">
        <v>33</v>
      </c>
      <c r="X572" t="s">
        <v>34</v>
      </c>
      <c r="Y572" t="s">
        <v>35</v>
      </c>
      <c r="Z572" t="s">
        <v>36</v>
      </c>
      <c r="AA572" t="s">
        <v>1268</v>
      </c>
      <c r="AB572" t="s">
        <v>36</v>
      </c>
      <c r="AC572">
        <f>IF(Cdacdata[[#This Row],[placement_status]]="Placed",1,0)</f>
        <v>0</v>
      </c>
      <c r="AD572" t="s">
        <v>193</v>
      </c>
      <c r="AE572" t="s">
        <v>47</v>
      </c>
      <c r="AF572" t="s">
        <v>39</v>
      </c>
      <c r="AG572">
        <v>2023</v>
      </c>
      <c r="AH572" t="s">
        <v>111</v>
      </c>
      <c r="AI572" t="str">
        <f>IF(Cdacdata[ccat_rank]&lt;=100,"Top 100",
IF(Cdacdata[ccat_rank]&lt;=500,"101–500",
IF(Cdacdata[ccat_rank]&lt;=1000,"501–1000",
"1000+")))</f>
        <v>1000+</v>
      </c>
    </row>
    <row r="573" spans="1:35" x14ac:dyDescent="0.3">
      <c r="A573" s="1" t="s">
        <v>192</v>
      </c>
      <c r="B573">
        <v>221203761</v>
      </c>
      <c r="C573" s="2">
        <v>44999</v>
      </c>
      <c r="D573" s="2" t="s">
        <v>813</v>
      </c>
      <c r="E573">
        <v>1178</v>
      </c>
      <c r="F573" s="2">
        <v>35528</v>
      </c>
      <c r="G573">
        <v>88.73</v>
      </c>
      <c r="H573">
        <v>72.92</v>
      </c>
      <c r="I573" t="s">
        <v>26</v>
      </c>
      <c r="J573">
        <v>60.49</v>
      </c>
      <c r="K573" s="3">
        <f t="shared" si="8"/>
        <v>74.046666666666667</v>
      </c>
      <c r="L573" t="s">
        <v>27</v>
      </c>
      <c r="M573" t="s">
        <v>41</v>
      </c>
      <c r="N573">
        <v>25</v>
      </c>
      <c r="O573" t="s">
        <v>28</v>
      </c>
      <c r="P573" t="s">
        <v>60</v>
      </c>
      <c r="Q573" t="s">
        <v>30</v>
      </c>
      <c r="R573">
        <v>476</v>
      </c>
      <c r="S573">
        <v>59.5</v>
      </c>
      <c r="T573" t="s">
        <v>49</v>
      </c>
      <c r="U573" t="s">
        <v>32</v>
      </c>
      <c r="V573" t="s">
        <v>49</v>
      </c>
      <c r="W573" t="s">
        <v>33</v>
      </c>
      <c r="X573" t="s">
        <v>34</v>
      </c>
      <c r="Y573" t="s">
        <v>35</v>
      </c>
      <c r="Z573" t="s">
        <v>36</v>
      </c>
      <c r="AA573" t="s">
        <v>1268</v>
      </c>
      <c r="AB573" t="s">
        <v>36</v>
      </c>
      <c r="AC573">
        <f>IF(Cdacdata[[#This Row],[placement_status]]="Placed",1,0)</f>
        <v>0</v>
      </c>
      <c r="AD573" t="s">
        <v>193</v>
      </c>
      <c r="AE573" t="s">
        <v>47</v>
      </c>
      <c r="AF573" t="s">
        <v>39</v>
      </c>
      <c r="AG573">
        <v>2023</v>
      </c>
      <c r="AH573" t="s">
        <v>111</v>
      </c>
      <c r="AI573" t="str">
        <f>IF(Cdacdata[ccat_rank]&lt;=100,"Top 100",
IF(Cdacdata[ccat_rank]&lt;=500,"101–500",
IF(Cdacdata[ccat_rank]&lt;=1000,"501–1000",
"1000+")))</f>
        <v>1000+</v>
      </c>
    </row>
    <row r="574" spans="1:35" x14ac:dyDescent="0.3">
      <c r="A574" s="1" t="s">
        <v>192</v>
      </c>
      <c r="B574">
        <v>221203342</v>
      </c>
      <c r="C574" s="2">
        <v>44995</v>
      </c>
      <c r="D574" s="2" t="s">
        <v>814</v>
      </c>
      <c r="E574">
        <v>445</v>
      </c>
      <c r="F574" s="2">
        <v>35629</v>
      </c>
      <c r="G574">
        <v>81</v>
      </c>
      <c r="H574">
        <v>63.38</v>
      </c>
      <c r="I574" t="s">
        <v>26</v>
      </c>
      <c r="J574">
        <v>57.45</v>
      </c>
      <c r="K574" s="3">
        <f t="shared" si="8"/>
        <v>67.276666666666657</v>
      </c>
      <c r="L574" t="s">
        <v>27</v>
      </c>
      <c r="M574" t="s">
        <v>27</v>
      </c>
      <c r="N574">
        <v>25</v>
      </c>
      <c r="O574" t="s">
        <v>72</v>
      </c>
      <c r="P574" t="s">
        <v>60</v>
      </c>
      <c r="Q574" t="s">
        <v>30</v>
      </c>
      <c r="R574">
        <v>473</v>
      </c>
      <c r="S574">
        <v>59.125</v>
      </c>
      <c r="T574" t="s">
        <v>33</v>
      </c>
      <c r="U574" t="s">
        <v>32</v>
      </c>
      <c r="V574" t="s">
        <v>33</v>
      </c>
      <c r="W574" t="s">
        <v>31</v>
      </c>
      <c r="X574" t="s">
        <v>34</v>
      </c>
      <c r="Y574" t="s">
        <v>35</v>
      </c>
      <c r="Z574" t="s">
        <v>36</v>
      </c>
      <c r="AA574" t="s">
        <v>1268</v>
      </c>
      <c r="AB574" t="s">
        <v>36</v>
      </c>
      <c r="AC574">
        <f>IF(Cdacdata[[#This Row],[placement_status]]="Placed",1,0)</f>
        <v>0</v>
      </c>
      <c r="AD574" t="s">
        <v>193</v>
      </c>
      <c r="AE574" t="s">
        <v>75</v>
      </c>
      <c r="AF574" t="s">
        <v>39</v>
      </c>
      <c r="AG574">
        <v>2023</v>
      </c>
      <c r="AH574" t="s">
        <v>111</v>
      </c>
      <c r="AI574" t="str">
        <f>IF(Cdacdata[ccat_rank]&lt;=100,"Top 100",
IF(Cdacdata[ccat_rank]&lt;=500,"101–500",
IF(Cdacdata[ccat_rank]&lt;=1000,"501–1000",
"1000+")))</f>
        <v>101–500</v>
      </c>
    </row>
    <row r="575" spans="1:35" x14ac:dyDescent="0.3">
      <c r="A575" s="1" t="s">
        <v>192</v>
      </c>
      <c r="B575">
        <v>221203020</v>
      </c>
      <c r="C575" s="2">
        <v>44998</v>
      </c>
      <c r="D575" s="2" t="s">
        <v>815</v>
      </c>
      <c r="E575">
        <v>1592</v>
      </c>
      <c r="F575" s="2">
        <v>35486</v>
      </c>
      <c r="G575">
        <v>86.73</v>
      </c>
      <c r="H575">
        <v>71.540000000000006</v>
      </c>
      <c r="I575" t="s">
        <v>26</v>
      </c>
      <c r="J575">
        <v>67</v>
      </c>
      <c r="K575" s="3">
        <f t="shared" si="8"/>
        <v>75.09</v>
      </c>
      <c r="L575" t="s">
        <v>27</v>
      </c>
      <c r="M575" t="s">
        <v>27</v>
      </c>
      <c r="N575">
        <v>26</v>
      </c>
      <c r="O575" t="s">
        <v>28</v>
      </c>
      <c r="P575" t="s">
        <v>56</v>
      </c>
      <c r="Q575" t="s">
        <v>30</v>
      </c>
      <c r="R575">
        <v>613</v>
      </c>
      <c r="S575">
        <v>76.625</v>
      </c>
      <c r="T575" t="s">
        <v>49</v>
      </c>
      <c r="U575" t="s">
        <v>32</v>
      </c>
      <c r="V575" t="s">
        <v>49</v>
      </c>
      <c r="W575" t="s">
        <v>49</v>
      </c>
      <c r="X575" t="s">
        <v>34</v>
      </c>
      <c r="Y575" t="s">
        <v>58</v>
      </c>
      <c r="Z575" t="s">
        <v>44</v>
      </c>
      <c r="AA575" t="s">
        <v>201</v>
      </c>
      <c r="AB575" t="s">
        <v>46</v>
      </c>
      <c r="AC575">
        <f>IF(Cdacdata[[#This Row],[placement_status]]="Placed",1,0)</f>
        <v>1</v>
      </c>
      <c r="AD575" t="s">
        <v>193</v>
      </c>
      <c r="AE575" t="s">
        <v>47</v>
      </c>
      <c r="AF575" t="s">
        <v>55</v>
      </c>
      <c r="AG575">
        <v>2023</v>
      </c>
      <c r="AH575" t="s">
        <v>111</v>
      </c>
      <c r="AI575" t="str">
        <f>IF(Cdacdata[ccat_rank]&lt;=100,"Top 100",
IF(Cdacdata[ccat_rank]&lt;=500,"101–500",
IF(Cdacdata[ccat_rank]&lt;=1000,"501–1000",
"1000+")))</f>
        <v>1000+</v>
      </c>
    </row>
    <row r="576" spans="1:35" x14ac:dyDescent="0.3">
      <c r="A576" s="1" t="s">
        <v>192</v>
      </c>
      <c r="B576">
        <v>230107910</v>
      </c>
      <c r="C576" s="2">
        <v>44993</v>
      </c>
      <c r="D576" s="2" t="s">
        <v>816</v>
      </c>
      <c r="E576">
        <v>594</v>
      </c>
      <c r="F576" s="2">
        <v>35476</v>
      </c>
      <c r="G576">
        <v>78.180000000000007</v>
      </c>
      <c r="H576">
        <v>62.46</v>
      </c>
      <c r="I576" t="s">
        <v>26</v>
      </c>
      <c r="J576">
        <v>56.45</v>
      </c>
      <c r="K576" s="3">
        <f t="shared" si="8"/>
        <v>65.696666666666673</v>
      </c>
      <c r="L576" t="s">
        <v>27</v>
      </c>
      <c r="M576" t="s">
        <v>41</v>
      </c>
      <c r="N576">
        <v>26</v>
      </c>
      <c r="O576" t="s">
        <v>72</v>
      </c>
      <c r="P576" t="s">
        <v>52</v>
      </c>
      <c r="Q576" t="s">
        <v>30</v>
      </c>
      <c r="R576">
        <v>689</v>
      </c>
      <c r="S576">
        <v>86.125</v>
      </c>
      <c r="T576" t="s">
        <v>49</v>
      </c>
      <c r="U576" t="s">
        <v>32</v>
      </c>
      <c r="V576" t="s">
        <v>49</v>
      </c>
      <c r="W576" t="s">
        <v>49</v>
      </c>
      <c r="X576" t="s">
        <v>34</v>
      </c>
      <c r="Y576" t="s">
        <v>94</v>
      </c>
      <c r="Z576" t="s">
        <v>44</v>
      </c>
      <c r="AA576" t="s">
        <v>133</v>
      </c>
      <c r="AB576" t="s">
        <v>46</v>
      </c>
      <c r="AC576">
        <f>IF(Cdacdata[[#This Row],[placement_status]]="Placed",1,0)</f>
        <v>1</v>
      </c>
      <c r="AD576" t="s">
        <v>193</v>
      </c>
      <c r="AE576" t="s">
        <v>75</v>
      </c>
      <c r="AF576" t="s">
        <v>55</v>
      </c>
      <c r="AG576">
        <v>2023</v>
      </c>
      <c r="AH576" t="s">
        <v>111</v>
      </c>
      <c r="AI576" t="str">
        <f>IF(Cdacdata[ccat_rank]&lt;=100,"Top 100",
IF(Cdacdata[ccat_rank]&lt;=500,"101–500",
IF(Cdacdata[ccat_rank]&lt;=1000,"501–1000",
"1000+")))</f>
        <v>501–1000</v>
      </c>
    </row>
    <row r="577" spans="1:35" x14ac:dyDescent="0.3">
      <c r="A577" s="1" t="s">
        <v>192</v>
      </c>
      <c r="B577">
        <v>221204029</v>
      </c>
      <c r="C577" s="2">
        <v>44994</v>
      </c>
      <c r="D577" s="2" t="s">
        <v>817</v>
      </c>
      <c r="E577">
        <v>1711</v>
      </c>
      <c r="F577" s="2">
        <v>35199</v>
      </c>
      <c r="G577">
        <v>91.45</v>
      </c>
      <c r="H577">
        <v>56.5</v>
      </c>
      <c r="I577" t="s">
        <v>26</v>
      </c>
      <c r="J577">
        <v>57.5</v>
      </c>
      <c r="K577" s="3">
        <f t="shared" si="8"/>
        <v>68.483333333333334</v>
      </c>
      <c r="L577" t="s">
        <v>27</v>
      </c>
      <c r="M577" t="s">
        <v>27</v>
      </c>
      <c r="N577">
        <v>26</v>
      </c>
      <c r="O577" t="s">
        <v>72</v>
      </c>
      <c r="P577" t="s">
        <v>29</v>
      </c>
      <c r="Q577" t="s">
        <v>30</v>
      </c>
      <c r="R577">
        <v>484</v>
      </c>
      <c r="S577">
        <v>60.5</v>
      </c>
      <c r="T577" t="s">
        <v>49</v>
      </c>
      <c r="U577" t="s">
        <v>32</v>
      </c>
      <c r="V577" t="s">
        <v>49</v>
      </c>
      <c r="W577" t="s">
        <v>33</v>
      </c>
      <c r="X577" t="s">
        <v>34</v>
      </c>
      <c r="Y577" t="s">
        <v>50</v>
      </c>
      <c r="Z577" t="s">
        <v>44</v>
      </c>
      <c r="AA577" t="s">
        <v>171</v>
      </c>
      <c r="AB577" t="s">
        <v>46</v>
      </c>
      <c r="AC577">
        <f>IF(Cdacdata[[#This Row],[placement_status]]="Placed",1,0)</f>
        <v>1</v>
      </c>
      <c r="AD577" t="s">
        <v>193</v>
      </c>
      <c r="AE577" t="s">
        <v>47</v>
      </c>
      <c r="AF577" t="s">
        <v>55</v>
      </c>
      <c r="AG577">
        <v>2023</v>
      </c>
      <c r="AH577" t="s">
        <v>111</v>
      </c>
      <c r="AI577" t="str">
        <f>IF(Cdacdata[ccat_rank]&lt;=100,"Top 100",
IF(Cdacdata[ccat_rank]&lt;=500,"101–500",
IF(Cdacdata[ccat_rank]&lt;=1000,"501–1000",
"1000+")))</f>
        <v>1000+</v>
      </c>
    </row>
    <row r="578" spans="1:35" x14ac:dyDescent="0.3">
      <c r="A578" s="1" t="s">
        <v>192</v>
      </c>
      <c r="B578">
        <v>221203043</v>
      </c>
      <c r="C578" s="2">
        <v>44995</v>
      </c>
      <c r="D578" s="2" t="s">
        <v>818</v>
      </c>
      <c r="E578">
        <v>391</v>
      </c>
      <c r="F578" s="2">
        <v>36884</v>
      </c>
      <c r="G578">
        <v>88.2</v>
      </c>
      <c r="H578">
        <v>72.77</v>
      </c>
      <c r="I578" t="s">
        <v>26</v>
      </c>
      <c r="J578">
        <v>74.63</v>
      </c>
      <c r="K578" s="3">
        <f t="shared" ref="K578:K641" si="9">AVERAGE(G578,H578,I578,J578)</f>
        <v>78.533333333333331</v>
      </c>
      <c r="L578" t="s">
        <v>27</v>
      </c>
      <c r="M578" t="s">
        <v>27</v>
      </c>
      <c r="N578">
        <v>22</v>
      </c>
      <c r="O578" t="s">
        <v>62</v>
      </c>
      <c r="P578" t="s">
        <v>65</v>
      </c>
      <c r="Q578" t="s">
        <v>30</v>
      </c>
      <c r="R578">
        <v>485</v>
      </c>
      <c r="S578">
        <v>60.625</v>
      </c>
      <c r="T578" t="s">
        <v>49</v>
      </c>
      <c r="U578" t="s">
        <v>32</v>
      </c>
      <c r="V578" t="s">
        <v>49</v>
      </c>
      <c r="W578" t="s">
        <v>33</v>
      </c>
      <c r="X578" t="s">
        <v>34</v>
      </c>
      <c r="Y578" t="s">
        <v>50</v>
      </c>
      <c r="Z578" t="s">
        <v>44</v>
      </c>
      <c r="AA578" t="s">
        <v>146</v>
      </c>
      <c r="AB578" t="s">
        <v>46</v>
      </c>
      <c r="AC578">
        <f>IF(Cdacdata[[#This Row],[placement_status]]="Placed",1,0)</f>
        <v>1</v>
      </c>
      <c r="AD578" t="s">
        <v>193</v>
      </c>
      <c r="AE578" t="s">
        <v>75</v>
      </c>
      <c r="AF578" t="s">
        <v>57</v>
      </c>
      <c r="AG578">
        <v>2023</v>
      </c>
      <c r="AH578" t="s">
        <v>111</v>
      </c>
      <c r="AI578" t="str">
        <f>IF(Cdacdata[ccat_rank]&lt;=100,"Top 100",
IF(Cdacdata[ccat_rank]&lt;=500,"101–500",
IF(Cdacdata[ccat_rank]&lt;=1000,"501–1000",
"1000+")))</f>
        <v>101–500</v>
      </c>
    </row>
    <row r="579" spans="1:35" x14ac:dyDescent="0.3">
      <c r="A579" s="1" t="s">
        <v>192</v>
      </c>
      <c r="B579">
        <v>230101308</v>
      </c>
      <c r="C579" s="2">
        <v>44995</v>
      </c>
      <c r="D579" s="2" t="s">
        <v>819</v>
      </c>
      <c r="E579">
        <v>1200</v>
      </c>
      <c r="F579" s="2">
        <v>35773</v>
      </c>
      <c r="G579">
        <v>75.819999999999993</v>
      </c>
      <c r="H579" t="s">
        <v>26</v>
      </c>
      <c r="I579">
        <v>75.709999999999994</v>
      </c>
      <c r="J579">
        <v>68</v>
      </c>
      <c r="K579" s="3">
        <f t="shared" si="9"/>
        <v>73.176666666666662</v>
      </c>
      <c r="L579" t="s">
        <v>27</v>
      </c>
      <c r="M579" t="s">
        <v>41</v>
      </c>
      <c r="N579">
        <v>25</v>
      </c>
      <c r="O579" t="s">
        <v>28</v>
      </c>
      <c r="P579" t="s">
        <v>60</v>
      </c>
      <c r="Q579" t="s">
        <v>30</v>
      </c>
      <c r="R579">
        <v>525</v>
      </c>
      <c r="S579">
        <v>65.625</v>
      </c>
      <c r="T579" t="s">
        <v>31</v>
      </c>
      <c r="U579" t="s">
        <v>32</v>
      </c>
      <c r="V579" t="s">
        <v>31</v>
      </c>
      <c r="W579" t="s">
        <v>49</v>
      </c>
      <c r="X579" t="s">
        <v>34</v>
      </c>
      <c r="Y579" t="s">
        <v>50</v>
      </c>
      <c r="Z579" t="s">
        <v>44</v>
      </c>
      <c r="AA579" t="s">
        <v>59</v>
      </c>
      <c r="AB579" t="s">
        <v>46</v>
      </c>
      <c r="AC579">
        <f>IF(Cdacdata[[#This Row],[placement_status]]="Placed",1,0)</f>
        <v>1</v>
      </c>
      <c r="AD579" t="s">
        <v>193</v>
      </c>
      <c r="AE579" t="s">
        <v>47</v>
      </c>
      <c r="AF579" t="s">
        <v>39</v>
      </c>
      <c r="AG579">
        <v>2023</v>
      </c>
      <c r="AH579" t="s">
        <v>111</v>
      </c>
      <c r="AI579" t="str">
        <f>IF(Cdacdata[ccat_rank]&lt;=100,"Top 100",
IF(Cdacdata[ccat_rank]&lt;=500,"101–500",
IF(Cdacdata[ccat_rank]&lt;=1000,"501–1000",
"1000+")))</f>
        <v>1000+</v>
      </c>
    </row>
    <row r="580" spans="1:35" x14ac:dyDescent="0.3">
      <c r="A580" s="1" t="s">
        <v>192</v>
      </c>
      <c r="B580">
        <v>221204118</v>
      </c>
      <c r="C580" s="2">
        <v>44995</v>
      </c>
      <c r="D580" s="2" t="s">
        <v>820</v>
      </c>
      <c r="E580">
        <v>1790</v>
      </c>
      <c r="F580" s="2">
        <v>34290</v>
      </c>
      <c r="G580">
        <v>76.8</v>
      </c>
      <c r="H580">
        <v>71</v>
      </c>
      <c r="I580" t="s">
        <v>26</v>
      </c>
      <c r="J580">
        <v>74.900000000000006</v>
      </c>
      <c r="K580" s="3">
        <f t="shared" si="9"/>
        <v>74.233333333333334</v>
      </c>
      <c r="L580" t="s">
        <v>41</v>
      </c>
      <c r="M580" t="s">
        <v>27</v>
      </c>
      <c r="N580">
        <v>29</v>
      </c>
      <c r="O580" t="s">
        <v>62</v>
      </c>
      <c r="P580" t="s">
        <v>65</v>
      </c>
      <c r="Q580" t="s">
        <v>43</v>
      </c>
      <c r="R580">
        <v>486</v>
      </c>
      <c r="S580">
        <v>60.75</v>
      </c>
      <c r="T580" t="s">
        <v>49</v>
      </c>
      <c r="U580" t="s">
        <v>32</v>
      </c>
      <c r="V580" t="s">
        <v>49</v>
      </c>
      <c r="W580" t="s">
        <v>33</v>
      </c>
      <c r="X580" t="s">
        <v>34</v>
      </c>
      <c r="Y580" t="s">
        <v>50</v>
      </c>
      <c r="Z580" t="s">
        <v>36</v>
      </c>
      <c r="AA580" t="s">
        <v>1268</v>
      </c>
      <c r="AB580" t="s">
        <v>36</v>
      </c>
      <c r="AC580">
        <f>IF(Cdacdata[[#This Row],[placement_status]]="Placed",1,0)</f>
        <v>0</v>
      </c>
      <c r="AD580" t="s">
        <v>193</v>
      </c>
      <c r="AE580" t="s">
        <v>47</v>
      </c>
      <c r="AF580" t="s">
        <v>69</v>
      </c>
      <c r="AG580">
        <v>2023</v>
      </c>
      <c r="AH580" t="s">
        <v>111</v>
      </c>
      <c r="AI580" t="str">
        <f>IF(Cdacdata[ccat_rank]&lt;=100,"Top 100",
IF(Cdacdata[ccat_rank]&lt;=500,"101–500",
IF(Cdacdata[ccat_rank]&lt;=1000,"501–1000",
"1000+")))</f>
        <v>1000+</v>
      </c>
    </row>
    <row r="581" spans="1:35" x14ac:dyDescent="0.3">
      <c r="A581" s="1" t="s">
        <v>192</v>
      </c>
      <c r="B581">
        <v>221204661</v>
      </c>
      <c r="C581" s="2">
        <v>44999</v>
      </c>
      <c r="D581" s="2" t="s">
        <v>821</v>
      </c>
      <c r="E581">
        <v>1602</v>
      </c>
      <c r="F581" s="2">
        <v>36709</v>
      </c>
      <c r="G581">
        <v>83.4</v>
      </c>
      <c r="H581">
        <v>64</v>
      </c>
      <c r="I581" t="s">
        <v>26</v>
      </c>
      <c r="J581">
        <v>77.5</v>
      </c>
      <c r="K581" s="3">
        <f t="shared" si="9"/>
        <v>74.966666666666669</v>
      </c>
      <c r="L581" t="s">
        <v>27</v>
      </c>
      <c r="M581" t="s">
        <v>41</v>
      </c>
      <c r="N581">
        <v>22</v>
      </c>
      <c r="O581" t="s">
        <v>48</v>
      </c>
      <c r="P581" t="s">
        <v>60</v>
      </c>
      <c r="Q581" t="s">
        <v>43</v>
      </c>
      <c r="R581">
        <v>598</v>
      </c>
      <c r="S581">
        <v>74.75</v>
      </c>
      <c r="T581" t="s">
        <v>49</v>
      </c>
      <c r="U581" t="s">
        <v>32</v>
      </c>
      <c r="V581" t="s">
        <v>49</v>
      </c>
      <c r="W581" t="s">
        <v>49</v>
      </c>
      <c r="X581" t="s">
        <v>34</v>
      </c>
      <c r="Y581" t="s">
        <v>58</v>
      </c>
      <c r="Z581" t="s">
        <v>36</v>
      </c>
      <c r="AA581" t="s">
        <v>1268</v>
      </c>
      <c r="AB581" t="s">
        <v>36</v>
      </c>
      <c r="AC581">
        <f>IF(Cdacdata[[#This Row],[placement_status]]="Placed",1,0)</f>
        <v>0</v>
      </c>
      <c r="AD581" t="s">
        <v>193</v>
      </c>
      <c r="AE581" t="s">
        <v>47</v>
      </c>
      <c r="AF581" t="s">
        <v>57</v>
      </c>
      <c r="AG581">
        <v>2023</v>
      </c>
      <c r="AH581" t="s">
        <v>111</v>
      </c>
      <c r="AI581" t="str">
        <f>IF(Cdacdata[ccat_rank]&lt;=100,"Top 100",
IF(Cdacdata[ccat_rank]&lt;=500,"101–500",
IF(Cdacdata[ccat_rank]&lt;=1000,"501–1000",
"1000+")))</f>
        <v>1000+</v>
      </c>
    </row>
    <row r="582" spans="1:35" x14ac:dyDescent="0.3">
      <c r="A582" s="1" t="s">
        <v>192</v>
      </c>
      <c r="B582">
        <v>221205423</v>
      </c>
      <c r="C582" s="2">
        <v>44995</v>
      </c>
      <c r="D582" s="2" t="s">
        <v>822</v>
      </c>
      <c r="E582">
        <v>1229</v>
      </c>
      <c r="F582" s="2">
        <v>34606</v>
      </c>
      <c r="G582">
        <v>90</v>
      </c>
      <c r="H582">
        <v>75</v>
      </c>
      <c r="I582" t="s">
        <v>26</v>
      </c>
      <c r="J582">
        <v>65</v>
      </c>
      <c r="K582" s="3">
        <f t="shared" si="9"/>
        <v>76.666666666666671</v>
      </c>
      <c r="L582" t="s">
        <v>27</v>
      </c>
      <c r="M582" t="s">
        <v>27</v>
      </c>
      <c r="N582">
        <v>28</v>
      </c>
      <c r="O582" t="s">
        <v>28</v>
      </c>
      <c r="P582" t="s">
        <v>60</v>
      </c>
      <c r="Q582" t="s">
        <v>30</v>
      </c>
      <c r="R582">
        <v>482</v>
      </c>
      <c r="S582">
        <v>60.25</v>
      </c>
      <c r="T582" t="s">
        <v>33</v>
      </c>
      <c r="U582" t="s">
        <v>32</v>
      </c>
      <c r="V582" t="s">
        <v>33</v>
      </c>
      <c r="W582" t="s">
        <v>31</v>
      </c>
      <c r="X582" t="s">
        <v>34</v>
      </c>
      <c r="Y582" t="s">
        <v>50</v>
      </c>
      <c r="Z582" t="s">
        <v>44</v>
      </c>
      <c r="AA582" t="s">
        <v>93</v>
      </c>
      <c r="AB582" t="s">
        <v>46</v>
      </c>
      <c r="AC582">
        <f>IF(Cdacdata[[#This Row],[placement_status]]="Placed",1,0)</f>
        <v>1</v>
      </c>
      <c r="AD582" t="s">
        <v>193</v>
      </c>
      <c r="AE582" t="s">
        <v>47</v>
      </c>
      <c r="AF582" t="s">
        <v>55</v>
      </c>
      <c r="AG582">
        <v>2023</v>
      </c>
      <c r="AH582" t="s">
        <v>111</v>
      </c>
      <c r="AI582" t="str">
        <f>IF(Cdacdata[ccat_rank]&lt;=100,"Top 100",
IF(Cdacdata[ccat_rank]&lt;=500,"101–500",
IF(Cdacdata[ccat_rank]&lt;=1000,"501–1000",
"1000+")))</f>
        <v>1000+</v>
      </c>
    </row>
    <row r="583" spans="1:35" x14ac:dyDescent="0.3">
      <c r="A583" s="1" t="s">
        <v>192</v>
      </c>
      <c r="B583">
        <v>221204386</v>
      </c>
      <c r="C583" s="2">
        <v>44995</v>
      </c>
      <c r="D583" s="2" t="s">
        <v>823</v>
      </c>
      <c r="E583">
        <v>492</v>
      </c>
      <c r="F583" s="2">
        <v>35965</v>
      </c>
      <c r="G583">
        <v>66.66</v>
      </c>
      <c r="H583" t="s">
        <v>26</v>
      </c>
      <c r="I583">
        <v>76.12</v>
      </c>
      <c r="J583">
        <v>76</v>
      </c>
      <c r="K583" s="3">
        <f t="shared" si="9"/>
        <v>72.926666666666662</v>
      </c>
      <c r="L583" t="s">
        <v>27</v>
      </c>
      <c r="M583" t="s">
        <v>27</v>
      </c>
      <c r="N583">
        <v>24</v>
      </c>
      <c r="O583" t="s">
        <v>48</v>
      </c>
      <c r="P583" t="s">
        <v>65</v>
      </c>
      <c r="Q583" t="s">
        <v>30</v>
      </c>
      <c r="R583">
        <v>469</v>
      </c>
      <c r="S583">
        <v>58.625</v>
      </c>
      <c r="T583" t="s">
        <v>31</v>
      </c>
      <c r="U583" t="s">
        <v>32</v>
      </c>
      <c r="V583" t="s">
        <v>31</v>
      </c>
      <c r="W583" t="s">
        <v>33</v>
      </c>
      <c r="X583" t="s">
        <v>34</v>
      </c>
      <c r="Y583" t="s">
        <v>35</v>
      </c>
      <c r="Z583" t="s">
        <v>44</v>
      </c>
      <c r="AA583" t="s">
        <v>74</v>
      </c>
      <c r="AB583" t="s">
        <v>46</v>
      </c>
      <c r="AC583">
        <f>IF(Cdacdata[[#This Row],[placement_status]]="Placed",1,0)</f>
        <v>1</v>
      </c>
      <c r="AD583" t="s">
        <v>193</v>
      </c>
      <c r="AE583" t="s">
        <v>75</v>
      </c>
      <c r="AF583" t="s">
        <v>39</v>
      </c>
      <c r="AG583">
        <v>2023</v>
      </c>
      <c r="AH583" t="s">
        <v>111</v>
      </c>
      <c r="AI583" t="str">
        <f>IF(Cdacdata[ccat_rank]&lt;=100,"Top 100",
IF(Cdacdata[ccat_rank]&lt;=500,"101–500",
IF(Cdacdata[ccat_rank]&lt;=1000,"501–1000",
"1000+")))</f>
        <v>101–500</v>
      </c>
    </row>
    <row r="584" spans="1:35" x14ac:dyDescent="0.3">
      <c r="A584" s="1" t="s">
        <v>192</v>
      </c>
      <c r="B584">
        <v>221207009</v>
      </c>
      <c r="C584" s="2">
        <v>44995</v>
      </c>
      <c r="D584" s="2" t="s">
        <v>824</v>
      </c>
      <c r="E584">
        <v>419</v>
      </c>
      <c r="F584" s="2">
        <v>36039</v>
      </c>
      <c r="G584">
        <v>76.2</v>
      </c>
      <c r="H584" t="s">
        <v>26</v>
      </c>
      <c r="I584">
        <v>71</v>
      </c>
      <c r="J584">
        <v>60</v>
      </c>
      <c r="K584" s="3">
        <f t="shared" si="9"/>
        <v>69.066666666666663</v>
      </c>
      <c r="L584" t="s">
        <v>27</v>
      </c>
      <c r="M584" t="s">
        <v>41</v>
      </c>
      <c r="N584">
        <v>24</v>
      </c>
      <c r="O584" t="s">
        <v>28</v>
      </c>
      <c r="P584" t="s">
        <v>60</v>
      </c>
      <c r="Q584" t="s">
        <v>30</v>
      </c>
      <c r="R584">
        <v>579</v>
      </c>
      <c r="S584">
        <v>72.375</v>
      </c>
      <c r="T584" t="s">
        <v>49</v>
      </c>
      <c r="U584" t="s">
        <v>32</v>
      </c>
      <c r="V584" t="s">
        <v>49</v>
      </c>
      <c r="W584" t="s">
        <v>49</v>
      </c>
      <c r="X584" t="s">
        <v>34</v>
      </c>
      <c r="Y584" t="s">
        <v>58</v>
      </c>
      <c r="Z584" t="s">
        <v>44</v>
      </c>
      <c r="AA584" t="s">
        <v>141</v>
      </c>
      <c r="AB584" t="s">
        <v>46</v>
      </c>
      <c r="AC584">
        <f>IF(Cdacdata[[#This Row],[placement_status]]="Placed",1,0)</f>
        <v>1</v>
      </c>
      <c r="AD584" t="s">
        <v>193</v>
      </c>
      <c r="AE584" t="s">
        <v>75</v>
      </c>
      <c r="AF584" t="s">
        <v>39</v>
      </c>
      <c r="AG584">
        <v>2023</v>
      </c>
      <c r="AH584" t="s">
        <v>111</v>
      </c>
      <c r="AI584" t="str">
        <f>IF(Cdacdata[ccat_rank]&lt;=100,"Top 100",
IF(Cdacdata[ccat_rank]&lt;=500,"101–500",
IF(Cdacdata[ccat_rank]&lt;=1000,"501–1000",
"1000+")))</f>
        <v>101–500</v>
      </c>
    </row>
    <row r="585" spans="1:35" x14ac:dyDescent="0.3">
      <c r="A585" s="1" t="s">
        <v>192</v>
      </c>
      <c r="B585">
        <v>221207546</v>
      </c>
      <c r="C585" s="2">
        <v>44995</v>
      </c>
      <c r="D585" s="2" t="s">
        <v>825</v>
      </c>
      <c r="E585">
        <v>1674</v>
      </c>
      <c r="F585" s="2">
        <v>35353</v>
      </c>
      <c r="G585">
        <v>96</v>
      </c>
      <c r="H585">
        <v>79</v>
      </c>
      <c r="I585" t="s">
        <v>26</v>
      </c>
      <c r="J585">
        <v>67</v>
      </c>
      <c r="K585" s="3">
        <f t="shared" si="9"/>
        <v>80.666666666666671</v>
      </c>
      <c r="L585" t="s">
        <v>27</v>
      </c>
      <c r="M585" t="s">
        <v>27</v>
      </c>
      <c r="N585">
        <v>26</v>
      </c>
      <c r="O585" t="s">
        <v>28</v>
      </c>
      <c r="P585" t="s">
        <v>56</v>
      </c>
      <c r="Q585" t="s">
        <v>30</v>
      </c>
      <c r="R585">
        <v>558</v>
      </c>
      <c r="S585">
        <v>69.75</v>
      </c>
      <c r="T585" t="s">
        <v>49</v>
      </c>
      <c r="U585" t="s">
        <v>32</v>
      </c>
      <c r="V585" t="s">
        <v>49</v>
      </c>
      <c r="W585" t="s">
        <v>49</v>
      </c>
      <c r="X585" t="s">
        <v>34</v>
      </c>
      <c r="Y585" t="s">
        <v>50</v>
      </c>
      <c r="Z585" t="s">
        <v>44</v>
      </c>
      <c r="AA585" t="s">
        <v>137</v>
      </c>
      <c r="AB585" t="s">
        <v>46</v>
      </c>
      <c r="AC585">
        <f>IF(Cdacdata[[#This Row],[placement_status]]="Placed",1,0)</f>
        <v>1</v>
      </c>
      <c r="AD585" t="s">
        <v>193</v>
      </c>
      <c r="AE585" t="s">
        <v>47</v>
      </c>
      <c r="AF585" t="s">
        <v>55</v>
      </c>
      <c r="AG585">
        <v>2023</v>
      </c>
      <c r="AH585" t="s">
        <v>111</v>
      </c>
      <c r="AI585" t="str">
        <f>IF(Cdacdata[ccat_rank]&lt;=100,"Top 100",
IF(Cdacdata[ccat_rank]&lt;=500,"101–500",
IF(Cdacdata[ccat_rank]&lt;=1000,"501–1000",
"1000+")))</f>
        <v>1000+</v>
      </c>
    </row>
    <row r="586" spans="1:35" x14ac:dyDescent="0.3">
      <c r="A586" s="1" t="s">
        <v>192</v>
      </c>
      <c r="B586">
        <v>221206953</v>
      </c>
      <c r="C586" s="2">
        <v>44999</v>
      </c>
      <c r="D586" s="2" t="s">
        <v>826</v>
      </c>
      <c r="E586">
        <v>1461</v>
      </c>
      <c r="F586" s="2">
        <v>36390</v>
      </c>
      <c r="G586">
        <v>92.5</v>
      </c>
      <c r="H586">
        <v>87.6</v>
      </c>
      <c r="I586" t="s">
        <v>26</v>
      </c>
      <c r="J586">
        <v>68.44</v>
      </c>
      <c r="K586" s="3">
        <f t="shared" si="9"/>
        <v>82.846666666666664</v>
      </c>
      <c r="L586" t="s">
        <v>27</v>
      </c>
      <c r="M586" t="s">
        <v>27</v>
      </c>
      <c r="N586">
        <v>23</v>
      </c>
      <c r="O586" t="s">
        <v>28</v>
      </c>
      <c r="P586" t="s">
        <v>60</v>
      </c>
      <c r="Q586" t="s">
        <v>30</v>
      </c>
      <c r="R586">
        <v>562</v>
      </c>
      <c r="S586">
        <v>70.25</v>
      </c>
      <c r="T586" t="s">
        <v>49</v>
      </c>
      <c r="U586" t="s">
        <v>32</v>
      </c>
      <c r="V586" t="s">
        <v>49</v>
      </c>
      <c r="W586" t="s">
        <v>49</v>
      </c>
      <c r="X586" t="s">
        <v>34</v>
      </c>
      <c r="Y586" t="s">
        <v>58</v>
      </c>
      <c r="Z586" t="s">
        <v>44</v>
      </c>
      <c r="AA586" t="s">
        <v>196</v>
      </c>
      <c r="AB586" t="s">
        <v>46</v>
      </c>
      <c r="AC586">
        <f>IF(Cdacdata[[#This Row],[placement_status]]="Placed",1,0)</f>
        <v>1</v>
      </c>
      <c r="AD586" t="s">
        <v>193</v>
      </c>
      <c r="AE586" t="s">
        <v>47</v>
      </c>
      <c r="AF586" t="s">
        <v>39</v>
      </c>
      <c r="AG586">
        <v>2023</v>
      </c>
      <c r="AH586" t="s">
        <v>111</v>
      </c>
      <c r="AI586" t="str">
        <f>IF(Cdacdata[ccat_rank]&lt;=100,"Top 100",
IF(Cdacdata[ccat_rank]&lt;=500,"101–500",
IF(Cdacdata[ccat_rank]&lt;=1000,"501–1000",
"1000+")))</f>
        <v>1000+</v>
      </c>
    </row>
    <row r="587" spans="1:35" x14ac:dyDescent="0.3">
      <c r="A587" s="1" t="s">
        <v>192</v>
      </c>
      <c r="B587">
        <v>221201770</v>
      </c>
      <c r="C587" s="2">
        <v>44998</v>
      </c>
      <c r="D587" s="2" t="s">
        <v>827</v>
      </c>
      <c r="E587">
        <v>1604</v>
      </c>
      <c r="F587" s="2">
        <v>35944</v>
      </c>
      <c r="G587">
        <v>79.8</v>
      </c>
      <c r="H587">
        <v>70</v>
      </c>
      <c r="I587" t="s">
        <v>26</v>
      </c>
      <c r="J587">
        <v>64.790000000000006</v>
      </c>
      <c r="K587" s="3">
        <f t="shared" si="9"/>
        <v>71.530000000000015</v>
      </c>
      <c r="L587" t="s">
        <v>27</v>
      </c>
      <c r="M587" t="s">
        <v>41</v>
      </c>
      <c r="N587">
        <v>24</v>
      </c>
      <c r="O587" t="s">
        <v>28</v>
      </c>
      <c r="P587" t="s">
        <v>52</v>
      </c>
      <c r="Q587" t="s">
        <v>30</v>
      </c>
      <c r="R587">
        <v>603</v>
      </c>
      <c r="S587">
        <v>75.375</v>
      </c>
      <c r="T587" t="s">
        <v>49</v>
      </c>
      <c r="U587" t="s">
        <v>32</v>
      </c>
      <c r="V587" t="s">
        <v>49</v>
      </c>
      <c r="W587" t="s">
        <v>49</v>
      </c>
      <c r="X587" t="s">
        <v>34</v>
      </c>
      <c r="Y587" t="s">
        <v>58</v>
      </c>
      <c r="Z587" t="s">
        <v>44</v>
      </c>
      <c r="AA587" t="s">
        <v>196</v>
      </c>
      <c r="AB587" t="s">
        <v>46</v>
      </c>
      <c r="AC587">
        <f>IF(Cdacdata[[#This Row],[placement_status]]="Placed",1,0)</f>
        <v>1</v>
      </c>
      <c r="AD587" t="s">
        <v>193</v>
      </c>
      <c r="AE587" t="s">
        <v>47</v>
      </c>
      <c r="AF587" t="s">
        <v>39</v>
      </c>
      <c r="AG587">
        <v>2023</v>
      </c>
      <c r="AH587" t="s">
        <v>111</v>
      </c>
      <c r="AI587" t="str">
        <f>IF(Cdacdata[ccat_rank]&lt;=100,"Top 100",
IF(Cdacdata[ccat_rank]&lt;=500,"101–500",
IF(Cdacdata[ccat_rank]&lt;=1000,"501–1000",
"1000+")))</f>
        <v>1000+</v>
      </c>
    </row>
    <row r="588" spans="1:35" x14ac:dyDescent="0.3">
      <c r="A588" s="1" t="s">
        <v>192</v>
      </c>
      <c r="B588">
        <v>230106344</v>
      </c>
      <c r="C588" s="2">
        <v>44998</v>
      </c>
      <c r="D588" s="2" t="s">
        <v>828</v>
      </c>
      <c r="E588">
        <v>1646</v>
      </c>
      <c r="F588" s="2">
        <v>36215</v>
      </c>
      <c r="G588">
        <v>72.41</v>
      </c>
      <c r="H588">
        <v>60.15</v>
      </c>
      <c r="I588" t="s">
        <v>26</v>
      </c>
      <c r="J588">
        <v>88.5</v>
      </c>
      <c r="K588" s="3">
        <f t="shared" si="9"/>
        <v>73.686666666666667</v>
      </c>
      <c r="L588" t="s">
        <v>41</v>
      </c>
      <c r="M588" t="s">
        <v>27</v>
      </c>
      <c r="N588">
        <v>24</v>
      </c>
      <c r="O588" t="s">
        <v>48</v>
      </c>
      <c r="P588" t="s">
        <v>56</v>
      </c>
      <c r="Q588" t="s">
        <v>67</v>
      </c>
      <c r="R588">
        <v>618</v>
      </c>
      <c r="S588">
        <v>77.25</v>
      </c>
      <c r="T588" t="s">
        <v>49</v>
      </c>
      <c r="U588" t="s">
        <v>32</v>
      </c>
      <c r="V588" t="s">
        <v>49</v>
      </c>
      <c r="W588" t="s">
        <v>49</v>
      </c>
      <c r="X588" t="s">
        <v>34</v>
      </c>
      <c r="Y588" t="s">
        <v>58</v>
      </c>
      <c r="Z588" t="s">
        <v>44</v>
      </c>
      <c r="AA588" t="s">
        <v>201</v>
      </c>
      <c r="AB588" t="s">
        <v>46</v>
      </c>
      <c r="AC588">
        <f>IF(Cdacdata[[#This Row],[placement_status]]="Placed",1,0)</f>
        <v>1</v>
      </c>
      <c r="AD588" t="s">
        <v>193</v>
      </c>
      <c r="AE588" t="s">
        <v>47</v>
      </c>
      <c r="AF588" t="s">
        <v>39</v>
      </c>
      <c r="AG588">
        <v>2023</v>
      </c>
      <c r="AH588" t="s">
        <v>111</v>
      </c>
      <c r="AI588" t="str">
        <f>IF(Cdacdata[ccat_rank]&lt;=100,"Top 100",
IF(Cdacdata[ccat_rank]&lt;=500,"101–500",
IF(Cdacdata[ccat_rank]&lt;=1000,"501–1000",
"1000+")))</f>
        <v>1000+</v>
      </c>
    </row>
    <row r="589" spans="1:35" x14ac:dyDescent="0.3">
      <c r="A589" s="1" t="s">
        <v>192</v>
      </c>
      <c r="B589">
        <v>221200727</v>
      </c>
      <c r="C589" s="2">
        <v>44996</v>
      </c>
      <c r="D589" s="2" t="s">
        <v>829</v>
      </c>
      <c r="E589">
        <v>1600</v>
      </c>
      <c r="F589" s="2">
        <v>36353</v>
      </c>
      <c r="G589">
        <v>77.2</v>
      </c>
      <c r="H589" t="s">
        <v>26</v>
      </c>
      <c r="I589">
        <v>69</v>
      </c>
      <c r="J589">
        <v>83.6</v>
      </c>
      <c r="K589" s="3">
        <f t="shared" si="9"/>
        <v>76.599999999999994</v>
      </c>
      <c r="L589" t="s">
        <v>27</v>
      </c>
      <c r="M589" t="s">
        <v>27</v>
      </c>
      <c r="N589">
        <v>23</v>
      </c>
      <c r="O589" t="s">
        <v>48</v>
      </c>
      <c r="P589" t="s">
        <v>60</v>
      </c>
      <c r="Q589" t="s">
        <v>30</v>
      </c>
      <c r="R589">
        <v>468</v>
      </c>
      <c r="S589">
        <v>58.5</v>
      </c>
      <c r="T589" t="s">
        <v>33</v>
      </c>
      <c r="U589" t="s">
        <v>32</v>
      </c>
      <c r="V589" t="s">
        <v>33</v>
      </c>
      <c r="W589" t="s">
        <v>49</v>
      </c>
      <c r="X589" t="s">
        <v>34</v>
      </c>
      <c r="Y589" t="s">
        <v>35</v>
      </c>
      <c r="Z589" t="s">
        <v>53</v>
      </c>
      <c r="AA589" t="s">
        <v>54</v>
      </c>
      <c r="AB589" t="s">
        <v>46</v>
      </c>
      <c r="AC589">
        <f>IF(Cdacdata[[#This Row],[placement_status]]="Placed",1,0)</f>
        <v>1</v>
      </c>
      <c r="AD589" t="s">
        <v>193</v>
      </c>
      <c r="AE589" t="s">
        <v>47</v>
      </c>
      <c r="AF589" t="s">
        <v>39</v>
      </c>
      <c r="AG589">
        <v>2023</v>
      </c>
      <c r="AH589" t="s">
        <v>111</v>
      </c>
      <c r="AI589" t="str">
        <f>IF(Cdacdata[ccat_rank]&lt;=100,"Top 100",
IF(Cdacdata[ccat_rank]&lt;=500,"101–500",
IF(Cdacdata[ccat_rank]&lt;=1000,"501–1000",
"1000+")))</f>
        <v>1000+</v>
      </c>
    </row>
    <row r="590" spans="1:35" x14ac:dyDescent="0.3">
      <c r="A590" s="1" t="s">
        <v>192</v>
      </c>
      <c r="B590">
        <v>221202042</v>
      </c>
      <c r="C590" s="2">
        <v>44997</v>
      </c>
      <c r="D590" s="2" t="s">
        <v>830</v>
      </c>
      <c r="E590">
        <v>591</v>
      </c>
      <c r="F590" s="2">
        <v>35004</v>
      </c>
      <c r="G590">
        <v>86.91</v>
      </c>
      <c r="H590">
        <v>58</v>
      </c>
      <c r="I590" t="s">
        <v>26</v>
      </c>
      <c r="J590">
        <v>51.9</v>
      </c>
      <c r="K590" s="3">
        <f t="shared" si="9"/>
        <v>65.603333333333339</v>
      </c>
      <c r="L590" t="s">
        <v>27</v>
      </c>
      <c r="M590" t="s">
        <v>41</v>
      </c>
      <c r="N590">
        <v>27</v>
      </c>
      <c r="O590" t="s">
        <v>72</v>
      </c>
      <c r="P590" t="s">
        <v>29</v>
      </c>
      <c r="Q590" t="s">
        <v>30</v>
      </c>
      <c r="R590">
        <v>566</v>
      </c>
      <c r="S590">
        <v>70.75</v>
      </c>
      <c r="T590" t="s">
        <v>49</v>
      </c>
      <c r="U590" t="s">
        <v>32</v>
      </c>
      <c r="V590" t="s">
        <v>49</v>
      </c>
      <c r="W590" t="s">
        <v>49</v>
      </c>
      <c r="X590" t="s">
        <v>34</v>
      </c>
      <c r="Y590" t="s">
        <v>58</v>
      </c>
      <c r="Z590" t="s">
        <v>44</v>
      </c>
      <c r="AA590" t="s">
        <v>196</v>
      </c>
      <c r="AB590" t="s">
        <v>46</v>
      </c>
      <c r="AC590">
        <f>IF(Cdacdata[[#This Row],[placement_status]]="Placed",1,0)</f>
        <v>1</v>
      </c>
      <c r="AD590" t="s">
        <v>193</v>
      </c>
      <c r="AE590" t="s">
        <v>75</v>
      </c>
      <c r="AF590" t="s">
        <v>55</v>
      </c>
      <c r="AG590">
        <v>2023</v>
      </c>
      <c r="AH590" t="s">
        <v>111</v>
      </c>
      <c r="AI590" t="str">
        <f>IF(Cdacdata[ccat_rank]&lt;=100,"Top 100",
IF(Cdacdata[ccat_rank]&lt;=500,"101–500",
IF(Cdacdata[ccat_rank]&lt;=1000,"501–1000",
"1000+")))</f>
        <v>501–1000</v>
      </c>
    </row>
    <row r="591" spans="1:35" x14ac:dyDescent="0.3">
      <c r="A591" s="1" t="s">
        <v>192</v>
      </c>
      <c r="B591">
        <v>221204947</v>
      </c>
      <c r="C591" s="2">
        <v>44997</v>
      </c>
      <c r="D591" s="2" t="s">
        <v>831</v>
      </c>
      <c r="E591">
        <v>939</v>
      </c>
      <c r="F591" s="2">
        <v>36767</v>
      </c>
      <c r="G591">
        <v>78.2</v>
      </c>
      <c r="H591">
        <v>68.459999999999994</v>
      </c>
      <c r="I591" t="s">
        <v>26</v>
      </c>
      <c r="J591">
        <v>73.2</v>
      </c>
      <c r="K591" s="3">
        <f t="shared" si="9"/>
        <v>73.286666666666676</v>
      </c>
      <c r="L591" t="s">
        <v>27</v>
      </c>
      <c r="M591" t="s">
        <v>27</v>
      </c>
      <c r="N591">
        <v>22</v>
      </c>
      <c r="O591" t="s">
        <v>28</v>
      </c>
      <c r="P591" t="s">
        <v>60</v>
      </c>
      <c r="Q591" t="s">
        <v>30</v>
      </c>
      <c r="R591">
        <v>495</v>
      </c>
      <c r="S591">
        <v>61.875</v>
      </c>
      <c r="T591" t="s">
        <v>31</v>
      </c>
      <c r="U591" t="s">
        <v>32</v>
      </c>
      <c r="V591" t="s">
        <v>31</v>
      </c>
      <c r="W591" t="s">
        <v>33</v>
      </c>
      <c r="X591" t="s">
        <v>34</v>
      </c>
      <c r="Y591" t="s">
        <v>50</v>
      </c>
      <c r="Z591" t="s">
        <v>44</v>
      </c>
      <c r="AA591" t="s">
        <v>59</v>
      </c>
      <c r="AB591" t="s">
        <v>46</v>
      </c>
      <c r="AC591">
        <f>IF(Cdacdata[[#This Row],[placement_status]]="Placed",1,0)</f>
        <v>1</v>
      </c>
      <c r="AD591" t="s">
        <v>193</v>
      </c>
      <c r="AE591" t="s">
        <v>75</v>
      </c>
      <c r="AF591" t="s">
        <v>57</v>
      </c>
      <c r="AG591">
        <v>2023</v>
      </c>
      <c r="AH591" t="s">
        <v>111</v>
      </c>
      <c r="AI591" t="str">
        <f>IF(Cdacdata[ccat_rank]&lt;=100,"Top 100",
IF(Cdacdata[ccat_rank]&lt;=500,"101–500",
IF(Cdacdata[ccat_rank]&lt;=1000,"501–1000",
"1000+")))</f>
        <v>501–1000</v>
      </c>
    </row>
    <row r="592" spans="1:35" x14ac:dyDescent="0.3">
      <c r="A592" s="1" t="s">
        <v>192</v>
      </c>
      <c r="B592">
        <v>230104710</v>
      </c>
      <c r="C592" s="2">
        <v>44999</v>
      </c>
      <c r="D592" s="2" t="s">
        <v>832</v>
      </c>
      <c r="E592">
        <v>1862</v>
      </c>
      <c r="F592" s="2">
        <v>36571</v>
      </c>
      <c r="G592">
        <v>62.8</v>
      </c>
      <c r="H592" t="s">
        <v>26</v>
      </c>
      <c r="I592">
        <v>65.209999999999994</v>
      </c>
      <c r="J592">
        <v>78.28</v>
      </c>
      <c r="K592" s="3">
        <f t="shared" si="9"/>
        <v>68.763333333333335</v>
      </c>
      <c r="L592" t="s">
        <v>27</v>
      </c>
      <c r="M592" t="s">
        <v>41</v>
      </c>
      <c r="N592">
        <v>23</v>
      </c>
      <c r="O592" t="s">
        <v>48</v>
      </c>
      <c r="P592" t="s">
        <v>42</v>
      </c>
      <c r="Q592" t="s">
        <v>30</v>
      </c>
      <c r="R592">
        <v>411</v>
      </c>
      <c r="S592">
        <v>51.375</v>
      </c>
      <c r="T592" t="s">
        <v>33</v>
      </c>
      <c r="U592" t="s">
        <v>32</v>
      </c>
      <c r="V592" t="s">
        <v>33</v>
      </c>
      <c r="W592" t="s">
        <v>33</v>
      </c>
      <c r="X592" t="s">
        <v>34</v>
      </c>
      <c r="Y592" t="s">
        <v>35</v>
      </c>
      <c r="Z592" t="s">
        <v>36</v>
      </c>
      <c r="AA592" t="s">
        <v>1268</v>
      </c>
      <c r="AB592" t="s">
        <v>36</v>
      </c>
      <c r="AC592">
        <f>IF(Cdacdata[[#This Row],[placement_status]]="Placed",1,0)</f>
        <v>0</v>
      </c>
      <c r="AD592" t="s">
        <v>193</v>
      </c>
      <c r="AE592" t="s">
        <v>47</v>
      </c>
      <c r="AF592" t="s">
        <v>39</v>
      </c>
      <c r="AG592">
        <v>2023</v>
      </c>
      <c r="AH592" t="s">
        <v>111</v>
      </c>
      <c r="AI592" t="str">
        <f>IF(Cdacdata[ccat_rank]&lt;=100,"Top 100",
IF(Cdacdata[ccat_rank]&lt;=500,"101–500",
IF(Cdacdata[ccat_rank]&lt;=1000,"501–1000",
"1000+")))</f>
        <v>1000+</v>
      </c>
    </row>
    <row r="593" spans="1:35" x14ac:dyDescent="0.3">
      <c r="A593" s="1" t="s">
        <v>192</v>
      </c>
      <c r="B593">
        <v>221207152</v>
      </c>
      <c r="C593" s="2">
        <v>44999</v>
      </c>
      <c r="D593" s="2" t="s">
        <v>833</v>
      </c>
      <c r="E593">
        <v>1757</v>
      </c>
      <c r="F593" s="2">
        <v>36459</v>
      </c>
      <c r="G593">
        <v>86.4</v>
      </c>
      <c r="H593">
        <v>60.31</v>
      </c>
      <c r="I593" t="s">
        <v>26</v>
      </c>
      <c r="J593">
        <v>64.7</v>
      </c>
      <c r="K593" s="3">
        <f t="shared" si="9"/>
        <v>70.470000000000013</v>
      </c>
      <c r="L593" t="s">
        <v>27</v>
      </c>
      <c r="M593" t="s">
        <v>41</v>
      </c>
      <c r="N593">
        <v>23</v>
      </c>
      <c r="O593" t="s">
        <v>28</v>
      </c>
      <c r="P593" t="s">
        <v>60</v>
      </c>
      <c r="Q593" t="s">
        <v>30</v>
      </c>
      <c r="R593">
        <v>526</v>
      </c>
      <c r="S593">
        <v>65.75</v>
      </c>
      <c r="T593" t="s">
        <v>33</v>
      </c>
      <c r="U593" t="s">
        <v>32</v>
      </c>
      <c r="V593" t="s">
        <v>33</v>
      </c>
      <c r="W593" t="s">
        <v>33</v>
      </c>
      <c r="X593" t="s">
        <v>34</v>
      </c>
      <c r="Y593" t="s">
        <v>50</v>
      </c>
      <c r="Z593" t="s">
        <v>44</v>
      </c>
      <c r="AA593" t="s">
        <v>74</v>
      </c>
      <c r="AB593" t="s">
        <v>46</v>
      </c>
      <c r="AC593">
        <f>IF(Cdacdata[[#This Row],[placement_status]]="Placed",1,0)</f>
        <v>1</v>
      </c>
      <c r="AD593" t="s">
        <v>193</v>
      </c>
      <c r="AE593" t="s">
        <v>47</v>
      </c>
      <c r="AF593" t="s">
        <v>39</v>
      </c>
      <c r="AG593">
        <v>2023</v>
      </c>
      <c r="AH593" t="s">
        <v>111</v>
      </c>
      <c r="AI593" t="str">
        <f>IF(Cdacdata[ccat_rank]&lt;=100,"Top 100",
IF(Cdacdata[ccat_rank]&lt;=500,"101–500",
IF(Cdacdata[ccat_rank]&lt;=1000,"501–1000",
"1000+")))</f>
        <v>1000+</v>
      </c>
    </row>
    <row r="594" spans="1:35" x14ac:dyDescent="0.3">
      <c r="A594" s="1" t="s">
        <v>192</v>
      </c>
      <c r="B594">
        <v>221200047</v>
      </c>
      <c r="C594" s="2">
        <v>44998</v>
      </c>
      <c r="D594" s="2" t="s">
        <v>834</v>
      </c>
      <c r="E594">
        <v>932</v>
      </c>
      <c r="F594" s="2">
        <v>34556</v>
      </c>
      <c r="G594">
        <v>60.6</v>
      </c>
      <c r="H594">
        <v>45</v>
      </c>
      <c r="I594">
        <v>57.37</v>
      </c>
      <c r="J594">
        <v>58.64</v>
      </c>
      <c r="K594" s="3">
        <f t="shared" si="9"/>
        <v>55.402500000000003</v>
      </c>
      <c r="L594" t="s">
        <v>27</v>
      </c>
      <c r="M594" t="s">
        <v>41</v>
      </c>
      <c r="N594">
        <v>28</v>
      </c>
      <c r="O594" t="s">
        <v>72</v>
      </c>
      <c r="P594" t="s">
        <v>26</v>
      </c>
      <c r="Q594" t="s">
        <v>30</v>
      </c>
      <c r="R594">
        <v>542</v>
      </c>
      <c r="S594">
        <v>67.75</v>
      </c>
      <c r="T594" t="s">
        <v>49</v>
      </c>
      <c r="U594" t="s">
        <v>32</v>
      </c>
      <c r="V594" t="s">
        <v>49</v>
      </c>
      <c r="W594" t="s">
        <v>33</v>
      </c>
      <c r="X594" t="s">
        <v>34</v>
      </c>
      <c r="Y594" t="s">
        <v>50</v>
      </c>
      <c r="Z594" t="s">
        <v>44</v>
      </c>
      <c r="AA594" t="s">
        <v>141</v>
      </c>
      <c r="AB594" t="s">
        <v>46</v>
      </c>
      <c r="AC594">
        <f>IF(Cdacdata[[#This Row],[placement_status]]="Placed",1,0)</f>
        <v>1</v>
      </c>
      <c r="AD594" t="s">
        <v>193</v>
      </c>
      <c r="AE594" t="s">
        <v>75</v>
      </c>
      <c r="AF594" t="s">
        <v>55</v>
      </c>
      <c r="AG594">
        <v>2023</v>
      </c>
      <c r="AH594" t="s">
        <v>111</v>
      </c>
      <c r="AI594" t="str">
        <f>IF(Cdacdata[ccat_rank]&lt;=100,"Top 100",
IF(Cdacdata[ccat_rank]&lt;=500,"101–500",
IF(Cdacdata[ccat_rank]&lt;=1000,"501–1000",
"1000+")))</f>
        <v>501–1000</v>
      </c>
    </row>
    <row r="595" spans="1:35" x14ac:dyDescent="0.3">
      <c r="A595" s="1" t="s">
        <v>192</v>
      </c>
      <c r="B595">
        <v>221205845</v>
      </c>
      <c r="C595" s="2">
        <v>45000</v>
      </c>
      <c r="D595" s="2" t="s">
        <v>835</v>
      </c>
      <c r="E595">
        <v>1637</v>
      </c>
      <c r="F595" s="2">
        <v>36514</v>
      </c>
      <c r="G595">
        <v>84.14</v>
      </c>
      <c r="H595">
        <v>80</v>
      </c>
      <c r="I595" t="s">
        <v>26</v>
      </c>
      <c r="J595">
        <v>63.72</v>
      </c>
      <c r="K595" s="3">
        <f t="shared" si="9"/>
        <v>75.953333333333333</v>
      </c>
      <c r="L595" t="s">
        <v>27</v>
      </c>
      <c r="M595" t="s">
        <v>41</v>
      </c>
      <c r="N595">
        <v>23</v>
      </c>
      <c r="O595" t="s">
        <v>28</v>
      </c>
      <c r="P595" t="s">
        <v>60</v>
      </c>
      <c r="Q595" t="s">
        <v>43</v>
      </c>
      <c r="R595">
        <v>550</v>
      </c>
      <c r="S595">
        <v>68.75</v>
      </c>
      <c r="T595" t="s">
        <v>49</v>
      </c>
      <c r="U595" t="s">
        <v>32</v>
      </c>
      <c r="V595" t="s">
        <v>49</v>
      </c>
      <c r="W595" t="s">
        <v>49</v>
      </c>
      <c r="X595" t="s">
        <v>34</v>
      </c>
      <c r="Y595" t="s">
        <v>50</v>
      </c>
      <c r="Z595" t="s">
        <v>44</v>
      </c>
      <c r="AA595" t="s">
        <v>141</v>
      </c>
      <c r="AB595" t="s">
        <v>46</v>
      </c>
      <c r="AC595">
        <f>IF(Cdacdata[[#This Row],[placement_status]]="Placed",1,0)</f>
        <v>1</v>
      </c>
      <c r="AD595" t="s">
        <v>193</v>
      </c>
      <c r="AE595" t="s">
        <v>47</v>
      </c>
      <c r="AF595" t="s">
        <v>39</v>
      </c>
      <c r="AG595">
        <v>2023</v>
      </c>
      <c r="AH595" t="s">
        <v>111</v>
      </c>
      <c r="AI595" t="str">
        <f>IF(Cdacdata[ccat_rank]&lt;=100,"Top 100",
IF(Cdacdata[ccat_rank]&lt;=500,"101–500",
IF(Cdacdata[ccat_rank]&lt;=1000,"501–1000",
"1000+")))</f>
        <v>1000+</v>
      </c>
    </row>
    <row r="596" spans="1:35" x14ac:dyDescent="0.3">
      <c r="A596" s="1" t="s">
        <v>192</v>
      </c>
      <c r="B596">
        <v>221202799</v>
      </c>
      <c r="C596" s="2">
        <v>45002</v>
      </c>
      <c r="D596" s="2" t="s">
        <v>836</v>
      </c>
      <c r="E596">
        <v>1008</v>
      </c>
      <c r="F596" s="2">
        <v>35455</v>
      </c>
      <c r="G596">
        <v>68.2</v>
      </c>
      <c r="H596">
        <v>69.38</v>
      </c>
      <c r="I596">
        <v>58.71</v>
      </c>
      <c r="J596">
        <v>76.67</v>
      </c>
      <c r="K596" s="3">
        <f t="shared" si="9"/>
        <v>68.239999999999995</v>
      </c>
      <c r="L596" t="s">
        <v>27</v>
      </c>
      <c r="M596" t="s">
        <v>41</v>
      </c>
      <c r="N596">
        <v>26</v>
      </c>
      <c r="O596" t="s">
        <v>48</v>
      </c>
      <c r="P596" t="s">
        <v>60</v>
      </c>
      <c r="Q596" t="s">
        <v>30</v>
      </c>
      <c r="R596">
        <v>385</v>
      </c>
      <c r="S596">
        <v>48.125</v>
      </c>
      <c r="T596" t="s">
        <v>31</v>
      </c>
      <c r="U596" t="s">
        <v>32</v>
      </c>
      <c r="V596" t="s">
        <v>31</v>
      </c>
      <c r="W596" t="s">
        <v>31</v>
      </c>
      <c r="X596" t="s">
        <v>34</v>
      </c>
      <c r="Y596" t="s">
        <v>80</v>
      </c>
      <c r="Z596" t="s">
        <v>36</v>
      </c>
      <c r="AA596" t="s">
        <v>1268</v>
      </c>
      <c r="AB596" t="s">
        <v>36</v>
      </c>
      <c r="AC596">
        <f>IF(Cdacdata[[#This Row],[placement_status]]="Placed",1,0)</f>
        <v>0</v>
      </c>
      <c r="AD596" t="s">
        <v>193</v>
      </c>
      <c r="AE596" t="s">
        <v>47</v>
      </c>
      <c r="AF596" t="s">
        <v>55</v>
      </c>
      <c r="AG596">
        <v>2023</v>
      </c>
      <c r="AH596" t="s">
        <v>111</v>
      </c>
      <c r="AI596" t="str">
        <f>IF(Cdacdata[ccat_rank]&lt;=100,"Top 100",
IF(Cdacdata[ccat_rank]&lt;=500,"101–500",
IF(Cdacdata[ccat_rank]&lt;=1000,"501–1000",
"1000+")))</f>
        <v>1000+</v>
      </c>
    </row>
    <row r="597" spans="1:35" x14ac:dyDescent="0.3">
      <c r="A597" s="1" t="s">
        <v>192</v>
      </c>
      <c r="B597">
        <v>221202445</v>
      </c>
      <c r="C597" s="2">
        <v>44995</v>
      </c>
      <c r="D597" s="2" t="s">
        <v>837</v>
      </c>
      <c r="E597">
        <v>318</v>
      </c>
      <c r="F597" s="2">
        <v>36281</v>
      </c>
      <c r="G597">
        <v>79.599999999999994</v>
      </c>
      <c r="H597" t="s">
        <v>26</v>
      </c>
      <c r="I597">
        <v>71.7</v>
      </c>
      <c r="J597">
        <v>84.2</v>
      </c>
      <c r="K597" s="3">
        <f t="shared" si="9"/>
        <v>78.5</v>
      </c>
      <c r="L597" t="s">
        <v>27</v>
      </c>
      <c r="M597" t="s">
        <v>27</v>
      </c>
      <c r="N597">
        <v>23</v>
      </c>
      <c r="O597" t="s">
        <v>48</v>
      </c>
      <c r="P597" t="s">
        <v>52</v>
      </c>
      <c r="Q597" t="s">
        <v>30</v>
      </c>
      <c r="R597">
        <v>590</v>
      </c>
      <c r="S597">
        <v>73.75</v>
      </c>
      <c r="T597" t="s">
        <v>49</v>
      </c>
      <c r="U597" t="s">
        <v>32</v>
      </c>
      <c r="V597" t="s">
        <v>49</v>
      </c>
      <c r="W597" t="s">
        <v>49</v>
      </c>
      <c r="X597" t="s">
        <v>34</v>
      </c>
      <c r="Y597" t="s">
        <v>58</v>
      </c>
      <c r="Z597" t="s">
        <v>44</v>
      </c>
      <c r="AA597" t="s">
        <v>137</v>
      </c>
      <c r="AB597" t="s">
        <v>46</v>
      </c>
      <c r="AC597">
        <f>IF(Cdacdata[[#This Row],[placement_status]]="Placed",1,0)</f>
        <v>1</v>
      </c>
      <c r="AD597" t="s">
        <v>193</v>
      </c>
      <c r="AE597" t="s">
        <v>75</v>
      </c>
      <c r="AF597" t="s">
        <v>39</v>
      </c>
      <c r="AG597">
        <v>2023</v>
      </c>
      <c r="AH597" t="s">
        <v>111</v>
      </c>
      <c r="AI597" t="str">
        <f>IF(Cdacdata[ccat_rank]&lt;=100,"Top 100",
IF(Cdacdata[ccat_rank]&lt;=500,"101–500",
IF(Cdacdata[ccat_rank]&lt;=1000,"501–1000",
"1000+")))</f>
        <v>101–500</v>
      </c>
    </row>
    <row r="598" spans="1:35" x14ac:dyDescent="0.3">
      <c r="A598" s="1" t="s">
        <v>192</v>
      </c>
      <c r="B598">
        <v>230107148</v>
      </c>
      <c r="C598" s="2"/>
      <c r="D598" s="2"/>
      <c r="E598" t="s">
        <v>63</v>
      </c>
      <c r="G598">
        <v>0</v>
      </c>
      <c r="H598">
        <v>0</v>
      </c>
      <c r="I598">
        <v>0</v>
      </c>
      <c r="J598">
        <v>0</v>
      </c>
      <c r="K598" s="3">
        <f t="shared" si="9"/>
        <v>0</v>
      </c>
      <c r="L598" t="s">
        <v>27</v>
      </c>
      <c r="M598" t="s">
        <v>27</v>
      </c>
      <c r="N598">
        <v>23</v>
      </c>
      <c r="O598" t="s">
        <v>373</v>
      </c>
      <c r="P598" t="s">
        <v>26</v>
      </c>
      <c r="Q598" t="s">
        <v>374</v>
      </c>
      <c r="R598">
        <v>498</v>
      </c>
      <c r="S598">
        <v>62.25</v>
      </c>
      <c r="T598" t="s">
        <v>31</v>
      </c>
      <c r="U598" t="s">
        <v>32</v>
      </c>
      <c r="V598" t="s">
        <v>31</v>
      </c>
      <c r="W598" t="s">
        <v>31</v>
      </c>
      <c r="X598" t="s">
        <v>34</v>
      </c>
      <c r="Y598" t="s">
        <v>50</v>
      </c>
      <c r="Z598" t="s">
        <v>36</v>
      </c>
      <c r="AA598" t="s">
        <v>1268</v>
      </c>
      <c r="AB598" t="s">
        <v>36</v>
      </c>
      <c r="AC598">
        <f>IF(Cdacdata[[#This Row],[placement_status]]="Placed",1,0)</f>
        <v>0</v>
      </c>
      <c r="AD598" t="s">
        <v>193</v>
      </c>
      <c r="AE598" t="s">
        <v>63</v>
      </c>
      <c r="AF598" t="s">
        <v>63</v>
      </c>
      <c r="AG598">
        <v>2023</v>
      </c>
      <c r="AH598" t="s">
        <v>111</v>
      </c>
      <c r="AI598" t="str">
        <f>IF(Cdacdata[ccat_rank]&lt;=100,"Top 100",
IF(Cdacdata[ccat_rank]&lt;=500,"101–500",
IF(Cdacdata[ccat_rank]&lt;=1000,"501–1000",
"1000+")))</f>
        <v>1000+</v>
      </c>
    </row>
    <row r="599" spans="1:35" x14ac:dyDescent="0.3">
      <c r="A599" s="1" t="s">
        <v>192</v>
      </c>
      <c r="B599">
        <v>230106262</v>
      </c>
      <c r="C599" s="2">
        <v>44998</v>
      </c>
      <c r="D599" s="2" t="s">
        <v>838</v>
      </c>
      <c r="E599">
        <v>1074</v>
      </c>
      <c r="F599" s="2">
        <v>35054</v>
      </c>
      <c r="G599">
        <v>88.91</v>
      </c>
      <c r="H599">
        <v>62.33</v>
      </c>
      <c r="I599" t="s">
        <v>26</v>
      </c>
      <c r="J599">
        <v>67.13</v>
      </c>
      <c r="K599" s="3">
        <f t="shared" si="9"/>
        <v>72.790000000000006</v>
      </c>
      <c r="L599" t="s">
        <v>27</v>
      </c>
      <c r="M599" t="s">
        <v>41</v>
      </c>
      <c r="N599">
        <v>27</v>
      </c>
      <c r="O599" t="s">
        <v>28</v>
      </c>
      <c r="P599" t="s">
        <v>60</v>
      </c>
      <c r="Q599" t="s">
        <v>30</v>
      </c>
      <c r="R599">
        <v>428</v>
      </c>
      <c r="S599">
        <v>53.5</v>
      </c>
      <c r="T599" t="s">
        <v>33</v>
      </c>
      <c r="U599" t="s">
        <v>32</v>
      </c>
      <c r="V599" t="s">
        <v>33</v>
      </c>
      <c r="W599" t="s">
        <v>33</v>
      </c>
      <c r="X599" t="s">
        <v>34</v>
      </c>
      <c r="Y599" t="s">
        <v>35</v>
      </c>
      <c r="Z599" t="s">
        <v>36</v>
      </c>
      <c r="AA599" t="s">
        <v>1268</v>
      </c>
      <c r="AB599" t="s">
        <v>36</v>
      </c>
      <c r="AC599">
        <f>IF(Cdacdata[[#This Row],[placement_status]]="Placed",1,0)</f>
        <v>0</v>
      </c>
      <c r="AD599" t="s">
        <v>193</v>
      </c>
      <c r="AE599" t="s">
        <v>47</v>
      </c>
      <c r="AF599" t="s">
        <v>55</v>
      </c>
      <c r="AG599">
        <v>2023</v>
      </c>
      <c r="AH599" t="s">
        <v>111</v>
      </c>
      <c r="AI599" t="str">
        <f>IF(Cdacdata[ccat_rank]&lt;=100,"Top 100",
IF(Cdacdata[ccat_rank]&lt;=500,"101–500",
IF(Cdacdata[ccat_rank]&lt;=1000,"501–1000",
"1000+")))</f>
        <v>1000+</v>
      </c>
    </row>
    <row r="600" spans="1:35" x14ac:dyDescent="0.3">
      <c r="A600" s="1" t="s">
        <v>192</v>
      </c>
      <c r="B600">
        <v>221200090</v>
      </c>
      <c r="C600" s="2">
        <v>44995</v>
      </c>
      <c r="D600" s="2" t="s">
        <v>839</v>
      </c>
      <c r="E600">
        <v>1365</v>
      </c>
      <c r="F600" s="2">
        <v>34552</v>
      </c>
      <c r="G600">
        <v>91.45</v>
      </c>
      <c r="H600">
        <v>74</v>
      </c>
      <c r="I600" t="s">
        <v>26</v>
      </c>
      <c r="J600">
        <v>64.540000000000006</v>
      </c>
      <c r="K600" s="3">
        <f t="shared" si="9"/>
        <v>76.663333333333341</v>
      </c>
      <c r="L600" t="s">
        <v>27</v>
      </c>
      <c r="M600" t="s">
        <v>41</v>
      </c>
      <c r="N600">
        <v>28</v>
      </c>
      <c r="O600" t="s">
        <v>28</v>
      </c>
      <c r="P600" t="s">
        <v>65</v>
      </c>
      <c r="Q600" t="s">
        <v>30</v>
      </c>
      <c r="R600">
        <v>519</v>
      </c>
      <c r="S600">
        <v>64.875</v>
      </c>
      <c r="T600" t="s">
        <v>33</v>
      </c>
      <c r="U600" t="s">
        <v>32</v>
      </c>
      <c r="V600" t="s">
        <v>33</v>
      </c>
      <c r="W600" t="s">
        <v>33</v>
      </c>
      <c r="X600" t="s">
        <v>34</v>
      </c>
      <c r="Y600" t="s">
        <v>50</v>
      </c>
      <c r="Z600" t="s">
        <v>36</v>
      </c>
      <c r="AA600" t="s">
        <v>1268</v>
      </c>
      <c r="AB600" t="s">
        <v>36</v>
      </c>
      <c r="AC600">
        <f>IF(Cdacdata[[#This Row],[placement_status]]="Placed",1,0)</f>
        <v>0</v>
      </c>
      <c r="AD600" t="s">
        <v>193</v>
      </c>
      <c r="AE600" t="s">
        <v>47</v>
      </c>
      <c r="AF600" t="s">
        <v>55</v>
      </c>
      <c r="AG600">
        <v>2023</v>
      </c>
      <c r="AH600" t="s">
        <v>111</v>
      </c>
      <c r="AI600" t="str">
        <f>IF(Cdacdata[ccat_rank]&lt;=100,"Top 100",
IF(Cdacdata[ccat_rank]&lt;=500,"101–500",
IF(Cdacdata[ccat_rank]&lt;=1000,"501–1000",
"1000+")))</f>
        <v>1000+</v>
      </c>
    </row>
    <row r="601" spans="1:35" x14ac:dyDescent="0.3">
      <c r="A601" s="1" t="s">
        <v>192</v>
      </c>
      <c r="B601">
        <v>221206415</v>
      </c>
      <c r="C601" s="2">
        <v>44996</v>
      </c>
      <c r="D601" s="2" t="s">
        <v>840</v>
      </c>
      <c r="E601">
        <v>1812</v>
      </c>
      <c r="F601" s="2">
        <v>36716</v>
      </c>
      <c r="G601">
        <v>72.599999999999994</v>
      </c>
      <c r="H601" t="s">
        <v>26</v>
      </c>
      <c r="I601">
        <v>67.64</v>
      </c>
      <c r="J601">
        <v>74.87</v>
      </c>
      <c r="K601" s="3">
        <f t="shared" si="9"/>
        <v>71.703333333333333</v>
      </c>
      <c r="L601" t="s">
        <v>27</v>
      </c>
      <c r="M601" t="s">
        <v>41</v>
      </c>
      <c r="N601">
        <v>22</v>
      </c>
      <c r="O601" t="s">
        <v>62</v>
      </c>
      <c r="P601" t="s">
        <v>26</v>
      </c>
      <c r="Q601" t="s">
        <v>43</v>
      </c>
      <c r="R601">
        <v>364</v>
      </c>
      <c r="S601">
        <v>45.5</v>
      </c>
      <c r="T601" t="s">
        <v>33</v>
      </c>
      <c r="U601" t="s">
        <v>32</v>
      </c>
      <c r="V601" t="s">
        <v>33</v>
      </c>
      <c r="W601" t="s">
        <v>31</v>
      </c>
      <c r="X601" t="s">
        <v>34</v>
      </c>
      <c r="Y601" t="s">
        <v>80</v>
      </c>
      <c r="Z601" t="s">
        <v>36</v>
      </c>
      <c r="AA601" t="s">
        <v>1268</v>
      </c>
      <c r="AB601" t="s">
        <v>36</v>
      </c>
      <c r="AC601">
        <f>IF(Cdacdata[[#This Row],[placement_status]]="Placed",1,0)</f>
        <v>0</v>
      </c>
      <c r="AD601" t="s">
        <v>193</v>
      </c>
      <c r="AE601" t="s">
        <v>47</v>
      </c>
      <c r="AF601" t="s">
        <v>57</v>
      </c>
      <c r="AG601">
        <v>2023</v>
      </c>
      <c r="AH601" t="s">
        <v>111</v>
      </c>
      <c r="AI601" t="str">
        <f>IF(Cdacdata[ccat_rank]&lt;=100,"Top 100",
IF(Cdacdata[ccat_rank]&lt;=500,"101–500",
IF(Cdacdata[ccat_rank]&lt;=1000,"501–1000",
"1000+")))</f>
        <v>1000+</v>
      </c>
    </row>
    <row r="602" spans="1:35" x14ac:dyDescent="0.3">
      <c r="A602" s="1" t="s">
        <v>192</v>
      </c>
      <c r="B602">
        <v>230100253</v>
      </c>
      <c r="C602" s="2">
        <v>44996</v>
      </c>
      <c r="D602" s="2" t="s">
        <v>841</v>
      </c>
      <c r="E602">
        <v>1833</v>
      </c>
      <c r="F602" s="2">
        <v>36844</v>
      </c>
      <c r="G602">
        <v>70.8</v>
      </c>
      <c r="H602" t="s">
        <v>26</v>
      </c>
      <c r="I602">
        <v>76.290000000000006</v>
      </c>
      <c r="J602">
        <v>73.98</v>
      </c>
      <c r="K602" s="3">
        <f t="shared" si="9"/>
        <v>73.69</v>
      </c>
      <c r="L602" t="s">
        <v>27</v>
      </c>
      <c r="M602" t="s">
        <v>41</v>
      </c>
      <c r="N602">
        <v>22</v>
      </c>
      <c r="O602" t="s">
        <v>28</v>
      </c>
      <c r="P602" t="s">
        <v>65</v>
      </c>
      <c r="Q602" t="s">
        <v>30</v>
      </c>
      <c r="R602">
        <v>358</v>
      </c>
      <c r="S602">
        <v>44.75</v>
      </c>
      <c r="T602" t="s">
        <v>33</v>
      </c>
      <c r="U602" t="s">
        <v>32</v>
      </c>
      <c r="V602" t="s">
        <v>33</v>
      </c>
      <c r="W602" t="s">
        <v>31</v>
      </c>
      <c r="X602" t="s">
        <v>34</v>
      </c>
      <c r="Y602" t="s">
        <v>80</v>
      </c>
      <c r="Z602" t="s">
        <v>44</v>
      </c>
      <c r="AA602" t="s">
        <v>202</v>
      </c>
      <c r="AB602" t="s">
        <v>46</v>
      </c>
      <c r="AC602">
        <f>IF(Cdacdata[[#This Row],[placement_status]]="Placed",1,0)</f>
        <v>1</v>
      </c>
      <c r="AD602" t="s">
        <v>193</v>
      </c>
      <c r="AE602" t="s">
        <v>47</v>
      </c>
      <c r="AF602" t="s">
        <v>57</v>
      </c>
      <c r="AG602">
        <v>2023</v>
      </c>
      <c r="AH602" t="s">
        <v>111</v>
      </c>
      <c r="AI602" t="str">
        <f>IF(Cdacdata[ccat_rank]&lt;=100,"Top 100",
IF(Cdacdata[ccat_rank]&lt;=500,"101–500",
IF(Cdacdata[ccat_rank]&lt;=1000,"501–1000",
"1000+")))</f>
        <v>1000+</v>
      </c>
    </row>
    <row r="603" spans="1:35" x14ac:dyDescent="0.3">
      <c r="A603" s="1" t="s">
        <v>192</v>
      </c>
      <c r="B603">
        <v>221207374</v>
      </c>
      <c r="C603" s="2">
        <v>44995</v>
      </c>
      <c r="D603" s="2" t="s">
        <v>842</v>
      </c>
      <c r="E603">
        <v>1369</v>
      </c>
      <c r="F603" s="2">
        <v>36526</v>
      </c>
      <c r="G603">
        <v>75.2</v>
      </c>
      <c r="H603">
        <v>57.69</v>
      </c>
      <c r="I603" t="s">
        <v>26</v>
      </c>
      <c r="J603">
        <v>70</v>
      </c>
      <c r="K603" s="3">
        <f t="shared" si="9"/>
        <v>67.63</v>
      </c>
      <c r="L603" t="s">
        <v>27</v>
      </c>
      <c r="M603" t="s">
        <v>27</v>
      </c>
      <c r="N603">
        <v>23</v>
      </c>
      <c r="O603" t="s">
        <v>28</v>
      </c>
      <c r="P603" t="s">
        <v>56</v>
      </c>
      <c r="Q603" t="s">
        <v>43</v>
      </c>
      <c r="R603">
        <v>439</v>
      </c>
      <c r="S603">
        <v>54.875</v>
      </c>
      <c r="T603" t="s">
        <v>33</v>
      </c>
      <c r="U603" t="s">
        <v>32</v>
      </c>
      <c r="V603" t="s">
        <v>33</v>
      </c>
      <c r="W603" t="s">
        <v>31</v>
      </c>
      <c r="X603" t="s">
        <v>34</v>
      </c>
      <c r="Y603" t="s">
        <v>35</v>
      </c>
      <c r="Z603" t="s">
        <v>44</v>
      </c>
      <c r="AA603" t="s">
        <v>197</v>
      </c>
      <c r="AB603" t="s">
        <v>46</v>
      </c>
      <c r="AC603">
        <f>IF(Cdacdata[[#This Row],[placement_status]]="Placed",1,0)</f>
        <v>1</v>
      </c>
      <c r="AD603" t="s">
        <v>193</v>
      </c>
      <c r="AE603" t="s">
        <v>47</v>
      </c>
      <c r="AF603" t="s">
        <v>39</v>
      </c>
      <c r="AG603">
        <v>2023</v>
      </c>
      <c r="AH603" t="s">
        <v>111</v>
      </c>
      <c r="AI603" t="str">
        <f>IF(Cdacdata[ccat_rank]&lt;=100,"Top 100",
IF(Cdacdata[ccat_rank]&lt;=500,"101–500",
IF(Cdacdata[ccat_rank]&lt;=1000,"501–1000",
"1000+")))</f>
        <v>1000+</v>
      </c>
    </row>
    <row r="604" spans="1:35" x14ac:dyDescent="0.3">
      <c r="A604" s="1" t="s">
        <v>192</v>
      </c>
      <c r="B604">
        <v>221200276</v>
      </c>
      <c r="C604" s="2">
        <v>44996</v>
      </c>
      <c r="D604" s="2" t="s">
        <v>843</v>
      </c>
      <c r="E604">
        <v>1796</v>
      </c>
      <c r="F604" s="2">
        <v>36689</v>
      </c>
      <c r="G604">
        <v>82.4</v>
      </c>
      <c r="H604">
        <v>60</v>
      </c>
      <c r="I604" t="s">
        <v>26</v>
      </c>
      <c r="J604">
        <v>68.09</v>
      </c>
      <c r="K604" s="3">
        <f t="shared" si="9"/>
        <v>70.163333333333341</v>
      </c>
      <c r="L604" t="s">
        <v>27</v>
      </c>
      <c r="M604" t="s">
        <v>41</v>
      </c>
      <c r="N604">
        <v>22</v>
      </c>
      <c r="O604" t="s">
        <v>28</v>
      </c>
      <c r="P604" t="s">
        <v>52</v>
      </c>
      <c r="Q604" t="s">
        <v>30</v>
      </c>
      <c r="R604">
        <v>246</v>
      </c>
      <c r="S604">
        <v>30.75</v>
      </c>
      <c r="T604" t="s">
        <v>31</v>
      </c>
      <c r="U604" t="s">
        <v>64</v>
      </c>
      <c r="V604" t="s">
        <v>31</v>
      </c>
      <c r="W604" t="s">
        <v>64</v>
      </c>
      <c r="X604" t="s">
        <v>34</v>
      </c>
      <c r="Y604" t="s">
        <v>64</v>
      </c>
      <c r="Z604" t="s">
        <v>36</v>
      </c>
      <c r="AA604" t="s">
        <v>1268</v>
      </c>
      <c r="AB604" t="s">
        <v>36</v>
      </c>
      <c r="AC604">
        <f>IF(Cdacdata[[#This Row],[placement_status]]="Placed",1,0)</f>
        <v>0</v>
      </c>
      <c r="AD604" t="s">
        <v>193</v>
      </c>
      <c r="AE604" t="s">
        <v>47</v>
      </c>
      <c r="AF604" t="s">
        <v>57</v>
      </c>
      <c r="AG604">
        <v>2023</v>
      </c>
      <c r="AH604" t="s">
        <v>111</v>
      </c>
      <c r="AI604" t="str">
        <f>IF(Cdacdata[ccat_rank]&lt;=100,"Top 100",
IF(Cdacdata[ccat_rank]&lt;=500,"101–500",
IF(Cdacdata[ccat_rank]&lt;=1000,"501–1000",
"1000+")))</f>
        <v>1000+</v>
      </c>
    </row>
    <row r="605" spans="1:35" x14ac:dyDescent="0.3">
      <c r="A605" s="1" t="s">
        <v>192</v>
      </c>
      <c r="B605">
        <v>221202266</v>
      </c>
      <c r="C605" s="2">
        <v>44996</v>
      </c>
      <c r="D605" s="2" t="s">
        <v>844</v>
      </c>
      <c r="E605">
        <v>1732</v>
      </c>
      <c r="F605" s="2">
        <v>36628</v>
      </c>
      <c r="G605">
        <v>81.2</v>
      </c>
      <c r="H605" t="s">
        <v>26</v>
      </c>
      <c r="I605">
        <v>78.760000000000005</v>
      </c>
      <c r="J605">
        <v>85.9</v>
      </c>
      <c r="K605" s="3">
        <f t="shared" si="9"/>
        <v>81.953333333333333</v>
      </c>
      <c r="L605" t="s">
        <v>27</v>
      </c>
      <c r="M605" t="s">
        <v>41</v>
      </c>
      <c r="N605">
        <v>22</v>
      </c>
      <c r="O605" t="s">
        <v>48</v>
      </c>
      <c r="P605" t="s">
        <v>60</v>
      </c>
      <c r="Q605" t="s">
        <v>43</v>
      </c>
      <c r="R605">
        <v>499</v>
      </c>
      <c r="S605">
        <v>62.375</v>
      </c>
      <c r="T605" t="s">
        <v>49</v>
      </c>
      <c r="U605" t="s">
        <v>32</v>
      </c>
      <c r="V605" t="s">
        <v>49</v>
      </c>
      <c r="W605" t="s">
        <v>33</v>
      </c>
      <c r="X605" t="s">
        <v>34</v>
      </c>
      <c r="Y605" t="s">
        <v>50</v>
      </c>
      <c r="Z605" t="s">
        <v>44</v>
      </c>
      <c r="AA605" t="s">
        <v>74</v>
      </c>
      <c r="AB605" t="s">
        <v>46</v>
      </c>
      <c r="AC605">
        <f>IF(Cdacdata[[#This Row],[placement_status]]="Placed",1,0)</f>
        <v>1</v>
      </c>
      <c r="AD605" t="s">
        <v>193</v>
      </c>
      <c r="AE605" t="s">
        <v>47</v>
      </c>
      <c r="AF605" t="s">
        <v>57</v>
      </c>
      <c r="AG605">
        <v>2023</v>
      </c>
      <c r="AH605" t="s">
        <v>111</v>
      </c>
      <c r="AI605" t="str">
        <f>IF(Cdacdata[ccat_rank]&lt;=100,"Top 100",
IF(Cdacdata[ccat_rank]&lt;=500,"101–500",
IF(Cdacdata[ccat_rank]&lt;=1000,"501–1000",
"1000+")))</f>
        <v>1000+</v>
      </c>
    </row>
    <row r="606" spans="1:35" x14ac:dyDescent="0.3">
      <c r="A606" s="1" t="s">
        <v>192</v>
      </c>
      <c r="B606">
        <v>230100624</v>
      </c>
      <c r="C606" s="2">
        <v>44995</v>
      </c>
      <c r="D606" s="2" t="s">
        <v>845</v>
      </c>
      <c r="E606">
        <v>1583</v>
      </c>
      <c r="F606" s="2">
        <v>35105</v>
      </c>
      <c r="G606">
        <v>93.1</v>
      </c>
      <c r="H606">
        <v>85.4</v>
      </c>
      <c r="I606">
        <v>69.400000000000006</v>
      </c>
      <c r="J606">
        <v>69.400000000000006</v>
      </c>
      <c r="K606" s="3">
        <f t="shared" si="9"/>
        <v>79.325000000000003</v>
      </c>
      <c r="L606" t="s">
        <v>27</v>
      </c>
      <c r="M606" t="s">
        <v>27</v>
      </c>
      <c r="N606">
        <v>27</v>
      </c>
      <c r="O606" t="s">
        <v>28</v>
      </c>
      <c r="P606" t="s">
        <v>42</v>
      </c>
      <c r="Q606" t="s">
        <v>43</v>
      </c>
      <c r="R606">
        <v>500</v>
      </c>
      <c r="S606">
        <v>62.5</v>
      </c>
      <c r="T606" t="s">
        <v>49</v>
      </c>
      <c r="U606" t="s">
        <v>32</v>
      </c>
      <c r="V606" t="s">
        <v>49</v>
      </c>
      <c r="W606" t="s">
        <v>33</v>
      </c>
      <c r="X606" t="s">
        <v>34</v>
      </c>
      <c r="Y606" t="s">
        <v>50</v>
      </c>
      <c r="Z606" t="s">
        <v>44</v>
      </c>
      <c r="AA606" t="s">
        <v>74</v>
      </c>
      <c r="AB606" t="s">
        <v>46</v>
      </c>
      <c r="AC606">
        <f>IF(Cdacdata[[#This Row],[placement_status]]="Placed",1,0)</f>
        <v>1</v>
      </c>
      <c r="AD606" t="s">
        <v>193</v>
      </c>
      <c r="AE606" t="s">
        <v>47</v>
      </c>
      <c r="AF606" t="s">
        <v>55</v>
      </c>
      <c r="AG606">
        <v>2023</v>
      </c>
      <c r="AH606" t="s">
        <v>111</v>
      </c>
      <c r="AI606" t="str">
        <f>IF(Cdacdata[ccat_rank]&lt;=100,"Top 100",
IF(Cdacdata[ccat_rank]&lt;=500,"101–500",
IF(Cdacdata[ccat_rank]&lt;=1000,"501–1000",
"1000+")))</f>
        <v>1000+</v>
      </c>
    </row>
    <row r="607" spans="1:35" x14ac:dyDescent="0.3">
      <c r="A607" s="1" t="s">
        <v>192</v>
      </c>
      <c r="B607">
        <v>221207774</v>
      </c>
      <c r="C607" s="2">
        <v>44999</v>
      </c>
      <c r="D607" s="2" t="s">
        <v>846</v>
      </c>
      <c r="E607">
        <v>1749</v>
      </c>
      <c r="F607" s="2">
        <v>37121</v>
      </c>
      <c r="G607">
        <v>90.17</v>
      </c>
      <c r="H607">
        <v>84.4</v>
      </c>
      <c r="I607" t="s">
        <v>26</v>
      </c>
      <c r="J607">
        <v>74.099999999999994</v>
      </c>
      <c r="K607" s="3">
        <f t="shared" si="9"/>
        <v>82.89</v>
      </c>
      <c r="L607" t="s">
        <v>27</v>
      </c>
      <c r="M607" t="s">
        <v>27</v>
      </c>
      <c r="N607">
        <v>21</v>
      </c>
      <c r="O607" t="s">
        <v>62</v>
      </c>
      <c r="P607" t="s">
        <v>60</v>
      </c>
      <c r="Q607" t="s">
        <v>43</v>
      </c>
      <c r="R607">
        <v>565</v>
      </c>
      <c r="S607">
        <v>70.625</v>
      </c>
      <c r="T607" t="s">
        <v>49</v>
      </c>
      <c r="U607" t="s">
        <v>32</v>
      </c>
      <c r="V607" t="s">
        <v>49</v>
      </c>
      <c r="W607" t="s">
        <v>49</v>
      </c>
      <c r="X607" t="s">
        <v>34</v>
      </c>
      <c r="Y607" t="s">
        <v>58</v>
      </c>
      <c r="Z607" t="s">
        <v>44</v>
      </c>
      <c r="AA607" t="s">
        <v>201</v>
      </c>
      <c r="AB607" t="s">
        <v>46</v>
      </c>
      <c r="AC607">
        <f>IF(Cdacdata[[#This Row],[placement_status]]="Placed",1,0)</f>
        <v>1</v>
      </c>
      <c r="AD607" t="s">
        <v>193</v>
      </c>
      <c r="AE607" t="s">
        <v>47</v>
      </c>
      <c r="AF607" t="s">
        <v>57</v>
      </c>
      <c r="AG607">
        <v>2023</v>
      </c>
      <c r="AH607" t="s">
        <v>111</v>
      </c>
      <c r="AI607" t="str">
        <f>IF(Cdacdata[ccat_rank]&lt;=100,"Top 100",
IF(Cdacdata[ccat_rank]&lt;=500,"101–500",
IF(Cdacdata[ccat_rank]&lt;=1000,"501–1000",
"1000+")))</f>
        <v>1000+</v>
      </c>
    </row>
    <row r="608" spans="1:35" x14ac:dyDescent="0.3">
      <c r="A608" s="1" t="s">
        <v>192</v>
      </c>
      <c r="B608">
        <v>221201862</v>
      </c>
      <c r="C608" s="2">
        <v>44998</v>
      </c>
      <c r="D608" s="2" t="s">
        <v>847</v>
      </c>
      <c r="E608">
        <v>1672</v>
      </c>
      <c r="F608" s="2">
        <v>36074</v>
      </c>
      <c r="G608">
        <v>75</v>
      </c>
      <c r="H608">
        <v>65.849999999999994</v>
      </c>
      <c r="I608" t="s">
        <v>26</v>
      </c>
      <c r="J608">
        <v>58.16</v>
      </c>
      <c r="K608" s="3">
        <f t="shared" si="9"/>
        <v>66.336666666666659</v>
      </c>
      <c r="L608" t="s">
        <v>27</v>
      </c>
      <c r="M608" t="s">
        <v>41</v>
      </c>
      <c r="N608">
        <v>24</v>
      </c>
      <c r="O608" t="s">
        <v>72</v>
      </c>
      <c r="P608" t="s">
        <v>60</v>
      </c>
      <c r="Q608" t="s">
        <v>30</v>
      </c>
      <c r="R608">
        <v>438</v>
      </c>
      <c r="S608">
        <v>54.75</v>
      </c>
      <c r="T608" t="s">
        <v>33</v>
      </c>
      <c r="U608" t="s">
        <v>32</v>
      </c>
      <c r="V608" t="s">
        <v>33</v>
      </c>
      <c r="W608" t="s">
        <v>33</v>
      </c>
      <c r="X608" t="s">
        <v>34</v>
      </c>
      <c r="Y608" t="s">
        <v>35</v>
      </c>
      <c r="Z608" t="s">
        <v>44</v>
      </c>
      <c r="AA608" t="s">
        <v>203</v>
      </c>
      <c r="AB608" t="s">
        <v>46</v>
      </c>
      <c r="AC608">
        <f>IF(Cdacdata[[#This Row],[placement_status]]="Placed",1,0)</f>
        <v>1</v>
      </c>
      <c r="AD608" t="s">
        <v>193</v>
      </c>
      <c r="AE608" t="s">
        <v>47</v>
      </c>
      <c r="AF608" t="s">
        <v>39</v>
      </c>
      <c r="AG608">
        <v>2023</v>
      </c>
      <c r="AH608" t="s">
        <v>111</v>
      </c>
      <c r="AI608" t="str">
        <f>IF(Cdacdata[ccat_rank]&lt;=100,"Top 100",
IF(Cdacdata[ccat_rank]&lt;=500,"101–500",
IF(Cdacdata[ccat_rank]&lt;=1000,"501–1000",
"1000+")))</f>
        <v>1000+</v>
      </c>
    </row>
    <row r="609" spans="1:35" x14ac:dyDescent="0.3">
      <c r="A609" s="1" t="s">
        <v>192</v>
      </c>
      <c r="B609">
        <v>221202707</v>
      </c>
      <c r="C609" s="2">
        <v>44998</v>
      </c>
      <c r="D609" s="2" t="s">
        <v>848</v>
      </c>
      <c r="E609">
        <v>1634</v>
      </c>
      <c r="F609" s="2">
        <v>35396</v>
      </c>
      <c r="G609">
        <v>74.099999999999994</v>
      </c>
      <c r="H609">
        <v>77</v>
      </c>
      <c r="I609" t="s">
        <v>26</v>
      </c>
      <c r="J609">
        <v>72.59</v>
      </c>
      <c r="K609" s="3">
        <f t="shared" si="9"/>
        <v>74.563333333333333</v>
      </c>
      <c r="L609" t="s">
        <v>27</v>
      </c>
      <c r="M609" t="s">
        <v>27</v>
      </c>
      <c r="N609">
        <v>26</v>
      </c>
      <c r="O609" t="s">
        <v>28</v>
      </c>
      <c r="P609" t="s">
        <v>52</v>
      </c>
      <c r="Q609" t="s">
        <v>43</v>
      </c>
      <c r="R609">
        <v>524</v>
      </c>
      <c r="S609">
        <v>65.5</v>
      </c>
      <c r="T609" t="s">
        <v>49</v>
      </c>
      <c r="U609" t="s">
        <v>32</v>
      </c>
      <c r="V609" t="s">
        <v>49</v>
      </c>
      <c r="W609" t="s">
        <v>33</v>
      </c>
      <c r="X609" t="s">
        <v>34</v>
      </c>
      <c r="Y609" t="s">
        <v>50</v>
      </c>
      <c r="Z609" t="s">
        <v>36</v>
      </c>
      <c r="AA609" t="s">
        <v>1268</v>
      </c>
      <c r="AB609" t="s">
        <v>36</v>
      </c>
      <c r="AC609">
        <f>IF(Cdacdata[[#This Row],[placement_status]]="Placed",1,0)</f>
        <v>0</v>
      </c>
      <c r="AD609" t="s">
        <v>193</v>
      </c>
      <c r="AE609" t="s">
        <v>47</v>
      </c>
      <c r="AF609" t="s">
        <v>55</v>
      </c>
      <c r="AG609">
        <v>2023</v>
      </c>
      <c r="AH609" t="s">
        <v>111</v>
      </c>
      <c r="AI609" t="str">
        <f>IF(Cdacdata[ccat_rank]&lt;=100,"Top 100",
IF(Cdacdata[ccat_rank]&lt;=500,"101–500",
IF(Cdacdata[ccat_rank]&lt;=1000,"501–1000",
"1000+")))</f>
        <v>1000+</v>
      </c>
    </row>
    <row r="610" spans="1:35" x14ac:dyDescent="0.3">
      <c r="A610" s="1" t="s">
        <v>192</v>
      </c>
      <c r="B610">
        <v>221201228</v>
      </c>
      <c r="C610" s="2">
        <v>44998</v>
      </c>
      <c r="D610" s="2" t="s">
        <v>849</v>
      </c>
      <c r="E610">
        <v>1264</v>
      </c>
      <c r="F610" s="2">
        <v>36910</v>
      </c>
      <c r="G610">
        <v>86.2</v>
      </c>
      <c r="H610">
        <v>78.62</v>
      </c>
      <c r="I610" t="s">
        <v>26</v>
      </c>
      <c r="J610">
        <v>85.12</v>
      </c>
      <c r="K610" s="3">
        <f t="shared" si="9"/>
        <v>83.313333333333333</v>
      </c>
      <c r="L610" t="s">
        <v>27</v>
      </c>
      <c r="M610" t="s">
        <v>27</v>
      </c>
      <c r="N610">
        <v>22</v>
      </c>
      <c r="O610" t="s">
        <v>48</v>
      </c>
      <c r="P610" t="s">
        <v>52</v>
      </c>
      <c r="Q610" t="s">
        <v>30</v>
      </c>
      <c r="R610">
        <v>583</v>
      </c>
      <c r="S610">
        <v>72.875</v>
      </c>
      <c r="T610" t="s">
        <v>49</v>
      </c>
      <c r="U610" t="s">
        <v>32</v>
      </c>
      <c r="V610" t="s">
        <v>49</v>
      </c>
      <c r="W610" t="s">
        <v>33</v>
      </c>
      <c r="X610" t="s">
        <v>34</v>
      </c>
      <c r="Y610" t="s">
        <v>58</v>
      </c>
      <c r="Z610" t="s">
        <v>44</v>
      </c>
      <c r="AA610" t="s">
        <v>199</v>
      </c>
      <c r="AB610" t="s">
        <v>46</v>
      </c>
      <c r="AC610">
        <f>IF(Cdacdata[[#This Row],[placement_status]]="Placed",1,0)</f>
        <v>1</v>
      </c>
      <c r="AD610" t="s">
        <v>193</v>
      </c>
      <c r="AE610" t="s">
        <v>47</v>
      </c>
      <c r="AF610" t="s">
        <v>57</v>
      </c>
      <c r="AG610">
        <v>2023</v>
      </c>
      <c r="AH610" t="s">
        <v>111</v>
      </c>
      <c r="AI610" t="str">
        <f>IF(Cdacdata[ccat_rank]&lt;=100,"Top 100",
IF(Cdacdata[ccat_rank]&lt;=500,"101–500",
IF(Cdacdata[ccat_rank]&lt;=1000,"501–1000",
"1000+")))</f>
        <v>1000+</v>
      </c>
    </row>
    <row r="611" spans="1:35" x14ac:dyDescent="0.3">
      <c r="A611" s="1" t="s">
        <v>192</v>
      </c>
      <c r="B611">
        <v>230106233</v>
      </c>
      <c r="C611" s="2">
        <v>45000</v>
      </c>
      <c r="D611" s="2" t="s">
        <v>850</v>
      </c>
      <c r="E611">
        <v>1785</v>
      </c>
      <c r="F611" s="2">
        <v>35330</v>
      </c>
      <c r="G611">
        <v>89.27</v>
      </c>
      <c r="H611" t="s">
        <v>26</v>
      </c>
      <c r="I611">
        <v>87.75</v>
      </c>
      <c r="J611">
        <v>76.099999999999994</v>
      </c>
      <c r="K611" s="3">
        <f t="shared" si="9"/>
        <v>84.373333333333321</v>
      </c>
      <c r="L611" t="s">
        <v>27</v>
      </c>
      <c r="M611" t="s">
        <v>27</v>
      </c>
      <c r="N611">
        <v>26</v>
      </c>
      <c r="O611" t="s">
        <v>48</v>
      </c>
      <c r="P611" t="s">
        <v>60</v>
      </c>
      <c r="Q611" t="s">
        <v>43</v>
      </c>
      <c r="R611">
        <v>536</v>
      </c>
      <c r="S611">
        <v>67</v>
      </c>
      <c r="T611" t="s">
        <v>49</v>
      </c>
      <c r="U611" t="s">
        <v>32</v>
      </c>
      <c r="V611" t="s">
        <v>49</v>
      </c>
      <c r="W611" t="s">
        <v>33</v>
      </c>
      <c r="X611" t="s">
        <v>34</v>
      </c>
      <c r="Y611" t="s">
        <v>50</v>
      </c>
      <c r="Z611" t="s">
        <v>53</v>
      </c>
      <c r="AA611" t="s">
        <v>54</v>
      </c>
      <c r="AB611" t="s">
        <v>46</v>
      </c>
      <c r="AC611">
        <f>IF(Cdacdata[[#This Row],[placement_status]]="Placed",1,0)</f>
        <v>1</v>
      </c>
      <c r="AD611" t="s">
        <v>193</v>
      </c>
      <c r="AE611" t="s">
        <v>47</v>
      </c>
      <c r="AF611" t="s">
        <v>55</v>
      </c>
      <c r="AG611">
        <v>2023</v>
      </c>
      <c r="AH611" t="s">
        <v>111</v>
      </c>
      <c r="AI611" t="str">
        <f>IF(Cdacdata[ccat_rank]&lt;=100,"Top 100",
IF(Cdacdata[ccat_rank]&lt;=500,"101–500",
IF(Cdacdata[ccat_rank]&lt;=1000,"501–1000",
"1000+")))</f>
        <v>1000+</v>
      </c>
    </row>
    <row r="612" spans="1:35" x14ac:dyDescent="0.3">
      <c r="A612" s="1" t="s">
        <v>192</v>
      </c>
      <c r="B612">
        <v>230100101</v>
      </c>
      <c r="C612" s="2">
        <v>44995</v>
      </c>
      <c r="D612" s="2" t="s">
        <v>851</v>
      </c>
      <c r="E612">
        <v>1580</v>
      </c>
      <c r="F612" s="2">
        <v>35227</v>
      </c>
      <c r="G612">
        <v>83.82</v>
      </c>
      <c r="H612">
        <v>65.17</v>
      </c>
      <c r="I612" t="s">
        <v>26</v>
      </c>
      <c r="J612">
        <v>68</v>
      </c>
      <c r="K612" s="3">
        <f t="shared" si="9"/>
        <v>72.33</v>
      </c>
      <c r="L612" t="s">
        <v>27</v>
      </c>
      <c r="M612" t="s">
        <v>27</v>
      </c>
      <c r="N612">
        <v>26</v>
      </c>
      <c r="O612" t="s">
        <v>28</v>
      </c>
      <c r="P612" t="s">
        <v>65</v>
      </c>
      <c r="Q612" t="s">
        <v>30</v>
      </c>
      <c r="R612">
        <v>525</v>
      </c>
      <c r="S612">
        <v>65.625</v>
      </c>
      <c r="T612" t="s">
        <v>49</v>
      </c>
      <c r="U612" t="s">
        <v>32</v>
      </c>
      <c r="V612" t="s">
        <v>49</v>
      </c>
      <c r="W612" t="s">
        <v>49</v>
      </c>
      <c r="X612" t="s">
        <v>34</v>
      </c>
      <c r="Y612" t="s">
        <v>50</v>
      </c>
      <c r="Z612" t="s">
        <v>36</v>
      </c>
      <c r="AA612" t="s">
        <v>1268</v>
      </c>
      <c r="AB612" t="s">
        <v>36</v>
      </c>
      <c r="AC612">
        <f>IF(Cdacdata[[#This Row],[placement_status]]="Placed",1,0)</f>
        <v>0</v>
      </c>
      <c r="AD612" t="s">
        <v>193</v>
      </c>
      <c r="AE612" t="s">
        <v>47</v>
      </c>
      <c r="AF612" t="s">
        <v>55</v>
      </c>
      <c r="AG612">
        <v>2023</v>
      </c>
      <c r="AH612" t="s">
        <v>111</v>
      </c>
      <c r="AI612" t="str">
        <f>IF(Cdacdata[ccat_rank]&lt;=100,"Top 100",
IF(Cdacdata[ccat_rank]&lt;=500,"101–500",
IF(Cdacdata[ccat_rank]&lt;=1000,"501–1000",
"1000+")))</f>
        <v>1000+</v>
      </c>
    </row>
    <row r="613" spans="1:35" x14ac:dyDescent="0.3">
      <c r="A613" s="1" t="s">
        <v>192</v>
      </c>
      <c r="B613">
        <v>230105338</v>
      </c>
      <c r="C613" s="2">
        <v>44996</v>
      </c>
      <c r="D613" s="2" t="s">
        <v>852</v>
      </c>
      <c r="E613">
        <v>449</v>
      </c>
      <c r="F613" s="2">
        <v>36501</v>
      </c>
      <c r="G613">
        <v>84</v>
      </c>
      <c r="H613" t="s">
        <v>26</v>
      </c>
      <c r="I613">
        <v>73.180000000000007</v>
      </c>
      <c r="J613">
        <v>82.24</v>
      </c>
      <c r="K613" s="3">
        <f t="shared" si="9"/>
        <v>79.806666666666672</v>
      </c>
      <c r="L613" t="s">
        <v>27</v>
      </c>
      <c r="M613" t="s">
        <v>41</v>
      </c>
      <c r="N613">
        <v>23</v>
      </c>
      <c r="O613" t="s">
        <v>48</v>
      </c>
      <c r="P613" t="s">
        <v>60</v>
      </c>
      <c r="Q613" t="s">
        <v>30</v>
      </c>
      <c r="R613">
        <v>545</v>
      </c>
      <c r="S613">
        <v>68.125</v>
      </c>
      <c r="T613" t="s">
        <v>33</v>
      </c>
      <c r="U613" t="s">
        <v>32</v>
      </c>
      <c r="V613" t="s">
        <v>33</v>
      </c>
      <c r="W613" t="s">
        <v>33</v>
      </c>
      <c r="X613" t="s">
        <v>34</v>
      </c>
      <c r="Y613" t="s">
        <v>50</v>
      </c>
      <c r="Z613" t="s">
        <v>44</v>
      </c>
      <c r="AA613" t="s">
        <v>195</v>
      </c>
      <c r="AB613" t="s">
        <v>46</v>
      </c>
      <c r="AC613">
        <f>IF(Cdacdata[[#This Row],[placement_status]]="Placed",1,0)</f>
        <v>1</v>
      </c>
      <c r="AD613" t="s">
        <v>193</v>
      </c>
      <c r="AE613" t="s">
        <v>75</v>
      </c>
      <c r="AF613" t="s">
        <v>39</v>
      </c>
      <c r="AG613">
        <v>2023</v>
      </c>
      <c r="AH613" t="s">
        <v>111</v>
      </c>
      <c r="AI613" t="str">
        <f>IF(Cdacdata[ccat_rank]&lt;=100,"Top 100",
IF(Cdacdata[ccat_rank]&lt;=500,"101–500",
IF(Cdacdata[ccat_rank]&lt;=1000,"501–1000",
"1000+")))</f>
        <v>101–500</v>
      </c>
    </row>
    <row r="614" spans="1:35" x14ac:dyDescent="0.3">
      <c r="A614" s="1" t="s">
        <v>192</v>
      </c>
      <c r="B614">
        <v>230106695</v>
      </c>
      <c r="C614" s="2">
        <v>44998</v>
      </c>
      <c r="D614" s="2" t="s">
        <v>853</v>
      </c>
      <c r="E614">
        <v>139</v>
      </c>
      <c r="F614" s="2">
        <v>36918</v>
      </c>
      <c r="G614">
        <v>94</v>
      </c>
      <c r="H614" t="s">
        <v>26</v>
      </c>
      <c r="I614">
        <v>90.76</v>
      </c>
      <c r="J614">
        <v>81.93</v>
      </c>
      <c r="K614" s="3">
        <f t="shared" si="9"/>
        <v>88.896666666666661</v>
      </c>
      <c r="L614" t="s">
        <v>27</v>
      </c>
      <c r="M614" t="s">
        <v>27</v>
      </c>
      <c r="N614">
        <v>22</v>
      </c>
      <c r="O614" t="s">
        <v>48</v>
      </c>
      <c r="P614" t="s">
        <v>60</v>
      </c>
      <c r="Q614" t="s">
        <v>30</v>
      </c>
      <c r="R614">
        <v>600</v>
      </c>
      <c r="S614">
        <v>75</v>
      </c>
      <c r="T614" t="s">
        <v>49</v>
      </c>
      <c r="U614" t="s">
        <v>32</v>
      </c>
      <c r="V614" t="s">
        <v>49</v>
      </c>
      <c r="W614" t="s">
        <v>31</v>
      </c>
      <c r="X614" t="s">
        <v>34</v>
      </c>
      <c r="Y614" t="s">
        <v>58</v>
      </c>
      <c r="Z614" t="s">
        <v>44</v>
      </c>
      <c r="AA614" t="s">
        <v>174</v>
      </c>
      <c r="AB614" t="s">
        <v>46</v>
      </c>
      <c r="AC614">
        <f>IF(Cdacdata[[#This Row],[placement_status]]="Placed",1,0)</f>
        <v>1</v>
      </c>
      <c r="AD614" t="s">
        <v>193</v>
      </c>
      <c r="AE614" t="s">
        <v>75</v>
      </c>
      <c r="AF614" t="s">
        <v>57</v>
      </c>
      <c r="AG614">
        <v>2023</v>
      </c>
      <c r="AH614" t="s">
        <v>111</v>
      </c>
      <c r="AI614" t="str">
        <f>IF(Cdacdata[ccat_rank]&lt;=100,"Top 100",
IF(Cdacdata[ccat_rank]&lt;=500,"101–500",
IF(Cdacdata[ccat_rank]&lt;=1000,"501–1000",
"1000+")))</f>
        <v>101–500</v>
      </c>
    </row>
    <row r="615" spans="1:35" x14ac:dyDescent="0.3">
      <c r="A615" s="1" t="s">
        <v>192</v>
      </c>
      <c r="B615">
        <v>221203704</v>
      </c>
      <c r="C615" s="2">
        <v>44999</v>
      </c>
      <c r="D615" s="2" t="s">
        <v>854</v>
      </c>
      <c r="E615">
        <v>1194</v>
      </c>
      <c r="F615" s="2">
        <v>36800</v>
      </c>
      <c r="G615">
        <v>76</v>
      </c>
      <c r="H615">
        <v>77.2</v>
      </c>
      <c r="I615" t="s">
        <v>26</v>
      </c>
      <c r="J615">
        <v>69.599999999999994</v>
      </c>
      <c r="K615" s="3">
        <f t="shared" si="9"/>
        <v>74.266666666666666</v>
      </c>
      <c r="L615" t="s">
        <v>27</v>
      </c>
      <c r="M615" t="s">
        <v>27</v>
      </c>
      <c r="N615">
        <v>22</v>
      </c>
      <c r="O615" t="s">
        <v>28</v>
      </c>
      <c r="P615" t="s">
        <v>60</v>
      </c>
      <c r="Q615" t="s">
        <v>43</v>
      </c>
      <c r="R615">
        <v>551</v>
      </c>
      <c r="S615">
        <v>68.875</v>
      </c>
      <c r="T615" t="s">
        <v>49</v>
      </c>
      <c r="U615" t="s">
        <v>32</v>
      </c>
      <c r="V615" t="s">
        <v>49</v>
      </c>
      <c r="W615" t="s">
        <v>33</v>
      </c>
      <c r="X615" t="s">
        <v>34</v>
      </c>
      <c r="Y615" t="s">
        <v>50</v>
      </c>
      <c r="Z615" t="s">
        <v>36</v>
      </c>
      <c r="AA615" t="s">
        <v>1268</v>
      </c>
      <c r="AB615" t="s">
        <v>36</v>
      </c>
      <c r="AC615">
        <f>IF(Cdacdata[[#This Row],[placement_status]]="Placed",1,0)</f>
        <v>0</v>
      </c>
      <c r="AD615" t="s">
        <v>193</v>
      </c>
      <c r="AE615" t="s">
        <v>47</v>
      </c>
      <c r="AF615" t="s">
        <v>57</v>
      </c>
      <c r="AG615">
        <v>2023</v>
      </c>
      <c r="AH615" t="s">
        <v>111</v>
      </c>
      <c r="AI615" t="str">
        <f>IF(Cdacdata[ccat_rank]&lt;=100,"Top 100",
IF(Cdacdata[ccat_rank]&lt;=500,"101–500",
IF(Cdacdata[ccat_rank]&lt;=1000,"501–1000",
"1000+")))</f>
        <v>1000+</v>
      </c>
    </row>
    <row r="616" spans="1:35" x14ac:dyDescent="0.3">
      <c r="A616" s="1" t="s">
        <v>192</v>
      </c>
      <c r="B616">
        <v>230106694</v>
      </c>
      <c r="C616" s="2">
        <v>44998</v>
      </c>
      <c r="D616" s="2" t="s">
        <v>855</v>
      </c>
      <c r="E616">
        <v>555</v>
      </c>
      <c r="F616" s="2">
        <v>36328</v>
      </c>
      <c r="G616">
        <v>81</v>
      </c>
      <c r="H616" t="s">
        <v>26</v>
      </c>
      <c r="I616">
        <v>64.47</v>
      </c>
      <c r="J616">
        <v>66.02</v>
      </c>
      <c r="K616" s="3">
        <f t="shared" si="9"/>
        <v>70.49666666666667</v>
      </c>
      <c r="L616" t="s">
        <v>27</v>
      </c>
      <c r="M616" t="s">
        <v>27</v>
      </c>
      <c r="N616">
        <v>23</v>
      </c>
      <c r="O616" t="s">
        <v>28</v>
      </c>
      <c r="P616" t="s">
        <v>60</v>
      </c>
      <c r="Q616" t="s">
        <v>30</v>
      </c>
      <c r="R616">
        <v>438</v>
      </c>
      <c r="S616">
        <v>54.75</v>
      </c>
      <c r="T616" t="s">
        <v>33</v>
      </c>
      <c r="U616" t="s">
        <v>32</v>
      </c>
      <c r="V616" t="s">
        <v>33</v>
      </c>
      <c r="W616" t="s">
        <v>33</v>
      </c>
      <c r="X616" t="s">
        <v>34</v>
      </c>
      <c r="Y616" t="s">
        <v>35</v>
      </c>
      <c r="Z616" t="s">
        <v>53</v>
      </c>
      <c r="AA616" t="s">
        <v>54</v>
      </c>
      <c r="AB616" t="s">
        <v>46</v>
      </c>
      <c r="AC616">
        <f>IF(Cdacdata[[#This Row],[placement_status]]="Placed",1,0)</f>
        <v>1</v>
      </c>
      <c r="AD616" t="s">
        <v>193</v>
      </c>
      <c r="AE616" t="s">
        <v>75</v>
      </c>
      <c r="AF616" t="s">
        <v>39</v>
      </c>
      <c r="AG616">
        <v>2023</v>
      </c>
      <c r="AH616" t="s">
        <v>111</v>
      </c>
      <c r="AI616" t="str">
        <f>IF(Cdacdata[ccat_rank]&lt;=100,"Top 100",
IF(Cdacdata[ccat_rank]&lt;=500,"101–500",
IF(Cdacdata[ccat_rank]&lt;=1000,"501–1000",
"1000+")))</f>
        <v>501–1000</v>
      </c>
    </row>
    <row r="617" spans="1:35" x14ac:dyDescent="0.3">
      <c r="A617" s="1" t="s">
        <v>192</v>
      </c>
      <c r="B617">
        <v>230104551</v>
      </c>
      <c r="C617" s="2">
        <v>44996</v>
      </c>
      <c r="D617" s="2" t="s">
        <v>856</v>
      </c>
      <c r="E617">
        <v>757</v>
      </c>
      <c r="F617" s="2">
        <v>35453</v>
      </c>
      <c r="G617">
        <v>79</v>
      </c>
      <c r="H617">
        <v>76</v>
      </c>
      <c r="I617">
        <v>69.09</v>
      </c>
      <c r="J617">
        <v>69.09</v>
      </c>
      <c r="K617" s="3">
        <f t="shared" si="9"/>
        <v>73.295000000000002</v>
      </c>
      <c r="L617" t="s">
        <v>27</v>
      </c>
      <c r="M617" t="s">
        <v>27</v>
      </c>
      <c r="N617">
        <v>26</v>
      </c>
      <c r="O617" t="s">
        <v>28</v>
      </c>
      <c r="P617" t="s">
        <v>60</v>
      </c>
      <c r="Q617" t="s">
        <v>30</v>
      </c>
      <c r="R617">
        <v>475</v>
      </c>
      <c r="S617">
        <v>59.375</v>
      </c>
      <c r="T617" t="s">
        <v>49</v>
      </c>
      <c r="U617" t="s">
        <v>32</v>
      </c>
      <c r="V617" t="s">
        <v>49</v>
      </c>
      <c r="W617" t="s">
        <v>33</v>
      </c>
      <c r="X617" t="s">
        <v>34</v>
      </c>
      <c r="Y617" t="s">
        <v>35</v>
      </c>
      <c r="Z617" t="s">
        <v>36</v>
      </c>
      <c r="AA617" t="s">
        <v>1268</v>
      </c>
      <c r="AB617" t="s">
        <v>36</v>
      </c>
      <c r="AC617">
        <f>IF(Cdacdata[[#This Row],[placement_status]]="Placed",1,0)</f>
        <v>0</v>
      </c>
      <c r="AD617" t="s">
        <v>193</v>
      </c>
      <c r="AE617" t="s">
        <v>75</v>
      </c>
      <c r="AF617" t="s">
        <v>55</v>
      </c>
      <c r="AG617">
        <v>2023</v>
      </c>
      <c r="AH617" t="s">
        <v>111</v>
      </c>
      <c r="AI617" t="str">
        <f>IF(Cdacdata[ccat_rank]&lt;=100,"Top 100",
IF(Cdacdata[ccat_rank]&lt;=500,"101–500",
IF(Cdacdata[ccat_rank]&lt;=1000,"501–1000",
"1000+")))</f>
        <v>501–1000</v>
      </c>
    </row>
    <row r="618" spans="1:35" x14ac:dyDescent="0.3">
      <c r="A618" s="1" t="s">
        <v>192</v>
      </c>
      <c r="B618">
        <v>230110648</v>
      </c>
      <c r="C618" s="2">
        <v>44995</v>
      </c>
      <c r="D618" s="2" t="s">
        <v>857</v>
      </c>
      <c r="E618">
        <v>1627</v>
      </c>
      <c r="F618" s="2">
        <v>35824</v>
      </c>
      <c r="G618">
        <v>80.400000000000006</v>
      </c>
      <c r="H618" t="s">
        <v>26</v>
      </c>
      <c r="I618">
        <v>83.53</v>
      </c>
      <c r="J618">
        <v>71.599999999999994</v>
      </c>
      <c r="K618" s="3">
        <f t="shared" si="9"/>
        <v>78.510000000000005</v>
      </c>
      <c r="L618" t="s">
        <v>27</v>
      </c>
      <c r="M618" t="s">
        <v>41</v>
      </c>
      <c r="N618">
        <v>25</v>
      </c>
      <c r="O618" t="s">
        <v>28</v>
      </c>
      <c r="P618" t="s">
        <v>60</v>
      </c>
      <c r="Q618" t="s">
        <v>43</v>
      </c>
      <c r="R618">
        <v>462</v>
      </c>
      <c r="S618">
        <v>57.75</v>
      </c>
      <c r="T618" t="s">
        <v>49</v>
      </c>
      <c r="U618" t="s">
        <v>32</v>
      </c>
      <c r="V618" t="s">
        <v>49</v>
      </c>
      <c r="W618" t="s">
        <v>49</v>
      </c>
      <c r="X618" t="s">
        <v>34</v>
      </c>
      <c r="Y618" t="s">
        <v>35</v>
      </c>
      <c r="Z618" t="s">
        <v>36</v>
      </c>
      <c r="AA618" t="s">
        <v>1268</v>
      </c>
      <c r="AB618" t="s">
        <v>36</v>
      </c>
      <c r="AC618">
        <f>IF(Cdacdata[[#This Row],[placement_status]]="Placed",1,0)</f>
        <v>0</v>
      </c>
      <c r="AD618" t="s">
        <v>193</v>
      </c>
      <c r="AE618" t="s">
        <v>47</v>
      </c>
      <c r="AF618" t="s">
        <v>39</v>
      </c>
      <c r="AG618">
        <v>2023</v>
      </c>
      <c r="AH618" t="s">
        <v>111</v>
      </c>
      <c r="AI618" t="str">
        <f>IF(Cdacdata[ccat_rank]&lt;=100,"Top 100",
IF(Cdacdata[ccat_rank]&lt;=500,"101–500",
IF(Cdacdata[ccat_rank]&lt;=1000,"501–1000",
"1000+")))</f>
        <v>1000+</v>
      </c>
    </row>
    <row r="619" spans="1:35" x14ac:dyDescent="0.3">
      <c r="A619" s="1" t="s">
        <v>192</v>
      </c>
      <c r="B619">
        <v>221206134</v>
      </c>
      <c r="C619" s="2">
        <v>45002</v>
      </c>
      <c r="D619" s="2" t="s">
        <v>858</v>
      </c>
      <c r="E619">
        <v>1778</v>
      </c>
      <c r="F619" s="2">
        <v>37133</v>
      </c>
      <c r="G619">
        <v>74.099999999999994</v>
      </c>
      <c r="H619">
        <v>72</v>
      </c>
      <c r="I619" t="s">
        <v>26</v>
      </c>
      <c r="J619">
        <v>74.55</v>
      </c>
      <c r="K619" s="3">
        <f t="shared" si="9"/>
        <v>73.55</v>
      </c>
      <c r="L619" t="s">
        <v>27</v>
      </c>
      <c r="M619" t="s">
        <v>41</v>
      </c>
      <c r="N619">
        <v>21</v>
      </c>
      <c r="O619" t="s">
        <v>62</v>
      </c>
      <c r="P619" t="s">
        <v>56</v>
      </c>
      <c r="Q619" t="s">
        <v>43</v>
      </c>
      <c r="R619">
        <v>528</v>
      </c>
      <c r="S619">
        <v>66</v>
      </c>
      <c r="T619" t="s">
        <v>49</v>
      </c>
      <c r="U619" t="s">
        <v>32</v>
      </c>
      <c r="V619" t="s">
        <v>49</v>
      </c>
      <c r="W619" t="s">
        <v>33</v>
      </c>
      <c r="X619" t="s">
        <v>34</v>
      </c>
      <c r="Y619" t="s">
        <v>50</v>
      </c>
      <c r="Z619" t="s">
        <v>44</v>
      </c>
      <c r="AA619" t="s">
        <v>74</v>
      </c>
      <c r="AB619" t="s">
        <v>46</v>
      </c>
      <c r="AC619">
        <f>IF(Cdacdata[[#This Row],[placement_status]]="Placed",1,0)</f>
        <v>1</v>
      </c>
      <c r="AD619" t="s">
        <v>193</v>
      </c>
      <c r="AE619" t="s">
        <v>47</v>
      </c>
      <c r="AF619" t="s">
        <v>57</v>
      </c>
      <c r="AG619">
        <v>2023</v>
      </c>
      <c r="AH619" t="s">
        <v>111</v>
      </c>
      <c r="AI619" t="str">
        <f>IF(Cdacdata[ccat_rank]&lt;=100,"Top 100",
IF(Cdacdata[ccat_rank]&lt;=500,"101–500",
IF(Cdacdata[ccat_rank]&lt;=1000,"501–1000",
"1000+")))</f>
        <v>1000+</v>
      </c>
    </row>
    <row r="620" spans="1:35" x14ac:dyDescent="0.3">
      <c r="A620" s="1" t="s">
        <v>192</v>
      </c>
      <c r="B620">
        <v>221200619</v>
      </c>
      <c r="C620" s="2">
        <v>44996</v>
      </c>
      <c r="D620" s="2" t="s">
        <v>859</v>
      </c>
      <c r="E620">
        <v>999</v>
      </c>
      <c r="F620" s="2">
        <v>36124</v>
      </c>
      <c r="G620">
        <v>80.8</v>
      </c>
      <c r="H620">
        <v>55.85</v>
      </c>
      <c r="I620" t="s">
        <v>26</v>
      </c>
      <c r="J620">
        <v>60.6</v>
      </c>
      <c r="K620" s="3">
        <f t="shared" si="9"/>
        <v>65.75</v>
      </c>
      <c r="L620" t="s">
        <v>27</v>
      </c>
      <c r="M620" t="s">
        <v>41</v>
      </c>
      <c r="N620">
        <v>24</v>
      </c>
      <c r="O620" t="s">
        <v>28</v>
      </c>
      <c r="P620" t="s">
        <v>56</v>
      </c>
      <c r="Q620" t="s">
        <v>30</v>
      </c>
      <c r="R620">
        <v>520</v>
      </c>
      <c r="S620">
        <v>65</v>
      </c>
      <c r="T620" t="s">
        <v>33</v>
      </c>
      <c r="U620" t="s">
        <v>32</v>
      </c>
      <c r="V620" t="s">
        <v>33</v>
      </c>
      <c r="W620" t="s">
        <v>33</v>
      </c>
      <c r="X620" t="s">
        <v>34</v>
      </c>
      <c r="Y620" t="s">
        <v>50</v>
      </c>
      <c r="Z620" t="s">
        <v>44</v>
      </c>
      <c r="AA620" t="s">
        <v>204</v>
      </c>
      <c r="AB620" t="s">
        <v>46</v>
      </c>
      <c r="AC620">
        <f>IF(Cdacdata[[#This Row],[placement_status]]="Placed",1,0)</f>
        <v>1</v>
      </c>
      <c r="AD620" t="s">
        <v>193</v>
      </c>
      <c r="AE620" t="s">
        <v>75</v>
      </c>
      <c r="AF620" t="s">
        <v>39</v>
      </c>
      <c r="AG620">
        <v>2023</v>
      </c>
      <c r="AH620" t="s">
        <v>111</v>
      </c>
      <c r="AI620" t="str">
        <f>IF(Cdacdata[ccat_rank]&lt;=100,"Top 100",
IF(Cdacdata[ccat_rank]&lt;=500,"101–500",
IF(Cdacdata[ccat_rank]&lt;=1000,"501–1000",
"1000+")))</f>
        <v>501–1000</v>
      </c>
    </row>
    <row r="621" spans="1:35" x14ac:dyDescent="0.3">
      <c r="A621" s="1" t="s">
        <v>192</v>
      </c>
      <c r="B621">
        <v>230104709</v>
      </c>
      <c r="C621" s="2">
        <v>44998</v>
      </c>
      <c r="D621" s="2" t="s">
        <v>860</v>
      </c>
      <c r="E621">
        <v>1362</v>
      </c>
      <c r="F621" s="2">
        <v>36292</v>
      </c>
      <c r="G621">
        <v>93.4</v>
      </c>
      <c r="H621">
        <v>75.849999999999994</v>
      </c>
      <c r="I621" t="s">
        <v>26</v>
      </c>
      <c r="J621">
        <v>79</v>
      </c>
      <c r="K621" s="3">
        <f t="shared" si="9"/>
        <v>82.75</v>
      </c>
      <c r="L621" t="s">
        <v>27</v>
      </c>
      <c r="M621" t="s">
        <v>27</v>
      </c>
      <c r="N621">
        <v>23</v>
      </c>
      <c r="O621" t="s">
        <v>48</v>
      </c>
      <c r="P621" t="s">
        <v>60</v>
      </c>
      <c r="Q621" t="s">
        <v>30</v>
      </c>
      <c r="R621">
        <v>579</v>
      </c>
      <c r="S621">
        <v>72.375</v>
      </c>
      <c r="T621" t="s">
        <v>33</v>
      </c>
      <c r="U621" t="s">
        <v>32</v>
      </c>
      <c r="V621" t="s">
        <v>33</v>
      </c>
      <c r="W621" t="s">
        <v>31</v>
      </c>
      <c r="X621" t="s">
        <v>34</v>
      </c>
      <c r="Y621" t="s">
        <v>58</v>
      </c>
      <c r="Z621" t="s">
        <v>44</v>
      </c>
      <c r="AA621" t="s">
        <v>121</v>
      </c>
      <c r="AB621" t="s">
        <v>46</v>
      </c>
      <c r="AC621">
        <f>IF(Cdacdata[[#This Row],[placement_status]]="Placed",1,0)</f>
        <v>1</v>
      </c>
      <c r="AD621" t="s">
        <v>193</v>
      </c>
      <c r="AE621" t="s">
        <v>47</v>
      </c>
      <c r="AF621" t="s">
        <v>39</v>
      </c>
      <c r="AG621">
        <v>2023</v>
      </c>
      <c r="AH621" t="s">
        <v>111</v>
      </c>
      <c r="AI621" t="str">
        <f>IF(Cdacdata[ccat_rank]&lt;=100,"Top 100",
IF(Cdacdata[ccat_rank]&lt;=500,"101–500",
IF(Cdacdata[ccat_rank]&lt;=1000,"501–1000",
"1000+")))</f>
        <v>1000+</v>
      </c>
    </row>
    <row r="622" spans="1:35" x14ac:dyDescent="0.3">
      <c r="A622" s="1" t="s">
        <v>192</v>
      </c>
      <c r="B622">
        <v>221203899</v>
      </c>
      <c r="C622" s="2">
        <v>44997</v>
      </c>
      <c r="D622" s="2" t="s">
        <v>861</v>
      </c>
      <c r="E622">
        <v>1589</v>
      </c>
      <c r="F622" s="2">
        <v>36599</v>
      </c>
      <c r="G622">
        <v>75</v>
      </c>
      <c r="H622">
        <v>58.31</v>
      </c>
      <c r="I622" t="s">
        <v>26</v>
      </c>
      <c r="J622">
        <v>70.400000000000006</v>
      </c>
      <c r="K622" s="3">
        <f t="shared" si="9"/>
        <v>67.903333333333336</v>
      </c>
      <c r="L622" t="s">
        <v>27</v>
      </c>
      <c r="M622" t="s">
        <v>27</v>
      </c>
      <c r="N622">
        <v>22</v>
      </c>
      <c r="O622" t="s">
        <v>28</v>
      </c>
      <c r="P622" t="s">
        <v>56</v>
      </c>
      <c r="Q622" t="s">
        <v>43</v>
      </c>
      <c r="R622">
        <v>384</v>
      </c>
      <c r="S622">
        <v>48</v>
      </c>
      <c r="T622" t="s">
        <v>31</v>
      </c>
      <c r="U622" t="s">
        <v>32</v>
      </c>
      <c r="V622" t="s">
        <v>31</v>
      </c>
      <c r="W622" t="s">
        <v>31</v>
      </c>
      <c r="X622" t="s">
        <v>34</v>
      </c>
      <c r="Y622" t="s">
        <v>80</v>
      </c>
      <c r="Z622" t="s">
        <v>53</v>
      </c>
      <c r="AA622" t="s">
        <v>54</v>
      </c>
      <c r="AB622" t="s">
        <v>46</v>
      </c>
      <c r="AC622">
        <f>IF(Cdacdata[[#This Row],[placement_status]]="Placed",1,0)</f>
        <v>1</v>
      </c>
      <c r="AD622" t="s">
        <v>193</v>
      </c>
      <c r="AE622" t="s">
        <v>47</v>
      </c>
      <c r="AF622" t="s">
        <v>57</v>
      </c>
      <c r="AG622">
        <v>2023</v>
      </c>
      <c r="AH622" t="s">
        <v>111</v>
      </c>
      <c r="AI622" t="str">
        <f>IF(Cdacdata[ccat_rank]&lt;=100,"Top 100",
IF(Cdacdata[ccat_rank]&lt;=500,"101–500",
IF(Cdacdata[ccat_rank]&lt;=1000,"501–1000",
"1000+")))</f>
        <v>1000+</v>
      </c>
    </row>
    <row r="623" spans="1:35" x14ac:dyDescent="0.3">
      <c r="A623" s="1" t="s">
        <v>192</v>
      </c>
      <c r="B623">
        <v>230108543</v>
      </c>
      <c r="C623" s="2">
        <v>45001</v>
      </c>
      <c r="D623" s="2" t="s">
        <v>862</v>
      </c>
      <c r="E623">
        <v>1628</v>
      </c>
      <c r="F623" s="2">
        <v>36712</v>
      </c>
      <c r="G623">
        <v>69.400000000000006</v>
      </c>
      <c r="H623">
        <v>50</v>
      </c>
      <c r="I623" t="s">
        <v>26</v>
      </c>
      <c r="J623">
        <v>79.8</v>
      </c>
      <c r="K623" s="3">
        <f t="shared" si="9"/>
        <v>66.399999999999991</v>
      </c>
      <c r="L623" t="s">
        <v>27</v>
      </c>
      <c r="M623" t="s">
        <v>41</v>
      </c>
      <c r="N623">
        <v>22</v>
      </c>
      <c r="O623" t="s">
        <v>48</v>
      </c>
      <c r="P623" t="s">
        <v>52</v>
      </c>
      <c r="Q623" t="s">
        <v>30</v>
      </c>
      <c r="R623">
        <v>290</v>
      </c>
      <c r="S623">
        <v>36.25</v>
      </c>
      <c r="T623" t="s">
        <v>31</v>
      </c>
      <c r="U623" t="s">
        <v>64</v>
      </c>
      <c r="V623" t="s">
        <v>31</v>
      </c>
      <c r="W623" t="s">
        <v>64</v>
      </c>
      <c r="X623" t="s">
        <v>34</v>
      </c>
      <c r="Y623" t="s">
        <v>64</v>
      </c>
      <c r="Z623" t="s">
        <v>36</v>
      </c>
      <c r="AA623" t="s">
        <v>1268</v>
      </c>
      <c r="AB623" t="s">
        <v>36</v>
      </c>
      <c r="AC623">
        <f>IF(Cdacdata[[#This Row],[placement_status]]="Placed",1,0)</f>
        <v>0</v>
      </c>
      <c r="AD623" t="s">
        <v>193</v>
      </c>
      <c r="AE623" t="s">
        <v>47</v>
      </c>
      <c r="AF623" t="s">
        <v>57</v>
      </c>
      <c r="AG623">
        <v>2023</v>
      </c>
      <c r="AH623" t="s">
        <v>111</v>
      </c>
      <c r="AI623" t="str">
        <f>IF(Cdacdata[ccat_rank]&lt;=100,"Top 100",
IF(Cdacdata[ccat_rank]&lt;=500,"101–500",
IF(Cdacdata[ccat_rank]&lt;=1000,"501–1000",
"1000+")))</f>
        <v>1000+</v>
      </c>
    </row>
    <row r="624" spans="1:35" x14ac:dyDescent="0.3">
      <c r="A624" s="1" t="s">
        <v>192</v>
      </c>
      <c r="B624">
        <v>221204115</v>
      </c>
      <c r="C624" s="2">
        <v>44995</v>
      </c>
      <c r="D624" s="2" t="s">
        <v>863</v>
      </c>
      <c r="E624">
        <v>1143</v>
      </c>
      <c r="F624" s="2">
        <v>36433</v>
      </c>
      <c r="G624">
        <v>87.8</v>
      </c>
      <c r="H624" t="s">
        <v>26</v>
      </c>
      <c r="I624">
        <v>63.14</v>
      </c>
      <c r="J624">
        <v>95.6</v>
      </c>
      <c r="K624" s="3">
        <f t="shared" si="9"/>
        <v>82.179999999999993</v>
      </c>
      <c r="L624" t="s">
        <v>27</v>
      </c>
      <c r="M624" t="s">
        <v>41</v>
      </c>
      <c r="N624">
        <v>23</v>
      </c>
      <c r="O624" t="s">
        <v>48</v>
      </c>
      <c r="P624" t="s">
        <v>26</v>
      </c>
      <c r="Q624" t="s">
        <v>43</v>
      </c>
      <c r="R624">
        <v>443</v>
      </c>
      <c r="S624">
        <v>55.375</v>
      </c>
      <c r="T624" t="s">
        <v>49</v>
      </c>
      <c r="U624" t="s">
        <v>32</v>
      </c>
      <c r="V624" t="s">
        <v>49</v>
      </c>
      <c r="W624" t="s">
        <v>31</v>
      </c>
      <c r="X624" t="s">
        <v>34</v>
      </c>
      <c r="Y624" t="s">
        <v>35</v>
      </c>
      <c r="Z624" t="s">
        <v>44</v>
      </c>
      <c r="AA624" t="s">
        <v>74</v>
      </c>
      <c r="AB624" t="s">
        <v>46</v>
      </c>
      <c r="AC624">
        <f>IF(Cdacdata[[#This Row],[placement_status]]="Placed",1,0)</f>
        <v>1</v>
      </c>
      <c r="AD624" t="s">
        <v>193</v>
      </c>
      <c r="AE624" t="s">
        <v>47</v>
      </c>
      <c r="AF624" t="s">
        <v>39</v>
      </c>
      <c r="AG624">
        <v>2023</v>
      </c>
      <c r="AH624" t="s">
        <v>111</v>
      </c>
      <c r="AI624" t="str">
        <f>IF(Cdacdata[ccat_rank]&lt;=100,"Top 100",
IF(Cdacdata[ccat_rank]&lt;=500,"101–500",
IF(Cdacdata[ccat_rank]&lt;=1000,"501–1000",
"1000+")))</f>
        <v>1000+</v>
      </c>
    </row>
    <row r="625" spans="1:35" x14ac:dyDescent="0.3">
      <c r="A625" s="1" t="s">
        <v>192</v>
      </c>
      <c r="B625">
        <v>230109218</v>
      </c>
      <c r="C625" s="2">
        <v>44996</v>
      </c>
      <c r="D625" s="2" t="s">
        <v>864</v>
      </c>
      <c r="E625">
        <v>1805</v>
      </c>
      <c r="F625" s="2">
        <v>35777</v>
      </c>
      <c r="G625">
        <v>74</v>
      </c>
      <c r="H625">
        <v>75.23</v>
      </c>
      <c r="I625" t="s">
        <v>26</v>
      </c>
      <c r="J625">
        <v>60.7</v>
      </c>
      <c r="K625" s="3">
        <f t="shared" si="9"/>
        <v>69.976666666666674</v>
      </c>
      <c r="L625" t="s">
        <v>27</v>
      </c>
      <c r="M625" t="s">
        <v>41</v>
      </c>
      <c r="N625">
        <v>25</v>
      </c>
      <c r="O625" t="s">
        <v>28</v>
      </c>
      <c r="P625" t="s">
        <v>52</v>
      </c>
      <c r="Q625" t="s">
        <v>30</v>
      </c>
      <c r="R625">
        <v>499</v>
      </c>
      <c r="S625">
        <v>62.375</v>
      </c>
      <c r="T625" t="s">
        <v>31</v>
      </c>
      <c r="U625" t="s">
        <v>32</v>
      </c>
      <c r="V625" t="s">
        <v>31</v>
      </c>
      <c r="W625" t="s">
        <v>33</v>
      </c>
      <c r="X625" t="s">
        <v>34</v>
      </c>
      <c r="Y625" t="s">
        <v>50</v>
      </c>
      <c r="Z625" t="s">
        <v>36</v>
      </c>
      <c r="AA625" t="s">
        <v>1268</v>
      </c>
      <c r="AB625" t="s">
        <v>36</v>
      </c>
      <c r="AC625">
        <f>IF(Cdacdata[[#This Row],[placement_status]]="Placed",1,0)</f>
        <v>0</v>
      </c>
      <c r="AD625" t="s">
        <v>193</v>
      </c>
      <c r="AE625" t="s">
        <v>47</v>
      </c>
      <c r="AF625" t="s">
        <v>39</v>
      </c>
      <c r="AG625">
        <v>2023</v>
      </c>
      <c r="AH625" t="s">
        <v>111</v>
      </c>
      <c r="AI625" t="str">
        <f>IF(Cdacdata[ccat_rank]&lt;=100,"Top 100",
IF(Cdacdata[ccat_rank]&lt;=500,"101–500",
IF(Cdacdata[ccat_rank]&lt;=1000,"501–1000",
"1000+")))</f>
        <v>1000+</v>
      </c>
    </row>
    <row r="626" spans="1:35" x14ac:dyDescent="0.3">
      <c r="A626" s="1" t="s">
        <v>192</v>
      </c>
      <c r="B626">
        <v>221204101</v>
      </c>
      <c r="C626" s="2">
        <v>44995</v>
      </c>
      <c r="D626" s="2" t="s">
        <v>865</v>
      </c>
      <c r="E626">
        <v>1721</v>
      </c>
      <c r="F626" s="2">
        <v>35661</v>
      </c>
      <c r="G626">
        <v>93.8</v>
      </c>
      <c r="H626">
        <v>80.77</v>
      </c>
      <c r="I626" t="s">
        <v>26</v>
      </c>
      <c r="J626">
        <v>66</v>
      </c>
      <c r="K626" s="3">
        <f t="shared" si="9"/>
        <v>80.19</v>
      </c>
      <c r="L626" t="s">
        <v>27</v>
      </c>
      <c r="M626" t="s">
        <v>41</v>
      </c>
      <c r="N626">
        <v>25</v>
      </c>
      <c r="O626" t="s">
        <v>28</v>
      </c>
      <c r="P626" t="s">
        <v>42</v>
      </c>
      <c r="Q626" t="s">
        <v>30</v>
      </c>
      <c r="R626">
        <v>521</v>
      </c>
      <c r="S626">
        <v>65.125</v>
      </c>
      <c r="T626" t="s">
        <v>49</v>
      </c>
      <c r="U626" t="s">
        <v>32</v>
      </c>
      <c r="V626" t="s">
        <v>49</v>
      </c>
      <c r="W626" t="s">
        <v>33</v>
      </c>
      <c r="X626" t="s">
        <v>34</v>
      </c>
      <c r="Y626" t="s">
        <v>50</v>
      </c>
      <c r="Z626" t="s">
        <v>53</v>
      </c>
      <c r="AA626" t="s">
        <v>54</v>
      </c>
      <c r="AB626" t="s">
        <v>46</v>
      </c>
      <c r="AC626">
        <f>IF(Cdacdata[[#This Row],[placement_status]]="Placed",1,0)</f>
        <v>1</v>
      </c>
      <c r="AD626" t="s">
        <v>193</v>
      </c>
      <c r="AE626" t="s">
        <v>47</v>
      </c>
      <c r="AF626" t="s">
        <v>39</v>
      </c>
      <c r="AG626">
        <v>2023</v>
      </c>
      <c r="AH626" t="s">
        <v>111</v>
      </c>
      <c r="AI626" t="str">
        <f>IF(Cdacdata[ccat_rank]&lt;=100,"Top 100",
IF(Cdacdata[ccat_rank]&lt;=500,"101–500",
IF(Cdacdata[ccat_rank]&lt;=1000,"501–1000",
"1000+")))</f>
        <v>1000+</v>
      </c>
    </row>
    <row r="627" spans="1:35" x14ac:dyDescent="0.3">
      <c r="A627" s="1" t="s">
        <v>192</v>
      </c>
      <c r="B627">
        <v>230108040</v>
      </c>
      <c r="C627" s="2">
        <v>44998</v>
      </c>
      <c r="D627" s="2" t="s">
        <v>866</v>
      </c>
      <c r="E627">
        <v>1082</v>
      </c>
      <c r="F627" s="2">
        <v>36349</v>
      </c>
      <c r="G627">
        <v>87.4</v>
      </c>
      <c r="H627" t="s">
        <v>26</v>
      </c>
      <c r="I627">
        <v>71.52</v>
      </c>
      <c r="J627">
        <v>69.64</v>
      </c>
      <c r="K627" s="3">
        <f t="shared" si="9"/>
        <v>76.186666666666667</v>
      </c>
      <c r="L627" t="s">
        <v>27</v>
      </c>
      <c r="M627" t="s">
        <v>41</v>
      </c>
      <c r="N627">
        <v>23</v>
      </c>
      <c r="O627" t="s">
        <v>28</v>
      </c>
      <c r="P627" t="s">
        <v>52</v>
      </c>
      <c r="Q627" t="s">
        <v>43</v>
      </c>
      <c r="R627">
        <v>509</v>
      </c>
      <c r="S627">
        <v>63.625</v>
      </c>
      <c r="T627" t="s">
        <v>33</v>
      </c>
      <c r="U627" t="s">
        <v>32</v>
      </c>
      <c r="V627" t="s">
        <v>33</v>
      </c>
      <c r="W627" t="s">
        <v>33</v>
      </c>
      <c r="X627" t="s">
        <v>34</v>
      </c>
      <c r="Y627" t="s">
        <v>50</v>
      </c>
      <c r="Z627" t="s">
        <v>44</v>
      </c>
      <c r="AA627" t="s">
        <v>74</v>
      </c>
      <c r="AB627" t="s">
        <v>46</v>
      </c>
      <c r="AC627">
        <f>IF(Cdacdata[[#This Row],[placement_status]]="Placed",1,0)</f>
        <v>1</v>
      </c>
      <c r="AD627" t="s">
        <v>193</v>
      </c>
      <c r="AE627" t="s">
        <v>47</v>
      </c>
      <c r="AF627" t="s">
        <v>39</v>
      </c>
      <c r="AG627">
        <v>2023</v>
      </c>
      <c r="AH627" t="s">
        <v>111</v>
      </c>
      <c r="AI627" t="str">
        <f>IF(Cdacdata[ccat_rank]&lt;=100,"Top 100",
IF(Cdacdata[ccat_rank]&lt;=500,"101–500",
IF(Cdacdata[ccat_rank]&lt;=1000,"501–1000",
"1000+")))</f>
        <v>1000+</v>
      </c>
    </row>
    <row r="628" spans="1:35" x14ac:dyDescent="0.3">
      <c r="A628" s="1" t="s">
        <v>192</v>
      </c>
      <c r="B628">
        <v>221202347</v>
      </c>
      <c r="C628" s="2">
        <v>44995</v>
      </c>
      <c r="D628" s="2" t="s">
        <v>867</v>
      </c>
      <c r="E628">
        <v>317</v>
      </c>
      <c r="F628" s="2">
        <v>35198</v>
      </c>
      <c r="G628">
        <v>90.18</v>
      </c>
      <c r="H628">
        <v>69.23</v>
      </c>
      <c r="I628" t="s">
        <v>26</v>
      </c>
      <c r="J628">
        <v>79.78</v>
      </c>
      <c r="K628" s="3">
        <f t="shared" si="9"/>
        <v>79.73</v>
      </c>
      <c r="L628" t="s">
        <v>27</v>
      </c>
      <c r="M628" t="s">
        <v>41</v>
      </c>
      <c r="N628">
        <v>26</v>
      </c>
      <c r="O628" t="s">
        <v>48</v>
      </c>
      <c r="P628" t="s">
        <v>42</v>
      </c>
      <c r="Q628" t="s">
        <v>30</v>
      </c>
      <c r="R628">
        <v>584</v>
      </c>
      <c r="S628">
        <v>73</v>
      </c>
      <c r="T628" t="s">
        <v>49</v>
      </c>
      <c r="U628" t="s">
        <v>32</v>
      </c>
      <c r="V628" t="s">
        <v>49</v>
      </c>
      <c r="W628" t="s">
        <v>49</v>
      </c>
      <c r="X628" t="s">
        <v>96</v>
      </c>
      <c r="Y628" t="s">
        <v>58</v>
      </c>
      <c r="Z628" t="s">
        <v>44</v>
      </c>
      <c r="AA628" t="s">
        <v>175</v>
      </c>
      <c r="AB628" t="s">
        <v>46</v>
      </c>
      <c r="AC628">
        <f>IF(Cdacdata[[#This Row],[placement_status]]="Placed",1,0)</f>
        <v>1</v>
      </c>
      <c r="AD628" t="s">
        <v>193</v>
      </c>
      <c r="AE628" t="s">
        <v>75</v>
      </c>
      <c r="AF628" t="s">
        <v>55</v>
      </c>
      <c r="AG628">
        <v>2023</v>
      </c>
      <c r="AH628" t="s">
        <v>111</v>
      </c>
      <c r="AI628" t="str">
        <f>IF(Cdacdata[ccat_rank]&lt;=100,"Top 100",
IF(Cdacdata[ccat_rank]&lt;=500,"101–500",
IF(Cdacdata[ccat_rank]&lt;=1000,"501–1000",
"1000+")))</f>
        <v>101–500</v>
      </c>
    </row>
    <row r="629" spans="1:35" x14ac:dyDescent="0.3">
      <c r="A629" s="1" t="s">
        <v>192</v>
      </c>
      <c r="B629">
        <v>230102871</v>
      </c>
      <c r="C629" s="2">
        <v>44996</v>
      </c>
      <c r="D629" s="2" t="s">
        <v>868</v>
      </c>
      <c r="E629">
        <v>1117</v>
      </c>
      <c r="F629" s="2">
        <v>36151</v>
      </c>
      <c r="G629">
        <v>95</v>
      </c>
      <c r="H629">
        <v>89.8</v>
      </c>
      <c r="I629" t="s">
        <v>26</v>
      </c>
      <c r="J629">
        <v>80.22</v>
      </c>
      <c r="K629" s="3">
        <f t="shared" si="9"/>
        <v>88.339999999999989</v>
      </c>
      <c r="L629" t="s">
        <v>41</v>
      </c>
      <c r="M629" t="s">
        <v>27</v>
      </c>
      <c r="N629">
        <v>24</v>
      </c>
      <c r="O629" t="s">
        <v>48</v>
      </c>
      <c r="P629" t="s">
        <v>26</v>
      </c>
      <c r="Q629" t="s">
        <v>67</v>
      </c>
      <c r="R629">
        <v>488</v>
      </c>
      <c r="S629">
        <v>61</v>
      </c>
      <c r="T629" t="s">
        <v>49</v>
      </c>
      <c r="U629" t="s">
        <v>32</v>
      </c>
      <c r="V629" t="s">
        <v>49</v>
      </c>
      <c r="W629" t="s">
        <v>33</v>
      </c>
      <c r="X629" t="s">
        <v>96</v>
      </c>
      <c r="Y629" t="s">
        <v>50</v>
      </c>
      <c r="Z629" t="s">
        <v>53</v>
      </c>
      <c r="AA629" t="s">
        <v>54</v>
      </c>
      <c r="AB629" t="s">
        <v>46</v>
      </c>
      <c r="AC629">
        <f>IF(Cdacdata[[#This Row],[placement_status]]="Placed",1,0)</f>
        <v>1</v>
      </c>
      <c r="AD629" t="s">
        <v>193</v>
      </c>
      <c r="AE629" t="s">
        <v>47</v>
      </c>
      <c r="AF629" t="s">
        <v>39</v>
      </c>
      <c r="AG629">
        <v>2023</v>
      </c>
      <c r="AH629" t="s">
        <v>111</v>
      </c>
      <c r="AI629" t="str">
        <f>IF(Cdacdata[ccat_rank]&lt;=100,"Top 100",
IF(Cdacdata[ccat_rank]&lt;=500,"101–500",
IF(Cdacdata[ccat_rank]&lt;=1000,"501–1000",
"1000+")))</f>
        <v>1000+</v>
      </c>
    </row>
    <row r="630" spans="1:35" x14ac:dyDescent="0.3">
      <c r="A630" s="1" t="s">
        <v>192</v>
      </c>
      <c r="B630">
        <v>230106577</v>
      </c>
      <c r="C630" s="2">
        <v>44995</v>
      </c>
      <c r="D630" s="2" t="s">
        <v>869</v>
      </c>
      <c r="E630">
        <v>1992</v>
      </c>
      <c r="F630" s="2">
        <v>35889</v>
      </c>
      <c r="G630">
        <v>88.4</v>
      </c>
      <c r="H630" t="s">
        <v>26</v>
      </c>
      <c r="I630">
        <v>84.55</v>
      </c>
      <c r="J630">
        <v>81.400000000000006</v>
      </c>
      <c r="K630" s="3">
        <f t="shared" si="9"/>
        <v>84.783333333333331</v>
      </c>
      <c r="L630" t="s">
        <v>27</v>
      </c>
      <c r="M630" t="s">
        <v>27</v>
      </c>
      <c r="N630">
        <v>24</v>
      </c>
      <c r="O630" t="s">
        <v>48</v>
      </c>
      <c r="P630" t="s">
        <v>42</v>
      </c>
      <c r="Q630" t="s">
        <v>30</v>
      </c>
      <c r="R630">
        <v>491</v>
      </c>
      <c r="S630">
        <v>61.375</v>
      </c>
      <c r="T630" t="s">
        <v>49</v>
      </c>
      <c r="U630" t="s">
        <v>32</v>
      </c>
      <c r="V630" t="s">
        <v>49</v>
      </c>
      <c r="W630" t="s">
        <v>33</v>
      </c>
      <c r="X630" t="s">
        <v>96</v>
      </c>
      <c r="Y630" t="s">
        <v>50</v>
      </c>
      <c r="Z630" t="s">
        <v>44</v>
      </c>
      <c r="AA630" t="s">
        <v>97</v>
      </c>
      <c r="AB630" t="s">
        <v>46</v>
      </c>
      <c r="AC630">
        <f>IF(Cdacdata[[#This Row],[placement_status]]="Placed",1,0)</f>
        <v>1</v>
      </c>
      <c r="AD630" t="s">
        <v>193</v>
      </c>
      <c r="AE630" t="s">
        <v>47</v>
      </c>
      <c r="AF630" t="s">
        <v>39</v>
      </c>
      <c r="AG630">
        <v>2023</v>
      </c>
      <c r="AH630" t="s">
        <v>111</v>
      </c>
      <c r="AI630" t="str">
        <f>IF(Cdacdata[ccat_rank]&lt;=100,"Top 100",
IF(Cdacdata[ccat_rank]&lt;=500,"101–500",
IF(Cdacdata[ccat_rank]&lt;=1000,"501–1000",
"1000+")))</f>
        <v>1000+</v>
      </c>
    </row>
    <row r="631" spans="1:35" x14ac:dyDescent="0.3">
      <c r="A631" s="1" t="s">
        <v>192</v>
      </c>
      <c r="B631">
        <v>221204317</v>
      </c>
      <c r="C631" s="2">
        <v>44993</v>
      </c>
      <c r="D631" s="2" t="s">
        <v>870</v>
      </c>
      <c r="E631">
        <v>1283</v>
      </c>
      <c r="F631" s="2">
        <v>35492</v>
      </c>
      <c r="G631">
        <v>69</v>
      </c>
      <c r="H631">
        <v>60.2</v>
      </c>
      <c r="I631" t="s">
        <v>26</v>
      </c>
      <c r="J631">
        <v>66.06</v>
      </c>
      <c r="K631" s="3">
        <f t="shared" si="9"/>
        <v>65.086666666666659</v>
      </c>
      <c r="L631" t="s">
        <v>41</v>
      </c>
      <c r="M631" t="s">
        <v>27</v>
      </c>
      <c r="N631">
        <v>26</v>
      </c>
      <c r="O631" t="s">
        <v>28</v>
      </c>
      <c r="P631" t="s">
        <v>52</v>
      </c>
      <c r="Q631" t="s">
        <v>30</v>
      </c>
      <c r="R631">
        <v>503</v>
      </c>
      <c r="S631">
        <v>62.875</v>
      </c>
      <c r="T631" t="s">
        <v>33</v>
      </c>
      <c r="U631" t="s">
        <v>32</v>
      </c>
      <c r="V631" t="s">
        <v>33</v>
      </c>
      <c r="W631" t="s">
        <v>33</v>
      </c>
      <c r="X631" t="s">
        <v>96</v>
      </c>
      <c r="Y631" t="s">
        <v>50</v>
      </c>
      <c r="Z631" t="s">
        <v>44</v>
      </c>
      <c r="AA631" t="s">
        <v>97</v>
      </c>
      <c r="AB631" t="s">
        <v>46</v>
      </c>
      <c r="AC631">
        <f>IF(Cdacdata[[#This Row],[placement_status]]="Placed",1,0)</f>
        <v>1</v>
      </c>
      <c r="AD631" t="s">
        <v>193</v>
      </c>
      <c r="AE631" t="s">
        <v>47</v>
      </c>
      <c r="AF631" t="s">
        <v>55</v>
      </c>
      <c r="AG631">
        <v>2023</v>
      </c>
      <c r="AH631" t="s">
        <v>111</v>
      </c>
      <c r="AI631" t="str">
        <f>IF(Cdacdata[ccat_rank]&lt;=100,"Top 100",
IF(Cdacdata[ccat_rank]&lt;=500,"101–500",
IF(Cdacdata[ccat_rank]&lt;=1000,"501–1000",
"1000+")))</f>
        <v>1000+</v>
      </c>
    </row>
    <row r="632" spans="1:35" x14ac:dyDescent="0.3">
      <c r="A632" s="1" t="s">
        <v>192</v>
      </c>
      <c r="B632">
        <v>221200661</v>
      </c>
      <c r="C632" s="2">
        <v>44995</v>
      </c>
      <c r="D632" s="2" t="s">
        <v>871</v>
      </c>
      <c r="E632">
        <v>910</v>
      </c>
      <c r="F632" s="2">
        <v>36529</v>
      </c>
      <c r="G632">
        <v>91.2</v>
      </c>
      <c r="H632" t="s">
        <v>26</v>
      </c>
      <c r="I632">
        <v>80.239999999999995</v>
      </c>
      <c r="J632">
        <v>78.62</v>
      </c>
      <c r="K632" s="3">
        <f t="shared" si="9"/>
        <v>83.353333333333339</v>
      </c>
      <c r="L632" t="s">
        <v>27</v>
      </c>
      <c r="M632" t="s">
        <v>27</v>
      </c>
      <c r="N632">
        <v>23</v>
      </c>
      <c r="O632" t="s">
        <v>48</v>
      </c>
      <c r="P632" t="s">
        <v>60</v>
      </c>
      <c r="Q632" t="s">
        <v>30</v>
      </c>
      <c r="R632">
        <v>556</v>
      </c>
      <c r="S632">
        <v>69.5</v>
      </c>
      <c r="T632" t="s">
        <v>33</v>
      </c>
      <c r="U632" t="s">
        <v>32</v>
      </c>
      <c r="V632" t="s">
        <v>33</v>
      </c>
      <c r="W632" t="s">
        <v>49</v>
      </c>
      <c r="X632" t="s">
        <v>96</v>
      </c>
      <c r="Y632" t="s">
        <v>50</v>
      </c>
      <c r="Z632" t="s">
        <v>44</v>
      </c>
      <c r="AA632" t="s">
        <v>156</v>
      </c>
      <c r="AB632" t="s">
        <v>46</v>
      </c>
      <c r="AC632">
        <f>IF(Cdacdata[[#This Row],[placement_status]]="Placed",1,0)</f>
        <v>1</v>
      </c>
      <c r="AD632" t="s">
        <v>193</v>
      </c>
      <c r="AE632" t="s">
        <v>75</v>
      </c>
      <c r="AF632" t="s">
        <v>39</v>
      </c>
      <c r="AG632">
        <v>2023</v>
      </c>
      <c r="AH632" t="s">
        <v>111</v>
      </c>
      <c r="AI632" t="str">
        <f>IF(Cdacdata[ccat_rank]&lt;=100,"Top 100",
IF(Cdacdata[ccat_rank]&lt;=500,"101–500",
IF(Cdacdata[ccat_rank]&lt;=1000,"501–1000",
"1000+")))</f>
        <v>501–1000</v>
      </c>
    </row>
    <row r="633" spans="1:35" x14ac:dyDescent="0.3">
      <c r="A633" s="1" t="s">
        <v>192</v>
      </c>
      <c r="B633">
        <v>221207273</v>
      </c>
      <c r="C633" s="2">
        <v>44995</v>
      </c>
      <c r="D633" s="2" t="s">
        <v>872</v>
      </c>
      <c r="E633">
        <v>2422</v>
      </c>
      <c r="F633" s="2">
        <v>36795</v>
      </c>
      <c r="G633">
        <v>78.2</v>
      </c>
      <c r="H633">
        <v>63.85</v>
      </c>
      <c r="I633" t="s">
        <v>26</v>
      </c>
      <c r="J633">
        <v>69.69</v>
      </c>
      <c r="K633" s="3">
        <f t="shared" si="9"/>
        <v>70.58</v>
      </c>
      <c r="L633" t="s">
        <v>27</v>
      </c>
      <c r="M633" t="s">
        <v>41</v>
      </c>
      <c r="N633">
        <v>22</v>
      </c>
      <c r="O633" t="s">
        <v>28</v>
      </c>
      <c r="P633" t="s">
        <v>26</v>
      </c>
      <c r="Q633" t="s">
        <v>30</v>
      </c>
      <c r="R633">
        <v>487</v>
      </c>
      <c r="S633">
        <v>60.875</v>
      </c>
      <c r="T633" t="s">
        <v>31</v>
      </c>
      <c r="U633" t="s">
        <v>32</v>
      </c>
      <c r="V633" t="s">
        <v>31</v>
      </c>
      <c r="W633" t="s">
        <v>33</v>
      </c>
      <c r="X633" t="s">
        <v>96</v>
      </c>
      <c r="Y633" t="s">
        <v>50</v>
      </c>
      <c r="Z633" t="s">
        <v>36</v>
      </c>
      <c r="AA633" t="s">
        <v>1268</v>
      </c>
      <c r="AB633" t="s">
        <v>36</v>
      </c>
      <c r="AC633">
        <f>IF(Cdacdata[[#This Row],[placement_status]]="Placed",1,0)</f>
        <v>0</v>
      </c>
      <c r="AD633" t="s">
        <v>193</v>
      </c>
      <c r="AE633" t="s">
        <v>38</v>
      </c>
      <c r="AF633" t="s">
        <v>57</v>
      </c>
      <c r="AG633">
        <v>2023</v>
      </c>
      <c r="AH633" t="s">
        <v>111</v>
      </c>
      <c r="AI633" t="str">
        <f>IF(Cdacdata[ccat_rank]&lt;=100,"Top 100",
IF(Cdacdata[ccat_rank]&lt;=500,"101–500",
IF(Cdacdata[ccat_rank]&lt;=1000,"501–1000",
"1000+")))</f>
        <v>1000+</v>
      </c>
    </row>
    <row r="634" spans="1:35" x14ac:dyDescent="0.3">
      <c r="A634" s="1" t="s">
        <v>192</v>
      </c>
      <c r="B634">
        <v>221206677</v>
      </c>
      <c r="C634" s="2">
        <v>44999</v>
      </c>
      <c r="D634" s="2" t="s">
        <v>873</v>
      </c>
      <c r="E634">
        <v>2340</v>
      </c>
      <c r="F634" s="2">
        <v>36495</v>
      </c>
      <c r="G634">
        <v>89.2</v>
      </c>
      <c r="H634">
        <v>73.23</v>
      </c>
      <c r="I634" t="s">
        <v>26</v>
      </c>
      <c r="J634">
        <v>87.4</v>
      </c>
      <c r="K634" s="3">
        <f t="shared" si="9"/>
        <v>83.276666666666671</v>
      </c>
      <c r="L634" t="s">
        <v>41</v>
      </c>
      <c r="M634" t="s">
        <v>41</v>
      </c>
      <c r="N634">
        <v>23</v>
      </c>
      <c r="O634" t="s">
        <v>48</v>
      </c>
      <c r="P634" t="s">
        <v>26</v>
      </c>
      <c r="Q634" t="s">
        <v>67</v>
      </c>
      <c r="R634">
        <v>528</v>
      </c>
      <c r="S634">
        <v>66</v>
      </c>
      <c r="T634" t="s">
        <v>49</v>
      </c>
      <c r="U634" t="s">
        <v>32</v>
      </c>
      <c r="V634" t="s">
        <v>49</v>
      </c>
      <c r="W634" t="s">
        <v>33</v>
      </c>
      <c r="X634" t="s">
        <v>96</v>
      </c>
      <c r="Y634" t="s">
        <v>50</v>
      </c>
      <c r="Z634" t="s">
        <v>36</v>
      </c>
      <c r="AA634" t="s">
        <v>1268</v>
      </c>
      <c r="AB634" t="s">
        <v>36</v>
      </c>
      <c r="AC634">
        <f>IF(Cdacdata[[#This Row],[placement_status]]="Placed",1,0)</f>
        <v>0</v>
      </c>
      <c r="AD634" t="s">
        <v>193</v>
      </c>
      <c r="AE634" t="s">
        <v>38</v>
      </c>
      <c r="AF634" t="s">
        <v>39</v>
      </c>
      <c r="AG634">
        <v>2023</v>
      </c>
      <c r="AH634" t="s">
        <v>111</v>
      </c>
      <c r="AI634" t="str">
        <f>IF(Cdacdata[ccat_rank]&lt;=100,"Top 100",
IF(Cdacdata[ccat_rank]&lt;=500,"101–500",
IF(Cdacdata[ccat_rank]&lt;=1000,"501–1000",
"1000+")))</f>
        <v>1000+</v>
      </c>
    </row>
    <row r="635" spans="1:35" x14ac:dyDescent="0.3">
      <c r="A635" s="1" t="s">
        <v>192</v>
      </c>
      <c r="B635">
        <v>221205826</v>
      </c>
      <c r="C635" s="2">
        <v>44996</v>
      </c>
      <c r="D635" s="2" t="s">
        <v>874</v>
      </c>
      <c r="E635">
        <v>2372</v>
      </c>
      <c r="F635" s="2">
        <v>34592</v>
      </c>
      <c r="G635">
        <v>97.27</v>
      </c>
      <c r="H635">
        <v>69.83</v>
      </c>
      <c r="I635" t="s">
        <v>26</v>
      </c>
      <c r="J635">
        <v>61.2</v>
      </c>
      <c r="K635" s="3">
        <f t="shared" si="9"/>
        <v>76.100000000000009</v>
      </c>
      <c r="L635" t="s">
        <v>27</v>
      </c>
      <c r="M635" t="s">
        <v>27</v>
      </c>
      <c r="N635">
        <v>28</v>
      </c>
      <c r="O635" t="s">
        <v>28</v>
      </c>
      <c r="P635" t="s">
        <v>60</v>
      </c>
      <c r="Q635" t="s">
        <v>30</v>
      </c>
      <c r="R635">
        <v>510</v>
      </c>
      <c r="S635">
        <v>63.75</v>
      </c>
      <c r="T635" t="s">
        <v>33</v>
      </c>
      <c r="U635" t="s">
        <v>32</v>
      </c>
      <c r="V635" t="s">
        <v>33</v>
      </c>
      <c r="W635" t="s">
        <v>49</v>
      </c>
      <c r="X635" t="s">
        <v>96</v>
      </c>
      <c r="Y635" t="s">
        <v>50</v>
      </c>
      <c r="Z635" t="s">
        <v>44</v>
      </c>
      <c r="AA635" t="s">
        <v>115</v>
      </c>
      <c r="AB635" t="s">
        <v>46</v>
      </c>
      <c r="AC635">
        <f>IF(Cdacdata[[#This Row],[placement_status]]="Placed",1,0)</f>
        <v>1</v>
      </c>
      <c r="AD635" t="s">
        <v>193</v>
      </c>
      <c r="AE635" t="s">
        <v>38</v>
      </c>
      <c r="AF635" t="s">
        <v>55</v>
      </c>
      <c r="AG635">
        <v>2023</v>
      </c>
      <c r="AH635" t="s">
        <v>111</v>
      </c>
      <c r="AI635" t="str">
        <f>IF(Cdacdata[ccat_rank]&lt;=100,"Top 100",
IF(Cdacdata[ccat_rank]&lt;=500,"101–500",
IF(Cdacdata[ccat_rank]&lt;=1000,"501–1000",
"1000+")))</f>
        <v>1000+</v>
      </c>
    </row>
    <row r="636" spans="1:35" x14ac:dyDescent="0.3">
      <c r="A636" s="1" t="s">
        <v>192</v>
      </c>
      <c r="B636">
        <v>230107491</v>
      </c>
      <c r="C636" s="2">
        <v>44995</v>
      </c>
      <c r="D636" s="2" t="s">
        <v>875</v>
      </c>
      <c r="E636">
        <v>2035</v>
      </c>
      <c r="F636" s="2">
        <v>34683</v>
      </c>
      <c r="G636">
        <v>89.09</v>
      </c>
      <c r="H636">
        <v>66.5</v>
      </c>
      <c r="I636" t="s">
        <v>26</v>
      </c>
      <c r="J636">
        <v>60</v>
      </c>
      <c r="K636" s="3">
        <f t="shared" si="9"/>
        <v>71.86333333333333</v>
      </c>
      <c r="L636" t="s">
        <v>27</v>
      </c>
      <c r="M636" t="s">
        <v>41</v>
      </c>
      <c r="N636">
        <v>28</v>
      </c>
      <c r="O636" t="s">
        <v>28</v>
      </c>
      <c r="P636" t="s">
        <v>52</v>
      </c>
      <c r="Q636" t="s">
        <v>30</v>
      </c>
      <c r="R636">
        <v>496</v>
      </c>
      <c r="S636">
        <v>62</v>
      </c>
      <c r="T636" t="s">
        <v>49</v>
      </c>
      <c r="U636" t="s">
        <v>32</v>
      </c>
      <c r="V636" t="s">
        <v>49</v>
      </c>
      <c r="W636" t="s">
        <v>31</v>
      </c>
      <c r="X636" t="s">
        <v>96</v>
      </c>
      <c r="Y636" t="s">
        <v>50</v>
      </c>
      <c r="Z636" t="s">
        <v>36</v>
      </c>
      <c r="AA636" t="s">
        <v>1268</v>
      </c>
      <c r="AB636" t="s">
        <v>36</v>
      </c>
      <c r="AC636">
        <f>IF(Cdacdata[[#This Row],[placement_status]]="Placed",1,0)</f>
        <v>0</v>
      </c>
      <c r="AD636" t="s">
        <v>193</v>
      </c>
      <c r="AE636" t="s">
        <v>38</v>
      </c>
      <c r="AF636" t="s">
        <v>55</v>
      </c>
      <c r="AG636">
        <v>2023</v>
      </c>
      <c r="AH636" t="s">
        <v>111</v>
      </c>
      <c r="AI636" t="str">
        <f>IF(Cdacdata[ccat_rank]&lt;=100,"Top 100",
IF(Cdacdata[ccat_rank]&lt;=500,"101–500",
IF(Cdacdata[ccat_rank]&lt;=1000,"501–1000",
"1000+")))</f>
        <v>1000+</v>
      </c>
    </row>
    <row r="637" spans="1:35" x14ac:dyDescent="0.3">
      <c r="A637" s="1" t="s">
        <v>192</v>
      </c>
      <c r="B637">
        <v>221205236</v>
      </c>
      <c r="C637" s="2">
        <v>44995</v>
      </c>
      <c r="D637" s="2" t="s">
        <v>876</v>
      </c>
      <c r="E637">
        <v>2493</v>
      </c>
      <c r="F637" s="2">
        <v>35390</v>
      </c>
      <c r="G637">
        <v>78.2</v>
      </c>
      <c r="H637">
        <v>71.400000000000006</v>
      </c>
      <c r="I637" t="s">
        <v>26</v>
      </c>
      <c r="J637">
        <v>57.8</v>
      </c>
      <c r="K637" s="3">
        <f t="shared" si="9"/>
        <v>69.13333333333334</v>
      </c>
      <c r="L637" t="s">
        <v>27</v>
      </c>
      <c r="M637" t="s">
        <v>27</v>
      </c>
      <c r="N637">
        <v>26</v>
      </c>
      <c r="O637" t="s">
        <v>72</v>
      </c>
      <c r="P637" t="s">
        <v>56</v>
      </c>
      <c r="Q637" t="s">
        <v>30</v>
      </c>
      <c r="R637">
        <v>558</v>
      </c>
      <c r="S637">
        <v>69.75</v>
      </c>
      <c r="T637" t="s">
        <v>49</v>
      </c>
      <c r="U637" t="s">
        <v>32</v>
      </c>
      <c r="V637" t="s">
        <v>49</v>
      </c>
      <c r="W637" t="s">
        <v>49</v>
      </c>
      <c r="X637" t="s">
        <v>96</v>
      </c>
      <c r="Y637" t="s">
        <v>50</v>
      </c>
      <c r="Z637" t="s">
        <v>44</v>
      </c>
      <c r="AA637" t="s">
        <v>97</v>
      </c>
      <c r="AB637" t="s">
        <v>46</v>
      </c>
      <c r="AC637">
        <f>IF(Cdacdata[[#This Row],[placement_status]]="Placed",1,0)</f>
        <v>1</v>
      </c>
      <c r="AD637" t="s">
        <v>193</v>
      </c>
      <c r="AE637" t="s">
        <v>38</v>
      </c>
      <c r="AF637" t="s">
        <v>55</v>
      </c>
      <c r="AG637">
        <v>2023</v>
      </c>
      <c r="AH637" t="s">
        <v>111</v>
      </c>
      <c r="AI637" t="str">
        <f>IF(Cdacdata[ccat_rank]&lt;=100,"Top 100",
IF(Cdacdata[ccat_rank]&lt;=500,"101–500",
IF(Cdacdata[ccat_rank]&lt;=1000,"501–1000",
"1000+")))</f>
        <v>1000+</v>
      </c>
    </row>
    <row r="638" spans="1:35" x14ac:dyDescent="0.3">
      <c r="A638" s="1" t="s">
        <v>192</v>
      </c>
      <c r="B638">
        <v>230108067</v>
      </c>
      <c r="C638" s="2">
        <v>44996</v>
      </c>
      <c r="D638" s="2" t="s">
        <v>877</v>
      </c>
      <c r="E638">
        <v>2657</v>
      </c>
      <c r="F638" s="2">
        <v>36125</v>
      </c>
      <c r="G638">
        <v>80.8</v>
      </c>
      <c r="H638">
        <v>69.09</v>
      </c>
      <c r="I638" t="s">
        <v>26</v>
      </c>
      <c r="J638">
        <v>67.569999999999993</v>
      </c>
      <c r="K638" s="3">
        <f t="shared" si="9"/>
        <v>72.486666666666665</v>
      </c>
      <c r="L638" t="s">
        <v>27</v>
      </c>
      <c r="M638" t="s">
        <v>27</v>
      </c>
      <c r="N638">
        <v>24</v>
      </c>
      <c r="O638" t="s">
        <v>28</v>
      </c>
      <c r="P638" t="s">
        <v>60</v>
      </c>
      <c r="Q638" t="s">
        <v>30</v>
      </c>
      <c r="R638">
        <v>407</v>
      </c>
      <c r="S638">
        <v>50.875</v>
      </c>
      <c r="T638" t="s">
        <v>31</v>
      </c>
      <c r="U638" t="s">
        <v>32</v>
      </c>
      <c r="V638" t="s">
        <v>31</v>
      </c>
      <c r="W638" t="s">
        <v>31</v>
      </c>
      <c r="X638" t="s">
        <v>96</v>
      </c>
      <c r="Y638" t="s">
        <v>35</v>
      </c>
      <c r="Z638" t="s">
        <v>44</v>
      </c>
      <c r="AA638" t="s">
        <v>97</v>
      </c>
      <c r="AB638" t="s">
        <v>46</v>
      </c>
      <c r="AC638">
        <f>IF(Cdacdata[[#This Row],[placement_status]]="Placed",1,0)</f>
        <v>1</v>
      </c>
      <c r="AD638" t="s">
        <v>193</v>
      </c>
      <c r="AE638" t="s">
        <v>38</v>
      </c>
      <c r="AF638" t="s">
        <v>39</v>
      </c>
      <c r="AG638">
        <v>2023</v>
      </c>
      <c r="AH638" t="s">
        <v>111</v>
      </c>
      <c r="AI638" t="str">
        <f>IF(Cdacdata[ccat_rank]&lt;=100,"Top 100",
IF(Cdacdata[ccat_rank]&lt;=500,"101–500",
IF(Cdacdata[ccat_rank]&lt;=1000,"501–1000",
"1000+")))</f>
        <v>1000+</v>
      </c>
    </row>
    <row r="639" spans="1:35" x14ac:dyDescent="0.3">
      <c r="A639" s="1" t="s">
        <v>192</v>
      </c>
      <c r="B639">
        <v>221204616</v>
      </c>
      <c r="C639" s="2">
        <v>44996</v>
      </c>
      <c r="D639" s="2" t="s">
        <v>878</v>
      </c>
      <c r="E639">
        <v>2367</v>
      </c>
      <c r="F639" s="2">
        <v>35019</v>
      </c>
      <c r="G639">
        <v>84</v>
      </c>
      <c r="H639">
        <v>56</v>
      </c>
      <c r="I639" t="s">
        <v>26</v>
      </c>
      <c r="J639">
        <v>59</v>
      </c>
      <c r="K639" s="3">
        <f t="shared" si="9"/>
        <v>66.333333333333329</v>
      </c>
      <c r="L639" t="s">
        <v>27</v>
      </c>
      <c r="M639" t="s">
        <v>27</v>
      </c>
      <c r="N639">
        <v>27</v>
      </c>
      <c r="O639" t="s">
        <v>72</v>
      </c>
      <c r="P639" t="s">
        <v>52</v>
      </c>
      <c r="Q639" t="s">
        <v>30</v>
      </c>
      <c r="R639">
        <v>517</v>
      </c>
      <c r="S639">
        <v>64.625</v>
      </c>
      <c r="T639" t="s">
        <v>49</v>
      </c>
      <c r="U639" t="s">
        <v>32</v>
      </c>
      <c r="V639" t="s">
        <v>49</v>
      </c>
      <c r="W639" t="s">
        <v>33</v>
      </c>
      <c r="X639" t="s">
        <v>96</v>
      </c>
      <c r="Y639" t="s">
        <v>50</v>
      </c>
      <c r="Z639" t="s">
        <v>44</v>
      </c>
      <c r="AA639" t="s">
        <v>205</v>
      </c>
      <c r="AB639" t="s">
        <v>46</v>
      </c>
      <c r="AC639">
        <f>IF(Cdacdata[[#This Row],[placement_status]]="Placed",1,0)</f>
        <v>1</v>
      </c>
      <c r="AD639" t="s">
        <v>193</v>
      </c>
      <c r="AE639" t="s">
        <v>38</v>
      </c>
      <c r="AF639" t="s">
        <v>55</v>
      </c>
      <c r="AG639">
        <v>2023</v>
      </c>
      <c r="AH639" t="s">
        <v>111</v>
      </c>
      <c r="AI639" t="str">
        <f>IF(Cdacdata[ccat_rank]&lt;=100,"Top 100",
IF(Cdacdata[ccat_rank]&lt;=500,"101–500",
IF(Cdacdata[ccat_rank]&lt;=1000,"501–1000",
"1000+")))</f>
        <v>1000+</v>
      </c>
    </row>
    <row r="640" spans="1:35" x14ac:dyDescent="0.3">
      <c r="A640" s="1" t="s">
        <v>192</v>
      </c>
      <c r="B640">
        <v>230106330</v>
      </c>
      <c r="C640" s="2">
        <v>44995</v>
      </c>
      <c r="D640" s="2" t="s">
        <v>879</v>
      </c>
      <c r="E640">
        <v>1119</v>
      </c>
      <c r="F640" s="2">
        <v>36022</v>
      </c>
      <c r="G640">
        <v>87.5</v>
      </c>
      <c r="H640">
        <v>81.540000000000006</v>
      </c>
      <c r="I640" t="s">
        <v>26</v>
      </c>
      <c r="J640">
        <v>85</v>
      </c>
      <c r="K640" s="3">
        <f t="shared" si="9"/>
        <v>84.68</v>
      </c>
      <c r="L640" t="s">
        <v>41</v>
      </c>
      <c r="M640" t="s">
        <v>27</v>
      </c>
      <c r="N640">
        <v>24</v>
      </c>
      <c r="O640" t="s">
        <v>48</v>
      </c>
      <c r="P640" t="s">
        <v>56</v>
      </c>
      <c r="Q640" t="s">
        <v>67</v>
      </c>
      <c r="R640">
        <v>520</v>
      </c>
      <c r="S640">
        <v>65</v>
      </c>
      <c r="T640" t="s">
        <v>49</v>
      </c>
      <c r="U640" t="s">
        <v>32</v>
      </c>
      <c r="V640" t="s">
        <v>49</v>
      </c>
      <c r="W640" t="s">
        <v>33</v>
      </c>
      <c r="X640" t="s">
        <v>96</v>
      </c>
      <c r="Y640" t="s">
        <v>50</v>
      </c>
      <c r="Z640" t="s">
        <v>44</v>
      </c>
      <c r="AA640" t="s">
        <v>206</v>
      </c>
      <c r="AB640" t="s">
        <v>46</v>
      </c>
      <c r="AC640">
        <f>IF(Cdacdata[[#This Row],[placement_status]]="Placed",1,0)</f>
        <v>1</v>
      </c>
      <c r="AD640" t="s">
        <v>193</v>
      </c>
      <c r="AE640" t="s">
        <v>47</v>
      </c>
      <c r="AF640" t="s">
        <v>39</v>
      </c>
      <c r="AG640">
        <v>2023</v>
      </c>
      <c r="AH640" t="s">
        <v>111</v>
      </c>
      <c r="AI640" t="str">
        <f>IF(Cdacdata[ccat_rank]&lt;=100,"Top 100",
IF(Cdacdata[ccat_rank]&lt;=500,"101–500",
IF(Cdacdata[ccat_rank]&lt;=1000,"501–1000",
"1000+")))</f>
        <v>1000+</v>
      </c>
    </row>
    <row r="641" spans="1:35" x14ac:dyDescent="0.3">
      <c r="A641" s="1" t="s">
        <v>192</v>
      </c>
      <c r="B641">
        <v>221204167</v>
      </c>
      <c r="C641" s="2">
        <v>44998</v>
      </c>
      <c r="D641" s="2" t="s">
        <v>880</v>
      </c>
      <c r="E641">
        <v>2319</v>
      </c>
      <c r="F641" s="2">
        <v>35459</v>
      </c>
      <c r="G641">
        <v>70</v>
      </c>
      <c r="H641">
        <v>60</v>
      </c>
      <c r="I641">
        <v>52.94</v>
      </c>
      <c r="J641">
        <v>65</v>
      </c>
      <c r="K641" s="3">
        <f t="shared" si="9"/>
        <v>61.984999999999999</v>
      </c>
      <c r="L641" t="s">
        <v>27</v>
      </c>
      <c r="M641" t="s">
        <v>41</v>
      </c>
      <c r="N641">
        <v>26</v>
      </c>
      <c r="O641" t="s">
        <v>28</v>
      </c>
      <c r="P641" t="s">
        <v>65</v>
      </c>
      <c r="Q641" t="s">
        <v>30</v>
      </c>
      <c r="R641">
        <v>467</v>
      </c>
      <c r="S641">
        <v>58.375</v>
      </c>
      <c r="T641" t="s">
        <v>31</v>
      </c>
      <c r="U641" t="s">
        <v>32</v>
      </c>
      <c r="V641" t="s">
        <v>31</v>
      </c>
      <c r="W641" t="s">
        <v>33</v>
      </c>
      <c r="X641" t="s">
        <v>96</v>
      </c>
      <c r="Y641" t="s">
        <v>35</v>
      </c>
      <c r="Z641" t="s">
        <v>36</v>
      </c>
      <c r="AA641" t="s">
        <v>1268</v>
      </c>
      <c r="AB641" t="s">
        <v>36</v>
      </c>
      <c r="AC641">
        <f>IF(Cdacdata[[#This Row],[placement_status]]="Placed",1,0)</f>
        <v>0</v>
      </c>
      <c r="AD641" t="s">
        <v>193</v>
      </c>
      <c r="AE641" t="s">
        <v>38</v>
      </c>
      <c r="AF641" t="s">
        <v>55</v>
      </c>
      <c r="AG641">
        <v>2023</v>
      </c>
      <c r="AH641" t="s">
        <v>111</v>
      </c>
      <c r="AI641" t="str">
        <f>IF(Cdacdata[ccat_rank]&lt;=100,"Top 100",
IF(Cdacdata[ccat_rank]&lt;=500,"101–500",
IF(Cdacdata[ccat_rank]&lt;=1000,"501–1000",
"1000+")))</f>
        <v>1000+</v>
      </c>
    </row>
    <row r="642" spans="1:35" x14ac:dyDescent="0.3">
      <c r="A642" s="1" t="s">
        <v>192</v>
      </c>
      <c r="B642">
        <v>230100621</v>
      </c>
      <c r="C642" s="2">
        <v>44994</v>
      </c>
      <c r="D642" s="2" t="s">
        <v>881</v>
      </c>
      <c r="E642">
        <v>2082</v>
      </c>
      <c r="F642" s="2">
        <v>36257</v>
      </c>
      <c r="G642">
        <v>91.2</v>
      </c>
      <c r="H642">
        <v>79.23</v>
      </c>
      <c r="I642" t="s">
        <v>26</v>
      </c>
      <c r="J642">
        <v>73.38</v>
      </c>
      <c r="K642" s="3">
        <f t="shared" ref="K642:K705" si="10">AVERAGE(G642,H642,I642,J642)</f>
        <v>81.27</v>
      </c>
      <c r="L642" t="s">
        <v>27</v>
      </c>
      <c r="M642" t="s">
        <v>27</v>
      </c>
      <c r="N642">
        <v>23</v>
      </c>
      <c r="O642" t="s">
        <v>28</v>
      </c>
      <c r="P642" t="s">
        <v>56</v>
      </c>
      <c r="Q642" t="s">
        <v>30</v>
      </c>
      <c r="R642">
        <v>533</v>
      </c>
      <c r="S642">
        <v>66.625</v>
      </c>
      <c r="T642" t="s">
        <v>49</v>
      </c>
      <c r="U642" t="s">
        <v>32</v>
      </c>
      <c r="V642" t="s">
        <v>49</v>
      </c>
      <c r="W642" t="s">
        <v>33</v>
      </c>
      <c r="X642" t="s">
        <v>96</v>
      </c>
      <c r="Y642" t="s">
        <v>50</v>
      </c>
      <c r="Z642" t="s">
        <v>44</v>
      </c>
      <c r="AA642" t="s">
        <v>107</v>
      </c>
      <c r="AB642" t="s">
        <v>46</v>
      </c>
      <c r="AC642">
        <f>IF(Cdacdata[[#This Row],[placement_status]]="Placed",1,0)</f>
        <v>1</v>
      </c>
      <c r="AD642" t="s">
        <v>193</v>
      </c>
      <c r="AE642" t="s">
        <v>38</v>
      </c>
      <c r="AF642" t="s">
        <v>39</v>
      </c>
      <c r="AG642">
        <v>2023</v>
      </c>
      <c r="AH642" t="s">
        <v>111</v>
      </c>
      <c r="AI642" t="str">
        <f>IF(Cdacdata[ccat_rank]&lt;=100,"Top 100",
IF(Cdacdata[ccat_rank]&lt;=500,"101–500",
IF(Cdacdata[ccat_rank]&lt;=1000,"501–1000",
"1000+")))</f>
        <v>1000+</v>
      </c>
    </row>
    <row r="643" spans="1:35" x14ac:dyDescent="0.3">
      <c r="A643" s="1" t="s">
        <v>192</v>
      </c>
      <c r="B643">
        <v>230104502</v>
      </c>
      <c r="C643" s="2">
        <v>44995</v>
      </c>
      <c r="D643" s="2" t="s">
        <v>882</v>
      </c>
      <c r="E643">
        <v>1462</v>
      </c>
      <c r="F643" s="2">
        <v>35677</v>
      </c>
      <c r="G643">
        <v>87.45</v>
      </c>
      <c r="H643">
        <v>73.38</v>
      </c>
      <c r="I643" t="s">
        <v>26</v>
      </c>
      <c r="J643">
        <v>66.98</v>
      </c>
      <c r="K643" s="3">
        <f t="shared" si="10"/>
        <v>75.936666666666667</v>
      </c>
      <c r="L643" t="s">
        <v>27</v>
      </c>
      <c r="M643" t="s">
        <v>41</v>
      </c>
      <c r="N643">
        <v>25</v>
      </c>
      <c r="O643" t="s">
        <v>28</v>
      </c>
      <c r="P643" t="s">
        <v>60</v>
      </c>
      <c r="Q643" t="s">
        <v>30</v>
      </c>
      <c r="R643">
        <v>516</v>
      </c>
      <c r="S643">
        <v>64.5</v>
      </c>
      <c r="T643" t="s">
        <v>33</v>
      </c>
      <c r="U643" t="s">
        <v>32</v>
      </c>
      <c r="V643" t="s">
        <v>33</v>
      </c>
      <c r="W643" t="s">
        <v>31</v>
      </c>
      <c r="X643" t="s">
        <v>96</v>
      </c>
      <c r="Y643" t="s">
        <v>50</v>
      </c>
      <c r="Z643" t="s">
        <v>36</v>
      </c>
      <c r="AA643" t="s">
        <v>1268</v>
      </c>
      <c r="AB643" t="s">
        <v>36</v>
      </c>
      <c r="AC643">
        <f>IF(Cdacdata[[#This Row],[placement_status]]="Placed",1,0)</f>
        <v>0</v>
      </c>
      <c r="AD643" t="s">
        <v>193</v>
      </c>
      <c r="AE643" t="s">
        <v>47</v>
      </c>
      <c r="AF643" t="s">
        <v>39</v>
      </c>
      <c r="AG643">
        <v>2023</v>
      </c>
      <c r="AH643" t="s">
        <v>111</v>
      </c>
      <c r="AI643" t="str">
        <f>IF(Cdacdata[ccat_rank]&lt;=100,"Top 100",
IF(Cdacdata[ccat_rank]&lt;=500,"101–500",
IF(Cdacdata[ccat_rank]&lt;=1000,"501–1000",
"1000+")))</f>
        <v>1000+</v>
      </c>
    </row>
    <row r="644" spans="1:35" x14ac:dyDescent="0.3">
      <c r="A644" s="1" t="s">
        <v>192</v>
      </c>
      <c r="B644">
        <v>221205120</v>
      </c>
      <c r="C644" s="2">
        <v>44995</v>
      </c>
      <c r="D644" s="2" t="s">
        <v>883</v>
      </c>
      <c r="E644">
        <v>2718</v>
      </c>
      <c r="F644" s="2">
        <v>36224</v>
      </c>
      <c r="G644">
        <v>85</v>
      </c>
      <c r="H644">
        <v>73.540000000000006</v>
      </c>
      <c r="I644" t="s">
        <v>26</v>
      </c>
      <c r="J644">
        <v>72.2</v>
      </c>
      <c r="K644" s="3">
        <f t="shared" si="10"/>
        <v>76.913333333333341</v>
      </c>
      <c r="L644" t="s">
        <v>27</v>
      </c>
      <c r="M644" t="s">
        <v>41</v>
      </c>
      <c r="N644">
        <v>24</v>
      </c>
      <c r="O644" t="s">
        <v>28</v>
      </c>
      <c r="P644" t="s">
        <v>26</v>
      </c>
      <c r="Q644" t="s">
        <v>43</v>
      </c>
      <c r="R644">
        <v>524</v>
      </c>
      <c r="S644">
        <v>65.5</v>
      </c>
      <c r="T644" t="s">
        <v>33</v>
      </c>
      <c r="U644" t="s">
        <v>32</v>
      </c>
      <c r="V644" t="s">
        <v>33</v>
      </c>
      <c r="W644" t="s">
        <v>49</v>
      </c>
      <c r="X644" t="s">
        <v>96</v>
      </c>
      <c r="Y644" t="s">
        <v>50</v>
      </c>
      <c r="Z644" t="s">
        <v>36</v>
      </c>
      <c r="AA644" t="s">
        <v>1268</v>
      </c>
      <c r="AB644" t="s">
        <v>36</v>
      </c>
      <c r="AC644">
        <f>IF(Cdacdata[[#This Row],[placement_status]]="Placed",1,0)</f>
        <v>0</v>
      </c>
      <c r="AD644" t="s">
        <v>193</v>
      </c>
      <c r="AE644" t="s">
        <v>38</v>
      </c>
      <c r="AF644" t="s">
        <v>39</v>
      </c>
      <c r="AG644">
        <v>2023</v>
      </c>
      <c r="AH644" t="s">
        <v>111</v>
      </c>
      <c r="AI644" t="str">
        <f>IF(Cdacdata[ccat_rank]&lt;=100,"Top 100",
IF(Cdacdata[ccat_rank]&lt;=500,"101–500",
IF(Cdacdata[ccat_rank]&lt;=1000,"501–1000",
"1000+")))</f>
        <v>1000+</v>
      </c>
    </row>
    <row r="645" spans="1:35" x14ac:dyDescent="0.3">
      <c r="A645" s="1" t="s">
        <v>192</v>
      </c>
      <c r="B645">
        <v>230107356</v>
      </c>
      <c r="C645" s="2">
        <v>44995</v>
      </c>
      <c r="D645" s="2" t="s">
        <v>884</v>
      </c>
      <c r="E645">
        <v>2503</v>
      </c>
      <c r="F645" s="2">
        <v>34998</v>
      </c>
      <c r="G645">
        <v>86.36</v>
      </c>
      <c r="H645">
        <v>55</v>
      </c>
      <c r="I645" t="s">
        <v>26</v>
      </c>
      <c r="J645">
        <v>61.8</v>
      </c>
      <c r="K645" s="3">
        <f t="shared" si="10"/>
        <v>67.720000000000013</v>
      </c>
      <c r="L645" t="s">
        <v>27</v>
      </c>
      <c r="M645" t="s">
        <v>41</v>
      </c>
      <c r="N645">
        <v>27</v>
      </c>
      <c r="O645" t="s">
        <v>28</v>
      </c>
      <c r="P645" t="s">
        <v>56</v>
      </c>
      <c r="Q645" t="s">
        <v>71</v>
      </c>
      <c r="R645">
        <v>457</v>
      </c>
      <c r="S645">
        <v>57.125</v>
      </c>
      <c r="T645" t="s">
        <v>33</v>
      </c>
      <c r="U645" t="s">
        <v>32</v>
      </c>
      <c r="V645" t="s">
        <v>33</v>
      </c>
      <c r="W645" t="s">
        <v>31</v>
      </c>
      <c r="X645" t="s">
        <v>96</v>
      </c>
      <c r="Y645" t="s">
        <v>35</v>
      </c>
      <c r="Z645" t="s">
        <v>36</v>
      </c>
      <c r="AA645" t="s">
        <v>1268</v>
      </c>
      <c r="AB645" t="s">
        <v>36</v>
      </c>
      <c r="AC645">
        <f>IF(Cdacdata[[#This Row],[placement_status]]="Placed",1,0)</f>
        <v>0</v>
      </c>
      <c r="AD645" t="s">
        <v>193</v>
      </c>
      <c r="AE645" t="s">
        <v>38</v>
      </c>
      <c r="AF645" t="s">
        <v>55</v>
      </c>
      <c r="AG645">
        <v>2023</v>
      </c>
      <c r="AH645" t="s">
        <v>111</v>
      </c>
      <c r="AI645" t="str">
        <f>IF(Cdacdata[ccat_rank]&lt;=100,"Top 100",
IF(Cdacdata[ccat_rank]&lt;=500,"101–500",
IF(Cdacdata[ccat_rank]&lt;=1000,"501–1000",
"1000+")))</f>
        <v>1000+</v>
      </c>
    </row>
    <row r="646" spans="1:35" x14ac:dyDescent="0.3">
      <c r="A646" s="1" t="s">
        <v>192</v>
      </c>
      <c r="B646">
        <v>221203134</v>
      </c>
      <c r="C646" s="2">
        <v>44996</v>
      </c>
      <c r="D646" s="2" t="s">
        <v>885</v>
      </c>
      <c r="E646">
        <v>2542</v>
      </c>
      <c r="F646" s="2">
        <v>36316</v>
      </c>
      <c r="G646">
        <v>62.4</v>
      </c>
      <c r="H646" t="s">
        <v>26</v>
      </c>
      <c r="I646">
        <v>70.239999999999995</v>
      </c>
      <c r="J646">
        <v>70.900000000000006</v>
      </c>
      <c r="K646" s="3">
        <f t="shared" si="10"/>
        <v>67.846666666666664</v>
      </c>
      <c r="L646" t="s">
        <v>27</v>
      </c>
      <c r="M646" t="s">
        <v>41</v>
      </c>
      <c r="N646">
        <v>23</v>
      </c>
      <c r="O646" t="s">
        <v>28</v>
      </c>
      <c r="P646" t="s">
        <v>60</v>
      </c>
      <c r="Q646" t="s">
        <v>30</v>
      </c>
      <c r="R646">
        <v>520</v>
      </c>
      <c r="S646">
        <v>65</v>
      </c>
      <c r="T646" t="s">
        <v>31</v>
      </c>
      <c r="U646" t="s">
        <v>32</v>
      </c>
      <c r="V646" t="s">
        <v>31</v>
      </c>
      <c r="W646" t="s">
        <v>31</v>
      </c>
      <c r="X646" t="s">
        <v>96</v>
      </c>
      <c r="Y646" t="s">
        <v>50</v>
      </c>
      <c r="Z646" t="s">
        <v>36</v>
      </c>
      <c r="AA646" t="s">
        <v>1268</v>
      </c>
      <c r="AB646" t="s">
        <v>36</v>
      </c>
      <c r="AC646">
        <f>IF(Cdacdata[[#This Row],[placement_status]]="Placed",1,0)</f>
        <v>0</v>
      </c>
      <c r="AD646" t="s">
        <v>193</v>
      </c>
      <c r="AE646" t="s">
        <v>38</v>
      </c>
      <c r="AF646" t="s">
        <v>39</v>
      </c>
      <c r="AG646">
        <v>2023</v>
      </c>
      <c r="AH646" t="s">
        <v>111</v>
      </c>
      <c r="AI646" t="str">
        <f>IF(Cdacdata[ccat_rank]&lt;=100,"Top 100",
IF(Cdacdata[ccat_rank]&lt;=500,"101–500",
IF(Cdacdata[ccat_rank]&lt;=1000,"501–1000",
"1000+")))</f>
        <v>1000+</v>
      </c>
    </row>
    <row r="647" spans="1:35" x14ac:dyDescent="0.3">
      <c r="A647" s="1" t="s">
        <v>192</v>
      </c>
      <c r="B647">
        <v>221204727</v>
      </c>
      <c r="C647" s="2">
        <v>44998</v>
      </c>
      <c r="D647" s="2" t="s">
        <v>886</v>
      </c>
      <c r="E647">
        <v>2646</v>
      </c>
      <c r="F647" s="2">
        <v>36795</v>
      </c>
      <c r="G647">
        <v>86.4</v>
      </c>
      <c r="H647">
        <v>72.77</v>
      </c>
      <c r="I647" t="s">
        <v>26</v>
      </c>
      <c r="J647">
        <v>71.62</v>
      </c>
      <c r="K647" s="3">
        <f t="shared" si="10"/>
        <v>76.930000000000007</v>
      </c>
      <c r="L647" t="s">
        <v>27</v>
      </c>
      <c r="M647" t="s">
        <v>41</v>
      </c>
      <c r="N647">
        <v>22</v>
      </c>
      <c r="O647" t="s">
        <v>28</v>
      </c>
      <c r="P647" t="s">
        <v>60</v>
      </c>
      <c r="Q647" t="s">
        <v>30</v>
      </c>
      <c r="R647">
        <v>526</v>
      </c>
      <c r="S647">
        <v>65.75</v>
      </c>
      <c r="T647" t="s">
        <v>49</v>
      </c>
      <c r="U647" t="s">
        <v>32</v>
      </c>
      <c r="V647" t="s">
        <v>49</v>
      </c>
      <c r="W647" t="s">
        <v>49</v>
      </c>
      <c r="X647" t="s">
        <v>96</v>
      </c>
      <c r="Y647" t="s">
        <v>50</v>
      </c>
      <c r="Z647" t="s">
        <v>36</v>
      </c>
      <c r="AA647" t="s">
        <v>1268</v>
      </c>
      <c r="AB647" t="s">
        <v>36</v>
      </c>
      <c r="AC647">
        <f>IF(Cdacdata[[#This Row],[placement_status]]="Placed",1,0)</f>
        <v>0</v>
      </c>
      <c r="AD647" t="s">
        <v>193</v>
      </c>
      <c r="AE647" t="s">
        <v>38</v>
      </c>
      <c r="AF647" t="s">
        <v>57</v>
      </c>
      <c r="AG647">
        <v>2023</v>
      </c>
      <c r="AH647" t="s">
        <v>111</v>
      </c>
      <c r="AI647" t="str">
        <f>IF(Cdacdata[ccat_rank]&lt;=100,"Top 100",
IF(Cdacdata[ccat_rank]&lt;=500,"101–500",
IF(Cdacdata[ccat_rank]&lt;=1000,"501–1000",
"1000+")))</f>
        <v>1000+</v>
      </c>
    </row>
    <row r="648" spans="1:35" x14ac:dyDescent="0.3">
      <c r="A648" s="1" t="s">
        <v>192</v>
      </c>
      <c r="B648">
        <v>230102377</v>
      </c>
      <c r="C648" s="2">
        <v>44997</v>
      </c>
      <c r="D648" s="2" t="s">
        <v>887</v>
      </c>
      <c r="E648">
        <v>2678</v>
      </c>
      <c r="F648" s="2">
        <v>36568</v>
      </c>
      <c r="G648">
        <v>90</v>
      </c>
      <c r="H648">
        <v>68.62</v>
      </c>
      <c r="I648" t="s">
        <v>26</v>
      </c>
      <c r="J648">
        <v>70.63</v>
      </c>
      <c r="K648" s="3">
        <f t="shared" si="10"/>
        <v>76.416666666666671</v>
      </c>
      <c r="L648" t="s">
        <v>27</v>
      </c>
      <c r="M648" t="s">
        <v>27</v>
      </c>
      <c r="N648">
        <v>23</v>
      </c>
      <c r="O648" t="s">
        <v>28</v>
      </c>
      <c r="P648" t="s">
        <v>65</v>
      </c>
      <c r="Q648" t="s">
        <v>30</v>
      </c>
      <c r="R648">
        <v>539</v>
      </c>
      <c r="S648">
        <v>67.375</v>
      </c>
      <c r="T648" t="s">
        <v>33</v>
      </c>
      <c r="U648" t="s">
        <v>32</v>
      </c>
      <c r="V648" t="s">
        <v>33</v>
      </c>
      <c r="W648" t="s">
        <v>33</v>
      </c>
      <c r="X648" t="s">
        <v>96</v>
      </c>
      <c r="Y648" t="s">
        <v>50</v>
      </c>
      <c r="Z648" t="s">
        <v>44</v>
      </c>
      <c r="AA648" t="s">
        <v>206</v>
      </c>
      <c r="AB648" t="s">
        <v>46</v>
      </c>
      <c r="AC648">
        <f>IF(Cdacdata[[#This Row],[placement_status]]="Placed",1,0)</f>
        <v>1</v>
      </c>
      <c r="AD648" t="s">
        <v>193</v>
      </c>
      <c r="AE648" t="s">
        <v>38</v>
      </c>
      <c r="AF648" t="s">
        <v>39</v>
      </c>
      <c r="AG648">
        <v>2023</v>
      </c>
      <c r="AH648" t="s">
        <v>111</v>
      </c>
      <c r="AI648" t="str">
        <f>IF(Cdacdata[ccat_rank]&lt;=100,"Top 100",
IF(Cdacdata[ccat_rank]&lt;=500,"101–500",
IF(Cdacdata[ccat_rank]&lt;=1000,"501–1000",
"1000+")))</f>
        <v>1000+</v>
      </c>
    </row>
    <row r="649" spans="1:35" x14ac:dyDescent="0.3">
      <c r="A649" s="1" t="s">
        <v>192</v>
      </c>
      <c r="B649">
        <v>221204629</v>
      </c>
      <c r="C649" s="2">
        <v>44995</v>
      </c>
      <c r="D649" s="2" t="s">
        <v>888</v>
      </c>
      <c r="E649">
        <v>1148</v>
      </c>
      <c r="F649" s="2">
        <v>35939</v>
      </c>
      <c r="G649">
        <v>66</v>
      </c>
      <c r="H649">
        <v>53.85</v>
      </c>
      <c r="I649" t="s">
        <v>26</v>
      </c>
      <c r="J649">
        <v>69.7</v>
      </c>
      <c r="K649" s="3">
        <f t="shared" si="10"/>
        <v>63.183333333333337</v>
      </c>
      <c r="L649" t="s">
        <v>27</v>
      </c>
      <c r="M649" t="s">
        <v>27</v>
      </c>
      <c r="N649">
        <v>24</v>
      </c>
      <c r="O649" t="s">
        <v>28</v>
      </c>
      <c r="P649" t="s">
        <v>60</v>
      </c>
      <c r="Q649" t="s">
        <v>30</v>
      </c>
      <c r="R649">
        <v>521</v>
      </c>
      <c r="S649">
        <v>65.125</v>
      </c>
      <c r="T649" t="s">
        <v>49</v>
      </c>
      <c r="U649" t="s">
        <v>32</v>
      </c>
      <c r="V649" t="s">
        <v>49</v>
      </c>
      <c r="W649" t="s">
        <v>33</v>
      </c>
      <c r="X649" t="s">
        <v>96</v>
      </c>
      <c r="Y649" t="s">
        <v>50</v>
      </c>
      <c r="Z649" t="s">
        <v>44</v>
      </c>
      <c r="AA649" t="s">
        <v>207</v>
      </c>
      <c r="AB649" t="s">
        <v>46</v>
      </c>
      <c r="AC649">
        <f>IF(Cdacdata[[#This Row],[placement_status]]="Placed",1,0)</f>
        <v>1</v>
      </c>
      <c r="AD649" t="s">
        <v>193</v>
      </c>
      <c r="AE649" t="s">
        <v>47</v>
      </c>
      <c r="AF649" t="s">
        <v>39</v>
      </c>
      <c r="AG649">
        <v>2023</v>
      </c>
      <c r="AH649" t="s">
        <v>111</v>
      </c>
      <c r="AI649" t="str">
        <f>IF(Cdacdata[ccat_rank]&lt;=100,"Top 100",
IF(Cdacdata[ccat_rank]&lt;=500,"101–500",
IF(Cdacdata[ccat_rank]&lt;=1000,"501–1000",
"1000+")))</f>
        <v>1000+</v>
      </c>
    </row>
    <row r="650" spans="1:35" x14ac:dyDescent="0.3">
      <c r="A650" s="1" t="s">
        <v>192</v>
      </c>
      <c r="B650">
        <v>221207382</v>
      </c>
      <c r="C650" s="2">
        <v>44995</v>
      </c>
      <c r="D650" s="2" t="s">
        <v>889</v>
      </c>
      <c r="E650">
        <v>1881</v>
      </c>
      <c r="F650" s="2">
        <v>36807</v>
      </c>
      <c r="G650">
        <v>93.4</v>
      </c>
      <c r="H650">
        <v>77.849999999999994</v>
      </c>
      <c r="I650" t="s">
        <v>26</v>
      </c>
      <c r="J650">
        <v>79</v>
      </c>
      <c r="K650" s="3">
        <f t="shared" si="10"/>
        <v>83.416666666666671</v>
      </c>
      <c r="L650" t="s">
        <v>27</v>
      </c>
      <c r="M650" t="s">
        <v>41</v>
      </c>
      <c r="N650">
        <v>22</v>
      </c>
      <c r="O650" t="s">
        <v>48</v>
      </c>
      <c r="P650" t="s">
        <v>42</v>
      </c>
      <c r="Q650" t="s">
        <v>43</v>
      </c>
      <c r="R650">
        <v>507</v>
      </c>
      <c r="S650">
        <v>63.375</v>
      </c>
      <c r="T650" t="s">
        <v>33</v>
      </c>
      <c r="U650" t="s">
        <v>32</v>
      </c>
      <c r="V650" t="s">
        <v>33</v>
      </c>
      <c r="W650" t="s">
        <v>31</v>
      </c>
      <c r="X650" t="s">
        <v>96</v>
      </c>
      <c r="Y650" t="s">
        <v>50</v>
      </c>
      <c r="Z650" t="s">
        <v>44</v>
      </c>
      <c r="AA650" t="s">
        <v>208</v>
      </c>
      <c r="AB650" t="s">
        <v>46</v>
      </c>
      <c r="AC650">
        <f>IF(Cdacdata[[#This Row],[placement_status]]="Placed",1,0)</f>
        <v>1</v>
      </c>
      <c r="AD650" t="s">
        <v>193</v>
      </c>
      <c r="AE650" t="s">
        <v>47</v>
      </c>
      <c r="AF650" t="s">
        <v>57</v>
      </c>
      <c r="AG650">
        <v>2023</v>
      </c>
      <c r="AH650" t="s">
        <v>111</v>
      </c>
      <c r="AI650" t="str">
        <f>IF(Cdacdata[ccat_rank]&lt;=100,"Top 100",
IF(Cdacdata[ccat_rank]&lt;=500,"101–500",
IF(Cdacdata[ccat_rank]&lt;=1000,"501–1000",
"1000+")))</f>
        <v>1000+</v>
      </c>
    </row>
    <row r="651" spans="1:35" x14ac:dyDescent="0.3">
      <c r="A651" s="1" t="s">
        <v>192</v>
      </c>
      <c r="B651">
        <v>221201874</v>
      </c>
      <c r="C651" s="2">
        <v>44995</v>
      </c>
      <c r="D651" s="2" t="s">
        <v>890</v>
      </c>
      <c r="E651">
        <v>2439</v>
      </c>
      <c r="F651" s="2">
        <v>36072</v>
      </c>
      <c r="G651">
        <v>90</v>
      </c>
      <c r="H651" t="s">
        <v>26</v>
      </c>
      <c r="I651">
        <v>65.47</v>
      </c>
      <c r="J651">
        <v>79</v>
      </c>
      <c r="K651" s="3">
        <f t="shared" si="10"/>
        <v>78.156666666666666</v>
      </c>
      <c r="L651" t="s">
        <v>27</v>
      </c>
      <c r="M651" t="s">
        <v>41</v>
      </c>
      <c r="N651">
        <v>24</v>
      </c>
      <c r="O651" t="s">
        <v>48</v>
      </c>
      <c r="P651" t="s">
        <v>65</v>
      </c>
      <c r="Q651" t="s">
        <v>43</v>
      </c>
      <c r="R651">
        <v>534</v>
      </c>
      <c r="S651">
        <v>66.75</v>
      </c>
      <c r="T651" t="s">
        <v>31</v>
      </c>
      <c r="U651" t="s">
        <v>32</v>
      </c>
      <c r="V651" t="s">
        <v>31</v>
      </c>
      <c r="W651" t="s">
        <v>31</v>
      </c>
      <c r="X651" t="s">
        <v>96</v>
      </c>
      <c r="Y651" t="s">
        <v>50</v>
      </c>
      <c r="Z651" t="s">
        <v>44</v>
      </c>
      <c r="AA651" t="s">
        <v>209</v>
      </c>
      <c r="AB651" t="s">
        <v>46</v>
      </c>
      <c r="AC651">
        <f>IF(Cdacdata[[#This Row],[placement_status]]="Placed",1,0)</f>
        <v>1</v>
      </c>
      <c r="AD651" t="s">
        <v>193</v>
      </c>
      <c r="AE651" t="s">
        <v>38</v>
      </c>
      <c r="AF651" t="s">
        <v>39</v>
      </c>
      <c r="AG651">
        <v>2023</v>
      </c>
      <c r="AH651" t="s">
        <v>111</v>
      </c>
      <c r="AI651" t="str">
        <f>IF(Cdacdata[ccat_rank]&lt;=100,"Top 100",
IF(Cdacdata[ccat_rank]&lt;=500,"101–500",
IF(Cdacdata[ccat_rank]&lt;=1000,"501–1000",
"1000+")))</f>
        <v>1000+</v>
      </c>
    </row>
    <row r="652" spans="1:35" x14ac:dyDescent="0.3">
      <c r="A652" s="1" t="s">
        <v>192</v>
      </c>
      <c r="B652">
        <v>221200074</v>
      </c>
      <c r="C652" s="2">
        <v>44999</v>
      </c>
      <c r="D652" s="2" t="s">
        <v>891</v>
      </c>
      <c r="E652">
        <v>2589</v>
      </c>
      <c r="F652" s="2">
        <v>36964</v>
      </c>
      <c r="G652">
        <v>78.2</v>
      </c>
      <c r="H652" t="s">
        <v>26</v>
      </c>
      <c r="I652">
        <v>66.91</v>
      </c>
      <c r="J652">
        <v>82.36</v>
      </c>
      <c r="K652" s="3">
        <f t="shared" si="10"/>
        <v>75.823333333333338</v>
      </c>
      <c r="L652" t="s">
        <v>27</v>
      </c>
      <c r="M652" t="s">
        <v>27</v>
      </c>
      <c r="N652">
        <v>22</v>
      </c>
      <c r="O652" t="s">
        <v>48</v>
      </c>
      <c r="P652" t="s">
        <v>60</v>
      </c>
      <c r="Q652" t="s">
        <v>30</v>
      </c>
      <c r="R652">
        <v>590</v>
      </c>
      <c r="S652">
        <v>73.75</v>
      </c>
      <c r="T652" t="s">
        <v>49</v>
      </c>
      <c r="U652" t="s">
        <v>32</v>
      </c>
      <c r="V652" t="s">
        <v>49</v>
      </c>
      <c r="W652" t="s">
        <v>49</v>
      </c>
      <c r="X652" t="s">
        <v>96</v>
      </c>
      <c r="Y652" t="s">
        <v>58</v>
      </c>
      <c r="Z652" t="s">
        <v>44</v>
      </c>
      <c r="AA652" t="s">
        <v>97</v>
      </c>
      <c r="AB652" t="s">
        <v>46</v>
      </c>
      <c r="AC652">
        <f>IF(Cdacdata[[#This Row],[placement_status]]="Placed",1,0)</f>
        <v>1</v>
      </c>
      <c r="AD652" t="s">
        <v>193</v>
      </c>
      <c r="AE652" t="s">
        <v>38</v>
      </c>
      <c r="AF652" t="s">
        <v>57</v>
      </c>
      <c r="AG652">
        <v>2023</v>
      </c>
      <c r="AH652" t="s">
        <v>111</v>
      </c>
      <c r="AI652" t="str">
        <f>IF(Cdacdata[ccat_rank]&lt;=100,"Top 100",
IF(Cdacdata[ccat_rank]&lt;=500,"101–500",
IF(Cdacdata[ccat_rank]&lt;=1000,"501–1000",
"1000+")))</f>
        <v>1000+</v>
      </c>
    </row>
    <row r="653" spans="1:35" x14ac:dyDescent="0.3">
      <c r="A653" s="1" t="s">
        <v>192</v>
      </c>
      <c r="B653">
        <v>221205327</v>
      </c>
      <c r="C653" s="2">
        <v>44995</v>
      </c>
      <c r="D653" s="2" t="s">
        <v>892</v>
      </c>
      <c r="E653">
        <v>2491</v>
      </c>
      <c r="F653" s="2">
        <v>35619</v>
      </c>
      <c r="G653">
        <v>88.8</v>
      </c>
      <c r="H653">
        <v>77.69</v>
      </c>
      <c r="I653" t="s">
        <v>26</v>
      </c>
      <c r="J653">
        <v>66.5</v>
      </c>
      <c r="K653" s="3">
        <f t="shared" si="10"/>
        <v>77.663333333333341</v>
      </c>
      <c r="L653" t="s">
        <v>27</v>
      </c>
      <c r="M653" t="s">
        <v>27</v>
      </c>
      <c r="N653">
        <v>25</v>
      </c>
      <c r="O653" t="s">
        <v>28</v>
      </c>
      <c r="P653" t="s">
        <v>56</v>
      </c>
      <c r="Q653" t="s">
        <v>43</v>
      </c>
      <c r="R653">
        <v>505</v>
      </c>
      <c r="S653">
        <v>63.125</v>
      </c>
      <c r="T653" t="s">
        <v>49</v>
      </c>
      <c r="U653" t="s">
        <v>32</v>
      </c>
      <c r="V653" t="s">
        <v>49</v>
      </c>
      <c r="W653" t="s">
        <v>31</v>
      </c>
      <c r="X653" t="s">
        <v>96</v>
      </c>
      <c r="Y653" t="s">
        <v>50</v>
      </c>
      <c r="Z653" t="s">
        <v>44</v>
      </c>
      <c r="AA653" t="s">
        <v>210</v>
      </c>
      <c r="AB653" t="s">
        <v>46</v>
      </c>
      <c r="AC653">
        <f>IF(Cdacdata[[#This Row],[placement_status]]="Placed",1,0)</f>
        <v>1</v>
      </c>
      <c r="AD653" t="s">
        <v>193</v>
      </c>
      <c r="AE653" t="s">
        <v>38</v>
      </c>
      <c r="AF653" t="s">
        <v>39</v>
      </c>
      <c r="AG653">
        <v>2023</v>
      </c>
      <c r="AH653" t="s">
        <v>111</v>
      </c>
      <c r="AI653" t="str">
        <f>IF(Cdacdata[ccat_rank]&lt;=100,"Top 100",
IF(Cdacdata[ccat_rank]&lt;=500,"101–500",
IF(Cdacdata[ccat_rank]&lt;=1000,"501–1000",
"1000+")))</f>
        <v>1000+</v>
      </c>
    </row>
    <row r="654" spans="1:35" x14ac:dyDescent="0.3">
      <c r="A654" s="1" t="s">
        <v>192</v>
      </c>
      <c r="B654">
        <v>230107038</v>
      </c>
      <c r="C654" s="2">
        <v>44999</v>
      </c>
      <c r="D654" s="2" t="s">
        <v>893</v>
      </c>
      <c r="E654">
        <v>1447</v>
      </c>
      <c r="F654" s="2">
        <v>36095</v>
      </c>
      <c r="G654">
        <v>78</v>
      </c>
      <c r="H654">
        <v>67.08</v>
      </c>
      <c r="I654">
        <v>71.709999999999994</v>
      </c>
      <c r="J654">
        <v>66.78</v>
      </c>
      <c r="K654" s="3">
        <f t="shared" si="10"/>
        <v>70.892499999999984</v>
      </c>
      <c r="L654" t="s">
        <v>27</v>
      </c>
      <c r="M654" t="s">
        <v>27</v>
      </c>
      <c r="N654">
        <v>24</v>
      </c>
      <c r="O654" t="s">
        <v>28</v>
      </c>
      <c r="P654" t="s">
        <v>60</v>
      </c>
      <c r="Q654" t="s">
        <v>30</v>
      </c>
      <c r="R654">
        <v>421</v>
      </c>
      <c r="S654">
        <v>52.625</v>
      </c>
      <c r="T654" t="s">
        <v>33</v>
      </c>
      <c r="U654" t="s">
        <v>64</v>
      </c>
      <c r="V654" t="s">
        <v>33</v>
      </c>
      <c r="W654" t="s">
        <v>31</v>
      </c>
      <c r="X654" t="s">
        <v>96</v>
      </c>
      <c r="Y654" t="s">
        <v>35</v>
      </c>
      <c r="Z654" t="s">
        <v>36</v>
      </c>
      <c r="AA654" t="s">
        <v>1268</v>
      </c>
      <c r="AB654" t="s">
        <v>36</v>
      </c>
      <c r="AC654">
        <f>IF(Cdacdata[[#This Row],[placement_status]]="Placed",1,0)</f>
        <v>0</v>
      </c>
      <c r="AD654" t="s">
        <v>193</v>
      </c>
      <c r="AE654" t="s">
        <v>47</v>
      </c>
      <c r="AF654" t="s">
        <v>39</v>
      </c>
      <c r="AG654">
        <v>2023</v>
      </c>
      <c r="AH654" t="s">
        <v>111</v>
      </c>
      <c r="AI654" t="str">
        <f>IF(Cdacdata[ccat_rank]&lt;=100,"Top 100",
IF(Cdacdata[ccat_rank]&lt;=500,"101–500",
IF(Cdacdata[ccat_rank]&lt;=1000,"501–1000",
"1000+")))</f>
        <v>1000+</v>
      </c>
    </row>
    <row r="655" spans="1:35" x14ac:dyDescent="0.3">
      <c r="A655" s="1" t="s">
        <v>192</v>
      </c>
      <c r="B655">
        <v>230102491</v>
      </c>
      <c r="C655" s="2">
        <v>44995</v>
      </c>
      <c r="D655" s="2" t="s">
        <v>894</v>
      </c>
      <c r="E655">
        <v>1282</v>
      </c>
      <c r="F655" s="2">
        <v>36931</v>
      </c>
      <c r="G655">
        <v>89.8</v>
      </c>
      <c r="H655">
        <v>80.31</v>
      </c>
      <c r="I655" t="s">
        <v>26</v>
      </c>
      <c r="J655">
        <v>78.349999999999994</v>
      </c>
      <c r="K655" s="3">
        <f t="shared" si="10"/>
        <v>82.820000000000007</v>
      </c>
      <c r="L655" t="s">
        <v>27</v>
      </c>
      <c r="M655" t="s">
        <v>27</v>
      </c>
      <c r="N655">
        <v>22</v>
      </c>
      <c r="O655" t="s">
        <v>48</v>
      </c>
      <c r="P655" t="s">
        <v>56</v>
      </c>
      <c r="Q655" t="s">
        <v>30</v>
      </c>
      <c r="R655">
        <v>558</v>
      </c>
      <c r="S655">
        <v>69.75</v>
      </c>
      <c r="T655" t="s">
        <v>33</v>
      </c>
      <c r="U655" t="s">
        <v>32</v>
      </c>
      <c r="V655" t="s">
        <v>33</v>
      </c>
      <c r="W655" t="s">
        <v>33</v>
      </c>
      <c r="X655" t="s">
        <v>96</v>
      </c>
      <c r="Y655" t="s">
        <v>50</v>
      </c>
      <c r="Z655" t="s">
        <v>44</v>
      </c>
      <c r="AA655" t="s">
        <v>115</v>
      </c>
      <c r="AB655" t="s">
        <v>46</v>
      </c>
      <c r="AC655">
        <f>IF(Cdacdata[[#This Row],[placement_status]]="Placed",1,0)</f>
        <v>1</v>
      </c>
      <c r="AD655" t="s">
        <v>193</v>
      </c>
      <c r="AE655" t="s">
        <v>47</v>
      </c>
      <c r="AF655" t="s">
        <v>57</v>
      </c>
      <c r="AG655">
        <v>2023</v>
      </c>
      <c r="AH655" t="s">
        <v>111</v>
      </c>
      <c r="AI655" t="str">
        <f>IF(Cdacdata[ccat_rank]&lt;=100,"Top 100",
IF(Cdacdata[ccat_rank]&lt;=500,"101–500",
IF(Cdacdata[ccat_rank]&lt;=1000,"501–1000",
"1000+")))</f>
        <v>1000+</v>
      </c>
    </row>
    <row r="656" spans="1:35" x14ac:dyDescent="0.3">
      <c r="A656" s="1" t="s">
        <v>192</v>
      </c>
      <c r="B656">
        <v>230107161</v>
      </c>
      <c r="C656" s="2">
        <v>44995</v>
      </c>
      <c r="D656" s="2" t="s">
        <v>895</v>
      </c>
      <c r="E656">
        <v>814</v>
      </c>
      <c r="F656" s="2">
        <v>36511</v>
      </c>
      <c r="G656">
        <v>94.8</v>
      </c>
      <c r="H656">
        <v>78.62</v>
      </c>
      <c r="I656" t="s">
        <v>26</v>
      </c>
      <c r="J656">
        <v>66.89</v>
      </c>
      <c r="K656" s="3">
        <f t="shared" si="10"/>
        <v>80.103333333333339</v>
      </c>
      <c r="L656" t="s">
        <v>27</v>
      </c>
      <c r="M656" t="s">
        <v>27</v>
      </c>
      <c r="N656">
        <v>23</v>
      </c>
      <c r="O656" t="s">
        <v>28</v>
      </c>
      <c r="P656" t="s">
        <v>42</v>
      </c>
      <c r="Q656" t="s">
        <v>30</v>
      </c>
      <c r="R656">
        <v>660</v>
      </c>
      <c r="S656">
        <v>82.5</v>
      </c>
      <c r="T656" t="s">
        <v>49</v>
      </c>
      <c r="U656" t="s">
        <v>32</v>
      </c>
      <c r="V656" t="s">
        <v>49</v>
      </c>
      <c r="W656" t="s">
        <v>49</v>
      </c>
      <c r="X656" t="s">
        <v>96</v>
      </c>
      <c r="Y656" t="s">
        <v>58</v>
      </c>
      <c r="Z656" t="s">
        <v>44</v>
      </c>
      <c r="AA656" t="s">
        <v>101</v>
      </c>
      <c r="AB656" t="s">
        <v>46</v>
      </c>
      <c r="AC656">
        <f>IF(Cdacdata[[#This Row],[placement_status]]="Placed",1,0)</f>
        <v>1</v>
      </c>
      <c r="AD656" t="s">
        <v>193</v>
      </c>
      <c r="AE656" t="s">
        <v>75</v>
      </c>
      <c r="AF656" t="s">
        <v>39</v>
      </c>
      <c r="AG656">
        <v>2023</v>
      </c>
      <c r="AH656" t="s">
        <v>111</v>
      </c>
      <c r="AI656" t="str">
        <f>IF(Cdacdata[ccat_rank]&lt;=100,"Top 100",
IF(Cdacdata[ccat_rank]&lt;=500,"101–500",
IF(Cdacdata[ccat_rank]&lt;=1000,"501–1000",
"1000+")))</f>
        <v>501–1000</v>
      </c>
    </row>
    <row r="657" spans="1:35" x14ac:dyDescent="0.3">
      <c r="A657" s="1" t="s">
        <v>192</v>
      </c>
      <c r="B657">
        <v>230103336</v>
      </c>
      <c r="C657" s="2">
        <v>45000</v>
      </c>
      <c r="D657" s="2" t="s">
        <v>896</v>
      </c>
      <c r="E657">
        <v>1996</v>
      </c>
      <c r="F657" s="2">
        <v>35348</v>
      </c>
      <c r="G657">
        <v>80</v>
      </c>
      <c r="H657">
        <v>74.150000000000006</v>
      </c>
      <c r="I657" t="s">
        <v>26</v>
      </c>
      <c r="J657">
        <v>64.22</v>
      </c>
      <c r="K657" s="3">
        <f t="shared" si="10"/>
        <v>72.790000000000006</v>
      </c>
      <c r="L657" t="s">
        <v>27</v>
      </c>
      <c r="M657" t="s">
        <v>27</v>
      </c>
      <c r="N657">
        <v>26</v>
      </c>
      <c r="O657" t="s">
        <v>28</v>
      </c>
      <c r="P657" t="s">
        <v>60</v>
      </c>
      <c r="Q657" t="s">
        <v>30</v>
      </c>
      <c r="R657">
        <v>532</v>
      </c>
      <c r="S657">
        <v>66.5</v>
      </c>
      <c r="T657" t="s">
        <v>49</v>
      </c>
      <c r="U657" t="s">
        <v>32</v>
      </c>
      <c r="V657" t="s">
        <v>49</v>
      </c>
      <c r="W657" t="s">
        <v>31</v>
      </c>
      <c r="X657" t="s">
        <v>96</v>
      </c>
      <c r="Y657" t="s">
        <v>50</v>
      </c>
      <c r="Z657" t="s">
        <v>44</v>
      </c>
      <c r="AA657" t="s">
        <v>205</v>
      </c>
      <c r="AB657" t="s">
        <v>46</v>
      </c>
      <c r="AC657">
        <f>IF(Cdacdata[[#This Row],[placement_status]]="Placed",1,0)</f>
        <v>1</v>
      </c>
      <c r="AD657" t="s">
        <v>193</v>
      </c>
      <c r="AE657" t="s">
        <v>47</v>
      </c>
      <c r="AF657" t="s">
        <v>55</v>
      </c>
      <c r="AG657">
        <v>2023</v>
      </c>
      <c r="AH657" t="s">
        <v>111</v>
      </c>
      <c r="AI657" t="str">
        <f>IF(Cdacdata[ccat_rank]&lt;=100,"Top 100",
IF(Cdacdata[ccat_rank]&lt;=500,"101–500",
IF(Cdacdata[ccat_rank]&lt;=1000,"501–1000",
"1000+")))</f>
        <v>1000+</v>
      </c>
    </row>
    <row r="658" spans="1:35" x14ac:dyDescent="0.3">
      <c r="A658" s="1" t="s">
        <v>192</v>
      </c>
      <c r="B658">
        <v>221202200</v>
      </c>
      <c r="C658" s="2">
        <v>44995</v>
      </c>
      <c r="D658" s="2" t="s">
        <v>897</v>
      </c>
      <c r="E658">
        <v>2106</v>
      </c>
      <c r="F658" s="2">
        <v>35569</v>
      </c>
      <c r="G658">
        <v>90.2</v>
      </c>
      <c r="H658">
        <v>73.84</v>
      </c>
      <c r="I658" t="s">
        <v>26</v>
      </c>
      <c r="J658">
        <v>64</v>
      </c>
      <c r="K658" s="3">
        <f t="shared" si="10"/>
        <v>76.013333333333335</v>
      </c>
      <c r="L658" t="s">
        <v>27</v>
      </c>
      <c r="M658" t="s">
        <v>27</v>
      </c>
      <c r="N658">
        <v>25</v>
      </c>
      <c r="O658" t="s">
        <v>28</v>
      </c>
      <c r="P658" t="s">
        <v>60</v>
      </c>
      <c r="Q658" t="s">
        <v>30</v>
      </c>
      <c r="R658">
        <v>518</v>
      </c>
      <c r="S658">
        <v>64.75</v>
      </c>
      <c r="T658" t="s">
        <v>31</v>
      </c>
      <c r="U658" t="s">
        <v>32</v>
      </c>
      <c r="V658" t="s">
        <v>31</v>
      </c>
      <c r="W658" t="s">
        <v>33</v>
      </c>
      <c r="X658" t="s">
        <v>96</v>
      </c>
      <c r="Y658" t="s">
        <v>50</v>
      </c>
      <c r="Z658" t="s">
        <v>44</v>
      </c>
      <c r="AA658" t="s">
        <v>203</v>
      </c>
      <c r="AB658" t="s">
        <v>46</v>
      </c>
      <c r="AC658">
        <f>IF(Cdacdata[[#This Row],[placement_status]]="Placed",1,0)</f>
        <v>1</v>
      </c>
      <c r="AD658" t="s">
        <v>193</v>
      </c>
      <c r="AE658" t="s">
        <v>38</v>
      </c>
      <c r="AF658" t="s">
        <v>39</v>
      </c>
      <c r="AG658">
        <v>2023</v>
      </c>
      <c r="AH658" t="s">
        <v>111</v>
      </c>
      <c r="AI658" t="str">
        <f>IF(Cdacdata[ccat_rank]&lt;=100,"Top 100",
IF(Cdacdata[ccat_rank]&lt;=500,"101–500",
IF(Cdacdata[ccat_rank]&lt;=1000,"501–1000",
"1000+")))</f>
        <v>1000+</v>
      </c>
    </row>
    <row r="659" spans="1:35" x14ac:dyDescent="0.3">
      <c r="A659" s="1" t="s">
        <v>192</v>
      </c>
      <c r="B659">
        <v>221201427</v>
      </c>
      <c r="C659" s="2">
        <v>44998</v>
      </c>
      <c r="D659" s="2" t="s">
        <v>898</v>
      </c>
      <c r="E659">
        <v>2129</v>
      </c>
      <c r="F659" s="2">
        <v>36286</v>
      </c>
      <c r="G659">
        <v>74</v>
      </c>
      <c r="H659">
        <v>63</v>
      </c>
      <c r="I659" t="s">
        <v>26</v>
      </c>
      <c r="J659">
        <v>71.31</v>
      </c>
      <c r="K659" s="3">
        <f t="shared" si="10"/>
        <v>69.436666666666667</v>
      </c>
      <c r="L659" t="s">
        <v>27</v>
      </c>
      <c r="M659" t="s">
        <v>27</v>
      </c>
      <c r="N659">
        <v>23</v>
      </c>
      <c r="O659" t="s">
        <v>28</v>
      </c>
      <c r="P659" t="s">
        <v>52</v>
      </c>
      <c r="Q659" t="s">
        <v>43</v>
      </c>
      <c r="R659">
        <v>395</v>
      </c>
      <c r="S659">
        <v>49.375</v>
      </c>
      <c r="T659" t="s">
        <v>49</v>
      </c>
      <c r="U659" t="s">
        <v>32</v>
      </c>
      <c r="V659" t="s">
        <v>49</v>
      </c>
      <c r="W659" t="s">
        <v>31</v>
      </c>
      <c r="X659" t="s">
        <v>96</v>
      </c>
      <c r="Y659" t="s">
        <v>80</v>
      </c>
      <c r="Z659" t="s">
        <v>36</v>
      </c>
      <c r="AA659" t="s">
        <v>1268</v>
      </c>
      <c r="AB659" t="s">
        <v>36</v>
      </c>
      <c r="AC659">
        <f>IF(Cdacdata[[#This Row],[placement_status]]="Placed",1,0)</f>
        <v>0</v>
      </c>
      <c r="AD659" t="s">
        <v>193</v>
      </c>
      <c r="AE659" t="s">
        <v>38</v>
      </c>
      <c r="AF659" t="s">
        <v>39</v>
      </c>
      <c r="AG659">
        <v>2023</v>
      </c>
      <c r="AH659" t="s">
        <v>111</v>
      </c>
      <c r="AI659" t="str">
        <f>IF(Cdacdata[ccat_rank]&lt;=100,"Top 100",
IF(Cdacdata[ccat_rank]&lt;=500,"101–500",
IF(Cdacdata[ccat_rank]&lt;=1000,"501–1000",
"1000+")))</f>
        <v>1000+</v>
      </c>
    </row>
    <row r="660" spans="1:35" x14ac:dyDescent="0.3">
      <c r="A660" s="1" t="s">
        <v>192</v>
      </c>
      <c r="B660">
        <v>230109093</v>
      </c>
      <c r="C660" s="2">
        <v>44995</v>
      </c>
      <c r="D660" s="2" t="s">
        <v>899</v>
      </c>
      <c r="E660">
        <v>2190</v>
      </c>
      <c r="F660" s="2">
        <v>35536</v>
      </c>
      <c r="G660">
        <v>83.09</v>
      </c>
      <c r="H660">
        <v>63.54</v>
      </c>
      <c r="I660" t="s">
        <v>26</v>
      </c>
      <c r="J660">
        <v>69.959999999999994</v>
      </c>
      <c r="K660" s="3">
        <f t="shared" si="10"/>
        <v>72.196666666666658</v>
      </c>
      <c r="L660" t="s">
        <v>27</v>
      </c>
      <c r="M660" t="s">
        <v>41</v>
      </c>
      <c r="N660">
        <v>25</v>
      </c>
      <c r="O660" t="s">
        <v>28</v>
      </c>
      <c r="P660" t="s">
        <v>60</v>
      </c>
      <c r="Q660" t="s">
        <v>30</v>
      </c>
      <c r="R660">
        <v>474</v>
      </c>
      <c r="S660">
        <v>59.25</v>
      </c>
      <c r="T660" t="s">
        <v>31</v>
      </c>
      <c r="U660" t="s">
        <v>32</v>
      </c>
      <c r="V660" t="s">
        <v>31</v>
      </c>
      <c r="W660" t="s">
        <v>31</v>
      </c>
      <c r="X660" t="s">
        <v>96</v>
      </c>
      <c r="Y660" t="s">
        <v>35</v>
      </c>
      <c r="Z660" t="s">
        <v>44</v>
      </c>
      <c r="AA660" t="s">
        <v>211</v>
      </c>
      <c r="AB660" t="s">
        <v>46</v>
      </c>
      <c r="AC660">
        <f>IF(Cdacdata[[#This Row],[placement_status]]="Placed",1,0)</f>
        <v>1</v>
      </c>
      <c r="AD660" t="s">
        <v>193</v>
      </c>
      <c r="AE660" t="s">
        <v>38</v>
      </c>
      <c r="AF660" t="s">
        <v>39</v>
      </c>
      <c r="AG660">
        <v>2023</v>
      </c>
      <c r="AH660" t="s">
        <v>111</v>
      </c>
      <c r="AI660" t="str">
        <f>IF(Cdacdata[ccat_rank]&lt;=100,"Top 100",
IF(Cdacdata[ccat_rank]&lt;=500,"101–500",
IF(Cdacdata[ccat_rank]&lt;=1000,"501–1000",
"1000+")))</f>
        <v>1000+</v>
      </c>
    </row>
    <row r="661" spans="1:35" x14ac:dyDescent="0.3">
      <c r="A661" s="1" t="s">
        <v>192</v>
      </c>
      <c r="B661">
        <v>221206410</v>
      </c>
      <c r="C661" s="2">
        <v>44995</v>
      </c>
      <c r="D661" s="2" t="s">
        <v>900</v>
      </c>
      <c r="E661">
        <v>2577</v>
      </c>
      <c r="F661" s="2">
        <v>36121</v>
      </c>
      <c r="G661">
        <v>80</v>
      </c>
      <c r="H661">
        <v>66.77</v>
      </c>
      <c r="I661" t="s">
        <v>26</v>
      </c>
      <c r="J661">
        <v>69.44</v>
      </c>
      <c r="K661" s="3">
        <f t="shared" si="10"/>
        <v>72.069999999999993</v>
      </c>
      <c r="L661" t="s">
        <v>27</v>
      </c>
      <c r="M661" t="s">
        <v>27</v>
      </c>
      <c r="N661">
        <v>24</v>
      </c>
      <c r="O661" t="s">
        <v>28</v>
      </c>
      <c r="P661" t="s">
        <v>29</v>
      </c>
      <c r="Q661" t="s">
        <v>30</v>
      </c>
      <c r="R661">
        <v>609</v>
      </c>
      <c r="S661">
        <v>76.125</v>
      </c>
      <c r="T661" t="s">
        <v>49</v>
      </c>
      <c r="U661" t="s">
        <v>32</v>
      </c>
      <c r="V661" t="s">
        <v>49</v>
      </c>
      <c r="W661" t="s">
        <v>49</v>
      </c>
      <c r="X661" t="s">
        <v>96</v>
      </c>
      <c r="Y661" t="s">
        <v>58</v>
      </c>
      <c r="Z661" t="s">
        <v>44</v>
      </c>
      <c r="AA661" t="s">
        <v>206</v>
      </c>
      <c r="AB661" t="s">
        <v>46</v>
      </c>
      <c r="AC661">
        <f>IF(Cdacdata[[#This Row],[placement_status]]="Placed",1,0)</f>
        <v>1</v>
      </c>
      <c r="AD661" t="s">
        <v>193</v>
      </c>
      <c r="AE661" t="s">
        <v>38</v>
      </c>
      <c r="AF661" t="s">
        <v>39</v>
      </c>
      <c r="AG661">
        <v>2023</v>
      </c>
      <c r="AH661" t="s">
        <v>111</v>
      </c>
      <c r="AI661" t="str">
        <f>IF(Cdacdata[ccat_rank]&lt;=100,"Top 100",
IF(Cdacdata[ccat_rank]&lt;=500,"101–500",
IF(Cdacdata[ccat_rank]&lt;=1000,"501–1000",
"1000+")))</f>
        <v>1000+</v>
      </c>
    </row>
    <row r="662" spans="1:35" x14ac:dyDescent="0.3">
      <c r="A662" s="1" t="s">
        <v>192</v>
      </c>
      <c r="B662">
        <v>230107188</v>
      </c>
      <c r="C662" s="2">
        <v>44999</v>
      </c>
      <c r="D662" s="2" t="s">
        <v>901</v>
      </c>
      <c r="E662">
        <v>1692</v>
      </c>
      <c r="F662" s="2">
        <v>35942</v>
      </c>
      <c r="G662">
        <v>65.8</v>
      </c>
      <c r="H662">
        <v>49.08</v>
      </c>
      <c r="I662" t="s">
        <v>26</v>
      </c>
      <c r="J662">
        <v>69.55</v>
      </c>
      <c r="K662" s="3">
        <f t="shared" si="10"/>
        <v>61.476666666666667</v>
      </c>
      <c r="L662" t="s">
        <v>41</v>
      </c>
      <c r="M662" t="s">
        <v>41</v>
      </c>
      <c r="N662">
        <v>24</v>
      </c>
      <c r="O662" t="s">
        <v>28</v>
      </c>
      <c r="P662" t="s">
        <v>56</v>
      </c>
      <c r="Q662" t="s">
        <v>67</v>
      </c>
      <c r="R662">
        <v>444</v>
      </c>
      <c r="S662">
        <v>55.5</v>
      </c>
      <c r="T662" t="s">
        <v>31</v>
      </c>
      <c r="U662" t="s">
        <v>32</v>
      </c>
      <c r="V662" t="s">
        <v>31</v>
      </c>
      <c r="W662" t="s">
        <v>33</v>
      </c>
      <c r="X662" t="s">
        <v>96</v>
      </c>
      <c r="Y662" t="s">
        <v>35</v>
      </c>
      <c r="Z662" t="s">
        <v>44</v>
      </c>
      <c r="AA662" t="s">
        <v>205</v>
      </c>
      <c r="AB662" t="s">
        <v>46</v>
      </c>
      <c r="AC662">
        <f>IF(Cdacdata[[#This Row],[placement_status]]="Placed",1,0)</f>
        <v>1</v>
      </c>
      <c r="AD662" t="s">
        <v>193</v>
      </c>
      <c r="AE662" t="s">
        <v>47</v>
      </c>
      <c r="AF662" t="s">
        <v>39</v>
      </c>
      <c r="AG662">
        <v>2023</v>
      </c>
      <c r="AH662" t="s">
        <v>111</v>
      </c>
      <c r="AI662" t="str">
        <f>IF(Cdacdata[ccat_rank]&lt;=100,"Top 100",
IF(Cdacdata[ccat_rank]&lt;=500,"101–500",
IF(Cdacdata[ccat_rank]&lt;=1000,"501–1000",
"1000+")))</f>
        <v>1000+</v>
      </c>
    </row>
    <row r="663" spans="1:35" x14ac:dyDescent="0.3">
      <c r="A663" s="1" t="s">
        <v>192</v>
      </c>
      <c r="B663">
        <v>230104532</v>
      </c>
      <c r="C663" s="2">
        <v>44995</v>
      </c>
      <c r="D663" s="2" t="s">
        <v>902</v>
      </c>
      <c r="E663">
        <v>617</v>
      </c>
      <c r="F663" s="2">
        <v>35963</v>
      </c>
      <c r="G663">
        <v>90.55</v>
      </c>
      <c r="H663">
        <v>69.69</v>
      </c>
      <c r="I663" t="s">
        <v>26</v>
      </c>
      <c r="J663">
        <v>67</v>
      </c>
      <c r="K663" s="3">
        <f t="shared" si="10"/>
        <v>75.74666666666667</v>
      </c>
      <c r="L663" t="s">
        <v>27</v>
      </c>
      <c r="M663" t="s">
        <v>27</v>
      </c>
      <c r="N663">
        <v>24</v>
      </c>
      <c r="O663" t="s">
        <v>28</v>
      </c>
      <c r="P663" t="s">
        <v>60</v>
      </c>
      <c r="Q663" t="s">
        <v>30</v>
      </c>
      <c r="R663">
        <v>664</v>
      </c>
      <c r="S663">
        <v>83</v>
      </c>
      <c r="T663" t="s">
        <v>49</v>
      </c>
      <c r="U663" t="s">
        <v>32</v>
      </c>
      <c r="V663" t="s">
        <v>49</v>
      </c>
      <c r="W663" t="s">
        <v>49</v>
      </c>
      <c r="X663" t="s">
        <v>96</v>
      </c>
      <c r="Y663" t="s">
        <v>58</v>
      </c>
      <c r="Z663" t="s">
        <v>44</v>
      </c>
      <c r="AA663" t="s">
        <v>101</v>
      </c>
      <c r="AB663" t="s">
        <v>46</v>
      </c>
      <c r="AC663">
        <f>IF(Cdacdata[[#This Row],[placement_status]]="Placed",1,0)</f>
        <v>1</v>
      </c>
      <c r="AD663" t="s">
        <v>193</v>
      </c>
      <c r="AE663" t="s">
        <v>75</v>
      </c>
      <c r="AF663" t="s">
        <v>39</v>
      </c>
      <c r="AG663">
        <v>2023</v>
      </c>
      <c r="AH663" t="s">
        <v>111</v>
      </c>
      <c r="AI663" t="str">
        <f>IF(Cdacdata[ccat_rank]&lt;=100,"Top 100",
IF(Cdacdata[ccat_rank]&lt;=500,"101–500",
IF(Cdacdata[ccat_rank]&lt;=1000,"501–1000",
"1000+")))</f>
        <v>501–1000</v>
      </c>
    </row>
    <row r="664" spans="1:35" x14ac:dyDescent="0.3">
      <c r="A664" s="1" t="s">
        <v>192</v>
      </c>
      <c r="B664">
        <v>221206375</v>
      </c>
      <c r="C664" s="2">
        <v>44995</v>
      </c>
      <c r="D664" s="2" t="s">
        <v>903</v>
      </c>
      <c r="E664">
        <v>2391</v>
      </c>
      <c r="F664" s="2">
        <v>34722</v>
      </c>
      <c r="G664">
        <v>88</v>
      </c>
      <c r="H664" t="s">
        <v>26</v>
      </c>
      <c r="I664" t="s">
        <v>26</v>
      </c>
      <c r="J664">
        <v>63.4</v>
      </c>
      <c r="K664" s="3">
        <f t="shared" si="10"/>
        <v>75.7</v>
      </c>
      <c r="L664" t="s">
        <v>27</v>
      </c>
      <c r="M664" t="s">
        <v>27</v>
      </c>
      <c r="N664">
        <v>28</v>
      </c>
      <c r="O664" t="s">
        <v>28</v>
      </c>
      <c r="P664" t="s">
        <v>56</v>
      </c>
      <c r="Q664" t="s">
        <v>30</v>
      </c>
      <c r="R664">
        <v>209</v>
      </c>
      <c r="S664">
        <v>26.125</v>
      </c>
      <c r="T664" t="s">
        <v>68</v>
      </c>
      <c r="U664" t="s">
        <v>64</v>
      </c>
      <c r="V664" t="s">
        <v>68</v>
      </c>
      <c r="W664" t="s">
        <v>68</v>
      </c>
      <c r="X664" t="s">
        <v>96</v>
      </c>
      <c r="Y664" t="s">
        <v>64</v>
      </c>
      <c r="Z664" t="s">
        <v>36</v>
      </c>
      <c r="AA664" t="s">
        <v>1268</v>
      </c>
      <c r="AB664" t="s">
        <v>36</v>
      </c>
      <c r="AC664">
        <f>IF(Cdacdata[[#This Row],[placement_status]]="Placed",1,0)</f>
        <v>0</v>
      </c>
      <c r="AD664" t="s">
        <v>193</v>
      </c>
      <c r="AE664" t="s">
        <v>38</v>
      </c>
      <c r="AF664" t="s">
        <v>55</v>
      </c>
      <c r="AG664">
        <v>2023</v>
      </c>
      <c r="AH664" t="s">
        <v>111</v>
      </c>
      <c r="AI664" t="str">
        <f>IF(Cdacdata[ccat_rank]&lt;=100,"Top 100",
IF(Cdacdata[ccat_rank]&lt;=500,"101–500",
IF(Cdacdata[ccat_rank]&lt;=1000,"501–1000",
"1000+")))</f>
        <v>1000+</v>
      </c>
    </row>
    <row r="665" spans="1:35" x14ac:dyDescent="0.3">
      <c r="A665" s="1" t="s">
        <v>192</v>
      </c>
      <c r="B665">
        <v>221201395</v>
      </c>
      <c r="C665" s="2">
        <v>44997</v>
      </c>
      <c r="D665" s="2" t="s">
        <v>904</v>
      </c>
      <c r="E665">
        <v>2594</v>
      </c>
      <c r="F665" s="2">
        <v>35872</v>
      </c>
      <c r="G665">
        <v>82.8</v>
      </c>
      <c r="H665">
        <v>60.15</v>
      </c>
      <c r="I665" t="s">
        <v>26</v>
      </c>
      <c r="J665">
        <v>75.7</v>
      </c>
      <c r="K665" s="3">
        <f t="shared" si="10"/>
        <v>72.883333333333326</v>
      </c>
      <c r="L665" t="s">
        <v>27</v>
      </c>
      <c r="M665" t="s">
        <v>41</v>
      </c>
      <c r="N665">
        <v>24</v>
      </c>
      <c r="O665" t="s">
        <v>48</v>
      </c>
      <c r="P665" t="s">
        <v>60</v>
      </c>
      <c r="Q665" t="s">
        <v>43</v>
      </c>
      <c r="R665">
        <v>489</v>
      </c>
      <c r="S665">
        <v>61.125</v>
      </c>
      <c r="T665" t="s">
        <v>31</v>
      </c>
      <c r="U665" t="s">
        <v>32</v>
      </c>
      <c r="V665" t="s">
        <v>31</v>
      </c>
      <c r="W665" t="s">
        <v>49</v>
      </c>
      <c r="X665" t="s">
        <v>96</v>
      </c>
      <c r="Y665" t="s">
        <v>50</v>
      </c>
      <c r="Z665" t="s">
        <v>44</v>
      </c>
      <c r="AA665" t="s">
        <v>205</v>
      </c>
      <c r="AB665" t="s">
        <v>46</v>
      </c>
      <c r="AC665">
        <f>IF(Cdacdata[[#This Row],[placement_status]]="Placed",1,0)</f>
        <v>1</v>
      </c>
      <c r="AD665" t="s">
        <v>193</v>
      </c>
      <c r="AE665" t="s">
        <v>38</v>
      </c>
      <c r="AF665" t="s">
        <v>39</v>
      </c>
      <c r="AG665">
        <v>2023</v>
      </c>
      <c r="AH665" t="s">
        <v>111</v>
      </c>
      <c r="AI665" t="str">
        <f>IF(Cdacdata[ccat_rank]&lt;=100,"Top 100",
IF(Cdacdata[ccat_rank]&lt;=500,"101–500",
IF(Cdacdata[ccat_rank]&lt;=1000,"501–1000",
"1000+")))</f>
        <v>1000+</v>
      </c>
    </row>
    <row r="666" spans="1:35" x14ac:dyDescent="0.3">
      <c r="A666" s="1" t="s">
        <v>192</v>
      </c>
      <c r="B666">
        <v>221207871</v>
      </c>
      <c r="C666" s="2">
        <v>44995</v>
      </c>
      <c r="D666" s="2" t="s">
        <v>905</v>
      </c>
      <c r="E666">
        <v>2141</v>
      </c>
      <c r="F666" s="2">
        <v>36403</v>
      </c>
      <c r="G666">
        <v>86</v>
      </c>
      <c r="H666">
        <v>66.62</v>
      </c>
      <c r="I666" t="s">
        <v>26</v>
      </c>
      <c r="J666">
        <v>67.400000000000006</v>
      </c>
      <c r="K666" s="3">
        <f t="shared" si="10"/>
        <v>73.34</v>
      </c>
      <c r="L666" t="s">
        <v>27</v>
      </c>
      <c r="M666" t="s">
        <v>41</v>
      </c>
      <c r="N666">
        <v>23</v>
      </c>
      <c r="O666" t="s">
        <v>28</v>
      </c>
      <c r="P666" t="s">
        <v>26</v>
      </c>
      <c r="Q666" t="s">
        <v>30</v>
      </c>
      <c r="R666">
        <v>493</v>
      </c>
      <c r="S666">
        <v>61.625</v>
      </c>
      <c r="T666" t="s">
        <v>31</v>
      </c>
      <c r="U666" t="s">
        <v>32</v>
      </c>
      <c r="V666" t="s">
        <v>31</v>
      </c>
      <c r="W666" t="s">
        <v>33</v>
      </c>
      <c r="X666" t="s">
        <v>96</v>
      </c>
      <c r="Y666" t="s">
        <v>50</v>
      </c>
      <c r="Z666" t="s">
        <v>36</v>
      </c>
      <c r="AA666" t="s">
        <v>1268</v>
      </c>
      <c r="AB666" t="s">
        <v>36</v>
      </c>
      <c r="AC666">
        <f>IF(Cdacdata[[#This Row],[placement_status]]="Placed",1,0)</f>
        <v>0</v>
      </c>
      <c r="AD666" t="s">
        <v>193</v>
      </c>
      <c r="AE666" t="s">
        <v>38</v>
      </c>
      <c r="AF666" t="s">
        <v>39</v>
      </c>
      <c r="AG666">
        <v>2023</v>
      </c>
      <c r="AH666" t="s">
        <v>111</v>
      </c>
      <c r="AI666" t="str">
        <f>IF(Cdacdata[ccat_rank]&lt;=100,"Top 100",
IF(Cdacdata[ccat_rank]&lt;=500,"101–500",
IF(Cdacdata[ccat_rank]&lt;=1000,"501–1000",
"1000+")))</f>
        <v>1000+</v>
      </c>
    </row>
    <row r="667" spans="1:35" x14ac:dyDescent="0.3">
      <c r="A667" s="1" t="s">
        <v>192</v>
      </c>
      <c r="B667">
        <v>230101111</v>
      </c>
      <c r="C667" s="2">
        <v>44995</v>
      </c>
      <c r="D667" s="2" t="s">
        <v>906</v>
      </c>
      <c r="E667">
        <v>2091</v>
      </c>
      <c r="F667" s="2">
        <v>36872</v>
      </c>
      <c r="G667">
        <v>94.6</v>
      </c>
      <c r="H667">
        <v>83</v>
      </c>
      <c r="I667" t="s">
        <v>26</v>
      </c>
      <c r="J667">
        <v>85.7</v>
      </c>
      <c r="K667" s="3">
        <f t="shared" si="10"/>
        <v>87.766666666666666</v>
      </c>
      <c r="L667" t="s">
        <v>27</v>
      </c>
      <c r="M667" t="s">
        <v>27</v>
      </c>
      <c r="N667">
        <v>22</v>
      </c>
      <c r="O667" t="s">
        <v>48</v>
      </c>
      <c r="P667" t="s">
        <v>60</v>
      </c>
      <c r="Q667" t="s">
        <v>30</v>
      </c>
      <c r="R667">
        <v>519</v>
      </c>
      <c r="S667">
        <v>64.875</v>
      </c>
      <c r="T667" t="s">
        <v>49</v>
      </c>
      <c r="U667" t="s">
        <v>32</v>
      </c>
      <c r="V667" t="s">
        <v>49</v>
      </c>
      <c r="W667" t="s">
        <v>33</v>
      </c>
      <c r="X667" t="s">
        <v>96</v>
      </c>
      <c r="Y667" t="s">
        <v>50</v>
      </c>
      <c r="Z667" t="s">
        <v>44</v>
      </c>
      <c r="AA667" t="s">
        <v>205</v>
      </c>
      <c r="AB667" t="s">
        <v>46</v>
      </c>
      <c r="AC667">
        <f>IF(Cdacdata[[#This Row],[placement_status]]="Placed",1,0)</f>
        <v>1</v>
      </c>
      <c r="AD667" t="s">
        <v>193</v>
      </c>
      <c r="AE667" t="s">
        <v>38</v>
      </c>
      <c r="AF667" t="s">
        <v>57</v>
      </c>
      <c r="AG667">
        <v>2023</v>
      </c>
      <c r="AH667" t="s">
        <v>111</v>
      </c>
      <c r="AI667" t="str">
        <f>IF(Cdacdata[ccat_rank]&lt;=100,"Top 100",
IF(Cdacdata[ccat_rank]&lt;=500,"101–500",
IF(Cdacdata[ccat_rank]&lt;=1000,"501–1000",
"1000+")))</f>
        <v>1000+</v>
      </c>
    </row>
    <row r="668" spans="1:35" x14ac:dyDescent="0.3">
      <c r="A668" s="1" t="s">
        <v>192</v>
      </c>
      <c r="B668">
        <v>221204315</v>
      </c>
      <c r="C668" s="2">
        <v>44995</v>
      </c>
      <c r="D668" s="2" t="s">
        <v>907</v>
      </c>
      <c r="E668">
        <v>2480</v>
      </c>
      <c r="F668" s="2">
        <v>36402</v>
      </c>
      <c r="G668">
        <v>91</v>
      </c>
      <c r="H668">
        <v>83.8</v>
      </c>
      <c r="I668" t="s">
        <v>26</v>
      </c>
      <c r="J668">
        <v>75</v>
      </c>
      <c r="K668" s="3">
        <f t="shared" si="10"/>
        <v>83.266666666666666</v>
      </c>
      <c r="L668" t="s">
        <v>27</v>
      </c>
      <c r="M668" t="s">
        <v>27</v>
      </c>
      <c r="N668">
        <v>23</v>
      </c>
      <c r="O668" t="s">
        <v>48</v>
      </c>
      <c r="P668" t="s">
        <v>65</v>
      </c>
      <c r="Q668" t="s">
        <v>43</v>
      </c>
      <c r="R668">
        <v>511</v>
      </c>
      <c r="S668">
        <v>63.875</v>
      </c>
      <c r="T668" t="s">
        <v>49</v>
      </c>
      <c r="U668" t="s">
        <v>32</v>
      </c>
      <c r="V668" t="s">
        <v>49</v>
      </c>
      <c r="W668" t="s">
        <v>33</v>
      </c>
      <c r="X668" t="s">
        <v>96</v>
      </c>
      <c r="Y668" t="s">
        <v>50</v>
      </c>
      <c r="Z668" t="s">
        <v>44</v>
      </c>
      <c r="AA668" t="s">
        <v>205</v>
      </c>
      <c r="AB668" t="s">
        <v>46</v>
      </c>
      <c r="AC668">
        <f>IF(Cdacdata[[#This Row],[placement_status]]="Placed",1,0)</f>
        <v>1</v>
      </c>
      <c r="AD668" t="s">
        <v>193</v>
      </c>
      <c r="AE668" t="s">
        <v>38</v>
      </c>
      <c r="AF668" t="s">
        <v>39</v>
      </c>
      <c r="AG668">
        <v>2023</v>
      </c>
      <c r="AH668" t="s">
        <v>111</v>
      </c>
      <c r="AI668" t="str">
        <f>IF(Cdacdata[ccat_rank]&lt;=100,"Top 100",
IF(Cdacdata[ccat_rank]&lt;=500,"101–500",
IF(Cdacdata[ccat_rank]&lt;=1000,"501–1000",
"1000+")))</f>
        <v>1000+</v>
      </c>
    </row>
    <row r="669" spans="1:35" x14ac:dyDescent="0.3">
      <c r="A669" s="1" t="s">
        <v>192</v>
      </c>
      <c r="B669">
        <v>221202427</v>
      </c>
      <c r="C669" s="2">
        <v>44995</v>
      </c>
      <c r="D669" s="2" t="s">
        <v>908</v>
      </c>
      <c r="E669">
        <v>1836</v>
      </c>
      <c r="F669" s="2">
        <v>36197</v>
      </c>
      <c r="G669">
        <v>85.2</v>
      </c>
      <c r="H669">
        <v>63.23</v>
      </c>
      <c r="I669" t="s">
        <v>26</v>
      </c>
      <c r="J669">
        <v>58.4</v>
      </c>
      <c r="K669" s="3">
        <f t="shared" si="10"/>
        <v>68.943333333333342</v>
      </c>
      <c r="L669" t="s">
        <v>27</v>
      </c>
      <c r="M669" t="s">
        <v>27</v>
      </c>
      <c r="N669">
        <v>24</v>
      </c>
      <c r="O669" t="s">
        <v>72</v>
      </c>
      <c r="P669" t="s">
        <v>60</v>
      </c>
      <c r="Q669" t="s">
        <v>43</v>
      </c>
      <c r="R669">
        <v>467</v>
      </c>
      <c r="S669">
        <v>58.375</v>
      </c>
      <c r="T669" t="s">
        <v>49</v>
      </c>
      <c r="U669" t="s">
        <v>32</v>
      </c>
      <c r="V669" t="s">
        <v>49</v>
      </c>
      <c r="W669" t="s">
        <v>33</v>
      </c>
      <c r="X669" t="s">
        <v>96</v>
      </c>
      <c r="Y669" t="s">
        <v>35</v>
      </c>
      <c r="Z669" t="s">
        <v>36</v>
      </c>
      <c r="AA669" t="s">
        <v>1268</v>
      </c>
      <c r="AB669" t="s">
        <v>36</v>
      </c>
      <c r="AC669">
        <f>IF(Cdacdata[[#This Row],[placement_status]]="Placed",1,0)</f>
        <v>0</v>
      </c>
      <c r="AD669" t="s">
        <v>193</v>
      </c>
      <c r="AE669" t="s">
        <v>47</v>
      </c>
      <c r="AF669" t="s">
        <v>39</v>
      </c>
      <c r="AG669">
        <v>2023</v>
      </c>
      <c r="AH669" t="s">
        <v>111</v>
      </c>
      <c r="AI669" t="str">
        <f>IF(Cdacdata[ccat_rank]&lt;=100,"Top 100",
IF(Cdacdata[ccat_rank]&lt;=500,"101–500",
IF(Cdacdata[ccat_rank]&lt;=1000,"501–1000",
"1000+")))</f>
        <v>1000+</v>
      </c>
    </row>
    <row r="670" spans="1:35" x14ac:dyDescent="0.3">
      <c r="A670" s="1" t="s">
        <v>192</v>
      </c>
      <c r="B670">
        <v>221207641</v>
      </c>
      <c r="C670" s="2">
        <v>44995</v>
      </c>
      <c r="D670" s="2" t="s">
        <v>909</v>
      </c>
      <c r="E670">
        <v>2403</v>
      </c>
      <c r="F670" s="2">
        <v>36538</v>
      </c>
      <c r="G670">
        <v>93</v>
      </c>
      <c r="H670">
        <v>79.69</v>
      </c>
      <c r="I670" t="s">
        <v>26</v>
      </c>
      <c r="J670">
        <v>63.5</v>
      </c>
      <c r="K670" s="3">
        <f t="shared" si="10"/>
        <v>78.73</v>
      </c>
      <c r="L670" t="s">
        <v>27</v>
      </c>
      <c r="M670" t="s">
        <v>41</v>
      </c>
      <c r="N670">
        <v>23</v>
      </c>
      <c r="O670" t="s">
        <v>28</v>
      </c>
      <c r="P670" t="s">
        <v>60</v>
      </c>
      <c r="Q670" t="s">
        <v>30</v>
      </c>
      <c r="R670">
        <v>492</v>
      </c>
      <c r="S670">
        <v>61.5</v>
      </c>
      <c r="T670" t="s">
        <v>33</v>
      </c>
      <c r="U670" t="s">
        <v>32</v>
      </c>
      <c r="V670" t="s">
        <v>33</v>
      </c>
      <c r="W670" t="s">
        <v>33</v>
      </c>
      <c r="X670" t="s">
        <v>96</v>
      </c>
      <c r="Y670" t="s">
        <v>50</v>
      </c>
      <c r="Z670" t="s">
        <v>36</v>
      </c>
      <c r="AA670" t="s">
        <v>1268</v>
      </c>
      <c r="AB670" t="s">
        <v>36</v>
      </c>
      <c r="AC670">
        <f>IF(Cdacdata[[#This Row],[placement_status]]="Placed",1,0)</f>
        <v>0</v>
      </c>
      <c r="AD670" t="s">
        <v>193</v>
      </c>
      <c r="AE670" t="s">
        <v>38</v>
      </c>
      <c r="AF670" t="s">
        <v>39</v>
      </c>
      <c r="AG670">
        <v>2023</v>
      </c>
      <c r="AH670" t="s">
        <v>111</v>
      </c>
      <c r="AI670" t="str">
        <f>IF(Cdacdata[ccat_rank]&lt;=100,"Top 100",
IF(Cdacdata[ccat_rank]&lt;=500,"101–500",
IF(Cdacdata[ccat_rank]&lt;=1000,"501–1000",
"1000+")))</f>
        <v>1000+</v>
      </c>
    </row>
    <row r="671" spans="1:35" x14ac:dyDescent="0.3">
      <c r="A671" s="1" t="s">
        <v>192</v>
      </c>
      <c r="B671">
        <v>230108154</v>
      </c>
      <c r="C671" s="2">
        <v>44996</v>
      </c>
      <c r="D671" s="2" t="s">
        <v>910</v>
      </c>
      <c r="E671">
        <v>1797</v>
      </c>
      <c r="F671" s="2">
        <v>37056</v>
      </c>
      <c r="G671">
        <v>75.400000000000006</v>
      </c>
      <c r="H671">
        <v>58.15</v>
      </c>
      <c r="I671" t="s">
        <v>26</v>
      </c>
      <c r="J671">
        <v>74.2</v>
      </c>
      <c r="K671" s="3">
        <f t="shared" si="10"/>
        <v>69.25</v>
      </c>
      <c r="L671" t="s">
        <v>27</v>
      </c>
      <c r="M671" t="s">
        <v>27</v>
      </c>
      <c r="N671">
        <v>21</v>
      </c>
      <c r="O671" t="s">
        <v>62</v>
      </c>
      <c r="P671" t="s">
        <v>56</v>
      </c>
      <c r="Q671" t="s">
        <v>30</v>
      </c>
      <c r="R671">
        <v>484</v>
      </c>
      <c r="S671">
        <v>60.5</v>
      </c>
      <c r="T671" t="s">
        <v>31</v>
      </c>
      <c r="U671" t="s">
        <v>32</v>
      </c>
      <c r="V671" t="s">
        <v>31</v>
      </c>
      <c r="W671" t="s">
        <v>33</v>
      </c>
      <c r="X671" t="s">
        <v>96</v>
      </c>
      <c r="Y671" t="s">
        <v>50</v>
      </c>
      <c r="Z671" t="s">
        <v>36</v>
      </c>
      <c r="AA671" t="s">
        <v>1268</v>
      </c>
      <c r="AB671" t="s">
        <v>36</v>
      </c>
      <c r="AC671">
        <f>IF(Cdacdata[[#This Row],[placement_status]]="Placed",1,0)</f>
        <v>0</v>
      </c>
      <c r="AD671" t="s">
        <v>193</v>
      </c>
      <c r="AE671" t="s">
        <v>47</v>
      </c>
      <c r="AF671" t="s">
        <v>57</v>
      </c>
      <c r="AG671">
        <v>2023</v>
      </c>
      <c r="AH671" t="s">
        <v>111</v>
      </c>
      <c r="AI671" t="str">
        <f>IF(Cdacdata[ccat_rank]&lt;=100,"Top 100",
IF(Cdacdata[ccat_rank]&lt;=500,"101–500",
IF(Cdacdata[ccat_rank]&lt;=1000,"501–1000",
"1000+")))</f>
        <v>1000+</v>
      </c>
    </row>
    <row r="672" spans="1:35" x14ac:dyDescent="0.3">
      <c r="A672" s="1" t="s">
        <v>192</v>
      </c>
      <c r="B672">
        <v>230106203</v>
      </c>
      <c r="C672" s="2">
        <v>44996</v>
      </c>
      <c r="D672" s="2" t="s">
        <v>911</v>
      </c>
      <c r="E672">
        <v>2118</v>
      </c>
      <c r="F672" s="2">
        <v>36246</v>
      </c>
      <c r="G672">
        <v>79.599999999999994</v>
      </c>
      <c r="H672">
        <v>71</v>
      </c>
      <c r="I672" t="s">
        <v>26</v>
      </c>
      <c r="J672">
        <v>73.900000000000006</v>
      </c>
      <c r="K672" s="3">
        <f t="shared" si="10"/>
        <v>74.833333333333329</v>
      </c>
      <c r="L672" t="s">
        <v>27</v>
      </c>
      <c r="M672" t="s">
        <v>27</v>
      </c>
      <c r="N672">
        <v>23</v>
      </c>
      <c r="O672" t="s">
        <v>28</v>
      </c>
      <c r="P672" t="s">
        <v>65</v>
      </c>
      <c r="Q672" t="s">
        <v>43</v>
      </c>
      <c r="R672">
        <v>594</v>
      </c>
      <c r="S672">
        <v>74.25</v>
      </c>
      <c r="T672" t="s">
        <v>33</v>
      </c>
      <c r="U672" t="s">
        <v>32</v>
      </c>
      <c r="V672" t="s">
        <v>33</v>
      </c>
      <c r="W672" t="s">
        <v>49</v>
      </c>
      <c r="X672" t="s">
        <v>96</v>
      </c>
      <c r="Y672" t="s">
        <v>58</v>
      </c>
      <c r="Z672" t="s">
        <v>44</v>
      </c>
      <c r="AA672" t="s">
        <v>115</v>
      </c>
      <c r="AB672" t="s">
        <v>46</v>
      </c>
      <c r="AC672">
        <f>IF(Cdacdata[[#This Row],[placement_status]]="Placed",1,0)</f>
        <v>1</v>
      </c>
      <c r="AD672" t="s">
        <v>193</v>
      </c>
      <c r="AE672" t="s">
        <v>38</v>
      </c>
      <c r="AF672" t="s">
        <v>39</v>
      </c>
      <c r="AG672">
        <v>2023</v>
      </c>
      <c r="AH672" t="s">
        <v>111</v>
      </c>
      <c r="AI672" t="str">
        <f>IF(Cdacdata[ccat_rank]&lt;=100,"Top 100",
IF(Cdacdata[ccat_rank]&lt;=500,"101–500",
IF(Cdacdata[ccat_rank]&lt;=1000,"501–1000",
"1000+")))</f>
        <v>1000+</v>
      </c>
    </row>
    <row r="673" spans="1:35" x14ac:dyDescent="0.3">
      <c r="A673" s="1" t="s">
        <v>192</v>
      </c>
      <c r="B673">
        <v>221206985</v>
      </c>
      <c r="C673" s="2">
        <v>45000</v>
      </c>
      <c r="D673" s="2" t="s">
        <v>912</v>
      </c>
      <c r="E673">
        <v>2214</v>
      </c>
      <c r="F673" s="2">
        <v>36634</v>
      </c>
      <c r="G673">
        <v>76.599999999999994</v>
      </c>
      <c r="H673" t="s">
        <v>26</v>
      </c>
      <c r="I673">
        <v>70.180000000000007</v>
      </c>
      <c r="J673">
        <v>87.3</v>
      </c>
      <c r="K673" s="3">
        <f t="shared" si="10"/>
        <v>78.026666666666657</v>
      </c>
      <c r="L673" t="s">
        <v>27</v>
      </c>
      <c r="M673" t="s">
        <v>27</v>
      </c>
      <c r="N673">
        <v>22</v>
      </c>
      <c r="O673" t="s">
        <v>48</v>
      </c>
      <c r="P673" t="s">
        <v>60</v>
      </c>
      <c r="Q673" t="s">
        <v>43</v>
      </c>
      <c r="R673">
        <v>447</v>
      </c>
      <c r="S673">
        <v>55.875</v>
      </c>
      <c r="T673" t="s">
        <v>31</v>
      </c>
      <c r="U673" t="s">
        <v>32</v>
      </c>
      <c r="V673" t="s">
        <v>31</v>
      </c>
      <c r="W673" t="s">
        <v>49</v>
      </c>
      <c r="X673" t="s">
        <v>96</v>
      </c>
      <c r="Y673" t="s">
        <v>35</v>
      </c>
      <c r="Z673" t="s">
        <v>36</v>
      </c>
      <c r="AA673" t="s">
        <v>1268</v>
      </c>
      <c r="AB673" t="s">
        <v>36</v>
      </c>
      <c r="AC673">
        <f>IF(Cdacdata[[#This Row],[placement_status]]="Placed",1,0)</f>
        <v>0</v>
      </c>
      <c r="AD673" t="s">
        <v>193</v>
      </c>
      <c r="AE673" t="s">
        <v>38</v>
      </c>
      <c r="AF673" t="s">
        <v>57</v>
      </c>
      <c r="AG673">
        <v>2023</v>
      </c>
      <c r="AH673" t="s">
        <v>111</v>
      </c>
      <c r="AI673" t="str">
        <f>IF(Cdacdata[ccat_rank]&lt;=100,"Top 100",
IF(Cdacdata[ccat_rank]&lt;=500,"101–500",
IF(Cdacdata[ccat_rank]&lt;=1000,"501–1000",
"1000+")))</f>
        <v>1000+</v>
      </c>
    </row>
    <row r="674" spans="1:35" x14ac:dyDescent="0.3">
      <c r="A674" s="1" t="s">
        <v>192</v>
      </c>
      <c r="B674">
        <v>221202049</v>
      </c>
      <c r="C674" s="2">
        <v>45001</v>
      </c>
      <c r="D674" s="2" t="s">
        <v>913</v>
      </c>
      <c r="E674">
        <v>2635</v>
      </c>
      <c r="F674" s="2">
        <v>35524</v>
      </c>
      <c r="G674">
        <v>69.27</v>
      </c>
      <c r="H674">
        <v>48.62</v>
      </c>
      <c r="I674">
        <v>64.290000000000006</v>
      </c>
      <c r="J674">
        <v>80.900000000000006</v>
      </c>
      <c r="K674" s="3">
        <f t="shared" si="10"/>
        <v>65.77000000000001</v>
      </c>
      <c r="L674" t="s">
        <v>27</v>
      </c>
      <c r="M674" t="s">
        <v>41</v>
      </c>
      <c r="N674">
        <v>25</v>
      </c>
      <c r="O674" t="s">
        <v>48</v>
      </c>
      <c r="P674" t="s">
        <v>60</v>
      </c>
      <c r="Q674" t="s">
        <v>43</v>
      </c>
      <c r="R674">
        <v>435</v>
      </c>
      <c r="S674">
        <v>54.375</v>
      </c>
      <c r="T674" t="s">
        <v>31</v>
      </c>
      <c r="U674" t="s">
        <v>32</v>
      </c>
      <c r="V674" t="s">
        <v>31</v>
      </c>
      <c r="W674" t="s">
        <v>33</v>
      </c>
      <c r="X674" t="s">
        <v>96</v>
      </c>
      <c r="Y674" t="s">
        <v>35</v>
      </c>
      <c r="Z674" t="s">
        <v>36</v>
      </c>
      <c r="AA674" t="s">
        <v>1268</v>
      </c>
      <c r="AB674" t="s">
        <v>36</v>
      </c>
      <c r="AC674">
        <f>IF(Cdacdata[[#This Row],[placement_status]]="Placed",1,0)</f>
        <v>0</v>
      </c>
      <c r="AD674" t="s">
        <v>193</v>
      </c>
      <c r="AE674" t="s">
        <v>38</v>
      </c>
      <c r="AF674" t="s">
        <v>39</v>
      </c>
      <c r="AG674">
        <v>2023</v>
      </c>
      <c r="AH674" t="s">
        <v>111</v>
      </c>
      <c r="AI674" t="str">
        <f>IF(Cdacdata[ccat_rank]&lt;=100,"Top 100",
IF(Cdacdata[ccat_rank]&lt;=500,"101–500",
IF(Cdacdata[ccat_rank]&lt;=1000,"501–1000",
"1000+")))</f>
        <v>1000+</v>
      </c>
    </row>
    <row r="675" spans="1:35" x14ac:dyDescent="0.3">
      <c r="A675" s="1" t="s">
        <v>192</v>
      </c>
      <c r="B675">
        <v>221202962</v>
      </c>
      <c r="C675" s="2">
        <v>44995</v>
      </c>
      <c r="D675" s="2" t="s">
        <v>914</v>
      </c>
      <c r="E675">
        <v>2472</v>
      </c>
      <c r="F675" s="2">
        <v>33886</v>
      </c>
      <c r="G675">
        <v>72.92</v>
      </c>
      <c r="H675">
        <v>53.33</v>
      </c>
      <c r="I675" t="s">
        <v>26</v>
      </c>
      <c r="J675">
        <v>57.6</v>
      </c>
      <c r="K675" s="3">
        <f t="shared" si="10"/>
        <v>61.283333333333331</v>
      </c>
      <c r="L675" t="s">
        <v>27</v>
      </c>
      <c r="M675" t="s">
        <v>41</v>
      </c>
      <c r="N675">
        <v>30</v>
      </c>
      <c r="O675" t="s">
        <v>72</v>
      </c>
      <c r="P675" t="s">
        <v>42</v>
      </c>
      <c r="Q675" t="s">
        <v>30</v>
      </c>
      <c r="R675">
        <v>434</v>
      </c>
      <c r="S675">
        <v>54.25</v>
      </c>
      <c r="T675" t="s">
        <v>33</v>
      </c>
      <c r="U675" t="s">
        <v>32</v>
      </c>
      <c r="V675" t="s">
        <v>33</v>
      </c>
      <c r="W675" t="s">
        <v>31</v>
      </c>
      <c r="X675" t="s">
        <v>96</v>
      </c>
      <c r="Y675" t="s">
        <v>35</v>
      </c>
      <c r="Z675" t="s">
        <v>36</v>
      </c>
      <c r="AA675" t="s">
        <v>1268</v>
      </c>
      <c r="AB675" t="s">
        <v>36</v>
      </c>
      <c r="AC675">
        <f>IF(Cdacdata[[#This Row],[placement_status]]="Placed",1,0)</f>
        <v>0</v>
      </c>
      <c r="AD675" t="s">
        <v>193</v>
      </c>
      <c r="AE675" t="s">
        <v>38</v>
      </c>
      <c r="AF675" t="s">
        <v>69</v>
      </c>
      <c r="AG675">
        <v>2023</v>
      </c>
      <c r="AH675" t="s">
        <v>111</v>
      </c>
      <c r="AI675" t="str">
        <f>IF(Cdacdata[ccat_rank]&lt;=100,"Top 100",
IF(Cdacdata[ccat_rank]&lt;=500,"101–500",
IF(Cdacdata[ccat_rank]&lt;=1000,"501–1000",
"1000+")))</f>
        <v>1000+</v>
      </c>
    </row>
    <row r="676" spans="1:35" x14ac:dyDescent="0.3">
      <c r="A676" s="1" t="s">
        <v>192</v>
      </c>
      <c r="B676">
        <v>221200410</v>
      </c>
      <c r="C676" s="2">
        <v>44995</v>
      </c>
      <c r="D676" s="2" t="s">
        <v>915</v>
      </c>
      <c r="E676">
        <v>1115</v>
      </c>
      <c r="F676" s="2">
        <v>36589</v>
      </c>
      <c r="G676">
        <v>93.4</v>
      </c>
      <c r="H676">
        <v>80.8</v>
      </c>
      <c r="I676" t="s">
        <v>26</v>
      </c>
      <c r="J676">
        <v>76.930000000000007</v>
      </c>
      <c r="K676" s="3">
        <f t="shared" si="10"/>
        <v>83.71</v>
      </c>
      <c r="L676" t="s">
        <v>41</v>
      </c>
      <c r="M676" t="s">
        <v>27</v>
      </c>
      <c r="N676">
        <v>23</v>
      </c>
      <c r="O676" t="s">
        <v>48</v>
      </c>
      <c r="P676" t="s">
        <v>26</v>
      </c>
      <c r="Q676" t="s">
        <v>67</v>
      </c>
      <c r="R676">
        <v>621</v>
      </c>
      <c r="S676">
        <v>77.625</v>
      </c>
      <c r="T676" t="s">
        <v>49</v>
      </c>
      <c r="U676" t="s">
        <v>32</v>
      </c>
      <c r="V676" t="s">
        <v>49</v>
      </c>
      <c r="W676" t="s">
        <v>49</v>
      </c>
      <c r="X676" t="s">
        <v>96</v>
      </c>
      <c r="Y676" t="s">
        <v>58</v>
      </c>
      <c r="Z676" t="s">
        <v>44</v>
      </c>
      <c r="AA676" t="s">
        <v>101</v>
      </c>
      <c r="AB676" t="s">
        <v>46</v>
      </c>
      <c r="AC676">
        <f>IF(Cdacdata[[#This Row],[placement_status]]="Placed",1,0)</f>
        <v>1</v>
      </c>
      <c r="AD676" t="s">
        <v>193</v>
      </c>
      <c r="AE676" t="s">
        <v>47</v>
      </c>
      <c r="AF676" t="s">
        <v>39</v>
      </c>
      <c r="AG676">
        <v>2023</v>
      </c>
      <c r="AH676" t="s">
        <v>111</v>
      </c>
      <c r="AI676" t="str">
        <f>IF(Cdacdata[ccat_rank]&lt;=100,"Top 100",
IF(Cdacdata[ccat_rank]&lt;=500,"101–500",
IF(Cdacdata[ccat_rank]&lt;=1000,"501–1000",
"1000+")))</f>
        <v>1000+</v>
      </c>
    </row>
    <row r="677" spans="1:35" x14ac:dyDescent="0.3">
      <c r="A677" s="1" t="s">
        <v>192</v>
      </c>
      <c r="B677">
        <v>221201200</v>
      </c>
      <c r="C677" s="2">
        <v>44998</v>
      </c>
      <c r="D677" s="2" t="s">
        <v>916</v>
      </c>
      <c r="E677">
        <v>1802</v>
      </c>
      <c r="F677" s="2">
        <v>36684</v>
      </c>
      <c r="G677">
        <v>75</v>
      </c>
      <c r="H677" t="s">
        <v>26</v>
      </c>
      <c r="I677">
        <v>63.65</v>
      </c>
      <c r="J677">
        <v>81.23</v>
      </c>
      <c r="K677" s="3">
        <f t="shared" si="10"/>
        <v>73.293333333333337</v>
      </c>
      <c r="L677" t="s">
        <v>27</v>
      </c>
      <c r="M677" t="s">
        <v>41</v>
      </c>
      <c r="N677">
        <v>22</v>
      </c>
      <c r="O677" t="s">
        <v>48</v>
      </c>
      <c r="P677" t="s">
        <v>52</v>
      </c>
      <c r="Q677" t="s">
        <v>30</v>
      </c>
      <c r="R677">
        <v>430</v>
      </c>
      <c r="S677">
        <v>53.75</v>
      </c>
      <c r="T677" t="s">
        <v>33</v>
      </c>
      <c r="U677" t="s">
        <v>32</v>
      </c>
      <c r="V677" t="s">
        <v>33</v>
      </c>
      <c r="W677" t="s">
        <v>33</v>
      </c>
      <c r="X677" t="s">
        <v>96</v>
      </c>
      <c r="Y677" t="s">
        <v>35</v>
      </c>
      <c r="Z677" t="s">
        <v>36</v>
      </c>
      <c r="AA677" t="s">
        <v>1268</v>
      </c>
      <c r="AB677" t="s">
        <v>36</v>
      </c>
      <c r="AC677">
        <f>IF(Cdacdata[[#This Row],[placement_status]]="Placed",1,0)</f>
        <v>0</v>
      </c>
      <c r="AD677" t="s">
        <v>193</v>
      </c>
      <c r="AE677" t="s">
        <v>47</v>
      </c>
      <c r="AF677" t="s">
        <v>57</v>
      </c>
      <c r="AG677">
        <v>2023</v>
      </c>
      <c r="AH677" t="s">
        <v>111</v>
      </c>
      <c r="AI677" t="str">
        <f>IF(Cdacdata[ccat_rank]&lt;=100,"Top 100",
IF(Cdacdata[ccat_rank]&lt;=500,"101–500",
IF(Cdacdata[ccat_rank]&lt;=1000,"501–1000",
"1000+")))</f>
        <v>1000+</v>
      </c>
    </row>
    <row r="678" spans="1:35" x14ac:dyDescent="0.3">
      <c r="A678" s="1" t="s">
        <v>192</v>
      </c>
      <c r="B678">
        <v>221201392</v>
      </c>
      <c r="C678" s="2">
        <v>44996</v>
      </c>
      <c r="D678" s="2" t="s">
        <v>917</v>
      </c>
      <c r="E678">
        <v>2064</v>
      </c>
      <c r="F678" s="2">
        <v>36674</v>
      </c>
      <c r="G678">
        <v>88</v>
      </c>
      <c r="H678">
        <v>81</v>
      </c>
      <c r="I678" t="s">
        <v>26</v>
      </c>
      <c r="J678">
        <v>78.69</v>
      </c>
      <c r="K678" s="3">
        <f t="shared" si="10"/>
        <v>82.563333333333333</v>
      </c>
      <c r="L678" t="s">
        <v>27</v>
      </c>
      <c r="M678" t="s">
        <v>27</v>
      </c>
      <c r="N678">
        <v>22</v>
      </c>
      <c r="O678" t="s">
        <v>48</v>
      </c>
      <c r="P678" t="s">
        <v>29</v>
      </c>
      <c r="Q678" t="s">
        <v>30</v>
      </c>
      <c r="R678">
        <v>593</v>
      </c>
      <c r="S678">
        <v>74.125</v>
      </c>
      <c r="T678" t="s">
        <v>49</v>
      </c>
      <c r="U678" t="s">
        <v>32</v>
      </c>
      <c r="V678" t="s">
        <v>49</v>
      </c>
      <c r="W678" t="s">
        <v>49</v>
      </c>
      <c r="X678" t="s">
        <v>96</v>
      </c>
      <c r="Y678" t="s">
        <v>58</v>
      </c>
      <c r="Z678" t="s">
        <v>44</v>
      </c>
      <c r="AA678" t="s">
        <v>145</v>
      </c>
      <c r="AB678" t="s">
        <v>46</v>
      </c>
      <c r="AC678">
        <f>IF(Cdacdata[[#This Row],[placement_status]]="Placed",1,0)</f>
        <v>1</v>
      </c>
      <c r="AD678" t="s">
        <v>193</v>
      </c>
      <c r="AE678" t="s">
        <v>38</v>
      </c>
      <c r="AF678" t="s">
        <v>57</v>
      </c>
      <c r="AG678">
        <v>2023</v>
      </c>
      <c r="AH678" t="s">
        <v>111</v>
      </c>
      <c r="AI678" t="str">
        <f>IF(Cdacdata[ccat_rank]&lt;=100,"Top 100",
IF(Cdacdata[ccat_rank]&lt;=500,"101–500",
IF(Cdacdata[ccat_rank]&lt;=1000,"501–1000",
"1000+")))</f>
        <v>1000+</v>
      </c>
    </row>
    <row r="679" spans="1:35" x14ac:dyDescent="0.3">
      <c r="A679" s="1" t="s">
        <v>192</v>
      </c>
      <c r="B679">
        <v>230107830</v>
      </c>
      <c r="C679" s="2">
        <v>44995</v>
      </c>
      <c r="D679" s="2" t="s">
        <v>918</v>
      </c>
      <c r="E679">
        <v>1952</v>
      </c>
      <c r="F679" s="2">
        <v>36222</v>
      </c>
      <c r="G679">
        <v>80.599999999999994</v>
      </c>
      <c r="H679">
        <v>55.23</v>
      </c>
      <c r="I679" t="s">
        <v>26</v>
      </c>
      <c r="J679">
        <v>73.7</v>
      </c>
      <c r="K679" s="3">
        <f t="shared" si="10"/>
        <v>69.84333333333332</v>
      </c>
      <c r="L679" t="s">
        <v>27</v>
      </c>
      <c r="M679" t="s">
        <v>27</v>
      </c>
      <c r="N679">
        <v>24</v>
      </c>
      <c r="O679" t="s">
        <v>28</v>
      </c>
      <c r="P679" t="s">
        <v>42</v>
      </c>
      <c r="Q679" t="s">
        <v>30</v>
      </c>
      <c r="R679">
        <v>573</v>
      </c>
      <c r="S679">
        <v>71.625</v>
      </c>
      <c r="T679" t="s">
        <v>49</v>
      </c>
      <c r="U679" t="s">
        <v>32</v>
      </c>
      <c r="V679" t="s">
        <v>49</v>
      </c>
      <c r="W679" t="s">
        <v>33</v>
      </c>
      <c r="X679" t="s">
        <v>96</v>
      </c>
      <c r="Y679" t="s">
        <v>58</v>
      </c>
      <c r="Z679" t="s">
        <v>44</v>
      </c>
      <c r="AA679" t="s">
        <v>209</v>
      </c>
      <c r="AB679" t="s">
        <v>46</v>
      </c>
      <c r="AC679">
        <f>IF(Cdacdata[[#This Row],[placement_status]]="Placed",1,0)</f>
        <v>1</v>
      </c>
      <c r="AD679" t="s">
        <v>193</v>
      </c>
      <c r="AE679" t="s">
        <v>47</v>
      </c>
      <c r="AF679" t="s">
        <v>39</v>
      </c>
      <c r="AG679">
        <v>2023</v>
      </c>
      <c r="AH679" t="s">
        <v>111</v>
      </c>
      <c r="AI679" t="str">
        <f>IF(Cdacdata[ccat_rank]&lt;=100,"Top 100",
IF(Cdacdata[ccat_rank]&lt;=500,"101–500",
IF(Cdacdata[ccat_rank]&lt;=1000,"501–1000",
"1000+")))</f>
        <v>1000+</v>
      </c>
    </row>
    <row r="680" spans="1:35" x14ac:dyDescent="0.3">
      <c r="A680" s="1" t="s">
        <v>192</v>
      </c>
      <c r="B680">
        <v>230105518</v>
      </c>
      <c r="C680" s="2">
        <v>44999</v>
      </c>
      <c r="D680" s="2" t="s">
        <v>919</v>
      </c>
      <c r="E680">
        <v>1758</v>
      </c>
      <c r="F680" s="2">
        <v>35756</v>
      </c>
      <c r="G680">
        <v>77.599999999999994</v>
      </c>
      <c r="H680">
        <v>60.46</v>
      </c>
      <c r="I680" t="s">
        <v>26</v>
      </c>
      <c r="J680">
        <v>57.47</v>
      </c>
      <c r="K680" s="3">
        <f t="shared" si="10"/>
        <v>65.176666666666662</v>
      </c>
      <c r="L680" t="s">
        <v>27</v>
      </c>
      <c r="M680" t="s">
        <v>41</v>
      </c>
      <c r="N680">
        <v>25</v>
      </c>
      <c r="O680" t="s">
        <v>72</v>
      </c>
      <c r="P680" t="s">
        <v>60</v>
      </c>
      <c r="Q680" t="s">
        <v>30</v>
      </c>
      <c r="R680">
        <v>538</v>
      </c>
      <c r="S680">
        <v>67.25</v>
      </c>
      <c r="T680" t="s">
        <v>33</v>
      </c>
      <c r="U680" t="s">
        <v>32</v>
      </c>
      <c r="V680" t="s">
        <v>33</v>
      </c>
      <c r="W680" t="s">
        <v>33</v>
      </c>
      <c r="X680" t="s">
        <v>96</v>
      </c>
      <c r="Y680" t="s">
        <v>50</v>
      </c>
      <c r="Z680" t="s">
        <v>44</v>
      </c>
      <c r="AA680" t="s">
        <v>205</v>
      </c>
      <c r="AB680" t="s">
        <v>46</v>
      </c>
      <c r="AC680">
        <f>IF(Cdacdata[[#This Row],[placement_status]]="Placed",1,0)</f>
        <v>1</v>
      </c>
      <c r="AD680" t="s">
        <v>193</v>
      </c>
      <c r="AE680" t="s">
        <v>47</v>
      </c>
      <c r="AF680" t="s">
        <v>39</v>
      </c>
      <c r="AG680">
        <v>2023</v>
      </c>
      <c r="AH680" t="s">
        <v>111</v>
      </c>
      <c r="AI680" t="str">
        <f>IF(Cdacdata[ccat_rank]&lt;=100,"Top 100",
IF(Cdacdata[ccat_rank]&lt;=500,"101–500",
IF(Cdacdata[ccat_rank]&lt;=1000,"501–1000",
"1000+")))</f>
        <v>1000+</v>
      </c>
    </row>
    <row r="681" spans="1:35" x14ac:dyDescent="0.3">
      <c r="A681" s="1" t="s">
        <v>192</v>
      </c>
      <c r="B681">
        <v>221200041</v>
      </c>
      <c r="C681" s="2">
        <v>44995</v>
      </c>
      <c r="D681" s="2" t="s">
        <v>920</v>
      </c>
      <c r="E681">
        <v>401</v>
      </c>
      <c r="F681" s="2">
        <v>36694</v>
      </c>
      <c r="G681">
        <v>91.6</v>
      </c>
      <c r="H681">
        <v>79.540000000000006</v>
      </c>
      <c r="I681" t="s">
        <v>26</v>
      </c>
      <c r="J681">
        <v>80.37</v>
      </c>
      <c r="K681" s="3">
        <f t="shared" si="10"/>
        <v>83.836666666666659</v>
      </c>
      <c r="L681" t="s">
        <v>27</v>
      </c>
      <c r="M681" t="s">
        <v>41</v>
      </c>
      <c r="N681">
        <v>22</v>
      </c>
      <c r="O681" t="s">
        <v>48</v>
      </c>
      <c r="P681" t="s">
        <v>60</v>
      </c>
      <c r="Q681" t="s">
        <v>30</v>
      </c>
      <c r="R681">
        <v>654</v>
      </c>
      <c r="S681">
        <v>81.75</v>
      </c>
      <c r="T681" t="s">
        <v>49</v>
      </c>
      <c r="U681" t="s">
        <v>32</v>
      </c>
      <c r="V681" t="s">
        <v>49</v>
      </c>
      <c r="W681" t="s">
        <v>49</v>
      </c>
      <c r="X681" t="s">
        <v>96</v>
      </c>
      <c r="Y681" t="s">
        <v>58</v>
      </c>
      <c r="Z681" t="s">
        <v>44</v>
      </c>
      <c r="AA681" t="s">
        <v>101</v>
      </c>
      <c r="AB681" t="s">
        <v>46</v>
      </c>
      <c r="AC681">
        <f>IF(Cdacdata[[#This Row],[placement_status]]="Placed",1,0)</f>
        <v>1</v>
      </c>
      <c r="AD681" t="s">
        <v>193</v>
      </c>
      <c r="AE681" t="s">
        <v>75</v>
      </c>
      <c r="AF681" t="s">
        <v>57</v>
      </c>
      <c r="AG681">
        <v>2023</v>
      </c>
      <c r="AH681" t="s">
        <v>111</v>
      </c>
      <c r="AI681" t="str">
        <f>IF(Cdacdata[ccat_rank]&lt;=100,"Top 100",
IF(Cdacdata[ccat_rank]&lt;=500,"101–500",
IF(Cdacdata[ccat_rank]&lt;=1000,"501–1000",
"1000+")))</f>
        <v>101–500</v>
      </c>
    </row>
    <row r="682" spans="1:35" x14ac:dyDescent="0.3">
      <c r="A682" s="1" t="s">
        <v>212</v>
      </c>
      <c r="B682">
        <v>220600924</v>
      </c>
      <c r="C682" s="2">
        <v>44814</v>
      </c>
      <c r="D682" s="2" t="s">
        <v>921</v>
      </c>
      <c r="E682">
        <v>1763</v>
      </c>
      <c r="F682" s="2">
        <v>35444</v>
      </c>
      <c r="G682">
        <v>75.09</v>
      </c>
      <c r="H682" t="s">
        <v>26</v>
      </c>
      <c r="I682">
        <v>66.61</v>
      </c>
      <c r="J682">
        <v>71.5</v>
      </c>
      <c r="K682" s="3">
        <f t="shared" si="10"/>
        <v>71.066666666666663</v>
      </c>
      <c r="L682" t="s">
        <v>27</v>
      </c>
      <c r="M682" t="s">
        <v>41</v>
      </c>
      <c r="N682">
        <v>25</v>
      </c>
      <c r="O682" t="s">
        <v>28</v>
      </c>
      <c r="P682" t="s">
        <v>42</v>
      </c>
      <c r="Q682" t="s">
        <v>30</v>
      </c>
      <c r="R682">
        <v>424</v>
      </c>
      <c r="S682">
        <v>53</v>
      </c>
      <c r="T682" t="s">
        <v>31</v>
      </c>
      <c r="U682" t="s">
        <v>32</v>
      </c>
      <c r="V682" t="s">
        <v>31</v>
      </c>
      <c r="W682" t="s">
        <v>33</v>
      </c>
      <c r="X682" t="s">
        <v>34</v>
      </c>
      <c r="Y682" t="s">
        <v>35</v>
      </c>
      <c r="Z682" t="s">
        <v>36</v>
      </c>
      <c r="AA682" t="s">
        <v>1268</v>
      </c>
      <c r="AB682" t="s">
        <v>36</v>
      </c>
      <c r="AC682">
        <f>IF(Cdacdata[[#This Row],[placement_status]]="Placed",1,0)</f>
        <v>0</v>
      </c>
      <c r="AD682" t="s">
        <v>213</v>
      </c>
      <c r="AE682" t="s">
        <v>47</v>
      </c>
      <c r="AF682" t="s">
        <v>39</v>
      </c>
      <c r="AG682">
        <v>2022</v>
      </c>
      <c r="AH682" t="s">
        <v>40</v>
      </c>
      <c r="AI682" t="str">
        <f>IF(Cdacdata[ccat_rank]&lt;=100,"Top 100",
IF(Cdacdata[ccat_rank]&lt;=500,"101–500",
IF(Cdacdata[ccat_rank]&lt;=1000,"501–1000",
"1000+")))</f>
        <v>1000+</v>
      </c>
    </row>
    <row r="683" spans="1:35" x14ac:dyDescent="0.3">
      <c r="A683" s="1" t="s">
        <v>212</v>
      </c>
      <c r="B683">
        <v>220601233</v>
      </c>
      <c r="C683" s="2">
        <v>44816</v>
      </c>
      <c r="D683" s="2" t="s">
        <v>922</v>
      </c>
      <c r="E683">
        <v>181</v>
      </c>
      <c r="F683" s="2">
        <v>36719</v>
      </c>
      <c r="G683">
        <v>89.2</v>
      </c>
      <c r="H683" t="s">
        <v>26</v>
      </c>
      <c r="I683" t="s">
        <v>26</v>
      </c>
      <c r="J683">
        <v>64.040000000000006</v>
      </c>
      <c r="K683" s="3">
        <f t="shared" si="10"/>
        <v>76.62</v>
      </c>
      <c r="L683" t="s">
        <v>27</v>
      </c>
      <c r="M683" t="s">
        <v>27</v>
      </c>
      <c r="N683">
        <v>22</v>
      </c>
      <c r="O683" t="s">
        <v>28</v>
      </c>
      <c r="P683" t="s">
        <v>56</v>
      </c>
      <c r="Q683" t="s">
        <v>30</v>
      </c>
      <c r="R683">
        <v>659</v>
      </c>
      <c r="S683">
        <v>82.375</v>
      </c>
      <c r="T683" t="s">
        <v>49</v>
      </c>
      <c r="U683" t="s">
        <v>32</v>
      </c>
      <c r="V683" t="s">
        <v>49</v>
      </c>
      <c r="W683" t="s">
        <v>49</v>
      </c>
      <c r="X683" t="s">
        <v>34</v>
      </c>
      <c r="Y683" t="s">
        <v>58</v>
      </c>
      <c r="Z683" t="s">
        <v>44</v>
      </c>
      <c r="AA683" t="s">
        <v>115</v>
      </c>
      <c r="AB683" t="s">
        <v>46</v>
      </c>
      <c r="AC683">
        <f>IF(Cdacdata[[#This Row],[placement_status]]="Placed",1,0)</f>
        <v>1</v>
      </c>
      <c r="AD683" t="s">
        <v>213</v>
      </c>
      <c r="AE683" t="s">
        <v>75</v>
      </c>
      <c r="AF683" t="s">
        <v>57</v>
      </c>
      <c r="AG683">
        <v>2022</v>
      </c>
      <c r="AH683" t="s">
        <v>40</v>
      </c>
      <c r="AI683" t="str">
        <f>IF(Cdacdata[ccat_rank]&lt;=100,"Top 100",
IF(Cdacdata[ccat_rank]&lt;=500,"101–500",
IF(Cdacdata[ccat_rank]&lt;=1000,"501–1000",
"1000+")))</f>
        <v>101–500</v>
      </c>
    </row>
    <row r="684" spans="1:35" x14ac:dyDescent="0.3">
      <c r="A684" s="1" t="s">
        <v>212</v>
      </c>
      <c r="B684">
        <v>220600790</v>
      </c>
      <c r="C684" s="2">
        <v>44813</v>
      </c>
      <c r="D684" s="2" t="s">
        <v>923</v>
      </c>
      <c r="E684">
        <v>1660</v>
      </c>
      <c r="F684" s="2">
        <v>36320</v>
      </c>
      <c r="G684">
        <v>89.9</v>
      </c>
      <c r="H684">
        <v>61</v>
      </c>
      <c r="I684" t="s">
        <v>26</v>
      </c>
      <c r="J684">
        <v>76</v>
      </c>
      <c r="K684" s="3">
        <f t="shared" si="10"/>
        <v>75.63333333333334</v>
      </c>
      <c r="L684" t="s">
        <v>27</v>
      </c>
      <c r="M684" t="s">
        <v>27</v>
      </c>
      <c r="N684">
        <v>23</v>
      </c>
      <c r="O684" t="s">
        <v>48</v>
      </c>
      <c r="P684" t="s">
        <v>42</v>
      </c>
      <c r="Q684" t="s">
        <v>43</v>
      </c>
      <c r="R684">
        <v>490</v>
      </c>
      <c r="S684">
        <v>61.25</v>
      </c>
      <c r="T684" t="s">
        <v>33</v>
      </c>
      <c r="U684" t="s">
        <v>32</v>
      </c>
      <c r="V684" t="s">
        <v>33</v>
      </c>
      <c r="W684" t="s">
        <v>33</v>
      </c>
      <c r="X684" t="s">
        <v>34</v>
      </c>
      <c r="Y684" t="s">
        <v>50</v>
      </c>
      <c r="Z684" t="s">
        <v>36</v>
      </c>
      <c r="AA684" t="s">
        <v>1268</v>
      </c>
      <c r="AB684" t="s">
        <v>36</v>
      </c>
      <c r="AC684">
        <f>IF(Cdacdata[[#This Row],[placement_status]]="Placed",1,0)</f>
        <v>0</v>
      </c>
      <c r="AD684" t="s">
        <v>213</v>
      </c>
      <c r="AE684" t="s">
        <v>47</v>
      </c>
      <c r="AF684" t="s">
        <v>39</v>
      </c>
      <c r="AG684">
        <v>2022</v>
      </c>
      <c r="AH684" t="s">
        <v>40</v>
      </c>
      <c r="AI684" t="str">
        <f>IF(Cdacdata[ccat_rank]&lt;=100,"Top 100",
IF(Cdacdata[ccat_rank]&lt;=500,"101–500",
IF(Cdacdata[ccat_rank]&lt;=1000,"501–1000",
"1000+")))</f>
        <v>1000+</v>
      </c>
    </row>
    <row r="685" spans="1:35" x14ac:dyDescent="0.3">
      <c r="A685" s="1" t="s">
        <v>212</v>
      </c>
      <c r="B685">
        <v>220607126</v>
      </c>
      <c r="C685" s="2">
        <v>44816</v>
      </c>
      <c r="D685" s="2" t="s">
        <v>924</v>
      </c>
      <c r="E685">
        <v>1647</v>
      </c>
      <c r="F685" s="2">
        <v>35495</v>
      </c>
      <c r="G685">
        <v>76</v>
      </c>
      <c r="H685" t="s">
        <v>26</v>
      </c>
      <c r="I685" t="s">
        <v>26</v>
      </c>
      <c r="J685">
        <v>71</v>
      </c>
      <c r="K685" s="3">
        <f t="shared" si="10"/>
        <v>73.5</v>
      </c>
      <c r="L685" t="s">
        <v>27</v>
      </c>
      <c r="M685" t="s">
        <v>27</v>
      </c>
      <c r="N685">
        <v>25</v>
      </c>
      <c r="O685" t="s">
        <v>28</v>
      </c>
      <c r="P685" t="s">
        <v>52</v>
      </c>
      <c r="Q685" t="s">
        <v>30</v>
      </c>
      <c r="R685">
        <v>500</v>
      </c>
      <c r="S685">
        <v>62.5</v>
      </c>
      <c r="T685" t="s">
        <v>49</v>
      </c>
      <c r="U685" t="s">
        <v>32</v>
      </c>
      <c r="V685" t="s">
        <v>49</v>
      </c>
      <c r="W685" t="s">
        <v>33</v>
      </c>
      <c r="X685" t="s">
        <v>34</v>
      </c>
      <c r="Y685" t="s">
        <v>50</v>
      </c>
      <c r="Z685" t="s">
        <v>53</v>
      </c>
      <c r="AA685" t="s">
        <v>54</v>
      </c>
      <c r="AB685" t="s">
        <v>46</v>
      </c>
      <c r="AC685">
        <f>IF(Cdacdata[[#This Row],[placement_status]]="Placed",1,0)</f>
        <v>1</v>
      </c>
      <c r="AD685" t="s">
        <v>213</v>
      </c>
      <c r="AE685" t="s">
        <v>47</v>
      </c>
      <c r="AF685" t="s">
        <v>39</v>
      </c>
      <c r="AG685">
        <v>2022</v>
      </c>
      <c r="AH685" t="s">
        <v>40</v>
      </c>
      <c r="AI685" t="str">
        <f>IF(Cdacdata[ccat_rank]&lt;=100,"Top 100",
IF(Cdacdata[ccat_rank]&lt;=500,"101–500",
IF(Cdacdata[ccat_rank]&lt;=1000,"501–1000",
"1000+")))</f>
        <v>1000+</v>
      </c>
    </row>
    <row r="686" spans="1:35" x14ac:dyDescent="0.3">
      <c r="A686" s="1" t="s">
        <v>212</v>
      </c>
      <c r="B686">
        <v>220602926</v>
      </c>
      <c r="C686" s="2">
        <v>44813</v>
      </c>
      <c r="D686" s="2" t="s">
        <v>925</v>
      </c>
      <c r="E686">
        <v>1639</v>
      </c>
      <c r="F686" s="2">
        <v>35097</v>
      </c>
      <c r="G686">
        <v>70.2</v>
      </c>
      <c r="H686">
        <v>54.2</v>
      </c>
      <c r="I686" t="s">
        <v>26</v>
      </c>
      <c r="J686">
        <v>59.7</v>
      </c>
      <c r="K686" s="3">
        <f t="shared" si="10"/>
        <v>61.366666666666674</v>
      </c>
      <c r="L686" t="s">
        <v>27</v>
      </c>
      <c r="M686" t="s">
        <v>41</v>
      </c>
      <c r="N686">
        <v>26</v>
      </c>
      <c r="O686" t="s">
        <v>62</v>
      </c>
      <c r="P686" t="s">
        <v>60</v>
      </c>
      <c r="Q686" t="s">
        <v>30</v>
      </c>
      <c r="R686">
        <v>454</v>
      </c>
      <c r="S686">
        <v>56.75</v>
      </c>
      <c r="T686" t="s">
        <v>31</v>
      </c>
      <c r="U686" t="s">
        <v>32</v>
      </c>
      <c r="V686" t="s">
        <v>31</v>
      </c>
      <c r="W686" t="s">
        <v>31</v>
      </c>
      <c r="X686" t="s">
        <v>34</v>
      </c>
      <c r="Y686" t="s">
        <v>35</v>
      </c>
      <c r="Z686" t="s">
        <v>36</v>
      </c>
      <c r="AA686" t="s">
        <v>1268</v>
      </c>
      <c r="AB686" t="s">
        <v>36</v>
      </c>
      <c r="AC686">
        <f>IF(Cdacdata[[#This Row],[placement_status]]="Placed",1,0)</f>
        <v>0</v>
      </c>
      <c r="AD686" t="s">
        <v>213</v>
      </c>
      <c r="AE686" t="s">
        <v>47</v>
      </c>
      <c r="AF686" t="s">
        <v>55</v>
      </c>
      <c r="AG686">
        <v>2022</v>
      </c>
      <c r="AH686" t="s">
        <v>40</v>
      </c>
      <c r="AI686" t="str">
        <f>IF(Cdacdata[ccat_rank]&lt;=100,"Top 100",
IF(Cdacdata[ccat_rank]&lt;=500,"101–500",
IF(Cdacdata[ccat_rank]&lt;=1000,"501–1000",
"1000+")))</f>
        <v>1000+</v>
      </c>
    </row>
    <row r="687" spans="1:35" x14ac:dyDescent="0.3">
      <c r="A687" s="1" t="s">
        <v>212</v>
      </c>
      <c r="B687">
        <v>220606332</v>
      </c>
      <c r="C687" s="2">
        <v>44814</v>
      </c>
      <c r="D687" s="2" t="s">
        <v>926</v>
      </c>
      <c r="E687">
        <v>1733</v>
      </c>
      <c r="F687" s="2">
        <v>35487</v>
      </c>
      <c r="G687">
        <v>69.959999999999994</v>
      </c>
      <c r="H687" t="s">
        <v>26</v>
      </c>
      <c r="I687">
        <v>67.5</v>
      </c>
      <c r="J687">
        <v>64.47</v>
      </c>
      <c r="K687" s="3">
        <f t="shared" si="10"/>
        <v>67.309999999999988</v>
      </c>
      <c r="L687" t="s">
        <v>27</v>
      </c>
      <c r="M687" t="s">
        <v>27</v>
      </c>
      <c r="N687">
        <v>25</v>
      </c>
      <c r="O687" t="s">
        <v>28</v>
      </c>
      <c r="P687" t="s">
        <v>26</v>
      </c>
      <c r="Q687" t="s">
        <v>30</v>
      </c>
      <c r="R687">
        <v>446</v>
      </c>
      <c r="S687">
        <v>55.75</v>
      </c>
      <c r="T687" t="s">
        <v>31</v>
      </c>
      <c r="U687" t="s">
        <v>32</v>
      </c>
      <c r="V687" t="s">
        <v>31</v>
      </c>
      <c r="W687" t="s">
        <v>33</v>
      </c>
      <c r="X687" t="s">
        <v>34</v>
      </c>
      <c r="Y687" t="s">
        <v>35</v>
      </c>
      <c r="Z687" t="s">
        <v>36</v>
      </c>
      <c r="AA687" t="s">
        <v>1268</v>
      </c>
      <c r="AB687" t="s">
        <v>36</v>
      </c>
      <c r="AC687">
        <f>IF(Cdacdata[[#This Row],[placement_status]]="Placed",1,0)</f>
        <v>0</v>
      </c>
      <c r="AD687" t="s">
        <v>213</v>
      </c>
      <c r="AE687" t="s">
        <v>47</v>
      </c>
      <c r="AF687" t="s">
        <v>39</v>
      </c>
      <c r="AG687">
        <v>2022</v>
      </c>
      <c r="AH687" t="s">
        <v>40</v>
      </c>
      <c r="AI687" t="str">
        <f>IF(Cdacdata[ccat_rank]&lt;=100,"Top 100",
IF(Cdacdata[ccat_rank]&lt;=500,"101–500",
IF(Cdacdata[ccat_rank]&lt;=1000,"501–1000",
"1000+")))</f>
        <v>1000+</v>
      </c>
    </row>
    <row r="688" spans="1:35" x14ac:dyDescent="0.3">
      <c r="A688" s="1" t="s">
        <v>212</v>
      </c>
      <c r="B688">
        <v>220600250</v>
      </c>
      <c r="C688" s="2">
        <v>44814</v>
      </c>
      <c r="D688" s="2" t="s">
        <v>927</v>
      </c>
      <c r="E688">
        <v>343</v>
      </c>
      <c r="F688" s="2">
        <v>36988</v>
      </c>
      <c r="G688">
        <v>69.400000000000006</v>
      </c>
      <c r="H688">
        <v>61.85</v>
      </c>
      <c r="I688" t="s">
        <v>26</v>
      </c>
      <c r="J688">
        <v>75.28</v>
      </c>
      <c r="K688" s="3">
        <f t="shared" si="10"/>
        <v>68.843333333333334</v>
      </c>
      <c r="L688" t="s">
        <v>27</v>
      </c>
      <c r="M688" t="s">
        <v>27</v>
      </c>
      <c r="N688">
        <v>21</v>
      </c>
      <c r="O688" t="s">
        <v>48</v>
      </c>
      <c r="P688" t="s">
        <v>42</v>
      </c>
      <c r="Q688" t="s">
        <v>30</v>
      </c>
      <c r="R688">
        <v>488</v>
      </c>
      <c r="S688">
        <v>61</v>
      </c>
      <c r="T688" t="s">
        <v>49</v>
      </c>
      <c r="U688" t="s">
        <v>32</v>
      </c>
      <c r="V688" t="s">
        <v>49</v>
      </c>
      <c r="W688" t="s">
        <v>33</v>
      </c>
      <c r="X688" t="s">
        <v>34</v>
      </c>
      <c r="Y688" t="s">
        <v>50</v>
      </c>
      <c r="Z688" t="s">
        <v>53</v>
      </c>
      <c r="AA688" t="s">
        <v>54</v>
      </c>
      <c r="AB688" t="s">
        <v>46</v>
      </c>
      <c r="AC688">
        <f>IF(Cdacdata[[#This Row],[placement_status]]="Placed",1,0)</f>
        <v>1</v>
      </c>
      <c r="AD688" t="s">
        <v>213</v>
      </c>
      <c r="AE688" t="s">
        <v>75</v>
      </c>
      <c r="AF688" t="s">
        <v>57</v>
      </c>
      <c r="AG688">
        <v>2022</v>
      </c>
      <c r="AH688" t="s">
        <v>40</v>
      </c>
      <c r="AI688" t="str">
        <f>IF(Cdacdata[ccat_rank]&lt;=100,"Top 100",
IF(Cdacdata[ccat_rank]&lt;=500,"101–500",
IF(Cdacdata[ccat_rank]&lt;=1000,"501–1000",
"1000+")))</f>
        <v>101–500</v>
      </c>
    </row>
    <row r="689" spans="1:35" x14ac:dyDescent="0.3">
      <c r="A689" s="1" t="s">
        <v>212</v>
      </c>
      <c r="B689">
        <v>220711035</v>
      </c>
      <c r="C689" s="2">
        <v>44816</v>
      </c>
      <c r="D689" s="2" t="s">
        <v>928</v>
      </c>
      <c r="E689">
        <v>1628</v>
      </c>
      <c r="F689" s="2">
        <v>35697</v>
      </c>
      <c r="G689">
        <v>76.180000000000007</v>
      </c>
      <c r="H689" t="s">
        <v>26</v>
      </c>
      <c r="I689">
        <v>69.12</v>
      </c>
      <c r="J689">
        <v>61</v>
      </c>
      <c r="K689" s="3">
        <f t="shared" si="10"/>
        <v>68.766666666666666</v>
      </c>
      <c r="L689" t="s">
        <v>27</v>
      </c>
      <c r="M689" t="s">
        <v>41</v>
      </c>
      <c r="N689">
        <v>24</v>
      </c>
      <c r="O689" t="s">
        <v>28</v>
      </c>
      <c r="P689" t="s">
        <v>60</v>
      </c>
      <c r="Q689" t="s">
        <v>30</v>
      </c>
      <c r="R689">
        <v>522</v>
      </c>
      <c r="S689">
        <v>65.25</v>
      </c>
      <c r="T689" t="s">
        <v>49</v>
      </c>
      <c r="U689" t="s">
        <v>32</v>
      </c>
      <c r="V689" t="s">
        <v>49</v>
      </c>
      <c r="W689" t="s">
        <v>33</v>
      </c>
      <c r="X689" t="s">
        <v>34</v>
      </c>
      <c r="Y689" t="s">
        <v>50</v>
      </c>
      <c r="Z689" t="s">
        <v>44</v>
      </c>
      <c r="AA689" t="s">
        <v>214</v>
      </c>
      <c r="AB689" t="s">
        <v>46</v>
      </c>
      <c r="AC689">
        <f>IF(Cdacdata[[#This Row],[placement_status]]="Placed",1,0)</f>
        <v>1</v>
      </c>
      <c r="AD689" t="s">
        <v>213</v>
      </c>
      <c r="AE689" t="s">
        <v>47</v>
      </c>
      <c r="AF689" t="s">
        <v>39</v>
      </c>
      <c r="AG689">
        <v>2022</v>
      </c>
      <c r="AH689" t="s">
        <v>40</v>
      </c>
      <c r="AI689" t="str">
        <f>IF(Cdacdata[ccat_rank]&lt;=100,"Top 100",
IF(Cdacdata[ccat_rank]&lt;=500,"101–500",
IF(Cdacdata[ccat_rank]&lt;=1000,"501–1000",
"1000+")))</f>
        <v>1000+</v>
      </c>
    </row>
    <row r="690" spans="1:35" x14ac:dyDescent="0.3">
      <c r="A690" s="1" t="s">
        <v>212</v>
      </c>
      <c r="B690">
        <v>220711091</v>
      </c>
      <c r="C690" s="2">
        <v>44814</v>
      </c>
      <c r="D690" s="2" t="s">
        <v>929</v>
      </c>
      <c r="E690">
        <v>474</v>
      </c>
      <c r="F690" s="2">
        <v>33489</v>
      </c>
      <c r="G690">
        <v>88.76</v>
      </c>
      <c r="H690">
        <v>66.33</v>
      </c>
      <c r="I690" t="s">
        <v>26</v>
      </c>
      <c r="J690">
        <v>58.75</v>
      </c>
      <c r="K690" s="3">
        <f t="shared" si="10"/>
        <v>71.28</v>
      </c>
      <c r="L690" t="s">
        <v>27</v>
      </c>
      <c r="M690" t="s">
        <v>41</v>
      </c>
      <c r="N690">
        <v>31</v>
      </c>
      <c r="O690" t="s">
        <v>72</v>
      </c>
      <c r="P690" t="s">
        <v>60</v>
      </c>
      <c r="Q690" t="s">
        <v>30</v>
      </c>
      <c r="R690">
        <v>545</v>
      </c>
      <c r="S690">
        <v>68.125</v>
      </c>
      <c r="T690" t="s">
        <v>49</v>
      </c>
      <c r="U690" t="s">
        <v>32</v>
      </c>
      <c r="V690" t="s">
        <v>49</v>
      </c>
      <c r="W690" t="s">
        <v>33</v>
      </c>
      <c r="X690" t="s">
        <v>34</v>
      </c>
      <c r="Y690" t="s">
        <v>50</v>
      </c>
      <c r="Z690" t="s">
        <v>53</v>
      </c>
      <c r="AA690" t="s">
        <v>54</v>
      </c>
      <c r="AB690" t="s">
        <v>46</v>
      </c>
      <c r="AC690">
        <f>IF(Cdacdata[[#This Row],[placement_status]]="Placed",1,0)</f>
        <v>1</v>
      </c>
      <c r="AD690" t="s">
        <v>213</v>
      </c>
      <c r="AE690" t="s">
        <v>75</v>
      </c>
      <c r="AF690" t="s">
        <v>69</v>
      </c>
      <c r="AG690">
        <v>2022</v>
      </c>
      <c r="AH690" t="s">
        <v>40</v>
      </c>
      <c r="AI690" t="str">
        <f>IF(Cdacdata[ccat_rank]&lt;=100,"Top 100",
IF(Cdacdata[ccat_rank]&lt;=500,"101–500",
IF(Cdacdata[ccat_rank]&lt;=1000,"501–1000",
"1000+")))</f>
        <v>101–500</v>
      </c>
    </row>
    <row r="691" spans="1:35" x14ac:dyDescent="0.3">
      <c r="A691" s="1" t="s">
        <v>212</v>
      </c>
      <c r="B691">
        <v>220708018</v>
      </c>
      <c r="C691" s="2">
        <v>44812</v>
      </c>
      <c r="D691" s="2" t="s">
        <v>930</v>
      </c>
      <c r="E691">
        <v>1399</v>
      </c>
      <c r="F691" s="2">
        <v>35924</v>
      </c>
      <c r="G691">
        <v>84</v>
      </c>
      <c r="H691">
        <v>77.69</v>
      </c>
      <c r="I691" t="s">
        <v>26</v>
      </c>
      <c r="J691">
        <v>66.22</v>
      </c>
      <c r="K691" s="3">
        <f t="shared" si="10"/>
        <v>75.97</v>
      </c>
      <c r="L691" t="s">
        <v>27</v>
      </c>
      <c r="M691" t="s">
        <v>27</v>
      </c>
      <c r="N691">
        <v>24</v>
      </c>
      <c r="O691" t="s">
        <v>28</v>
      </c>
      <c r="P691" t="s">
        <v>60</v>
      </c>
      <c r="Q691" t="s">
        <v>30</v>
      </c>
      <c r="R691">
        <v>561</v>
      </c>
      <c r="S691">
        <v>70.125</v>
      </c>
      <c r="T691" t="s">
        <v>33</v>
      </c>
      <c r="U691" t="s">
        <v>32</v>
      </c>
      <c r="V691" t="s">
        <v>33</v>
      </c>
      <c r="W691" t="s">
        <v>33</v>
      </c>
      <c r="X691" t="s">
        <v>34</v>
      </c>
      <c r="Y691" t="s">
        <v>58</v>
      </c>
      <c r="Z691" t="s">
        <v>44</v>
      </c>
      <c r="AA691" t="s">
        <v>215</v>
      </c>
      <c r="AB691" t="s">
        <v>46</v>
      </c>
      <c r="AC691">
        <f>IF(Cdacdata[[#This Row],[placement_status]]="Placed",1,0)</f>
        <v>1</v>
      </c>
      <c r="AD691" t="s">
        <v>213</v>
      </c>
      <c r="AE691" t="s">
        <v>47</v>
      </c>
      <c r="AF691" t="s">
        <v>39</v>
      </c>
      <c r="AG691">
        <v>2022</v>
      </c>
      <c r="AH691" t="s">
        <v>40</v>
      </c>
      <c r="AI691" t="str">
        <f>IF(Cdacdata[ccat_rank]&lt;=100,"Top 100",
IF(Cdacdata[ccat_rank]&lt;=500,"101–500",
IF(Cdacdata[ccat_rank]&lt;=1000,"501–1000",
"1000+")))</f>
        <v>1000+</v>
      </c>
    </row>
    <row r="692" spans="1:35" x14ac:dyDescent="0.3">
      <c r="A692" s="1" t="s">
        <v>212</v>
      </c>
      <c r="B692">
        <v>220603446</v>
      </c>
      <c r="C692" s="2">
        <v>44812</v>
      </c>
      <c r="D692" s="2" t="s">
        <v>931</v>
      </c>
      <c r="E692">
        <v>910</v>
      </c>
      <c r="F692" s="2">
        <v>35065</v>
      </c>
      <c r="G692">
        <v>81.819999999999993</v>
      </c>
      <c r="H692">
        <v>58.5</v>
      </c>
      <c r="I692" t="s">
        <v>26</v>
      </c>
      <c r="J692">
        <v>53.63</v>
      </c>
      <c r="K692" s="3">
        <f t="shared" si="10"/>
        <v>64.649999999999991</v>
      </c>
      <c r="L692" t="s">
        <v>27</v>
      </c>
      <c r="M692" t="s">
        <v>41</v>
      </c>
      <c r="N692">
        <v>26</v>
      </c>
      <c r="O692" t="s">
        <v>72</v>
      </c>
      <c r="P692" t="s">
        <v>29</v>
      </c>
      <c r="Q692" t="s">
        <v>30</v>
      </c>
      <c r="R692">
        <v>496</v>
      </c>
      <c r="S692">
        <v>62</v>
      </c>
      <c r="T692" t="s">
        <v>33</v>
      </c>
      <c r="U692" t="s">
        <v>32</v>
      </c>
      <c r="V692" t="s">
        <v>33</v>
      </c>
      <c r="W692" t="s">
        <v>33</v>
      </c>
      <c r="X692" t="s">
        <v>34</v>
      </c>
      <c r="Y692" t="s">
        <v>50</v>
      </c>
      <c r="Z692" t="s">
        <v>53</v>
      </c>
      <c r="AA692" t="s">
        <v>54</v>
      </c>
      <c r="AB692" t="s">
        <v>46</v>
      </c>
      <c r="AC692">
        <f>IF(Cdacdata[[#This Row],[placement_status]]="Placed",1,0)</f>
        <v>1</v>
      </c>
      <c r="AD692" t="s">
        <v>213</v>
      </c>
      <c r="AE692" t="s">
        <v>75</v>
      </c>
      <c r="AF692" t="s">
        <v>55</v>
      </c>
      <c r="AG692">
        <v>2022</v>
      </c>
      <c r="AH692" t="s">
        <v>40</v>
      </c>
      <c r="AI692" t="str">
        <f>IF(Cdacdata[ccat_rank]&lt;=100,"Top 100",
IF(Cdacdata[ccat_rank]&lt;=500,"101–500",
IF(Cdacdata[ccat_rank]&lt;=1000,"501–1000",
"1000+")))</f>
        <v>501–1000</v>
      </c>
    </row>
    <row r="693" spans="1:35" x14ac:dyDescent="0.3">
      <c r="A693" s="1" t="s">
        <v>212</v>
      </c>
      <c r="B693">
        <v>220601232</v>
      </c>
      <c r="C693" s="2">
        <v>44816</v>
      </c>
      <c r="D693" s="2" t="s">
        <v>932</v>
      </c>
      <c r="E693">
        <v>749</v>
      </c>
      <c r="F693" s="2">
        <v>35928</v>
      </c>
      <c r="G693">
        <v>67.8</v>
      </c>
      <c r="H693" t="s">
        <v>26</v>
      </c>
      <c r="I693">
        <v>75</v>
      </c>
      <c r="J693">
        <v>66.099999999999994</v>
      </c>
      <c r="K693" s="3">
        <f t="shared" si="10"/>
        <v>69.63333333333334</v>
      </c>
      <c r="L693" t="s">
        <v>27</v>
      </c>
      <c r="M693" t="s">
        <v>27</v>
      </c>
      <c r="N693">
        <v>24</v>
      </c>
      <c r="O693" t="s">
        <v>28</v>
      </c>
      <c r="P693" t="s">
        <v>60</v>
      </c>
      <c r="Q693" t="s">
        <v>30</v>
      </c>
      <c r="R693">
        <v>606</v>
      </c>
      <c r="S693">
        <v>75.75</v>
      </c>
      <c r="T693" t="s">
        <v>49</v>
      </c>
      <c r="U693" t="s">
        <v>32</v>
      </c>
      <c r="V693" t="s">
        <v>49</v>
      </c>
      <c r="W693" t="s">
        <v>49</v>
      </c>
      <c r="X693" t="s">
        <v>34</v>
      </c>
      <c r="Y693" t="s">
        <v>58</v>
      </c>
      <c r="Z693" t="s">
        <v>44</v>
      </c>
      <c r="AA693" t="s">
        <v>216</v>
      </c>
      <c r="AB693" t="s">
        <v>46</v>
      </c>
      <c r="AC693">
        <f>IF(Cdacdata[[#This Row],[placement_status]]="Placed",1,0)</f>
        <v>1</v>
      </c>
      <c r="AD693" t="s">
        <v>213</v>
      </c>
      <c r="AE693" t="s">
        <v>75</v>
      </c>
      <c r="AF693" t="s">
        <v>39</v>
      </c>
      <c r="AG693">
        <v>2022</v>
      </c>
      <c r="AH693" t="s">
        <v>40</v>
      </c>
      <c r="AI693" t="str">
        <f>IF(Cdacdata[ccat_rank]&lt;=100,"Top 100",
IF(Cdacdata[ccat_rank]&lt;=500,"101–500",
IF(Cdacdata[ccat_rank]&lt;=1000,"501–1000",
"1000+")))</f>
        <v>501–1000</v>
      </c>
    </row>
    <row r="694" spans="1:35" x14ac:dyDescent="0.3">
      <c r="A694" s="1" t="s">
        <v>212</v>
      </c>
      <c r="B694">
        <v>220602804</v>
      </c>
      <c r="C694" s="2">
        <v>44813</v>
      </c>
      <c r="D694" s="2" t="s">
        <v>933</v>
      </c>
      <c r="E694">
        <v>1362</v>
      </c>
      <c r="F694" s="2">
        <v>35241</v>
      </c>
      <c r="G694">
        <v>76.91</v>
      </c>
      <c r="H694" t="s">
        <v>26</v>
      </c>
      <c r="I694">
        <v>81.06</v>
      </c>
      <c r="J694">
        <v>64.8</v>
      </c>
      <c r="K694" s="3">
        <f t="shared" si="10"/>
        <v>74.256666666666661</v>
      </c>
      <c r="L694" t="s">
        <v>27</v>
      </c>
      <c r="M694" t="s">
        <v>27</v>
      </c>
      <c r="N694">
        <v>26</v>
      </c>
      <c r="O694" t="s">
        <v>28</v>
      </c>
      <c r="P694" t="s">
        <v>65</v>
      </c>
      <c r="Q694" t="s">
        <v>30</v>
      </c>
      <c r="R694">
        <v>523</v>
      </c>
      <c r="S694">
        <v>65.375</v>
      </c>
      <c r="T694" t="s">
        <v>33</v>
      </c>
      <c r="U694" t="s">
        <v>32</v>
      </c>
      <c r="V694" t="s">
        <v>33</v>
      </c>
      <c r="W694" t="s">
        <v>49</v>
      </c>
      <c r="X694" t="s">
        <v>34</v>
      </c>
      <c r="Y694" t="s">
        <v>50</v>
      </c>
      <c r="Z694" t="s">
        <v>44</v>
      </c>
      <c r="AA694" t="s">
        <v>91</v>
      </c>
      <c r="AB694" t="s">
        <v>46</v>
      </c>
      <c r="AC694">
        <f>IF(Cdacdata[[#This Row],[placement_status]]="Placed",1,0)</f>
        <v>1</v>
      </c>
      <c r="AD694" t="s">
        <v>213</v>
      </c>
      <c r="AE694" t="s">
        <v>47</v>
      </c>
      <c r="AF694" t="s">
        <v>55</v>
      </c>
      <c r="AG694">
        <v>2022</v>
      </c>
      <c r="AH694" t="s">
        <v>40</v>
      </c>
      <c r="AI694" t="str">
        <f>IF(Cdacdata[ccat_rank]&lt;=100,"Top 100",
IF(Cdacdata[ccat_rank]&lt;=500,"101–500",
IF(Cdacdata[ccat_rank]&lt;=1000,"501–1000",
"1000+")))</f>
        <v>1000+</v>
      </c>
    </row>
    <row r="695" spans="1:35" x14ac:dyDescent="0.3">
      <c r="A695" s="1" t="s">
        <v>212</v>
      </c>
      <c r="B695">
        <v>220702947</v>
      </c>
      <c r="C695" s="2">
        <v>44816</v>
      </c>
      <c r="D695" s="2" t="s">
        <v>934</v>
      </c>
      <c r="E695">
        <v>1582</v>
      </c>
      <c r="F695" s="2">
        <v>35119</v>
      </c>
      <c r="G695">
        <v>85.27</v>
      </c>
      <c r="H695">
        <v>82.33</v>
      </c>
      <c r="I695" t="s">
        <v>26</v>
      </c>
      <c r="J695">
        <v>52.82</v>
      </c>
      <c r="K695" s="3">
        <f t="shared" si="10"/>
        <v>73.473333333333329</v>
      </c>
      <c r="L695" t="s">
        <v>27</v>
      </c>
      <c r="M695" t="s">
        <v>27</v>
      </c>
      <c r="N695">
        <v>26</v>
      </c>
      <c r="O695" t="s">
        <v>72</v>
      </c>
      <c r="P695" t="s">
        <v>65</v>
      </c>
      <c r="Q695" t="s">
        <v>43</v>
      </c>
      <c r="R695">
        <v>557</v>
      </c>
      <c r="S695">
        <v>69.625</v>
      </c>
      <c r="T695" t="s">
        <v>49</v>
      </c>
      <c r="U695" t="s">
        <v>32</v>
      </c>
      <c r="V695" t="s">
        <v>49</v>
      </c>
      <c r="W695" t="s">
        <v>33</v>
      </c>
      <c r="X695" t="s">
        <v>34</v>
      </c>
      <c r="Y695" t="s">
        <v>50</v>
      </c>
      <c r="Z695" t="s">
        <v>36</v>
      </c>
      <c r="AA695" t="s">
        <v>1268</v>
      </c>
      <c r="AB695" t="s">
        <v>36</v>
      </c>
      <c r="AC695">
        <f>IF(Cdacdata[[#This Row],[placement_status]]="Placed",1,0)</f>
        <v>0</v>
      </c>
      <c r="AD695" t="s">
        <v>213</v>
      </c>
      <c r="AE695" t="s">
        <v>47</v>
      </c>
      <c r="AF695" t="s">
        <v>55</v>
      </c>
      <c r="AG695">
        <v>2022</v>
      </c>
      <c r="AH695" t="s">
        <v>40</v>
      </c>
      <c r="AI695" t="str">
        <f>IF(Cdacdata[ccat_rank]&lt;=100,"Top 100",
IF(Cdacdata[ccat_rank]&lt;=500,"101–500",
IF(Cdacdata[ccat_rank]&lt;=1000,"501–1000",
"1000+")))</f>
        <v>1000+</v>
      </c>
    </row>
    <row r="696" spans="1:35" x14ac:dyDescent="0.3">
      <c r="A696" s="1" t="s">
        <v>212</v>
      </c>
      <c r="B696">
        <v>220601526</v>
      </c>
      <c r="C696" s="2">
        <v>44815</v>
      </c>
      <c r="D696" s="2" t="s">
        <v>935</v>
      </c>
      <c r="E696">
        <v>1011</v>
      </c>
      <c r="F696" s="2">
        <v>35084</v>
      </c>
      <c r="G696">
        <v>63</v>
      </c>
      <c r="H696" t="s">
        <v>26</v>
      </c>
      <c r="I696">
        <v>71.19</v>
      </c>
      <c r="J696">
        <v>56.66</v>
      </c>
      <c r="K696" s="3">
        <f t="shared" si="10"/>
        <v>63.616666666666667</v>
      </c>
      <c r="L696" t="s">
        <v>27</v>
      </c>
      <c r="M696" t="s">
        <v>27</v>
      </c>
      <c r="N696">
        <v>26</v>
      </c>
      <c r="O696" t="s">
        <v>72</v>
      </c>
      <c r="P696" t="s">
        <v>56</v>
      </c>
      <c r="Q696" t="s">
        <v>30</v>
      </c>
      <c r="R696">
        <v>523</v>
      </c>
      <c r="S696">
        <v>65.375</v>
      </c>
      <c r="T696" t="s">
        <v>33</v>
      </c>
      <c r="U696" t="s">
        <v>32</v>
      </c>
      <c r="V696" t="s">
        <v>33</v>
      </c>
      <c r="W696" t="s">
        <v>33</v>
      </c>
      <c r="X696" t="s">
        <v>34</v>
      </c>
      <c r="Y696" t="s">
        <v>50</v>
      </c>
      <c r="Z696" t="s">
        <v>44</v>
      </c>
      <c r="AA696" t="s">
        <v>115</v>
      </c>
      <c r="AB696" t="s">
        <v>46</v>
      </c>
      <c r="AC696">
        <f>IF(Cdacdata[[#This Row],[placement_status]]="Placed",1,0)</f>
        <v>1</v>
      </c>
      <c r="AD696" t="s">
        <v>213</v>
      </c>
      <c r="AE696" t="s">
        <v>47</v>
      </c>
      <c r="AF696" t="s">
        <v>55</v>
      </c>
      <c r="AG696">
        <v>2022</v>
      </c>
      <c r="AH696" t="s">
        <v>40</v>
      </c>
      <c r="AI696" t="str">
        <f>IF(Cdacdata[ccat_rank]&lt;=100,"Top 100",
IF(Cdacdata[ccat_rank]&lt;=500,"101–500",
IF(Cdacdata[ccat_rank]&lt;=1000,"501–1000",
"1000+")))</f>
        <v>1000+</v>
      </c>
    </row>
    <row r="697" spans="1:35" x14ac:dyDescent="0.3">
      <c r="A697" s="1" t="s">
        <v>212</v>
      </c>
      <c r="B697">
        <v>220601318</v>
      </c>
      <c r="C697" s="2">
        <v>44814</v>
      </c>
      <c r="D697" s="2" t="s">
        <v>936</v>
      </c>
      <c r="E697">
        <v>298</v>
      </c>
      <c r="F697" s="2">
        <v>36526</v>
      </c>
      <c r="G697">
        <v>86</v>
      </c>
      <c r="H697">
        <v>73.8</v>
      </c>
      <c r="I697" t="s">
        <v>26</v>
      </c>
      <c r="J697">
        <v>77.56</v>
      </c>
      <c r="K697" s="3">
        <f t="shared" si="10"/>
        <v>79.12</v>
      </c>
      <c r="L697" t="s">
        <v>27</v>
      </c>
      <c r="M697" t="s">
        <v>27</v>
      </c>
      <c r="N697">
        <v>22</v>
      </c>
      <c r="O697" t="s">
        <v>48</v>
      </c>
      <c r="P697" t="s">
        <v>65</v>
      </c>
      <c r="Q697" t="s">
        <v>30</v>
      </c>
      <c r="R697">
        <v>574</v>
      </c>
      <c r="S697">
        <v>71.75</v>
      </c>
      <c r="T697" t="s">
        <v>49</v>
      </c>
      <c r="U697" t="s">
        <v>32</v>
      </c>
      <c r="V697" t="s">
        <v>49</v>
      </c>
      <c r="W697" t="s">
        <v>33</v>
      </c>
      <c r="X697" t="s">
        <v>34</v>
      </c>
      <c r="Y697" t="s">
        <v>58</v>
      </c>
      <c r="Z697" t="s">
        <v>44</v>
      </c>
      <c r="AA697" t="s">
        <v>78</v>
      </c>
      <c r="AB697" t="s">
        <v>46</v>
      </c>
      <c r="AC697">
        <f>IF(Cdacdata[[#This Row],[placement_status]]="Placed",1,0)</f>
        <v>1</v>
      </c>
      <c r="AD697" t="s">
        <v>213</v>
      </c>
      <c r="AE697" t="s">
        <v>75</v>
      </c>
      <c r="AF697" t="s">
        <v>57</v>
      </c>
      <c r="AG697">
        <v>2022</v>
      </c>
      <c r="AH697" t="s">
        <v>40</v>
      </c>
      <c r="AI697" t="str">
        <f>IF(Cdacdata[ccat_rank]&lt;=100,"Top 100",
IF(Cdacdata[ccat_rank]&lt;=500,"101–500",
IF(Cdacdata[ccat_rank]&lt;=1000,"501–1000",
"1000+")))</f>
        <v>101–500</v>
      </c>
    </row>
    <row r="698" spans="1:35" x14ac:dyDescent="0.3">
      <c r="A698" s="1" t="s">
        <v>212</v>
      </c>
      <c r="B698">
        <v>220702028</v>
      </c>
      <c r="C698" s="2"/>
      <c r="D698" s="2"/>
      <c r="E698" t="s">
        <v>63</v>
      </c>
      <c r="G698">
        <v>0</v>
      </c>
      <c r="H698">
        <v>0</v>
      </c>
      <c r="I698">
        <v>0</v>
      </c>
      <c r="J698">
        <v>0</v>
      </c>
      <c r="K698" s="3">
        <f t="shared" si="10"/>
        <v>0</v>
      </c>
      <c r="L698" t="s">
        <v>27</v>
      </c>
      <c r="M698" t="s">
        <v>27</v>
      </c>
      <c r="N698">
        <v>23</v>
      </c>
      <c r="O698" t="s">
        <v>373</v>
      </c>
      <c r="P698" t="s">
        <v>26</v>
      </c>
      <c r="Q698" t="s">
        <v>374</v>
      </c>
      <c r="R698">
        <v>553</v>
      </c>
      <c r="S698">
        <v>69.125</v>
      </c>
      <c r="T698" t="s">
        <v>49</v>
      </c>
      <c r="U698" t="s">
        <v>32</v>
      </c>
      <c r="V698" t="s">
        <v>49</v>
      </c>
      <c r="W698" t="s">
        <v>33</v>
      </c>
      <c r="X698" t="s">
        <v>34</v>
      </c>
      <c r="Y698" t="s">
        <v>50</v>
      </c>
      <c r="Z698" t="s">
        <v>53</v>
      </c>
      <c r="AA698" t="s">
        <v>54</v>
      </c>
      <c r="AB698" t="s">
        <v>46</v>
      </c>
      <c r="AC698">
        <f>IF(Cdacdata[[#This Row],[placement_status]]="Placed",1,0)</f>
        <v>1</v>
      </c>
      <c r="AD698" t="s">
        <v>213</v>
      </c>
      <c r="AE698" t="s">
        <v>63</v>
      </c>
      <c r="AF698" t="s">
        <v>63</v>
      </c>
      <c r="AG698">
        <v>2022</v>
      </c>
      <c r="AH698" t="s">
        <v>40</v>
      </c>
      <c r="AI698" t="str">
        <f>IF(Cdacdata[ccat_rank]&lt;=100,"Top 100",
IF(Cdacdata[ccat_rank]&lt;=500,"101–500",
IF(Cdacdata[ccat_rank]&lt;=1000,"501–1000",
"1000+")))</f>
        <v>1000+</v>
      </c>
    </row>
    <row r="699" spans="1:35" x14ac:dyDescent="0.3">
      <c r="A699" s="1" t="s">
        <v>212</v>
      </c>
      <c r="B699">
        <v>220607494</v>
      </c>
      <c r="C699" s="2">
        <v>44814</v>
      </c>
      <c r="D699" s="2" t="s">
        <v>937</v>
      </c>
      <c r="E699">
        <v>1260</v>
      </c>
      <c r="F699" s="2">
        <v>34090</v>
      </c>
      <c r="G699">
        <v>75.53</v>
      </c>
      <c r="H699" t="s">
        <v>26</v>
      </c>
      <c r="I699" t="s">
        <v>26</v>
      </c>
      <c r="J699">
        <v>68.2</v>
      </c>
      <c r="K699" s="3">
        <f t="shared" si="10"/>
        <v>71.865000000000009</v>
      </c>
      <c r="L699" t="s">
        <v>27</v>
      </c>
      <c r="M699" t="s">
        <v>41</v>
      </c>
      <c r="N699">
        <v>29</v>
      </c>
      <c r="O699" t="s">
        <v>28</v>
      </c>
      <c r="P699" t="s">
        <v>60</v>
      </c>
      <c r="Q699" t="s">
        <v>30</v>
      </c>
      <c r="R699">
        <v>643</v>
      </c>
      <c r="S699">
        <v>80.375</v>
      </c>
      <c r="T699" t="s">
        <v>49</v>
      </c>
      <c r="U699" t="s">
        <v>32</v>
      </c>
      <c r="V699" t="s">
        <v>49</v>
      </c>
      <c r="W699" t="s">
        <v>49</v>
      </c>
      <c r="X699" t="s">
        <v>34</v>
      </c>
      <c r="Y699" t="s">
        <v>58</v>
      </c>
      <c r="Z699" t="s">
        <v>44</v>
      </c>
      <c r="AA699" t="s">
        <v>174</v>
      </c>
      <c r="AB699" t="s">
        <v>46</v>
      </c>
      <c r="AC699">
        <f>IF(Cdacdata[[#This Row],[placement_status]]="Placed",1,0)</f>
        <v>1</v>
      </c>
      <c r="AD699" t="s">
        <v>213</v>
      </c>
      <c r="AE699" t="s">
        <v>47</v>
      </c>
      <c r="AF699" t="s">
        <v>69</v>
      </c>
      <c r="AG699">
        <v>2022</v>
      </c>
      <c r="AH699" t="s">
        <v>40</v>
      </c>
      <c r="AI699" t="str">
        <f>IF(Cdacdata[ccat_rank]&lt;=100,"Top 100",
IF(Cdacdata[ccat_rank]&lt;=500,"101–500",
IF(Cdacdata[ccat_rank]&lt;=1000,"501–1000",
"1000+")))</f>
        <v>1000+</v>
      </c>
    </row>
    <row r="700" spans="1:35" x14ac:dyDescent="0.3">
      <c r="A700" s="1" t="s">
        <v>212</v>
      </c>
      <c r="B700">
        <v>220604831</v>
      </c>
      <c r="C700" s="2">
        <v>44815</v>
      </c>
      <c r="D700" s="2" t="s">
        <v>938</v>
      </c>
      <c r="E700">
        <v>1659</v>
      </c>
      <c r="F700" s="2">
        <v>35883</v>
      </c>
      <c r="G700">
        <v>87.6</v>
      </c>
      <c r="H700">
        <v>71.2</v>
      </c>
      <c r="I700" t="s">
        <v>26</v>
      </c>
      <c r="J700">
        <v>61.9</v>
      </c>
      <c r="K700" s="3">
        <f t="shared" si="10"/>
        <v>73.566666666666677</v>
      </c>
      <c r="L700" t="s">
        <v>27</v>
      </c>
      <c r="M700" t="s">
        <v>27</v>
      </c>
      <c r="N700">
        <v>24</v>
      </c>
      <c r="O700" t="s">
        <v>28</v>
      </c>
      <c r="P700" t="s">
        <v>60</v>
      </c>
      <c r="Q700" t="s">
        <v>30</v>
      </c>
      <c r="R700">
        <v>541</v>
      </c>
      <c r="S700">
        <v>67.625</v>
      </c>
      <c r="T700" t="s">
        <v>49</v>
      </c>
      <c r="U700" t="s">
        <v>32</v>
      </c>
      <c r="V700" t="s">
        <v>49</v>
      </c>
      <c r="W700" t="s">
        <v>33</v>
      </c>
      <c r="X700" t="s">
        <v>34</v>
      </c>
      <c r="Y700" t="s">
        <v>50</v>
      </c>
      <c r="Z700" t="s">
        <v>44</v>
      </c>
      <c r="AA700" t="s">
        <v>217</v>
      </c>
      <c r="AB700" t="s">
        <v>46</v>
      </c>
      <c r="AC700">
        <f>IF(Cdacdata[[#This Row],[placement_status]]="Placed",1,0)</f>
        <v>1</v>
      </c>
      <c r="AD700" t="s">
        <v>213</v>
      </c>
      <c r="AE700" t="s">
        <v>47</v>
      </c>
      <c r="AF700" t="s">
        <v>39</v>
      </c>
      <c r="AG700">
        <v>2022</v>
      </c>
      <c r="AH700" t="s">
        <v>40</v>
      </c>
      <c r="AI700" t="str">
        <f>IF(Cdacdata[ccat_rank]&lt;=100,"Top 100",
IF(Cdacdata[ccat_rank]&lt;=500,"101–500",
IF(Cdacdata[ccat_rank]&lt;=1000,"501–1000",
"1000+")))</f>
        <v>1000+</v>
      </c>
    </row>
    <row r="701" spans="1:35" x14ac:dyDescent="0.3">
      <c r="A701" s="1" t="s">
        <v>212</v>
      </c>
      <c r="B701">
        <v>220600053</v>
      </c>
      <c r="C701" s="2">
        <v>44812</v>
      </c>
      <c r="D701" s="2" t="s">
        <v>939</v>
      </c>
      <c r="E701">
        <v>616</v>
      </c>
      <c r="F701" s="2">
        <v>36592</v>
      </c>
      <c r="G701">
        <v>90.6</v>
      </c>
      <c r="H701">
        <v>80.62</v>
      </c>
      <c r="I701" t="s">
        <v>26</v>
      </c>
      <c r="J701">
        <v>77.900000000000006</v>
      </c>
      <c r="K701" s="3">
        <f t="shared" si="10"/>
        <v>83.04</v>
      </c>
      <c r="L701" t="s">
        <v>27</v>
      </c>
      <c r="M701" t="s">
        <v>41</v>
      </c>
      <c r="N701">
        <v>22</v>
      </c>
      <c r="O701" t="s">
        <v>48</v>
      </c>
      <c r="P701" t="s">
        <v>42</v>
      </c>
      <c r="Q701" t="s">
        <v>30</v>
      </c>
      <c r="R701">
        <v>554</v>
      </c>
      <c r="S701">
        <v>69.25</v>
      </c>
      <c r="T701" t="s">
        <v>49</v>
      </c>
      <c r="U701" t="s">
        <v>32</v>
      </c>
      <c r="V701" t="s">
        <v>49</v>
      </c>
      <c r="W701" t="s">
        <v>33</v>
      </c>
      <c r="X701" t="s">
        <v>34</v>
      </c>
      <c r="Y701" t="s">
        <v>50</v>
      </c>
      <c r="Z701" t="s">
        <v>44</v>
      </c>
      <c r="AA701" t="s">
        <v>218</v>
      </c>
      <c r="AB701" t="s">
        <v>46</v>
      </c>
      <c r="AC701">
        <f>IF(Cdacdata[[#This Row],[placement_status]]="Placed",1,0)</f>
        <v>1</v>
      </c>
      <c r="AD701" t="s">
        <v>213</v>
      </c>
      <c r="AE701" t="s">
        <v>75</v>
      </c>
      <c r="AF701" t="s">
        <v>57</v>
      </c>
      <c r="AG701">
        <v>2022</v>
      </c>
      <c r="AH701" t="s">
        <v>40</v>
      </c>
      <c r="AI701" t="str">
        <f>IF(Cdacdata[ccat_rank]&lt;=100,"Top 100",
IF(Cdacdata[ccat_rank]&lt;=500,"101–500",
IF(Cdacdata[ccat_rank]&lt;=1000,"501–1000",
"1000+")))</f>
        <v>501–1000</v>
      </c>
    </row>
    <row r="702" spans="1:35" x14ac:dyDescent="0.3">
      <c r="A702" s="1" t="s">
        <v>212</v>
      </c>
      <c r="B702">
        <v>220607249</v>
      </c>
      <c r="C702" s="2">
        <v>44815</v>
      </c>
      <c r="D702" s="2" t="s">
        <v>940</v>
      </c>
      <c r="E702">
        <v>1504</v>
      </c>
      <c r="F702" s="2">
        <v>35850</v>
      </c>
      <c r="G702">
        <v>72.2</v>
      </c>
      <c r="H702">
        <v>55.2</v>
      </c>
      <c r="I702" t="s">
        <v>26</v>
      </c>
      <c r="J702">
        <v>69.900000000000006</v>
      </c>
      <c r="K702" s="3">
        <f t="shared" si="10"/>
        <v>65.766666666666666</v>
      </c>
      <c r="L702" t="s">
        <v>27</v>
      </c>
      <c r="M702" t="s">
        <v>27</v>
      </c>
      <c r="N702">
        <v>24</v>
      </c>
      <c r="O702" t="s">
        <v>28</v>
      </c>
      <c r="P702" t="s">
        <v>65</v>
      </c>
      <c r="Q702" t="s">
        <v>43</v>
      </c>
      <c r="R702">
        <v>533</v>
      </c>
      <c r="S702">
        <v>66.625</v>
      </c>
      <c r="T702" t="s">
        <v>33</v>
      </c>
      <c r="U702" t="s">
        <v>32</v>
      </c>
      <c r="V702" t="s">
        <v>33</v>
      </c>
      <c r="W702" t="s">
        <v>33</v>
      </c>
      <c r="X702" t="s">
        <v>34</v>
      </c>
      <c r="Y702" t="s">
        <v>50</v>
      </c>
      <c r="Z702" t="s">
        <v>53</v>
      </c>
      <c r="AA702" t="s">
        <v>54</v>
      </c>
      <c r="AB702" t="s">
        <v>46</v>
      </c>
      <c r="AC702">
        <f>IF(Cdacdata[[#This Row],[placement_status]]="Placed",1,0)</f>
        <v>1</v>
      </c>
      <c r="AD702" t="s">
        <v>213</v>
      </c>
      <c r="AE702" t="s">
        <v>47</v>
      </c>
      <c r="AF702" t="s">
        <v>39</v>
      </c>
      <c r="AG702">
        <v>2022</v>
      </c>
      <c r="AH702" t="s">
        <v>40</v>
      </c>
      <c r="AI702" t="str">
        <f>IF(Cdacdata[ccat_rank]&lt;=100,"Top 100",
IF(Cdacdata[ccat_rank]&lt;=500,"101–500",
IF(Cdacdata[ccat_rank]&lt;=1000,"501–1000",
"1000+")))</f>
        <v>1000+</v>
      </c>
    </row>
    <row r="703" spans="1:35" x14ac:dyDescent="0.3">
      <c r="A703" s="1" t="s">
        <v>212</v>
      </c>
      <c r="B703">
        <v>220602220</v>
      </c>
      <c r="C703" s="2">
        <v>44815</v>
      </c>
      <c r="D703" s="2" t="s">
        <v>941</v>
      </c>
      <c r="E703">
        <v>949</v>
      </c>
      <c r="F703" s="2">
        <v>34779</v>
      </c>
      <c r="G703">
        <v>83.82</v>
      </c>
      <c r="H703">
        <v>59.17</v>
      </c>
      <c r="I703" t="s">
        <v>26</v>
      </c>
      <c r="J703">
        <v>57.8</v>
      </c>
      <c r="K703" s="3">
        <f t="shared" si="10"/>
        <v>66.930000000000007</v>
      </c>
      <c r="L703" t="s">
        <v>27</v>
      </c>
      <c r="M703" t="s">
        <v>41</v>
      </c>
      <c r="N703">
        <v>27</v>
      </c>
      <c r="O703" t="s">
        <v>72</v>
      </c>
      <c r="P703" t="s">
        <v>26</v>
      </c>
      <c r="Q703" t="s">
        <v>43</v>
      </c>
      <c r="R703">
        <v>422</v>
      </c>
      <c r="S703">
        <v>52.75</v>
      </c>
      <c r="T703" t="s">
        <v>31</v>
      </c>
      <c r="U703" t="s">
        <v>32</v>
      </c>
      <c r="V703" t="s">
        <v>31</v>
      </c>
      <c r="W703" t="s">
        <v>33</v>
      </c>
      <c r="X703" t="s">
        <v>34</v>
      </c>
      <c r="Y703" t="s">
        <v>35</v>
      </c>
      <c r="Z703" t="s">
        <v>36</v>
      </c>
      <c r="AA703" t="s">
        <v>1268</v>
      </c>
      <c r="AB703" t="s">
        <v>36</v>
      </c>
      <c r="AC703">
        <f>IF(Cdacdata[[#This Row],[placement_status]]="Placed",1,0)</f>
        <v>0</v>
      </c>
      <c r="AD703" t="s">
        <v>213</v>
      </c>
      <c r="AE703" t="s">
        <v>75</v>
      </c>
      <c r="AF703" t="s">
        <v>55</v>
      </c>
      <c r="AG703">
        <v>2022</v>
      </c>
      <c r="AH703" t="s">
        <v>40</v>
      </c>
      <c r="AI703" t="str">
        <f>IF(Cdacdata[ccat_rank]&lt;=100,"Top 100",
IF(Cdacdata[ccat_rank]&lt;=500,"101–500",
IF(Cdacdata[ccat_rank]&lt;=1000,"501–1000",
"1000+")))</f>
        <v>501–1000</v>
      </c>
    </row>
    <row r="704" spans="1:35" x14ac:dyDescent="0.3">
      <c r="A704" s="1" t="s">
        <v>212</v>
      </c>
      <c r="B704">
        <v>220712048</v>
      </c>
      <c r="C704" s="2">
        <v>44813</v>
      </c>
      <c r="D704" s="2" t="s">
        <v>942</v>
      </c>
      <c r="E704">
        <v>856</v>
      </c>
      <c r="F704" s="2">
        <v>36811</v>
      </c>
      <c r="G704">
        <v>81</v>
      </c>
      <c r="H704" t="s">
        <v>26</v>
      </c>
      <c r="I704">
        <v>70.819999999999993</v>
      </c>
      <c r="J704">
        <v>73.040000000000006</v>
      </c>
      <c r="K704" s="3">
        <f t="shared" si="10"/>
        <v>74.953333333333333</v>
      </c>
      <c r="L704" t="s">
        <v>27</v>
      </c>
      <c r="M704" t="s">
        <v>27</v>
      </c>
      <c r="N704">
        <v>21</v>
      </c>
      <c r="O704" t="s">
        <v>28</v>
      </c>
      <c r="P704" t="s">
        <v>60</v>
      </c>
      <c r="Q704" t="s">
        <v>30</v>
      </c>
      <c r="R704">
        <v>575</v>
      </c>
      <c r="S704">
        <v>71.875</v>
      </c>
      <c r="T704" t="s">
        <v>33</v>
      </c>
      <c r="U704" t="s">
        <v>32</v>
      </c>
      <c r="V704" t="s">
        <v>33</v>
      </c>
      <c r="W704" t="s">
        <v>33</v>
      </c>
      <c r="X704" t="s">
        <v>34</v>
      </c>
      <c r="Y704" t="s">
        <v>58</v>
      </c>
      <c r="Z704" t="s">
        <v>53</v>
      </c>
      <c r="AA704" t="s">
        <v>54</v>
      </c>
      <c r="AB704" t="s">
        <v>46</v>
      </c>
      <c r="AC704">
        <f>IF(Cdacdata[[#This Row],[placement_status]]="Placed",1,0)</f>
        <v>1</v>
      </c>
      <c r="AD704" t="s">
        <v>213</v>
      </c>
      <c r="AE704" t="s">
        <v>75</v>
      </c>
      <c r="AF704" t="s">
        <v>57</v>
      </c>
      <c r="AG704">
        <v>2022</v>
      </c>
      <c r="AH704" t="s">
        <v>40</v>
      </c>
      <c r="AI704" t="str">
        <f>IF(Cdacdata[ccat_rank]&lt;=100,"Top 100",
IF(Cdacdata[ccat_rank]&lt;=500,"101–500",
IF(Cdacdata[ccat_rank]&lt;=1000,"501–1000",
"1000+")))</f>
        <v>501–1000</v>
      </c>
    </row>
    <row r="705" spans="1:35" x14ac:dyDescent="0.3">
      <c r="A705" s="1" t="s">
        <v>212</v>
      </c>
      <c r="B705">
        <v>220608585</v>
      </c>
      <c r="C705" s="2">
        <v>44814</v>
      </c>
      <c r="D705" s="2" t="s">
        <v>943</v>
      </c>
      <c r="E705">
        <v>1505</v>
      </c>
      <c r="F705" s="2">
        <v>36341</v>
      </c>
      <c r="G705">
        <v>81.5</v>
      </c>
      <c r="H705">
        <v>85.6</v>
      </c>
      <c r="I705" t="s">
        <v>26</v>
      </c>
      <c r="J705">
        <v>75.33</v>
      </c>
      <c r="K705" s="3">
        <f t="shared" si="10"/>
        <v>80.81</v>
      </c>
      <c r="L705" t="s">
        <v>27</v>
      </c>
      <c r="M705" t="s">
        <v>27</v>
      </c>
      <c r="N705">
        <v>23</v>
      </c>
      <c r="O705" t="s">
        <v>48</v>
      </c>
      <c r="P705" t="s">
        <v>60</v>
      </c>
      <c r="Q705" t="s">
        <v>43</v>
      </c>
      <c r="R705">
        <v>544</v>
      </c>
      <c r="S705">
        <v>68</v>
      </c>
      <c r="T705" t="s">
        <v>49</v>
      </c>
      <c r="U705" t="s">
        <v>32</v>
      </c>
      <c r="V705" t="s">
        <v>49</v>
      </c>
      <c r="W705" t="s">
        <v>33</v>
      </c>
      <c r="X705" t="s">
        <v>34</v>
      </c>
      <c r="Y705" t="s">
        <v>50</v>
      </c>
      <c r="Z705" t="s">
        <v>44</v>
      </c>
      <c r="AA705" t="s">
        <v>219</v>
      </c>
      <c r="AB705" t="s">
        <v>46</v>
      </c>
      <c r="AC705">
        <f>IF(Cdacdata[[#This Row],[placement_status]]="Placed",1,0)</f>
        <v>1</v>
      </c>
      <c r="AD705" t="s">
        <v>213</v>
      </c>
      <c r="AE705" t="s">
        <v>47</v>
      </c>
      <c r="AF705" t="s">
        <v>39</v>
      </c>
      <c r="AG705">
        <v>2022</v>
      </c>
      <c r="AH705" t="s">
        <v>40</v>
      </c>
      <c r="AI705" t="str">
        <f>IF(Cdacdata[ccat_rank]&lt;=100,"Top 100",
IF(Cdacdata[ccat_rank]&lt;=500,"101–500",
IF(Cdacdata[ccat_rank]&lt;=1000,"501–1000",
"1000+")))</f>
        <v>1000+</v>
      </c>
    </row>
    <row r="706" spans="1:35" x14ac:dyDescent="0.3">
      <c r="A706" s="1" t="s">
        <v>212</v>
      </c>
      <c r="B706">
        <v>220600207</v>
      </c>
      <c r="C706" s="2">
        <v>44815</v>
      </c>
      <c r="D706" s="2" t="s">
        <v>944</v>
      </c>
      <c r="E706">
        <v>1771</v>
      </c>
      <c r="F706" s="2">
        <v>35162</v>
      </c>
      <c r="G706">
        <v>74.099999999999994</v>
      </c>
      <c r="H706">
        <v>84.2</v>
      </c>
      <c r="I706" t="s">
        <v>26</v>
      </c>
      <c r="J706">
        <v>71.09</v>
      </c>
      <c r="K706" s="3">
        <f t="shared" ref="K706:K769" si="11">AVERAGE(G706,H706,I706,J706)</f>
        <v>76.463333333333338</v>
      </c>
      <c r="L706" t="s">
        <v>27</v>
      </c>
      <c r="M706" t="s">
        <v>27</v>
      </c>
      <c r="N706">
        <v>26</v>
      </c>
      <c r="O706" t="s">
        <v>28</v>
      </c>
      <c r="P706" t="s">
        <v>65</v>
      </c>
      <c r="Q706" t="s">
        <v>30</v>
      </c>
      <c r="R706">
        <v>619</v>
      </c>
      <c r="S706">
        <v>77.375</v>
      </c>
      <c r="T706" t="s">
        <v>49</v>
      </c>
      <c r="U706" t="s">
        <v>32</v>
      </c>
      <c r="V706" t="s">
        <v>49</v>
      </c>
      <c r="W706" t="s">
        <v>49</v>
      </c>
      <c r="X706" t="s">
        <v>34</v>
      </c>
      <c r="Y706" t="s">
        <v>58</v>
      </c>
      <c r="Z706" t="s">
        <v>44</v>
      </c>
      <c r="AA706" t="s">
        <v>174</v>
      </c>
      <c r="AB706" t="s">
        <v>46</v>
      </c>
      <c r="AC706">
        <f>IF(Cdacdata[[#This Row],[placement_status]]="Placed",1,0)</f>
        <v>1</v>
      </c>
      <c r="AD706" t="s">
        <v>213</v>
      </c>
      <c r="AE706" t="s">
        <v>47</v>
      </c>
      <c r="AF706" t="s">
        <v>55</v>
      </c>
      <c r="AG706">
        <v>2022</v>
      </c>
      <c r="AH706" t="s">
        <v>40</v>
      </c>
      <c r="AI706" t="str">
        <f>IF(Cdacdata[ccat_rank]&lt;=100,"Top 100",
IF(Cdacdata[ccat_rank]&lt;=500,"101–500",
IF(Cdacdata[ccat_rank]&lt;=1000,"501–1000",
"1000+")))</f>
        <v>1000+</v>
      </c>
    </row>
    <row r="707" spans="1:35" x14ac:dyDescent="0.3">
      <c r="A707" s="1" t="s">
        <v>212</v>
      </c>
      <c r="B707">
        <v>220603912</v>
      </c>
      <c r="C707" s="2">
        <v>44813</v>
      </c>
      <c r="D707" s="2" t="s">
        <v>945</v>
      </c>
      <c r="E707">
        <v>547</v>
      </c>
      <c r="F707" s="2">
        <v>35878</v>
      </c>
      <c r="G707">
        <v>89</v>
      </c>
      <c r="H707">
        <v>77.08</v>
      </c>
      <c r="I707" t="s">
        <v>26</v>
      </c>
      <c r="J707">
        <v>68.13</v>
      </c>
      <c r="K707" s="3">
        <f t="shared" si="11"/>
        <v>78.069999999999993</v>
      </c>
      <c r="L707" t="s">
        <v>27</v>
      </c>
      <c r="M707" t="s">
        <v>27</v>
      </c>
      <c r="N707">
        <v>24</v>
      </c>
      <c r="O707" t="s">
        <v>28</v>
      </c>
      <c r="P707" t="s">
        <v>60</v>
      </c>
      <c r="Q707" t="s">
        <v>30</v>
      </c>
      <c r="R707">
        <v>623</v>
      </c>
      <c r="S707">
        <v>77.875</v>
      </c>
      <c r="T707" t="s">
        <v>49</v>
      </c>
      <c r="U707" t="s">
        <v>32</v>
      </c>
      <c r="V707" t="s">
        <v>49</v>
      </c>
      <c r="W707" t="s">
        <v>33</v>
      </c>
      <c r="X707" t="s">
        <v>34</v>
      </c>
      <c r="Y707" t="s">
        <v>58</v>
      </c>
      <c r="Z707" t="s">
        <v>44</v>
      </c>
      <c r="AA707" t="s">
        <v>115</v>
      </c>
      <c r="AB707" t="s">
        <v>46</v>
      </c>
      <c r="AC707">
        <f>IF(Cdacdata[[#This Row],[placement_status]]="Placed",1,0)</f>
        <v>1</v>
      </c>
      <c r="AD707" t="s">
        <v>213</v>
      </c>
      <c r="AE707" t="s">
        <v>75</v>
      </c>
      <c r="AF707" t="s">
        <v>39</v>
      </c>
      <c r="AG707">
        <v>2022</v>
      </c>
      <c r="AH707" t="s">
        <v>40</v>
      </c>
      <c r="AI707" t="str">
        <f>IF(Cdacdata[ccat_rank]&lt;=100,"Top 100",
IF(Cdacdata[ccat_rank]&lt;=500,"101–500",
IF(Cdacdata[ccat_rank]&lt;=1000,"501–1000",
"1000+")))</f>
        <v>501–1000</v>
      </c>
    </row>
    <row r="708" spans="1:35" x14ac:dyDescent="0.3">
      <c r="A708" s="1" t="s">
        <v>212</v>
      </c>
      <c r="B708">
        <v>220601399</v>
      </c>
      <c r="C708" s="2">
        <v>44813</v>
      </c>
      <c r="D708" s="2" t="s">
        <v>946</v>
      </c>
      <c r="E708">
        <v>1501</v>
      </c>
      <c r="F708" s="2">
        <v>35935</v>
      </c>
      <c r="G708">
        <v>71.8</v>
      </c>
      <c r="H708">
        <v>58.46</v>
      </c>
      <c r="I708" t="s">
        <v>26</v>
      </c>
      <c r="J708">
        <v>64.849999999999994</v>
      </c>
      <c r="K708" s="3">
        <f t="shared" si="11"/>
        <v>65.036666666666662</v>
      </c>
      <c r="L708" t="s">
        <v>27</v>
      </c>
      <c r="M708" t="s">
        <v>27</v>
      </c>
      <c r="N708">
        <v>24</v>
      </c>
      <c r="O708" t="s">
        <v>28</v>
      </c>
      <c r="P708" t="s">
        <v>56</v>
      </c>
      <c r="Q708" t="s">
        <v>30</v>
      </c>
      <c r="R708">
        <v>529</v>
      </c>
      <c r="S708">
        <v>66.125</v>
      </c>
      <c r="T708" t="s">
        <v>33</v>
      </c>
      <c r="U708" t="s">
        <v>32</v>
      </c>
      <c r="V708" t="s">
        <v>33</v>
      </c>
      <c r="W708" t="s">
        <v>49</v>
      </c>
      <c r="X708" t="s">
        <v>34</v>
      </c>
      <c r="Y708" t="s">
        <v>50</v>
      </c>
      <c r="Z708" t="s">
        <v>44</v>
      </c>
      <c r="AA708" t="s">
        <v>190</v>
      </c>
      <c r="AB708" t="s">
        <v>46</v>
      </c>
      <c r="AC708">
        <f>IF(Cdacdata[[#This Row],[placement_status]]="Placed",1,0)</f>
        <v>1</v>
      </c>
      <c r="AD708" t="s">
        <v>213</v>
      </c>
      <c r="AE708" t="s">
        <v>47</v>
      </c>
      <c r="AF708" t="s">
        <v>39</v>
      </c>
      <c r="AG708">
        <v>2022</v>
      </c>
      <c r="AH708" t="s">
        <v>40</v>
      </c>
      <c r="AI708" t="str">
        <f>IF(Cdacdata[ccat_rank]&lt;=100,"Top 100",
IF(Cdacdata[ccat_rank]&lt;=500,"101–500",
IF(Cdacdata[ccat_rank]&lt;=1000,"501–1000",
"1000+")))</f>
        <v>1000+</v>
      </c>
    </row>
    <row r="709" spans="1:35" x14ac:dyDescent="0.3">
      <c r="A709" s="1" t="s">
        <v>212</v>
      </c>
      <c r="B709">
        <v>220608165</v>
      </c>
      <c r="C709" s="2">
        <v>44816</v>
      </c>
      <c r="D709" s="2" t="s">
        <v>947</v>
      </c>
      <c r="E709">
        <v>883</v>
      </c>
      <c r="F709" s="2">
        <v>35759</v>
      </c>
      <c r="G709">
        <v>77</v>
      </c>
      <c r="H709">
        <v>63.38</v>
      </c>
      <c r="I709" t="s">
        <v>26</v>
      </c>
      <c r="J709">
        <v>56.72</v>
      </c>
      <c r="K709" s="3">
        <f t="shared" si="11"/>
        <v>65.7</v>
      </c>
      <c r="L709" t="s">
        <v>27</v>
      </c>
      <c r="M709" t="s">
        <v>41</v>
      </c>
      <c r="N709">
        <v>24</v>
      </c>
      <c r="O709" t="s">
        <v>72</v>
      </c>
      <c r="P709" t="s">
        <v>60</v>
      </c>
      <c r="Q709" t="s">
        <v>30</v>
      </c>
      <c r="R709">
        <v>467</v>
      </c>
      <c r="S709">
        <v>58.375</v>
      </c>
      <c r="T709" t="s">
        <v>33</v>
      </c>
      <c r="U709" t="s">
        <v>32</v>
      </c>
      <c r="V709" t="s">
        <v>33</v>
      </c>
      <c r="W709" t="s">
        <v>33</v>
      </c>
      <c r="X709" t="s">
        <v>34</v>
      </c>
      <c r="Y709" t="s">
        <v>35</v>
      </c>
      <c r="Z709" t="s">
        <v>44</v>
      </c>
      <c r="AA709" t="s">
        <v>51</v>
      </c>
      <c r="AB709" t="s">
        <v>46</v>
      </c>
      <c r="AC709">
        <f>IF(Cdacdata[[#This Row],[placement_status]]="Placed",1,0)</f>
        <v>1</v>
      </c>
      <c r="AD709" t="s">
        <v>213</v>
      </c>
      <c r="AE709" t="s">
        <v>75</v>
      </c>
      <c r="AF709" t="s">
        <v>39</v>
      </c>
      <c r="AG709">
        <v>2022</v>
      </c>
      <c r="AH709" t="s">
        <v>40</v>
      </c>
      <c r="AI709" t="str">
        <f>IF(Cdacdata[ccat_rank]&lt;=100,"Top 100",
IF(Cdacdata[ccat_rank]&lt;=500,"101–500",
IF(Cdacdata[ccat_rank]&lt;=1000,"501–1000",
"1000+")))</f>
        <v>501–1000</v>
      </c>
    </row>
    <row r="710" spans="1:35" x14ac:dyDescent="0.3">
      <c r="A710" s="1" t="s">
        <v>212</v>
      </c>
      <c r="B710">
        <v>220606712</v>
      </c>
      <c r="C710" s="2">
        <v>44816</v>
      </c>
      <c r="D710" s="2" t="s">
        <v>948</v>
      </c>
      <c r="E710">
        <v>1392</v>
      </c>
      <c r="F710" s="2">
        <v>35637</v>
      </c>
      <c r="G710">
        <v>90.2</v>
      </c>
      <c r="H710" t="s">
        <v>26</v>
      </c>
      <c r="I710">
        <v>74.290000000000006</v>
      </c>
      <c r="J710">
        <v>67.7</v>
      </c>
      <c r="K710" s="3">
        <f t="shared" si="11"/>
        <v>77.396666666666661</v>
      </c>
      <c r="L710" t="s">
        <v>27</v>
      </c>
      <c r="M710" t="s">
        <v>27</v>
      </c>
      <c r="N710">
        <v>25</v>
      </c>
      <c r="O710" t="s">
        <v>28</v>
      </c>
      <c r="P710" t="s">
        <v>60</v>
      </c>
      <c r="Q710" t="s">
        <v>30</v>
      </c>
      <c r="R710">
        <v>633</v>
      </c>
      <c r="S710">
        <v>79.125</v>
      </c>
      <c r="T710" t="s">
        <v>49</v>
      </c>
      <c r="U710" t="s">
        <v>32</v>
      </c>
      <c r="V710" t="s">
        <v>49</v>
      </c>
      <c r="W710" t="s">
        <v>49</v>
      </c>
      <c r="X710" t="s">
        <v>34</v>
      </c>
      <c r="Y710" t="s">
        <v>58</v>
      </c>
      <c r="Z710" t="s">
        <v>44</v>
      </c>
      <c r="AA710" t="s">
        <v>220</v>
      </c>
      <c r="AB710" t="s">
        <v>46</v>
      </c>
      <c r="AC710">
        <f>IF(Cdacdata[[#This Row],[placement_status]]="Placed",1,0)</f>
        <v>1</v>
      </c>
      <c r="AD710" t="s">
        <v>213</v>
      </c>
      <c r="AE710" t="s">
        <v>47</v>
      </c>
      <c r="AF710" t="s">
        <v>39</v>
      </c>
      <c r="AG710">
        <v>2022</v>
      </c>
      <c r="AH710" t="s">
        <v>40</v>
      </c>
      <c r="AI710" t="str">
        <f>IF(Cdacdata[ccat_rank]&lt;=100,"Top 100",
IF(Cdacdata[ccat_rank]&lt;=500,"101–500",
IF(Cdacdata[ccat_rank]&lt;=1000,"501–1000",
"1000+")))</f>
        <v>1000+</v>
      </c>
    </row>
    <row r="711" spans="1:35" x14ac:dyDescent="0.3">
      <c r="A711" s="1" t="s">
        <v>212</v>
      </c>
      <c r="B711">
        <v>220701622</v>
      </c>
      <c r="C711" s="2">
        <v>44814</v>
      </c>
      <c r="D711" s="2" t="s">
        <v>949</v>
      </c>
      <c r="E711">
        <v>1573</v>
      </c>
      <c r="F711" s="2">
        <v>35372</v>
      </c>
      <c r="G711">
        <v>92.73</v>
      </c>
      <c r="H711">
        <v>89.23</v>
      </c>
      <c r="I711" t="s">
        <v>26</v>
      </c>
      <c r="J711">
        <v>7.26</v>
      </c>
      <c r="K711" s="3">
        <f t="shared" si="11"/>
        <v>63.073333333333331</v>
      </c>
      <c r="L711" t="s">
        <v>27</v>
      </c>
      <c r="M711" t="s">
        <v>41</v>
      </c>
      <c r="N711">
        <v>25</v>
      </c>
      <c r="O711" t="s">
        <v>62</v>
      </c>
      <c r="P711" t="s">
        <v>26</v>
      </c>
      <c r="Q711" t="s">
        <v>30</v>
      </c>
      <c r="R711">
        <v>649</v>
      </c>
      <c r="S711">
        <v>81.125</v>
      </c>
      <c r="T711" t="s">
        <v>49</v>
      </c>
      <c r="U711" t="s">
        <v>32</v>
      </c>
      <c r="V711" t="s">
        <v>49</v>
      </c>
      <c r="W711" t="s">
        <v>49</v>
      </c>
      <c r="X711" t="s">
        <v>34</v>
      </c>
      <c r="Y711" t="s">
        <v>58</v>
      </c>
      <c r="Z711" t="s">
        <v>44</v>
      </c>
      <c r="AA711" t="s">
        <v>221</v>
      </c>
      <c r="AB711" t="s">
        <v>46</v>
      </c>
      <c r="AC711">
        <f>IF(Cdacdata[[#This Row],[placement_status]]="Placed",1,0)</f>
        <v>1</v>
      </c>
      <c r="AD711" t="s">
        <v>213</v>
      </c>
      <c r="AE711" t="s">
        <v>47</v>
      </c>
      <c r="AF711" t="s">
        <v>39</v>
      </c>
      <c r="AG711">
        <v>2022</v>
      </c>
      <c r="AH711" t="s">
        <v>40</v>
      </c>
      <c r="AI711" t="str">
        <f>IF(Cdacdata[ccat_rank]&lt;=100,"Top 100",
IF(Cdacdata[ccat_rank]&lt;=500,"101–500",
IF(Cdacdata[ccat_rank]&lt;=1000,"501–1000",
"1000+")))</f>
        <v>1000+</v>
      </c>
    </row>
    <row r="712" spans="1:35" x14ac:dyDescent="0.3">
      <c r="A712" s="1" t="s">
        <v>212</v>
      </c>
      <c r="B712">
        <v>220711425</v>
      </c>
      <c r="C712" s="2">
        <v>44813</v>
      </c>
      <c r="D712" s="2" t="s">
        <v>950</v>
      </c>
      <c r="E712">
        <v>1680</v>
      </c>
      <c r="F712" s="2">
        <v>35002</v>
      </c>
      <c r="G712">
        <v>79.819999999999993</v>
      </c>
      <c r="H712">
        <v>62.83</v>
      </c>
      <c r="I712" t="s">
        <v>26</v>
      </c>
      <c r="J712">
        <v>77.8</v>
      </c>
      <c r="K712" s="3">
        <f t="shared" si="11"/>
        <v>73.483333333333334</v>
      </c>
      <c r="L712" t="s">
        <v>27</v>
      </c>
      <c r="M712" t="s">
        <v>41</v>
      </c>
      <c r="N712">
        <v>26</v>
      </c>
      <c r="O712" t="s">
        <v>48</v>
      </c>
      <c r="P712" t="s">
        <v>65</v>
      </c>
      <c r="Q712" t="s">
        <v>30</v>
      </c>
      <c r="R712">
        <v>620</v>
      </c>
      <c r="S712">
        <v>77.5</v>
      </c>
      <c r="T712" t="s">
        <v>33</v>
      </c>
      <c r="U712" t="s">
        <v>32</v>
      </c>
      <c r="V712" t="s">
        <v>33</v>
      </c>
      <c r="W712" t="s">
        <v>33</v>
      </c>
      <c r="X712" t="s">
        <v>34</v>
      </c>
      <c r="Y712" t="s">
        <v>58</v>
      </c>
      <c r="Z712" t="s">
        <v>44</v>
      </c>
      <c r="AA712" t="s">
        <v>91</v>
      </c>
      <c r="AB712" t="s">
        <v>46</v>
      </c>
      <c r="AC712">
        <f>IF(Cdacdata[[#This Row],[placement_status]]="Placed",1,0)</f>
        <v>1</v>
      </c>
      <c r="AD712" t="s">
        <v>213</v>
      </c>
      <c r="AE712" t="s">
        <v>47</v>
      </c>
      <c r="AF712" t="s">
        <v>55</v>
      </c>
      <c r="AG712">
        <v>2022</v>
      </c>
      <c r="AH712" t="s">
        <v>40</v>
      </c>
      <c r="AI712" t="str">
        <f>IF(Cdacdata[ccat_rank]&lt;=100,"Top 100",
IF(Cdacdata[ccat_rank]&lt;=500,"101–500",
IF(Cdacdata[ccat_rank]&lt;=1000,"501–1000",
"1000+")))</f>
        <v>1000+</v>
      </c>
    </row>
    <row r="713" spans="1:35" x14ac:dyDescent="0.3">
      <c r="A713" s="1" t="s">
        <v>212</v>
      </c>
      <c r="B713">
        <v>220705629</v>
      </c>
      <c r="C713" s="2">
        <v>44813</v>
      </c>
      <c r="D713" s="2" t="s">
        <v>951</v>
      </c>
      <c r="E713">
        <v>1656</v>
      </c>
      <c r="F713" s="2">
        <v>36697</v>
      </c>
      <c r="G713">
        <v>90.4</v>
      </c>
      <c r="H713">
        <v>68.92</v>
      </c>
      <c r="I713" t="s">
        <v>26</v>
      </c>
      <c r="J713">
        <v>8.85</v>
      </c>
      <c r="K713" s="3">
        <f t="shared" si="11"/>
        <v>56.056666666666665</v>
      </c>
      <c r="L713" t="s">
        <v>27</v>
      </c>
      <c r="M713" t="s">
        <v>27</v>
      </c>
      <c r="N713">
        <v>22</v>
      </c>
      <c r="O713" t="s">
        <v>62</v>
      </c>
      <c r="P713" t="s">
        <v>26</v>
      </c>
      <c r="Q713" t="s">
        <v>30</v>
      </c>
      <c r="R713">
        <v>482</v>
      </c>
      <c r="S713">
        <v>60.25</v>
      </c>
      <c r="T713" t="s">
        <v>31</v>
      </c>
      <c r="U713" t="s">
        <v>32</v>
      </c>
      <c r="V713" t="s">
        <v>31</v>
      </c>
      <c r="W713" t="s">
        <v>33</v>
      </c>
      <c r="X713" t="s">
        <v>34</v>
      </c>
      <c r="Y713" t="s">
        <v>50</v>
      </c>
      <c r="Z713" t="s">
        <v>53</v>
      </c>
      <c r="AA713" t="s">
        <v>54</v>
      </c>
      <c r="AB713" t="s">
        <v>46</v>
      </c>
      <c r="AC713">
        <f>IF(Cdacdata[[#This Row],[placement_status]]="Placed",1,0)</f>
        <v>1</v>
      </c>
      <c r="AD713" t="s">
        <v>213</v>
      </c>
      <c r="AE713" t="s">
        <v>47</v>
      </c>
      <c r="AF713" t="s">
        <v>57</v>
      </c>
      <c r="AG713">
        <v>2022</v>
      </c>
      <c r="AH713" t="s">
        <v>40</v>
      </c>
      <c r="AI713" t="str">
        <f>IF(Cdacdata[ccat_rank]&lt;=100,"Top 100",
IF(Cdacdata[ccat_rank]&lt;=500,"101–500",
IF(Cdacdata[ccat_rank]&lt;=1000,"501–1000",
"1000+")))</f>
        <v>1000+</v>
      </c>
    </row>
    <row r="714" spans="1:35" x14ac:dyDescent="0.3">
      <c r="A714" s="1" t="s">
        <v>212</v>
      </c>
      <c r="B714">
        <v>220600143</v>
      </c>
      <c r="C714" s="2">
        <v>44812</v>
      </c>
      <c r="D714" s="2" t="s">
        <v>952</v>
      </c>
      <c r="E714">
        <v>530</v>
      </c>
      <c r="F714" s="2">
        <v>35649</v>
      </c>
      <c r="G714">
        <v>88.91</v>
      </c>
      <c r="H714">
        <v>70.31</v>
      </c>
      <c r="I714" t="s">
        <v>26</v>
      </c>
      <c r="J714">
        <v>64.98</v>
      </c>
      <c r="K714" s="3">
        <f t="shared" si="11"/>
        <v>74.733333333333334</v>
      </c>
      <c r="L714" t="s">
        <v>27</v>
      </c>
      <c r="M714" t="s">
        <v>41</v>
      </c>
      <c r="N714">
        <v>25</v>
      </c>
      <c r="O714" t="s">
        <v>28</v>
      </c>
      <c r="P714" t="s">
        <v>60</v>
      </c>
      <c r="Q714" t="s">
        <v>30</v>
      </c>
      <c r="R714">
        <v>457</v>
      </c>
      <c r="S714">
        <v>57.125</v>
      </c>
      <c r="T714" t="s">
        <v>49</v>
      </c>
      <c r="U714" t="s">
        <v>32</v>
      </c>
      <c r="V714" t="s">
        <v>49</v>
      </c>
      <c r="W714" t="s">
        <v>33</v>
      </c>
      <c r="X714" t="s">
        <v>34</v>
      </c>
      <c r="Y714" t="s">
        <v>35</v>
      </c>
      <c r="Z714" t="s">
        <v>36</v>
      </c>
      <c r="AA714" t="s">
        <v>1268</v>
      </c>
      <c r="AB714" t="s">
        <v>36</v>
      </c>
      <c r="AC714">
        <f>IF(Cdacdata[[#This Row],[placement_status]]="Placed",1,0)</f>
        <v>0</v>
      </c>
      <c r="AD714" t="s">
        <v>213</v>
      </c>
      <c r="AE714" t="s">
        <v>75</v>
      </c>
      <c r="AF714" t="s">
        <v>39</v>
      </c>
      <c r="AG714">
        <v>2022</v>
      </c>
      <c r="AH714" t="s">
        <v>40</v>
      </c>
      <c r="AI714" t="str">
        <f>IF(Cdacdata[ccat_rank]&lt;=100,"Top 100",
IF(Cdacdata[ccat_rank]&lt;=500,"101–500",
IF(Cdacdata[ccat_rank]&lt;=1000,"501–1000",
"1000+")))</f>
        <v>501–1000</v>
      </c>
    </row>
    <row r="715" spans="1:35" x14ac:dyDescent="0.3">
      <c r="A715" s="1" t="s">
        <v>212</v>
      </c>
      <c r="B715">
        <v>220700229</v>
      </c>
      <c r="C715" s="2">
        <v>44813</v>
      </c>
      <c r="D715" s="2" t="s">
        <v>953</v>
      </c>
      <c r="E715">
        <v>951</v>
      </c>
      <c r="F715" s="2">
        <v>35799</v>
      </c>
      <c r="G715">
        <v>89.4</v>
      </c>
      <c r="H715">
        <v>76.400000000000006</v>
      </c>
      <c r="I715" t="s">
        <v>26</v>
      </c>
      <c r="J715">
        <v>78.25</v>
      </c>
      <c r="K715" s="3">
        <f t="shared" si="11"/>
        <v>81.350000000000009</v>
      </c>
      <c r="L715" t="s">
        <v>27</v>
      </c>
      <c r="M715" t="s">
        <v>27</v>
      </c>
      <c r="N715">
        <v>24</v>
      </c>
      <c r="O715" t="s">
        <v>48</v>
      </c>
      <c r="P715" t="s">
        <v>26</v>
      </c>
      <c r="Q715" t="s">
        <v>43</v>
      </c>
      <c r="R715">
        <v>529</v>
      </c>
      <c r="S715">
        <v>66.125</v>
      </c>
      <c r="T715" t="s">
        <v>33</v>
      </c>
      <c r="U715" t="s">
        <v>32</v>
      </c>
      <c r="V715" t="s">
        <v>33</v>
      </c>
      <c r="W715" t="s">
        <v>49</v>
      </c>
      <c r="X715" t="s">
        <v>34</v>
      </c>
      <c r="Y715" t="s">
        <v>50</v>
      </c>
      <c r="Z715" t="s">
        <v>53</v>
      </c>
      <c r="AA715" t="s">
        <v>54</v>
      </c>
      <c r="AB715" t="s">
        <v>46</v>
      </c>
      <c r="AC715">
        <f>IF(Cdacdata[[#This Row],[placement_status]]="Placed",1,0)</f>
        <v>1</v>
      </c>
      <c r="AD715" t="s">
        <v>213</v>
      </c>
      <c r="AE715" t="s">
        <v>75</v>
      </c>
      <c r="AF715" t="s">
        <v>39</v>
      </c>
      <c r="AG715">
        <v>2022</v>
      </c>
      <c r="AH715" t="s">
        <v>40</v>
      </c>
      <c r="AI715" t="str">
        <f>IF(Cdacdata[ccat_rank]&lt;=100,"Top 100",
IF(Cdacdata[ccat_rank]&lt;=500,"101–500",
IF(Cdacdata[ccat_rank]&lt;=1000,"501–1000",
"1000+")))</f>
        <v>501–1000</v>
      </c>
    </row>
    <row r="716" spans="1:35" x14ac:dyDescent="0.3">
      <c r="A716" s="1" t="s">
        <v>212</v>
      </c>
      <c r="B716">
        <v>220607926</v>
      </c>
      <c r="C716" s="2">
        <v>44814</v>
      </c>
      <c r="D716" s="2" t="s">
        <v>954</v>
      </c>
      <c r="E716">
        <v>1776</v>
      </c>
      <c r="F716" s="2">
        <v>35620</v>
      </c>
      <c r="G716">
        <v>73.8</v>
      </c>
      <c r="H716">
        <v>50.62</v>
      </c>
      <c r="I716" t="s">
        <v>26</v>
      </c>
      <c r="J716">
        <v>54.74</v>
      </c>
      <c r="K716" s="3">
        <f t="shared" si="11"/>
        <v>59.72</v>
      </c>
      <c r="L716" t="s">
        <v>27</v>
      </c>
      <c r="M716" t="s">
        <v>41</v>
      </c>
      <c r="N716">
        <v>25</v>
      </c>
      <c r="O716" t="s">
        <v>72</v>
      </c>
      <c r="P716" t="s">
        <v>42</v>
      </c>
      <c r="Q716" t="s">
        <v>30</v>
      </c>
      <c r="R716">
        <v>455</v>
      </c>
      <c r="S716">
        <v>56.875</v>
      </c>
      <c r="T716" t="s">
        <v>31</v>
      </c>
      <c r="U716" t="s">
        <v>32</v>
      </c>
      <c r="V716" t="s">
        <v>31</v>
      </c>
      <c r="W716" t="s">
        <v>33</v>
      </c>
      <c r="X716" t="s">
        <v>34</v>
      </c>
      <c r="Y716" t="s">
        <v>35</v>
      </c>
      <c r="Z716" t="s">
        <v>44</v>
      </c>
      <c r="AA716" t="s">
        <v>74</v>
      </c>
      <c r="AB716" t="s">
        <v>46</v>
      </c>
      <c r="AC716">
        <f>IF(Cdacdata[[#This Row],[placement_status]]="Placed",1,0)</f>
        <v>1</v>
      </c>
      <c r="AD716" t="s">
        <v>213</v>
      </c>
      <c r="AE716" t="s">
        <v>47</v>
      </c>
      <c r="AF716" t="s">
        <v>39</v>
      </c>
      <c r="AG716">
        <v>2022</v>
      </c>
      <c r="AH716" t="s">
        <v>40</v>
      </c>
      <c r="AI716" t="str">
        <f>IF(Cdacdata[ccat_rank]&lt;=100,"Top 100",
IF(Cdacdata[ccat_rank]&lt;=500,"101–500",
IF(Cdacdata[ccat_rank]&lt;=1000,"501–1000",
"1000+")))</f>
        <v>1000+</v>
      </c>
    </row>
    <row r="717" spans="1:35" x14ac:dyDescent="0.3">
      <c r="A717" s="1" t="s">
        <v>212</v>
      </c>
      <c r="B717">
        <v>220603569</v>
      </c>
      <c r="C717" s="2">
        <v>44813</v>
      </c>
      <c r="D717" s="2" t="s">
        <v>955</v>
      </c>
      <c r="E717">
        <v>1107</v>
      </c>
      <c r="F717" s="2">
        <v>35010</v>
      </c>
      <c r="G717">
        <v>68.400000000000006</v>
      </c>
      <c r="H717">
        <v>66.599999999999994</v>
      </c>
      <c r="I717" t="s">
        <v>26</v>
      </c>
      <c r="J717">
        <v>61.25</v>
      </c>
      <c r="K717" s="3">
        <f t="shared" si="11"/>
        <v>65.416666666666671</v>
      </c>
      <c r="L717" t="s">
        <v>27</v>
      </c>
      <c r="M717" t="s">
        <v>41</v>
      </c>
      <c r="N717">
        <v>26</v>
      </c>
      <c r="O717" t="s">
        <v>28</v>
      </c>
      <c r="P717" t="s">
        <v>60</v>
      </c>
      <c r="Q717" t="s">
        <v>30</v>
      </c>
      <c r="R717">
        <v>524</v>
      </c>
      <c r="S717">
        <v>65.5</v>
      </c>
      <c r="T717" t="s">
        <v>33</v>
      </c>
      <c r="U717" t="s">
        <v>32</v>
      </c>
      <c r="V717" t="s">
        <v>33</v>
      </c>
      <c r="W717" t="s">
        <v>33</v>
      </c>
      <c r="X717" t="s">
        <v>34</v>
      </c>
      <c r="Y717" t="s">
        <v>50</v>
      </c>
      <c r="Z717" t="s">
        <v>36</v>
      </c>
      <c r="AA717" t="s">
        <v>1268</v>
      </c>
      <c r="AB717" t="s">
        <v>36</v>
      </c>
      <c r="AC717">
        <f>IF(Cdacdata[[#This Row],[placement_status]]="Placed",1,0)</f>
        <v>0</v>
      </c>
      <c r="AD717" t="s">
        <v>213</v>
      </c>
      <c r="AE717" t="s">
        <v>47</v>
      </c>
      <c r="AF717" t="s">
        <v>55</v>
      </c>
      <c r="AG717">
        <v>2022</v>
      </c>
      <c r="AH717" t="s">
        <v>40</v>
      </c>
      <c r="AI717" t="str">
        <f>IF(Cdacdata[ccat_rank]&lt;=100,"Top 100",
IF(Cdacdata[ccat_rank]&lt;=500,"101–500",
IF(Cdacdata[ccat_rank]&lt;=1000,"501–1000",
"1000+")))</f>
        <v>1000+</v>
      </c>
    </row>
    <row r="718" spans="1:35" x14ac:dyDescent="0.3">
      <c r="A718" s="1" t="s">
        <v>212</v>
      </c>
      <c r="B718">
        <v>220601891</v>
      </c>
      <c r="C718" s="2">
        <v>44816</v>
      </c>
      <c r="D718" s="2" t="s">
        <v>956</v>
      </c>
      <c r="E718">
        <v>1016</v>
      </c>
      <c r="F718" s="2">
        <v>35249</v>
      </c>
      <c r="G718">
        <v>69.67</v>
      </c>
      <c r="H718">
        <v>62.64</v>
      </c>
      <c r="I718" t="s">
        <v>26</v>
      </c>
      <c r="J718">
        <v>60</v>
      </c>
      <c r="K718" s="3">
        <f t="shared" si="11"/>
        <v>64.103333333333339</v>
      </c>
      <c r="L718" t="s">
        <v>27</v>
      </c>
      <c r="M718" t="s">
        <v>41</v>
      </c>
      <c r="N718">
        <v>26</v>
      </c>
      <c r="O718" t="s">
        <v>28</v>
      </c>
      <c r="P718" t="s">
        <v>60</v>
      </c>
      <c r="Q718" t="s">
        <v>30</v>
      </c>
      <c r="R718">
        <v>442</v>
      </c>
      <c r="S718">
        <v>55.25</v>
      </c>
      <c r="T718" t="s">
        <v>33</v>
      </c>
      <c r="U718" t="s">
        <v>32</v>
      </c>
      <c r="V718" t="s">
        <v>33</v>
      </c>
      <c r="W718" t="s">
        <v>31</v>
      </c>
      <c r="X718" t="s">
        <v>34</v>
      </c>
      <c r="Y718" t="s">
        <v>35</v>
      </c>
      <c r="Z718" t="s">
        <v>36</v>
      </c>
      <c r="AA718" t="s">
        <v>1268</v>
      </c>
      <c r="AB718" t="s">
        <v>36</v>
      </c>
      <c r="AC718">
        <f>IF(Cdacdata[[#This Row],[placement_status]]="Placed",1,0)</f>
        <v>0</v>
      </c>
      <c r="AD718" t="s">
        <v>213</v>
      </c>
      <c r="AE718" t="s">
        <v>47</v>
      </c>
      <c r="AF718" t="s">
        <v>55</v>
      </c>
      <c r="AG718">
        <v>2022</v>
      </c>
      <c r="AH718" t="s">
        <v>40</v>
      </c>
      <c r="AI718" t="str">
        <f>IF(Cdacdata[ccat_rank]&lt;=100,"Top 100",
IF(Cdacdata[ccat_rank]&lt;=500,"101–500",
IF(Cdacdata[ccat_rank]&lt;=1000,"501–1000",
"1000+")))</f>
        <v>1000+</v>
      </c>
    </row>
    <row r="719" spans="1:35" x14ac:dyDescent="0.3">
      <c r="A719" s="1" t="s">
        <v>212</v>
      </c>
      <c r="B719">
        <v>220608476</v>
      </c>
      <c r="C719" s="2">
        <v>44813</v>
      </c>
      <c r="D719" s="2" t="s">
        <v>957</v>
      </c>
      <c r="E719">
        <v>1737</v>
      </c>
      <c r="F719" s="2">
        <v>35283</v>
      </c>
      <c r="G719">
        <v>72</v>
      </c>
      <c r="H719">
        <v>64</v>
      </c>
      <c r="I719" t="s">
        <v>26</v>
      </c>
      <c r="J719">
        <v>75.099999999999994</v>
      </c>
      <c r="K719" s="3">
        <f t="shared" si="11"/>
        <v>70.36666666666666</v>
      </c>
      <c r="L719" t="s">
        <v>27</v>
      </c>
      <c r="M719" t="s">
        <v>27</v>
      </c>
      <c r="N719">
        <v>26</v>
      </c>
      <c r="O719" t="s">
        <v>48</v>
      </c>
      <c r="P719" t="s">
        <v>56</v>
      </c>
      <c r="Q719" t="s">
        <v>30</v>
      </c>
      <c r="R719">
        <v>526</v>
      </c>
      <c r="S719">
        <v>65.75</v>
      </c>
      <c r="T719" t="s">
        <v>33</v>
      </c>
      <c r="U719" t="s">
        <v>32</v>
      </c>
      <c r="V719" t="s">
        <v>33</v>
      </c>
      <c r="W719" t="s">
        <v>31</v>
      </c>
      <c r="X719" t="s">
        <v>34</v>
      </c>
      <c r="Y719" t="s">
        <v>50</v>
      </c>
      <c r="Z719" t="s">
        <v>44</v>
      </c>
      <c r="AA719" t="s">
        <v>180</v>
      </c>
      <c r="AB719" t="s">
        <v>46</v>
      </c>
      <c r="AC719">
        <f>IF(Cdacdata[[#This Row],[placement_status]]="Placed",1,0)</f>
        <v>1</v>
      </c>
      <c r="AD719" t="s">
        <v>213</v>
      </c>
      <c r="AE719" t="s">
        <v>47</v>
      </c>
      <c r="AF719" t="s">
        <v>55</v>
      </c>
      <c r="AG719">
        <v>2022</v>
      </c>
      <c r="AH719" t="s">
        <v>40</v>
      </c>
      <c r="AI719" t="str">
        <f>IF(Cdacdata[ccat_rank]&lt;=100,"Top 100",
IF(Cdacdata[ccat_rank]&lt;=500,"101–500",
IF(Cdacdata[ccat_rank]&lt;=1000,"501–1000",
"1000+")))</f>
        <v>1000+</v>
      </c>
    </row>
    <row r="720" spans="1:35" x14ac:dyDescent="0.3">
      <c r="A720" s="1" t="s">
        <v>212</v>
      </c>
      <c r="B720">
        <v>220600184</v>
      </c>
      <c r="C720" s="2">
        <v>44815</v>
      </c>
      <c r="D720" s="2" t="s">
        <v>958</v>
      </c>
      <c r="E720">
        <v>1307</v>
      </c>
      <c r="F720" s="2">
        <v>36891</v>
      </c>
      <c r="G720">
        <v>89.8</v>
      </c>
      <c r="H720">
        <v>79.08</v>
      </c>
      <c r="I720" t="s">
        <v>26</v>
      </c>
      <c r="J720">
        <v>72.38</v>
      </c>
      <c r="K720" s="3">
        <f t="shared" si="11"/>
        <v>80.42</v>
      </c>
      <c r="L720" t="s">
        <v>27</v>
      </c>
      <c r="M720" t="s">
        <v>27</v>
      </c>
      <c r="N720">
        <v>21</v>
      </c>
      <c r="O720" t="s">
        <v>28</v>
      </c>
      <c r="P720" t="s">
        <v>29</v>
      </c>
      <c r="Q720" t="s">
        <v>30</v>
      </c>
      <c r="R720">
        <v>595</v>
      </c>
      <c r="S720">
        <v>74.375</v>
      </c>
      <c r="T720" t="s">
        <v>31</v>
      </c>
      <c r="U720" t="s">
        <v>32</v>
      </c>
      <c r="V720" t="s">
        <v>31</v>
      </c>
      <c r="W720" t="s">
        <v>31</v>
      </c>
      <c r="X720" t="s">
        <v>34</v>
      </c>
      <c r="Y720" t="s">
        <v>58</v>
      </c>
      <c r="Z720" t="s">
        <v>44</v>
      </c>
      <c r="AA720" t="s">
        <v>140</v>
      </c>
      <c r="AB720" t="s">
        <v>46</v>
      </c>
      <c r="AC720">
        <f>IF(Cdacdata[[#This Row],[placement_status]]="Placed",1,0)</f>
        <v>1</v>
      </c>
      <c r="AD720" t="s">
        <v>213</v>
      </c>
      <c r="AE720" t="s">
        <v>47</v>
      </c>
      <c r="AF720" t="s">
        <v>57</v>
      </c>
      <c r="AG720">
        <v>2022</v>
      </c>
      <c r="AH720" t="s">
        <v>40</v>
      </c>
      <c r="AI720" t="str">
        <f>IF(Cdacdata[ccat_rank]&lt;=100,"Top 100",
IF(Cdacdata[ccat_rank]&lt;=500,"101–500",
IF(Cdacdata[ccat_rank]&lt;=1000,"501–1000",
"1000+")))</f>
        <v>1000+</v>
      </c>
    </row>
    <row r="721" spans="1:35" x14ac:dyDescent="0.3">
      <c r="A721" s="1" t="s">
        <v>212</v>
      </c>
      <c r="B721">
        <v>220600720</v>
      </c>
      <c r="C721" s="2">
        <v>44813</v>
      </c>
      <c r="D721" s="2" t="s">
        <v>959</v>
      </c>
      <c r="E721">
        <v>1576</v>
      </c>
      <c r="F721" s="2">
        <v>35333</v>
      </c>
      <c r="G721">
        <v>82.55</v>
      </c>
      <c r="H721">
        <v>64.77</v>
      </c>
      <c r="I721" t="s">
        <v>26</v>
      </c>
      <c r="J721">
        <v>61.6</v>
      </c>
      <c r="K721" s="3">
        <f t="shared" si="11"/>
        <v>69.64</v>
      </c>
      <c r="L721" t="s">
        <v>27</v>
      </c>
      <c r="M721" t="s">
        <v>41</v>
      </c>
      <c r="N721">
        <v>25</v>
      </c>
      <c r="O721" t="s">
        <v>28</v>
      </c>
      <c r="P721" t="s">
        <v>26</v>
      </c>
      <c r="Q721" t="s">
        <v>30</v>
      </c>
      <c r="R721">
        <v>447</v>
      </c>
      <c r="S721">
        <v>55.875</v>
      </c>
      <c r="T721" t="s">
        <v>33</v>
      </c>
      <c r="U721" t="s">
        <v>32</v>
      </c>
      <c r="V721" t="s">
        <v>33</v>
      </c>
      <c r="W721" t="s">
        <v>33</v>
      </c>
      <c r="X721" t="s">
        <v>34</v>
      </c>
      <c r="Y721" t="s">
        <v>35</v>
      </c>
      <c r="Z721" t="s">
        <v>36</v>
      </c>
      <c r="AA721" t="s">
        <v>1268</v>
      </c>
      <c r="AB721" t="s">
        <v>36</v>
      </c>
      <c r="AC721">
        <f>IF(Cdacdata[[#This Row],[placement_status]]="Placed",1,0)</f>
        <v>0</v>
      </c>
      <c r="AD721" t="s">
        <v>213</v>
      </c>
      <c r="AE721" t="s">
        <v>47</v>
      </c>
      <c r="AF721" t="s">
        <v>39</v>
      </c>
      <c r="AG721">
        <v>2022</v>
      </c>
      <c r="AH721" t="s">
        <v>40</v>
      </c>
      <c r="AI721" t="str">
        <f>IF(Cdacdata[ccat_rank]&lt;=100,"Top 100",
IF(Cdacdata[ccat_rank]&lt;=500,"101–500",
IF(Cdacdata[ccat_rank]&lt;=1000,"501–1000",
"1000+")))</f>
        <v>1000+</v>
      </c>
    </row>
    <row r="722" spans="1:35" x14ac:dyDescent="0.3">
      <c r="A722" s="1" t="s">
        <v>212</v>
      </c>
      <c r="B722">
        <v>220607526</v>
      </c>
      <c r="C722" s="2">
        <v>44815</v>
      </c>
      <c r="D722" s="2" t="s">
        <v>960</v>
      </c>
      <c r="E722">
        <v>1163</v>
      </c>
      <c r="F722" s="2">
        <v>35814</v>
      </c>
      <c r="G722">
        <v>88.73</v>
      </c>
      <c r="H722">
        <v>61.08</v>
      </c>
      <c r="I722" t="s">
        <v>26</v>
      </c>
      <c r="J722">
        <v>56.81</v>
      </c>
      <c r="K722" s="3">
        <f t="shared" si="11"/>
        <v>68.873333333333335</v>
      </c>
      <c r="L722" t="s">
        <v>27</v>
      </c>
      <c r="M722" t="s">
        <v>41</v>
      </c>
      <c r="N722">
        <v>24</v>
      </c>
      <c r="O722" t="s">
        <v>72</v>
      </c>
      <c r="P722" t="s">
        <v>60</v>
      </c>
      <c r="Q722" t="s">
        <v>30</v>
      </c>
      <c r="R722">
        <v>581</v>
      </c>
      <c r="S722">
        <v>72.625</v>
      </c>
      <c r="T722" t="s">
        <v>49</v>
      </c>
      <c r="U722" t="s">
        <v>32</v>
      </c>
      <c r="V722" t="s">
        <v>49</v>
      </c>
      <c r="W722" t="s">
        <v>49</v>
      </c>
      <c r="X722" t="s">
        <v>34</v>
      </c>
      <c r="Y722" t="s">
        <v>58</v>
      </c>
      <c r="Z722" t="s">
        <v>44</v>
      </c>
      <c r="AA722" t="s">
        <v>222</v>
      </c>
      <c r="AB722" t="s">
        <v>46</v>
      </c>
      <c r="AC722">
        <f>IF(Cdacdata[[#This Row],[placement_status]]="Placed",1,0)</f>
        <v>1</v>
      </c>
      <c r="AD722" t="s">
        <v>213</v>
      </c>
      <c r="AE722" t="s">
        <v>47</v>
      </c>
      <c r="AF722" t="s">
        <v>39</v>
      </c>
      <c r="AG722">
        <v>2022</v>
      </c>
      <c r="AH722" t="s">
        <v>40</v>
      </c>
      <c r="AI722" t="str">
        <f>IF(Cdacdata[ccat_rank]&lt;=100,"Top 100",
IF(Cdacdata[ccat_rank]&lt;=500,"101–500",
IF(Cdacdata[ccat_rank]&lt;=1000,"501–1000",
"1000+")))</f>
        <v>1000+</v>
      </c>
    </row>
    <row r="723" spans="1:35" x14ac:dyDescent="0.3">
      <c r="A723" s="1" t="s">
        <v>212</v>
      </c>
      <c r="B723">
        <v>220600462</v>
      </c>
      <c r="C723" s="2">
        <v>44813</v>
      </c>
      <c r="D723" s="2" t="s">
        <v>961</v>
      </c>
      <c r="E723">
        <v>1420</v>
      </c>
      <c r="F723" s="2">
        <v>36302</v>
      </c>
      <c r="G723">
        <v>70</v>
      </c>
      <c r="H723">
        <v>71</v>
      </c>
      <c r="I723" t="s">
        <v>26</v>
      </c>
      <c r="J723">
        <v>70</v>
      </c>
      <c r="K723" s="3">
        <f t="shared" si="11"/>
        <v>70.333333333333329</v>
      </c>
      <c r="L723" t="s">
        <v>27</v>
      </c>
      <c r="M723" t="s">
        <v>27</v>
      </c>
      <c r="N723">
        <v>23</v>
      </c>
      <c r="O723" t="s">
        <v>28</v>
      </c>
      <c r="P723" t="s">
        <v>56</v>
      </c>
      <c r="Q723" t="s">
        <v>43</v>
      </c>
      <c r="R723">
        <v>451</v>
      </c>
      <c r="S723">
        <v>56.375</v>
      </c>
      <c r="T723" t="s">
        <v>31</v>
      </c>
      <c r="U723" t="s">
        <v>32</v>
      </c>
      <c r="V723" t="s">
        <v>31</v>
      </c>
      <c r="W723" t="s">
        <v>31</v>
      </c>
      <c r="X723" t="s">
        <v>34</v>
      </c>
      <c r="Y723" t="s">
        <v>35</v>
      </c>
      <c r="Z723" t="s">
        <v>36</v>
      </c>
      <c r="AA723" t="s">
        <v>1268</v>
      </c>
      <c r="AB723" t="s">
        <v>36</v>
      </c>
      <c r="AC723">
        <f>IF(Cdacdata[[#This Row],[placement_status]]="Placed",1,0)</f>
        <v>0</v>
      </c>
      <c r="AD723" t="s">
        <v>213</v>
      </c>
      <c r="AE723" t="s">
        <v>47</v>
      </c>
      <c r="AF723" t="s">
        <v>39</v>
      </c>
      <c r="AG723">
        <v>2022</v>
      </c>
      <c r="AH723" t="s">
        <v>40</v>
      </c>
      <c r="AI723" t="str">
        <f>IF(Cdacdata[ccat_rank]&lt;=100,"Top 100",
IF(Cdacdata[ccat_rank]&lt;=500,"101–500",
IF(Cdacdata[ccat_rank]&lt;=1000,"501–1000",
"1000+")))</f>
        <v>1000+</v>
      </c>
    </row>
    <row r="724" spans="1:35" x14ac:dyDescent="0.3">
      <c r="A724" s="1" t="s">
        <v>212</v>
      </c>
      <c r="B724">
        <v>220604080</v>
      </c>
      <c r="C724" s="2">
        <v>44812</v>
      </c>
      <c r="D724" s="2" t="s">
        <v>962</v>
      </c>
      <c r="E724">
        <v>1754</v>
      </c>
      <c r="F724" s="2">
        <v>34683</v>
      </c>
      <c r="G724">
        <v>80</v>
      </c>
      <c r="H724">
        <v>61.33</v>
      </c>
      <c r="I724" t="s">
        <v>26</v>
      </c>
      <c r="J724">
        <v>65</v>
      </c>
      <c r="K724" s="3">
        <f t="shared" si="11"/>
        <v>68.776666666666657</v>
      </c>
      <c r="L724" t="s">
        <v>27</v>
      </c>
      <c r="M724" t="s">
        <v>27</v>
      </c>
      <c r="N724">
        <v>27</v>
      </c>
      <c r="O724" t="s">
        <v>28</v>
      </c>
      <c r="P724" t="s">
        <v>52</v>
      </c>
      <c r="Q724" t="s">
        <v>30</v>
      </c>
      <c r="R724">
        <v>468</v>
      </c>
      <c r="S724">
        <v>58.5</v>
      </c>
      <c r="T724" t="s">
        <v>49</v>
      </c>
      <c r="U724" t="s">
        <v>32</v>
      </c>
      <c r="V724" t="s">
        <v>49</v>
      </c>
      <c r="W724" t="s">
        <v>33</v>
      </c>
      <c r="X724" t="s">
        <v>34</v>
      </c>
      <c r="Y724" t="s">
        <v>35</v>
      </c>
      <c r="Z724" t="s">
        <v>36</v>
      </c>
      <c r="AA724" t="s">
        <v>1268</v>
      </c>
      <c r="AB724" t="s">
        <v>36</v>
      </c>
      <c r="AC724">
        <f>IF(Cdacdata[[#This Row],[placement_status]]="Placed",1,0)</f>
        <v>0</v>
      </c>
      <c r="AD724" t="s">
        <v>213</v>
      </c>
      <c r="AE724" t="s">
        <v>47</v>
      </c>
      <c r="AF724" t="s">
        <v>55</v>
      </c>
      <c r="AG724">
        <v>2022</v>
      </c>
      <c r="AH724" t="s">
        <v>40</v>
      </c>
      <c r="AI724" t="str">
        <f>IF(Cdacdata[ccat_rank]&lt;=100,"Top 100",
IF(Cdacdata[ccat_rank]&lt;=500,"101–500",
IF(Cdacdata[ccat_rank]&lt;=1000,"501–1000",
"1000+")))</f>
        <v>1000+</v>
      </c>
    </row>
    <row r="725" spans="1:35" x14ac:dyDescent="0.3">
      <c r="A725" s="1" t="s">
        <v>212</v>
      </c>
      <c r="B725">
        <v>220601955</v>
      </c>
      <c r="C725" s="2">
        <v>44812</v>
      </c>
      <c r="D725" s="2" t="s">
        <v>963</v>
      </c>
      <c r="E725">
        <v>887</v>
      </c>
      <c r="F725" s="2">
        <v>35896</v>
      </c>
      <c r="G725">
        <v>79</v>
      </c>
      <c r="H725">
        <v>70</v>
      </c>
      <c r="I725" t="s">
        <v>26</v>
      </c>
      <c r="J725">
        <v>60.6</v>
      </c>
      <c r="K725" s="3">
        <f t="shared" si="11"/>
        <v>69.86666666666666</v>
      </c>
      <c r="L725" t="s">
        <v>27</v>
      </c>
      <c r="M725" t="s">
        <v>27</v>
      </c>
      <c r="N725">
        <v>24</v>
      </c>
      <c r="O725" t="s">
        <v>28</v>
      </c>
      <c r="P725" t="s">
        <v>56</v>
      </c>
      <c r="Q725" t="s">
        <v>43</v>
      </c>
      <c r="R725">
        <v>446</v>
      </c>
      <c r="S725">
        <v>55.75</v>
      </c>
      <c r="T725" t="s">
        <v>49</v>
      </c>
      <c r="U725" t="s">
        <v>32</v>
      </c>
      <c r="V725" t="s">
        <v>49</v>
      </c>
      <c r="W725" t="s">
        <v>33</v>
      </c>
      <c r="X725" t="s">
        <v>34</v>
      </c>
      <c r="Y725" t="s">
        <v>35</v>
      </c>
      <c r="Z725" t="s">
        <v>44</v>
      </c>
      <c r="AA725" t="s">
        <v>223</v>
      </c>
      <c r="AB725" t="s">
        <v>46</v>
      </c>
      <c r="AC725">
        <f>IF(Cdacdata[[#This Row],[placement_status]]="Placed",1,0)</f>
        <v>1</v>
      </c>
      <c r="AD725" t="s">
        <v>213</v>
      </c>
      <c r="AE725" t="s">
        <v>75</v>
      </c>
      <c r="AF725" t="s">
        <v>39</v>
      </c>
      <c r="AG725">
        <v>2022</v>
      </c>
      <c r="AH725" t="s">
        <v>40</v>
      </c>
      <c r="AI725" t="str">
        <f>IF(Cdacdata[ccat_rank]&lt;=100,"Top 100",
IF(Cdacdata[ccat_rank]&lt;=500,"101–500",
IF(Cdacdata[ccat_rank]&lt;=1000,"501–1000",
"1000+")))</f>
        <v>501–1000</v>
      </c>
    </row>
    <row r="726" spans="1:35" x14ac:dyDescent="0.3">
      <c r="A726" s="1" t="s">
        <v>212</v>
      </c>
      <c r="B726">
        <v>220605331</v>
      </c>
      <c r="C726" s="2">
        <v>44815</v>
      </c>
      <c r="D726" s="2" t="s">
        <v>964</v>
      </c>
      <c r="E726">
        <v>1609</v>
      </c>
      <c r="F726" s="2">
        <v>35498</v>
      </c>
      <c r="G726">
        <v>87.8</v>
      </c>
      <c r="H726">
        <v>55.23</v>
      </c>
      <c r="I726">
        <v>82.06</v>
      </c>
      <c r="J726">
        <v>68.8</v>
      </c>
      <c r="K726" s="3">
        <f t="shared" si="11"/>
        <v>73.472499999999997</v>
      </c>
      <c r="L726" t="s">
        <v>27</v>
      </c>
      <c r="M726" t="s">
        <v>27</v>
      </c>
      <c r="N726">
        <v>25</v>
      </c>
      <c r="O726" t="s">
        <v>28</v>
      </c>
      <c r="P726" t="s">
        <v>26</v>
      </c>
      <c r="Q726" t="s">
        <v>30</v>
      </c>
      <c r="R726">
        <v>446</v>
      </c>
      <c r="S726">
        <v>55.75</v>
      </c>
      <c r="T726" t="s">
        <v>33</v>
      </c>
      <c r="U726" t="s">
        <v>32</v>
      </c>
      <c r="V726" t="s">
        <v>33</v>
      </c>
      <c r="W726" t="s">
        <v>33</v>
      </c>
      <c r="X726" t="s">
        <v>34</v>
      </c>
      <c r="Y726" t="s">
        <v>35</v>
      </c>
      <c r="Z726" t="s">
        <v>53</v>
      </c>
      <c r="AA726" t="s">
        <v>54</v>
      </c>
      <c r="AB726" t="s">
        <v>46</v>
      </c>
      <c r="AC726">
        <f>IF(Cdacdata[[#This Row],[placement_status]]="Placed",1,0)</f>
        <v>1</v>
      </c>
      <c r="AD726" t="s">
        <v>213</v>
      </c>
      <c r="AE726" t="s">
        <v>47</v>
      </c>
      <c r="AF726" t="s">
        <v>39</v>
      </c>
      <c r="AG726">
        <v>2022</v>
      </c>
      <c r="AH726" t="s">
        <v>40</v>
      </c>
      <c r="AI726" t="str">
        <f>IF(Cdacdata[ccat_rank]&lt;=100,"Top 100",
IF(Cdacdata[ccat_rank]&lt;=500,"101–500",
IF(Cdacdata[ccat_rank]&lt;=1000,"501–1000",
"1000+")))</f>
        <v>1000+</v>
      </c>
    </row>
    <row r="727" spans="1:35" x14ac:dyDescent="0.3">
      <c r="A727" s="1" t="s">
        <v>212</v>
      </c>
      <c r="B727">
        <v>220602820</v>
      </c>
      <c r="C727" s="2">
        <v>44812</v>
      </c>
      <c r="D727" s="2" t="s">
        <v>965</v>
      </c>
      <c r="E727">
        <v>1686</v>
      </c>
      <c r="F727" s="2">
        <v>36251</v>
      </c>
      <c r="G727">
        <v>79.8</v>
      </c>
      <c r="H727">
        <v>79.2</v>
      </c>
      <c r="I727" t="s">
        <v>26</v>
      </c>
      <c r="J727">
        <v>68.48</v>
      </c>
      <c r="K727" s="3">
        <f t="shared" si="11"/>
        <v>75.826666666666668</v>
      </c>
      <c r="L727" t="s">
        <v>27</v>
      </c>
      <c r="M727" t="s">
        <v>27</v>
      </c>
      <c r="N727">
        <v>23</v>
      </c>
      <c r="O727" t="s">
        <v>28</v>
      </c>
      <c r="P727" t="s">
        <v>56</v>
      </c>
      <c r="Q727" t="s">
        <v>43</v>
      </c>
      <c r="R727">
        <v>612</v>
      </c>
      <c r="S727">
        <v>76.5</v>
      </c>
      <c r="T727" t="s">
        <v>49</v>
      </c>
      <c r="U727" t="s">
        <v>32</v>
      </c>
      <c r="V727" t="s">
        <v>49</v>
      </c>
      <c r="W727" t="s">
        <v>49</v>
      </c>
      <c r="X727" t="s">
        <v>34</v>
      </c>
      <c r="Y727" t="s">
        <v>58</v>
      </c>
      <c r="Z727" t="s">
        <v>44</v>
      </c>
      <c r="AA727" t="s">
        <v>91</v>
      </c>
      <c r="AB727" t="s">
        <v>46</v>
      </c>
      <c r="AC727">
        <f>IF(Cdacdata[[#This Row],[placement_status]]="Placed",1,0)</f>
        <v>1</v>
      </c>
      <c r="AD727" t="s">
        <v>213</v>
      </c>
      <c r="AE727" t="s">
        <v>47</v>
      </c>
      <c r="AF727" t="s">
        <v>39</v>
      </c>
      <c r="AG727">
        <v>2022</v>
      </c>
      <c r="AH727" t="s">
        <v>40</v>
      </c>
      <c r="AI727" t="str">
        <f>IF(Cdacdata[ccat_rank]&lt;=100,"Top 100",
IF(Cdacdata[ccat_rank]&lt;=500,"101–500",
IF(Cdacdata[ccat_rank]&lt;=1000,"501–1000",
"1000+")))</f>
        <v>1000+</v>
      </c>
    </row>
    <row r="728" spans="1:35" x14ac:dyDescent="0.3">
      <c r="A728" s="1" t="s">
        <v>212</v>
      </c>
      <c r="B728">
        <v>220605427</v>
      </c>
      <c r="C728" s="2">
        <v>44815</v>
      </c>
      <c r="D728" s="2" t="s">
        <v>966</v>
      </c>
      <c r="E728">
        <v>1627</v>
      </c>
      <c r="F728" s="2">
        <v>36101</v>
      </c>
      <c r="G728">
        <v>90.8</v>
      </c>
      <c r="H728" t="s">
        <v>26</v>
      </c>
      <c r="I728">
        <v>70.53</v>
      </c>
      <c r="J728">
        <v>85</v>
      </c>
      <c r="K728" s="3">
        <f t="shared" si="11"/>
        <v>82.11</v>
      </c>
      <c r="L728" t="s">
        <v>27</v>
      </c>
      <c r="M728" t="s">
        <v>41</v>
      </c>
      <c r="N728">
        <v>23</v>
      </c>
      <c r="O728" t="s">
        <v>48</v>
      </c>
      <c r="P728" t="s">
        <v>60</v>
      </c>
      <c r="Q728" t="s">
        <v>43</v>
      </c>
      <c r="R728">
        <v>465</v>
      </c>
      <c r="S728">
        <v>58.125</v>
      </c>
      <c r="T728" t="s">
        <v>31</v>
      </c>
      <c r="U728" t="s">
        <v>32</v>
      </c>
      <c r="V728" t="s">
        <v>31</v>
      </c>
      <c r="W728" t="s">
        <v>33</v>
      </c>
      <c r="X728" t="s">
        <v>34</v>
      </c>
      <c r="Y728" t="s">
        <v>35</v>
      </c>
      <c r="Z728" t="s">
        <v>53</v>
      </c>
      <c r="AA728" t="s">
        <v>54</v>
      </c>
      <c r="AB728" t="s">
        <v>46</v>
      </c>
      <c r="AC728">
        <f>IF(Cdacdata[[#This Row],[placement_status]]="Placed",1,0)</f>
        <v>1</v>
      </c>
      <c r="AD728" t="s">
        <v>213</v>
      </c>
      <c r="AE728" t="s">
        <v>47</v>
      </c>
      <c r="AF728" t="s">
        <v>39</v>
      </c>
      <c r="AG728">
        <v>2022</v>
      </c>
      <c r="AH728" t="s">
        <v>40</v>
      </c>
      <c r="AI728" t="str">
        <f>IF(Cdacdata[ccat_rank]&lt;=100,"Top 100",
IF(Cdacdata[ccat_rank]&lt;=500,"101–500",
IF(Cdacdata[ccat_rank]&lt;=1000,"501–1000",
"1000+")))</f>
        <v>1000+</v>
      </c>
    </row>
    <row r="729" spans="1:35" x14ac:dyDescent="0.3">
      <c r="A729" s="1" t="s">
        <v>212</v>
      </c>
      <c r="B729">
        <v>220607066</v>
      </c>
      <c r="C729" s="2">
        <v>44816</v>
      </c>
      <c r="D729" s="2" t="s">
        <v>967</v>
      </c>
      <c r="E729">
        <v>1502</v>
      </c>
      <c r="F729" s="2">
        <v>35771</v>
      </c>
      <c r="G729">
        <v>66</v>
      </c>
      <c r="H729">
        <v>46.15</v>
      </c>
      <c r="I729" t="s">
        <v>26</v>
      </c>
      <c r="J729">
        <v>75.13</v>
      </c>
      <c r="K729" s="3">
        <f t="shared" si="11"/>
        <v>62.426666666666669</v>
      </c>
      <c r="L729" t="s">
        <v>27</v>
      </c>
      <c r="M729" t="s">
        <v>41</v>
      </c>
      <c r="N729">
        <v>24</v>
      </c>
      <c r="O729" t="s">
        <v>48</v>
      </c>
      <c r="P729" t="s">
        <v>60</v>
      </c>
      <c r="Q729" t="s">
        <v>30</v>
      </c>
      <c r="R729">
        <v>357</v>
      </c>
      <c r="S729">
        <v>44.625</v>
      </c>
      <c r="T729" t="s">
        <v>31</v>
      </c>
      <c r="U729" t="s">
        <v>32</v>
      </c>
      <c r="V729" t="s">
        <v>31</v>
      </c>
      <c r="W729" t="s">
        <v>33</v>
      </c>
      <c r="X729" t="s">
        <v>34</v>
      </c>
      <c r="Y729" t="s">
        <v>80</v>
      </c>
      <c r="Z729" t="s">
        <v>36</v>
      </c>
      <c r="AA729" t="s">
        <v>1268</v>
      </c>
      <c r="AB729" t="s">
        <v>36</v>
      </c>
      <c r="AC729">
        <f>IF(Cdacdata[[#This Row],[placement_status]]="Placed",1,0)</f>
        <v>0</v>
      </c>
      <c r="AD729" t="s">
        <v>213</v>
      </c>
      <c r="AE729" t="s">
        <v>47</v>
      </c>
      <c r="AF729" t="s">
        <v>39</v>
      </c>
      <c r="AG729">
        <v>2022</v>
      </c>
      <c r="AH729" t="s">
        <v>40</v>
      </c>
      <c r="AI729" t="str">
        <f>IF(Cdacdata[ccat_rank]&lt;=100,"Top 100",
IF(Cdacdata[ccat_rank]&lt;=500,"101–500",
IF(Cdacdata[ccat_rank]&lt;=1000,"501–1000",
"1000+")))</f>
        <v>1000+</v>
      </c>
    </row>
    <row r="730" spans="1:35" x14ac:dyDescent="0.3">
      <c r="A730" s="1" t="s">
        <v>212</v>
      </c>
      <c r="B730">
        <v>220601291</v>
      </c>
      <c r="C730" s="2">
        <v>44812</v>
      </c>
      <c r="D730" s="2" t="s">
        <v>968</v>
      </c>
      <c r="E730">
        <v>1699</v>
      </c>
      <c r="F730" s="2">
        <v>35524</v>
      </c>
      <c r="G730">
        <v>79.09</v>
      </c>
      <c r="H730" t="s">
        <v>26</v>
      </c>
      <c r="I730">
        <v>70.760000000000005</v>
      </c>
      <c r="J730">
        <v>79.69</v>
      </c>
      <c r="K730" s="3">
        <f t="shared" si="11"/>
        <v>76.513333333333335</v>
      </c>
      <c r="L730" t="s">
        <v>27</v>
      </c>
      <c r="M730" t="s">
        <v>27</v>
      </c>
      <c r="N730">
        <v>25</v>
      </c>
      <c r="O730" t="s">
        <v>48</v>
      </c>
      <c r="P730" t="s">
        <v>65</v>
      </c>
      <c r="Q730" t="s">
        <v>30</v>
      </c>
      <c r="R730">
        <v>490</v>
      </c>
      <c r="S730">
        <v>61.25</v>
      </c>
      <c r="T730" t="s">
        <v>49</v>
      </c>
      <c r="U730" t="s">
        <v>32</v>
      </c>
      <c r="V730" t="s">
        <v>49</v>
      </c>
      <c r="W730" t="s">
        <v>33</v>
      </c>
      <c r="X730" t="s">
        <v>34</v>
      </c>
      <c r="Y730" t="s">
        <v>50</v>
      </c>
      <c r="Z730" t="s">
        <v>44</v>
      </c>
      <c r="AA730" t="s">
        <v>224</v>
      </c>
      <c r="AB730" t="s">
        <v>46</v>
      </c>
      <c r="AC730">
        <f>IF(Cdacdata[[#This Row],[placement_status]]="Placed",1,0)</f>
        <v>1</v>
      </c>
      <c r="AD730" t="s">
        <v>213</v>
      </c>
      <c r="AE730" t="s">
        <v>47</v>
      </c>
      <c r="AF730" t="s">
        <v>39</v>
      </c>
      <c r="AG730">
        <v>2022</v>
      </c>
      <c r="AH730" t="s">
        <v>40</v>
      </c>
      <c r="AI730" t="str">
        <f>IF(Cdacdata[ccat_rank]&lt;=100,"Top 100",
IF(Cdacdata[ccat_rank]&lt;=500,"101–500",
IF(Cdacdata[ccat_rank]&lt;=1000,"501–1000",
"1000+")))</f>
        <v>1000+</v>
      </c>
    </row>
    <row r="731" spans="1:35" x14ac:dyDescent="0.3">
      <c r="A731" s="1" t="s">
        <v>212</v>
      </c>
      <c r="B731">
        <v>220703283</v>
      </c>
      <c r="C731" s="2">
        <v>44815</v>
      </c>
      <c r="D731" s="2" t="s">
        <v>969</v>
      </c>
      <c r="E731">
        <v>1140</v>
      </c>
      <c r="F731" s="2">
        <v>34545</v>
      </c>
      <c r="G731">
        <v>74</v>
      </c>
      <c r="H731">
        <v>60.8</v>
      </c>
      <c r="I731" t="s">
        <v>26</v>
      </c>
      <c r="J731">
        <v>65.599999999999994</v>
      </c>
      <c r="K731" s="3">
        <f t="shared" si="11"/>
        <v>66.8</v>
      </c>
      <c r="L731" t="s">
        <v>27</v>
      </c>
      <c r="M731" t="s">
        <v>41</v>
      </c>
      <c r="N731">
        <v>28</v>
      </c>
      <c r="O731" t="s">
        <v>28</v>
      </c>
      <c r="P731" t="s">
        <v>26</v>
      </c>
      <c r="Q731" t="s">
        <v>30</v>
      </c>
      <c r="R731">
        <v>482</v>
      </c>
      <c r="S731">
        <v>60.25</v>
      </c>
      <c r="T731" t="s">
        <v>33</v>
      </c>
      <c r="U731" t="s">
        <v>32</v>
      </c>
      <c r="V731" t="s">
        <v>33</v>
      </c>
      <c r="W731" t="s">
        <v>31</v>
      </c>
      <c r="X731" t="s">
        <v>34</v>
      </c>
      <c r="Y731" t="s">
        <v>50</v>
      </c>
      <c r="Z731" t="s">
        <v>53</v>
      </c>
      <c r="AA731" t="s">
        <v>54</v>
      </c>
      <c r="AB731" t="s">
        <v>46</v>
      </c>
      <c r="AC731">
        <f>IF(Cdacdata[[#This Row],[placement_status]]="Placed",1,0)</f>
        <v>1</v>
      </c>
      <c r="AD731" t="s">
        <v>213</v>
      </c>
      <c r="AE731" t="s">
        <v>47</v>
      </c>
      <c r="AF731" t="s">
        <v>55</v>
      </c>
      <c r="AG731">
        <v>2022</v>
      </c>
      <c r="AH731" t="s">
        <v>40</v>
      </c>
      <c r="AI731" t="str">
        <f>IF(Cdacdata[ccat_rank]&lt;=100,"Top 100",
IF(Cdacdata[ccat_rank]&lt;=500,"101–500",
IF(Cdacdata[ccat_rank]&lt;=1000,"501–1000",
"1000+")))</f>
        <v>1000+</v>
      </c>
    </row>
    <row r="732" spans="1:35" x14ac:dyDescent="0.3">
      <c r="A732" s="1" t="s">
        <v>212</v>
      </c>
      <c r="B732">
        <v>220600885</v>
      </c>
      <c r="C732" s="2">
        <v>44817</v>
      </c>
      <c r="D732" s="2" t="s">
        <v>970</v>
      </c>
      <c r="E732">
        <v>1220</v>
      </c>
      <c r="F732" s="2">
        <v>34549</v>
      </c>
      <c r="G732">
        <v>80.91</v>
      </c>
      <c r="H732">
        <v>60.33</v>
      </c>
      <c r="I732" t="s">
        <v>26</v>
      </c>
      <c r="J732">
        <v>76.63</v>
      </c>
      <c r="K732" s="3">
        <f t="shared" si="11"/>
        <v>72.623333333333335</v>
      </c>
      <c r="L732" t="s">
        <v>27</v>
      </c>
      <c r="M732" t="s">
        <v>41</v>
      </c>
      <c r="N732">
        <v>28</v>
      </c>
      <c r="O732" t="s">
        <v>48</v>
      </c>
      <c r="P732" t="s">
        <v>60</v>
      </c>
      <c r="Q732" t="s">
        <v>30</v>
      </c>
      <c r="R732">
        <v>377</v>
      </c>
      <c r="S732">
        <v>47.125</v>
      </c>
      <c r="T732" t="s">
        <v>31</v>
      </c>
      <c r="U732" t="s">
        <v>32</v>
      </c>
      <c r="V732" t="s">
        <v>31</v>
      </c>
      <c r="W732" t="s">
        <v>33</v>
      </c>
      <c r="X732" t="s">
        <v>34</v>
      </c>
      <c r="Y732" t="s">
        <v>80</v>
      </c>
      <c r="Z732" t="s">
        <v>36</v>
      </c>
      <c r="AA732" t="s">
        <v>1268</v>
      </c>
      <c r="AB732" t="s">
        <v>36</v>
      </c>
      <c r="AC732">
        <f>IF(Cdacdata[[#This Row],[placement_status]]="Placed",1,0)</f>
        <v>0</v>
      </c>
      <c r="AD732" t="s">
        <v>213</v>
      </c>
      <c r="AE732" t="s">
        <v>47</v>
      </c>
      <c r="AF732" t="s">
        <v>55</v>
      </c>
      <c r="AG732">
        <v>2022</v>
      </c>
      <c r="AH732" t="s">
        <v>40</v>
      </c>
      <c r="AI732" t="str">
        <f>IF(Cdacdata[ccat_rank]&lt;=100,"Top 100",
IF(Cdacdata[ccat_rank]&lt;=500,"101–500",
IF(Cdacdata[ccat_rank]&lt;=1000,"501–1000",
"1000+")))</f>
        <v>1000+</v>
      </c>
    </row>
    <row r="733" spans="1:35" x14ac:dyDescent="0.3">
      <c r="A733" s="1" t="s">
        <v>212</v>
      </c>
      <c r="B733">
        <v>220711329</v>
      </c>
      <c r="C733" s="2">
        <v>44812</v>
      </c>
      <c r="D733" s="2" t="s">
        <v>971</v>
      </c>
      <c r="E733">
        <v>645</v>
      </c>
      <c r="F733" s="2">
        <v>36722</v>
      </c>
      <c r="G733">
        <v>93</v>
      </c>
      <c r="H733">
        <v>70.77</v>
      </c>
      <c r="I733" t="s">
        <v>26</v>
      </c>
      <c r="J733">
        <v>75.930000000000007</v>
      </c>
      <c r="K733" s="3">
        <f t="shared" si="11"/>
        <v>79.899999999999991</v>
      </c>
      <c r="L733" t="s">
        <v>27</v>
      </c>
      <c r="M733" t="s">
        <v>27</v>
      </c>
      <c r="N733">
        <v>22</v>
      </c>
      <c r="O733" t="s">
        <v>48</v>
      </c>
      <c r="P733" t="s">
        <v>42</v>
      </c>
      <c r="Q733" t="s">
        <v>30</v>
      </c>
      <c r="R733">
        <v>645</v>
      </c>
      <c r="S733">
        <v>80.625</v>
      </c>
      <c r="T733" t="s">
        <v>49</v>
      </c>
      <c r="U733" t="s">
        <v>32</v>
      </c>
      <c r="V733" t="s">
        <v>49</v>
      </c>
      <c r="W733" t="s">
        <v>49</v>
      </c>
      <c r="X733" t="s">
        <v>34</v>
      </c>
      <c r="Y733" t="s">
        <v>58</v>
      </c>
      <c r="Z733" t="s">
        <v>44</v>
      </c>
      <c r="AA733" t="s">
        <v>140</v>
      </c>
      <c r="AB733" t="s">
        <v>46</v>
      </c>
      <c r="AC733">
        <f>IF(Cdacdata[[#This Row],[placement_status]]="Placed",1,0)</f>
        <v>1</v>
      </c>
      <c r="AD733" t="s">
        <v>213</v>
      </c>
      <c r="AE733" t="s">
        <v>75</v>
      </c>
      <c r="AF733" t="s">
        <v>57</v>
      </c>
      <c r="AG733">
        <v>2022</v>
      </c>
      <c r="AH733" t="s">
        <v>40</v>
      </c>
      <c r="AI733" t="str">
        <f>IF(Cdacdata[ccat_rank]&lt;=100,"Top 100",
IF(Cdacdata[ccat_rank]&lt;=500,"101–500",
IF(Cdacdata[ccat_rank]&lt;=1000,"501–1000",
"1000+")))</f>
        <v>501–1000</v>
      </c>
    </row>
    <row r="734" spans="1:35" x14ac:dyDescent="0.3">
      <c r="A734" s="1" t="s">
        <v>212</v>
      </c>
      <c r="B734">
        <v>220600446</v>
      </c>
      <c r="C734" s="2">
        <v>44813</v>
      </c>
      <c r="D734" s="2" t="s">
        <v>972</v>
      </c>
      <c r="E734">
        <v>1744</v>
      </c>
      <c r="F734" s="2">
        <v>35302</v>
      </c>
      <c r="G734">
        <v>79.8</v>
      </c>
      <c r="H734">
        <v>73.2</v>
      </c>
      <c r="I734" t="s">
        <v>26</v>
      </c>
      <c r="J734">
        <v>60.9</v>
      </c>
      <c r="K734" s="3">
        <f t="shared" si="11"/>
        <v>71.3</v>
      </c>
      <c r="L734" t="s">
        <v>27</v>
      </c>
      <c r="M734" t="s">
        <v>41</v>
      </c>
      <c r="N734">
        <v>26</v>
      </c>
      <c r="O734" t="s">
        <v>28</v>
      </c>
      <c r="P734" t="s">
        <v>60</v>
      </c>
      <c r="Q734" t="s">
        <v>43</v>
      </c>
      <c r="R734">
        <v>498</v>
      </c>
      <c r="S734">
        <v>62.25</v>
      </c>
      <c r="T734" t="s">
        <v>33</v>
      </c>
      <c r="U734" t="s">
        <v>32</v>
      </c>
      <c r="V734" t="s">
        <v>33</v>
      </c>
      <c r="W734" t="s">
        <v>33</v>
      </c>
      <c r="X734" t="s">
        <v>34</v>
      </c>
      <c r="Y734" t="s">
        <v>50</v>
      </c>
      <c r="Z734" t="s">
        <v>53</v>
      </c>
      <c r="AA734" t="s">
        <v>54</v>
      </c>
      <c r="AB734" t="s">
        <v>46</v>
      </c>
      <c r="AC734">
        <f>IF(Cdacdata[[#This Row],[placement_status]]="Placed",1,0)</f>
        <v>1</v>
      </c>
      <c r="AD734" t="s">
        <v>213</v>
      </c>
      <c r="AE734" t="s">
        <v>47</v>
      </c>
      <c r="AF734" t="s">
        <v>55</v>
      </c>
      <c r="AG734">
        <v>2022</v>
      </c>
      <c r="AH734" t="s">
        <v>40</v>
      </c>
      <c r="AI734" t="str">
        <f>IF(Cdacdata[ccat_rank]&lt;=100,"Top 100",
IF(Cdacdata[ccat_rank]&lt;=500,"101–500",
IF(Cdacdata[ccat_rank]&lt;=1000,"501–1000",
"1000+")))</f>
        <v>1000+</v>
      </c>
    </row>
    <row r="735" spans="1:35" x14ac:dyDescent="0.3">
      <c r="A735" s="1" t="s">
        <v>212</v>
      </c>
      <c r="B735">
        <v>220606187</v>
      </c>
      <c r="C735" s="2">
        <v>44816</v>
      </c>
      <c r="D735" s="2" t="s">
        <v>973</v>
      </c>
      <c r="E735">
        <v>1536</v>
      </c>
      <c r="F735" s="2">
        <v>36239</v>
      </c>
      <c r="G735">
        <v>88</v>
      </c>
      <c r="H735">
        <v>63.54</v>
      </c>
      <c r="I735" t="s">
        <v>26</v>
      </c>
      <c r="J735">
        <v>60.1</v>
      </c>
      <c r="K735" s="3">
        <f t="shared" si="11"/>
        <v>70.546666666666667</v>
      </c>
      <c r="L735" t="s">
        <v>27</v>
      </c>
      <c r="M735" t="s">
        <v>27</v>
      </c>
      <c r="N735">
        <v>23</v>
      </c>
      <c r="O735" t="s">
        <v>28</v>
      </c>
      <c r="P735" t="s">
        <v>60</v>
      </c>
      <c r="Q735" t="s">
        <v>43</v>
      </c>
      <c r="R735">
        <v>400</v>
      </c>
      <c r="S735">
        <v>50</v>
      </c>
      <c r="T735" t="s">
        <v>33</v>
      </c>
      <c r="U735" t="s">
        <v>32</v>
      </c>
      <c r="V735" t="s">
        <v>33</v>
      </c>
      <c r="W735" t="s">
        <v>33</v>
      </c>
      <c r="X735" t="s">
        <v>34</v>
      </c>
      <c r="Y735" t="s">
        <v>35</v>
      </c>
      <c r="Z735" t="s">
        <v>36</v>
      </c>
      <c r="AA735" t="s">
        <v>1268</v>
      </c>
      <c r="AB735" t="s">
        <v>36</v>
      </c>
      <c r="AC735">
        <f>IF(Cdacdata[[#This Row],[placement_status]]="Placed",1,0)</f>
        <v>0</v>
      </c>
      <c r="AD735" t="s">
        <v>213</v>
      </c>
      <c r="AE735" t="s">
        <v>47</v>
      </c>
      <c r="AF735" t="s">
        <v>39</v>
      </c>
      <c r="AG735">
        <v>2022</v>
      </c>
      <c r="AH735" t="s">
        <v>40</v>
      </c>
      <c r="AI735" t="str">
        <f>IF(Cdacdata[ccat_rank]&lt;=100,"Top 100",
IF(Cdacdata[ccat_rank]&lt;=500,"101–500",
IF(Cdacdata[ccat_rank]&lt;=1000,"501–1000",
"1000+")))</f>
        <v>1000+</v>
      </c>
    </row>
    <row r="736" spans="1:35" x14ac:dyDescent="0.3">
      <c r="A736" s="1" t="s">
        <v>212</v>
      </c>
      <c r="B736">
        <v>220705914</v>
      </c>
      <c r="C736" s="2">
        <v>44814</v>
      </c>
      <c r="D736" s="2" t="s">
        <v>974</v>
      </c>
      <c r="E736">
        <v>1375</v>
      </c>
      <c r="F736" s="2">
        <v>37007</v>
      </c>
      <c r="G736">
        <v>85.4</v>
      </c>
      <c r="H736">
        <v>73.69</v>
      </c>
      <c r="I736" t="s">
        <v>26</v>
      </c>
      <c r="J736">
        <v>77.75</v>
      </c>
      <c r="K736" s="3">
        <f t="shared" si="11"/>
        <v>78.946666666666673</v>
      </c>
      <c r="L736" t="s">
        <v>27</v>
      </c>
      <c r="M736" t="s">
        <v>41</v>
      </c>
      <c r="N736">
        <v>21</v>
      </c>
      <c r="O736" t="s">
        <v>48</v>
      </c>
      <c r="P736" t="s">
        <v>65</v>
      </c>
      <c r="Q736" t="s">
        <v>30</v>
      </c>
      <c r="R736">
        <v>485</v>
      </c>
      <c r="S736">
        <v>60.625</v>
      </c>
      <c r="T736" t="s">
        <v>31</v>
      </c>
      <c r="U736" t="s">
        <v>32</v>
      </c>
      <c r="V736" t="s">
        <v>31</v>
      </c>
      <c r="W736" t="s">
        <v>31</v>
      </c>
      <c r="X736" t="s">
        <v>34</v>
      </c>
      <c r="Y736" t="s">
        <v>50</v>
      </c>
      <c r="Z736" t="s">
        <v>44</v>
      </c>
      <c r="AA736" t="s">
        <v>225</v>
      </c>
      <c r="AB736" t="s">
        <v>46</v>
      </c>
      <c r="AC736">
        <f>IF(Cdacdata[[#This Row],[placement_status]]="Placed",1,0)</f>
        <v>1</v>
      </c>
      <c r="AD736" t="s">
        <v>213</v>
      </c>
      <c r="AE736" t="s">
        <v>47</v>
      </c>
      <c r="AF736" t="s">
        <v>57</v>
      </c>
      <c r="AG736">
        <v>2022</v>
      </c>
      <c r="AH736" t="s">
        <v>40</v>
      </c>
      <c r="AI736" t="str">
        <f>IF(Cdacdata[ccat_rank]&lt;=100,"Top 100",
IF(Cdacdata[ccat_rank]&lt;=500,"101–500",
IF(Cdacdata[ccat_rank]&lt;=1000,"501–1000",
"1000+")))</f>
        <v>1000+</v>
      </c>
    </row>
    <row r="737" spans="1:35" x14ac:dyDescent="0.3">
      <c r="A737" s="1" t="s">
        <v>212</v>
      </c>
      <c r="B737">
        <v>220700538</v>
      </c>
      <c r="C737" s="2">
        <v>44815</v>
      </c>
      <c r="D737" s="2" t="s">
        <v>975</v>
      </c>
      <c r="E737">
        <v>1104</v>
      </c>
      <c r="F737" s="2">
        <v>35117</v>
      </c>
      <c r="G737">
        <v>84.36</v>
      </c>
      <c r="H737">
        <v>61.54</v>
      </c>
      <c r="I737" t="s">
        <v>26</v>
      </c>
      <c r="J737">
        <v>55.87</v>
      </c>
      <c r="K737" s="3">
        <f t="shared" si="11"/>
        <v>67.256666666666675</v>
      </c>
      <c r="L737" t="s">
        <v>27</v>
      </c>
      <c r="M737" t="s">
        <v>41</v>
      </c>
      <c r="N737">
        <v>26</v>
      </c>
      <c r="O737" t="s">
        <v>72</v>
      </c>
      <c r="P737" t="s">
        <v>42</v>
      </c>
      <c r="Q737" t="s">
        <v>30</v>
      </c>
      <c r="R737">
        <v>497</v>
      </c>
      <c r="S737">
        <v>62.125</v>
      </c>
      <c r="T737" t="s">
        <v>49</v>
      </c>
      <c r="U737" t="s">
        <v>32</v>
      </c>
      <c r="V737" t="s">
        <v>49</v>
      </c>
      <c r="W737" t="s">
        <v>33</v>
      </c>
      <c r="X737" t="s">
        <v>34</v>
      </c>
      <c r="Y737" t="s">
        <v>50</v>
      </c>
      <c r="Z737" t="s">
        <v>53</v>
      </c>
      <c r="AA737" t="s">
        <v>54</v>
      </c>
      <c r="AB737" t="s">
        <v>46</v>
      </c>
      <c r="AC737">
        <f>IF(Cdacdata[[#This Row],[placement_status]]="Placed",1,0)</f>
        <v>1</v>
      </c>
      <c r="AD737" t="s">
        <v>213</v>
      </c>
      <c r="AE737" t="s">
        <v>47</v>
      </c>
      <c r="AF737" t="s">
        <v>55</v>
      </c>
      <c r="AG737">
        <v>2022</v>
      </c>
      <c r="AH737" t="s">
        <v>40</v>
      </c>
      <c r="AI737" t="str">
        <f>IF(Cdacdata[ccat_rank]&lt;=100,"Top 100",
IF(Cdacdata[ccat_rank]&lt;=500,"101–500",
IF(Cdacdata[ccat_rank]&lt;=1000,"501–1000",
"1000+")))</f>
        <v>1000+</v>
      </c>
    </row>
    <row r="738" spans="1:35" x14ac:dyDescent="0.3">
      <c r="A738" s="1" t="s">
        <v>212</v>
      </c>
      <c r="B738">
        <v>220710125</v>
      </c>
      <c r="C738" s="2">
        <v>44816</v>
      </c>
      <c r="D738" s="2" t="s">
        <v>976</v>
      </c>
      <c r="E738">
        <v>1482</v>
      </c>
      <c r="F738" s="2">
        <v>35561</v>
      </c>
      <c r="G738">
        <v>86.91</v>
      </c>
      <c r="H738">
        <v>73.53</v>
      </c>
      <c r="I738" t="s">
        <v>26</v>
      </c>
      <c r="J738">
        <v>64</v>
      </c>
      <c r="K738" s="3">
        <f t="shared" si="11"/>
        <v>74.813333333333333</v>
      </c>
      <c r="L738" t="s">
        <v>27</v>
      </c>
      <c r="M738" t="s">
        <v>27</v>
      </c>
      <c r="N738">
        <v>25</v>
      </c>
      <c r="O738" t="s">
        <v>28</v>
      </c>
      <c r="P738" t="s">
        <v>60</v>
      </c>
      <c r="Q738" t="s">
        <v>30</v>
      </c>
      <c r="R738">
        <v>556</v>
      </c>
      <c r="S738">
        <v>69.5</v>
      </c>
      <c r="T738" t="s">
        <v>49</v>
      </c>
      <c r="U738" t="s">
        <v>32</v>
      </c>
      <c r="V738" t="s">
        <v>49</v>
      </c>
      <c r="W738" t="s">
        <v>33</v>
      </c>
      <c r="X738" t="s">
        <v>34</v>
      </c>
      <c r="Y738" t="s">
        <v>50</v>
      </c>
      <c r="Z738" t="s">
        <v>53</v>
      </c>
      <c r="AA738" t="s">
        <v>54</v>
      </c>
      <c r="AB738" t="s">
        <v>46</v>
      </c>
      <c r="AC738">
        <f>IF(Cdacdata[[#This Row],[placement_status]]="Placed",1,0)</f>
        <v>1</v>
      </c>
      <c r="AD738" t="s">
        <v>213</v>
      </c>
      <c r="AE738" t="s">
        <v>47</v>
      </c>
      <c r="AF738" t="s">
        <v>39</v>
      </c>
      <c r="AG738">
        <v>2022</v>
      </c>
      <c r="AH738" t="s">
        <v>40</v>
      </c>
      <c r="AI738" t="str">
        <f>IF(Cdacdata[ccat_rank]&lt;=100,"Top 100",
IF(Cdacdata[ccat_rank]&lt;=500,"101–500",
IF(Cdacdata[ccat_rank]&lt;=1000,"501–1000",
"1000+")))</f>
        <v>1000+</v>
      </c>
    </row>
    <row r="739" spans="1:35" x14ac:dyDescent="0.3">
      <c r="A739" s="1" t="s">
        <v>212</v>
      </c>
      <c r="B739">
        <v>220709264</v>
      </c>
      <c r="C739" s="2">
        <v>44817</v>
      </c>
      <c r="D739" s="2" t="s">
        <v>977</v>
      </c>
      <c r="E739">
        <v>766</v>
      </c>
      <c r="F739" s="2">
        <v>35502</v>
      </c>
      <c r="G739">
        <v>79.8</v>
      </c>
      <c r="H739">
        <v>69</v>
      </c>
      <c r="I739" t="s">
        <v>26</v>
      </c>
      <c r="J739">
        <v>55.36</v>
      </c>
      <c r="K739" s="3">
        <f t="shared" si="11"/>
        <v>68.053333333333342</v>
      </c>
      <c r="L739" t="s">
        <v>27</v>
      </c>
      <c r="M739" t="s">
        <v>27</v>
      </c>
      <c r="N739">
        <v>25</v>
      </c>
      <c r="O739" t="s">
        <v>72</v>
      </c>
      <c r="P739" t="s">
        <v>60</v>
      </c>
      <c r="Q739" t="s">
        <v>43</v>
      </c>
      <c r="R739">
        <v>572</v>
      </c>
      <c r="S739">
        <v>71.5</v>
      </c>
      <c r="T739" t="s">
        <v>49</v>
      </c>
      <c r="U739" t="s">
        <v>32</v>
      </c>
      <c r="V739" t="s">
        <v>49</v>
      </c>
      <c r="W739" t="s">
        <v>49</v>
      </c>
      <c r="X739" t="s">
        <v>34</v>
      </c>
      <c r="Y739" t="s">
        <v>58</v>
      </c>
      <c r="Z739" t="s">
        <v>44</v>
      </c>
      <c r="AA739" t="s">
        <v>198</v>
      </c>
      <c r="AB739" t="s">
        <v>46</v>
      </c>
      <c r="AC739">
        <f>IF(Cdacdata[[#This Row],[placement_status]]="Placed",1,0)</f>
        <v>1</v>
      </c>
      <c r="AD739" t="s">
        <v>213</v>
      </c>
      <c r="AE739" t="s">
        <v>75</v>
      </c>
      <c r="AF739" t="s">
        <v>39</v>
      </c>
      <c r="AG739">
        <v>2022</v>
      </c>
      <c r="AH739" t="s">
        <v>40</v>
      </c>
      <c r="AI739" t="str">
        <f>IF(Cdacdata[ccat_rank]&lt;=100,"Top 100",
IF(Cdacdata[ccat_rank]&lt;=500,"101–500",
IF(Cdacdata[ccat_rank]&lt;=1000,"501–1000",
"1000+")))</f>
        <v>501–1000</v>
      </c>
    </row>
    <row r="740" spans="1:35" x14ac:dyDescent="0.3">
      <c r="A740" s="1" t="s">
        <v>212</v>
      </c>
      <c r="B740">
        <v>220604333</v>
      </c>
      <c r="C740" s="2">
        <v>44812</v>
      </c>
      <c r="D740" s="2" t="s">
        <v>978</v>
      </c>
      <c r="E740">
        <v>1711</v>
      </c>
      <c r="F740" s="2">
        <v>36087</v>
      </c>
      <c r="G740">
        <v>85.5</v>
      </c>
      <c r="H740">
        <v>58.8</v>
      </c>
      <c r="I740" t="s">
        <v>26</v>
      </c>
      <c r="J740">
        <v>78.099999999999994</v>
      </c>
      <c r="K740" s="3">
        <f t="shared" si="11"/>
        <v>74.13333333333334</v>
      </c>
      <c r="L740" t="s">
        <v>27</v>
      </c>
      <c r="M740" t="s">
        <v>27</v>
      </c>
      <c r="N740">
        <v>23</v>
      </c>
      <c r="O740" t="s">
        <v>48</v>
      </c>
      <c r="P740" t="s">
        <v>26</v>
      </c>
      <c r="Q740" t="s">
        <v>30</v>
      </c>
      <c r="R740">
        <v>517</v>
      </c>
      <c r="S740">
        <v>64.625</v>
      </c>
      <c r="T740" t="s">
        <v>33</v>
      </c>
      <c r="U740" t="s">
        <v>32</v>
      </c>
      <c r="V740" t="s">
        <v>33</v>
      </c>
      <c r="W740" t="s">
        <v>33</v>
      </c>
      <c r="X740" t="s">
        <v>34</v>
      </c>
      <c r="Y740" t="s">
        <v>50</v>
      </c>
      <c r="Z740" t="s">
        <v>53</v>
      </c>
      <c r="AA740" t="s">
        <v>54</v>
      </c>
      <c r="AB740" t="s">
        <v>46</v>
      </c>
      <c r="AC740">
        <f>IF(Cdacdata[[#This Row],[placement_status]]="Placed",1,0)</f>
        <v>1</v>
      </c>
      <c r="AD740" t="s">
        <v>213</v>
      </c>
      <c r="AE740" t="s">
        <v>47</v>
      </c>
      <c r="AF740" t="s">
        <v>39</v>
      </c>
      <c r="AG740">
        <v>2022</v>
      </c>
      <c r="AH740" t="s">
        <v>40</v>
      </c>
      <c r="AI740" t="str">
        <f>IF(Cdacdata[ccat_rank]&lt;=100,"Top 100",
IF(Cdacdata[ccat_rank]&lt;=500,"101–500",
IF(Cdacdata[ccat_rank]&lt;=1000,"501–1000",
"1000+")))</f>
        <v>1000+</v>
      </c>
    </row>
    <row r="741" spans="1:35" x14ac:dyDescent="0.3">
      <c r="A741" s="1" t="s">
        <v>212</v>
      </c>
      <c r="B741">
        <v>220602496</v>
      </c>
      <c r="C741" s="2">
        <v>44815</v>
      </c>
      <c r="D741" s="2" t="s">
        <v>979</v>
      </c>
      <c r="E741">
        <v>1641</v>
      </c>
      <c r="F741" s="2">
        <v>32910</v>
      </c>
      <c r="G741">
        <v>75</v>
      </c>
      <c r="H741">
        <v>69</v>
      </c>
      <c r="I741" t="s">
        <v>26</v>
      </c>
      <c r="J741">
        <v>6.36</v>
      </c>
      <c r="K741" s="3">
        <f t="shared" si="11"/>
        <v>50.120000000000005</v>
      </c>
      <c r="L741" t="s">
        <v>27</v>
      </c>
      <c r="M741" t="s">
        <v>27</v>
      </c>
      <c r="N741">
        <v>32</v>
      </c>
      <c r="O741" t="s">
        <v>62</v>
      </c>
      <c r="P741" t="s">
        <v>42</v>
      </c>
      <c r="Q741" t="s">
        <v>30</v>
      </c>
      <c r="R741">
        <v>394</v>
      </c>
      <c r="S741">
        <v>49.25</v>
      </c>
      <c r="T741" t="s">
        <v>31</v>
      </c>
      <c r="U741" t="s">
        <v>32</v>
      </c>
      <c r="V741" t="s">
        <v>31</v>
      </c>
      <c r="W741" t="s">
        <v>31</v>
      </c>
      <c r="X741" t="s">
        <v>34</v>
      </c>
      <c r="Y741" t="s">
        <v>80</v>
      </c>
      <c r="Z741" t="s">
        <v>36</v>
      </c>
      <c r="AA741" t="s">
        <v>1268</v>
      </c>
      <c r="AB741" t="s">
        <v>36</v>
      </c>
      <c r="AC741">
        <f>IF(Cdacdata[[#This Row],[placement_status]]="Placed",1,0)</f>
        <v>0</v>
      </c>
      <c r="AD741" t="s">
        <v>213</v>
      </c>
      <c r="AE741" t="s">
        <v>47</v>
      </c>
      <c r="AF741" t="s">
        <v>69</v>
      </c>
      <c r="AG741">
        <v>2022</v>
      </c>
      <c r="AH741" t="s">
        <v>40</v>
      </c>
      <c r="AI741" t="str">
        <f>IF(Cdacdata[ccat_rank]&lt;=100,"Top 100",
IF(Cdacdata[ccat_rank]&lt;=500,"101–500",
IF(Cdacdata[ccat_rank]&lt;=1000,"501–1000",
"1000+")))</f>
        <v>1000+</v>
      </c>
    </row>
    <row r="742" spans="1:35" x14ac:dyDescent="0.3">
      <c r="A742" s="1" t="s">
        <v>212</v>
      </c>
      <c r="B742">
        <v>220601283</v>
      </c>
      <c r="C742" s="2">
        <v>44813</v>
      </c>
      <c r="D742" s="2" t="s">
        <v>980</v>
      </c>
      <c r="E742">
        <v>1520</v>
      </c>
      <c r="F742" s="2">
        <v>34481</v>
      </c>
      <c r="G742">
        <v>69.38</v>
      </c>
      <c r="H742">
        <v>45.83</v>
      </c>
      <c r="I742">
        <v>65.19</v>
      </c>
      <c r="J742">
        <v>62.73</v>
      </c>
      <c r="K742" s="3">
        <f t="shared" si="11"/>
        <v>60.782499999999992</v>
      </c>
      <c r="L742" t="s">
        <v>27</v>
      </c>
      <c r="M742" t="s">
        <v>27</v>
      </c>
      <c r="N742">
        <v>28</v>
      </c>
      <c r="O742" t="s">
        <v>28</v>
      </c>
      <c r="P742" t="s">
        <v>60</v>
      </c>
      <c r="Q742" t="s">
        <v>30</v>
      </c>
      <c r="R742">
        <v>539</v>
      </c>
      <c r="S742">
        <v>67.375</v>
      </c>
      <c r="T742" t="s">
        <v>33</v>
      </c>
      <c r="U742" t="s">
        <v>32</v>
      </c>
      <c r="V742" t="s">
        <v>33</v>
      </c>
      <c r="W742" t="s">
        <v>33</v>
      </c>
      <c r="X742" t="s">
        <v>34</v>
      </c>
      <c r="Y742" t="s">
        <v>50</v>
      </c>
      <c r="Z742" t="s">
        <v>36</v>
      </c>
      <c r="AA742" t="s">
        <v>1268</v>
      </c>
      <c r="AB742" t="s">
        <v>36</v>
      </c>
      <c r="AC742">
        <f>IF(Cdacdata[[#This Row],[placement_status]]="Placed",1,0)</f>
        <v>0</v>
      </c>
      <c r="AD742" t="s">
        <v>213</v>
      </c>
      <c r="AE742" t="s">
        <v>47</v>
      </c>
      <c r="AF742" t="s">
        <v>55</v>
      </c>
      <c r="AG742">
        <v>2022</v>
      </c>
      <c r="AH742" t="s">
        <v>40</v>
      </c>
      <c r="AI742" t="str">
        <f>IF(Cdacdata[ccat_rank]&lt;=100,"Top 100",
IF(Cdacdata[ccat_rank]&lt;=500,"101–500",
IF(Cdacdata[ccat_rank]&lt;=1000,"501–1000",
"1000+")))</f>
        <v>1000+</v>
      </c>
    </row>
    <row r="743" spans="1:35" x14ac:dyDescent="0.3">
      <c r="A743" s="1" t="s">
        <v>212</v>
      </c>
      <c r="B743">
        <v>220601152</v>
      </c>
      <c r="C743" s="2">
        <v>44815</v>
      </c>
      <c r="D743" s="2" t="s">
        <v>981</v>
      </c>
      <c r="E743">
        <v>1364</v>
      </c>
      <c r="F743" s="2">
        <v>35263</v>
      </c>
      <c r="G743">
        <v>88.91</v>
      </c>
      <c r="H743">
        <v>71.540000000000006</v>
      </c>
      <c r="I743" t="s">
        <v>26</v>
      </c>
      <c r="J743">
        <v>70.2</v>
      </c>
      <c r="K743" s="3">
        <f t="shared" si="11"/>
        <v>76.883333333333326</v>
      </c>
      <c r="L743" t="s">
        <v>27</v>
      </c>
      <c r="M743" t="s">
        <v>41</v>
      </c>
      <c r="N743">
        <v>26</v>
      </c>
      <c r="O743" t="s">
        <v>28</v>
      </c>
      <c r="P743" t="s">
        <v>60</v>
      </c>
      <c r="Q743" t="s">
        <v>30</v>
      </c>
      <c r="R743">
        <v>539</v>
      </c>
      <c r="S743">
        <v>67.375</v>
      </c>
      <c r="T743" t="s">
        <v>33</v>
      </c>
      <c r="U743" t="s">
        <v>32</v>
      </c>
      <c r="V743" t="s">
        <v>33</v>
      </c>
      <c r="W743" t="s">
        <v>49</v>
      </c>
      <c r="X743" t="s">
        <v>34</v>
      </c>
      <c r="Y743" t="s">
        <v>50</v>
      </c>
      <c r="Z743" t="s">
        <v>53</v>
      </c>
      <c r="AA743" t="s">
        <v>54</v>
      </c>
      <c r="AB743" t="s">
        <v>46</v>
      </c>
      <c r="AC743">
        <f>IF(Cdacdata[[#This Row],[placement_status]]="Placed",1,0)</f>
        <v>1</v>
      </c>
      <c r="AD743" t="s">
        <v>213</v>
      </c>
      <c r="AE743" t="s">
        <v>47</v>
      </c>
      <c r="AF743" t="s">
        <v>55</v>
      </c>
      <c r="AG743">
        <v>2022</v>
      </c>
      <c r="AH743" t="s">
        <v>40</v>
      </c>
      <c r="AI743" t="str">
        <f>IF(Cdacdata[ccat_rank]&lt;=100,"Top 100",
IF(Cdacdata[ccat_rank]&lt;=500,"101–500",
IF(Cdacdata[ccat_rank]&lt;=1000,"501–1000",
"1000+")))</f>
        <v>1000+</v>
      </c>
    </row>
    <row r="744" spans="1:35" x14ac:dyDescent="0.3">
      <c r="A744" s="1" t="s">
        <v>212</v>
      </c>
      <c r="B744">
        <v>220607965</v>
      </c>
      <c r="C744" s="2">
        <v>44816</v>
      </c>
      <c r="D744" s="2" t="s">
        <v>982</v>
      </c>
      <c r="E744">
        <v>1682</v>
      </c>
      <c r="F744" s="2">
        <v>36908</v>
      </c>
      <c r="G744">
        <v>88.2</v>
      </c>
      <c r="H744">
        <v>58.92</v>
      </c>
      <c r="I744" t="s">
        <v>26</v>
      </c>
      <c r="J744">
        <v>68.5</v>
      </c>
      <c r="K744" s="3">
        <f t="shared" si="11"/>
        <v>71.873333333333335</v>
      </c>
      <c r="L744" t="s">
        <v>27</v>
      </c>
      <c r="M744" t="s">
        <v>27</v>
      </c>
      <c r="N744">
        <v>21</v>
      </c>
      <c r="O744" t="s">
        <v>28</v>
      </c>
      <c r="P744" t="s">
        <v>52</v>
      </c>
      <c r="Q744" t="s">
        <v>30</v>
      </c>
      <c r="R744">
        <v>495</v>
      </c>
      <c r="S744">
        <v>61.875</v>
      </c>
      <c r="T744" t="s">
        <v>33</v>
      </c>
      <c r="U744" t="s">
        <v>32</v>
      </c>
      <c r="V744" t="s">
        <v>33</v>
      </c>
      <c r="W744" t="s">
        <v>33</v>
      </c>
      <c r="X744" t="s">
        <v>34</v>
      </c>
      <c r="Y744" t="s">
        <v>50</v>
      </c>
      <c r="Z744" t="s">
        <v>44</v>
      </c>
      <c r="AA744" t="s">
        <v>51</v>
      </c>
      <c r="AB744" t="s">
        <v>46</v>
      </c>
      <c r="AC744">
        <f>IF(Cdacdata[[#This Row],[placement_status]]="Placed",1,0)</f>
        <v>1</v>
      </c>
      <c r="AD744" t="s">
        <v>213</v>
      </c>
      <c r="AE744" t="s">
        <v>47</v>
      </c>
      <c r="AF744" t="s">
        <v>57</v>
      </c>
      <c r="AG744">
        <v>2022</v>
      </c>
      <c r="AH744" t="s">
        <v>40</v>
      </c>
      <c r="AI744" t="str">
        <f>IF(Cdacdata[ccat_rank]&lt;=100,"Top 100",
IF(Cdacdata[ccat_rank]&lt;=500,"101–500",
IF(Cdacdata[ccat_rank]&lt;=1000,"501–1000",
"1000+")))</f>
        <v>1000+</v>
      </c>
    </row>
    <row r="745" spans="1:35" x14ac:dyDescent="0.3">
      <c r="A745" s="1" t="s">
        <v>212</v>
      </c>
      <c r="B745">
        <v>220602419</v>
      </c>
      <c r="C745" s="2">
        <v>44813</v>
      </c>
      <c r="D745" s="2" t="s">
        <v>983</v>
      </c>
      <c r="E745">
        <v>1496</v>
      </c>
      <c r="F745" s="2">
        <v>36568</v>
      </c>
      <c r="G745">
        <v>80.8</v>
      </c>
      <c r="H745">
        <v>57.38</v>
      </c>
      <c r="I745" t="s">
        <v>26</v>
      </c>
      <c r="J745">
        <v>7.9</v>
      </c>
      <c r="K745" s="3">
        <f t="shared" si="11"/>
        <v>48.693333333333335</v>
      </c>
      <c r="L745" t="s">
        <v>41</v>
      </c>
      <c r="M745" t="s">
        <v>41</v>
      </c>
      <c r="N745">
        <v>22</v>
      </c>
      <c r="O745" t="s">
        <v>62</v>
      </c>
      <c r="P745" t="s">
        <v>56</v>
      </c>
      <c r="Q745" t="s">
        <v>67</v>
      </c>
      <c r="R745">
        <v>532</v>
      </c>
      <c r="S745">
        <v>66.5</v>
      </c>
      <c r="T745" t="s">
        <v>33</v>
      </c>
      <c r="U745" t="s">
        <v>32</v>
      </c>
      <c r="V745" t="s">
        <v>33</v>
      </c>
      <c r="W745" t="s">
        <v>49</v>
      </c>
      <c r="X745" t="s">
        <v>34</v>
      </c>
      <c r="Y745" t="s">
        <v>50</v>
      </c>
      <c r="Z745" t="s">
        <v>44</v>
      </c>
      <c r="AA745" t="s">
        <v>91</v>
      </c>
      <c r="AB745" t="s">
        <v>46</v>
      </c>
      <c r="AC745">
        <f>IF(Cdacdata[[#This Row],[placement_status]]="Placed",1,0)</f>
        <v>1</v>
      </c>
      <c r="AD745" t="s">
        <v>213</v>
      </c>
      <c r="AE745" t="s">
        <v>47</v>
      </c>
      <c r="AF745" t="s">
        <v>57</v>
      </c>
      <c r="AG745">
        <v>2022</v>
      </c>
      <c r="AH745" t="s">
        <v>40</v>
      </c>
      <c r="AI745" t="str">
        <f>IF(Cdacdata[ccat_rank]&lt;=100,"Top 100",
IF(Cdacdata[ccat_rank]&lt;=500,"101–500",
IF(Cdacdata[ccat_rank]&lt;=1000,"501–1000",
"1000+")))</f>
        <v>1000+</v>
      </c>
    </row>
    <row r="746" spans="1:35" x14ac:dyDescent="0.3">
      <c r="A746" s="1" t="s">
        <v>212</v>
      </c>
      <c r="B746">
        <v>220600593</v>
      </c>
      <c r="C746" s="2">
        <v>44813</v>
      </c>
      <c r="D746" s="2" t="s">
        <v>984</v>
      </c>
      <c r="E746">
        <v>798</v>
      </c>
      <c r="F746" s="2">
        <v>35649</v>
      </c>
      <c r="G746">
        <v>80</v>
      </c>
      <c r="H746">
        <v>66</v>
      </c>
      <c r="I746" t="s">
        <v>26</v>
      </c>
      <c r="J746">
        <v>62.4</v>
      </c>
      <c r="K746" s="3">
        <f t="shared" si="11"/>
        <v>69.466666666666669</v>
      </c>
      <c r="L746" t="s">
        <v>27</v>
      </c>
      <c r="M746" t="s">
        <v>27</v>
      </c>
      <c r="N746">
        <v>25</v>
      </c>
      <c r="O746" t="s">
        <v>28</v>
      </c>
      <c r="P746" t="s">
        <v>60</v>
      </c>
      <c r="Q746" t="s">
        <v>30</v>
      </c>
      <c r="R746">
        <v>557</v>
      </c>
      <c r="S746">
        <v>69.625</v>
      </c>
      <c r="T746" t="s">
        <v>33</v>
      </c>
      <c r="U746" t="s">
        <v>32</v>
      </c>
      <c r="V746" t="s">
        <v>33</v>
      </c>
      <c r="W746" t="s">
        <v>49</v>
      </c>
      <c r="X746" t="s">
        <v>34</v>
      </c>
      <c r="Y746" t="s">
        <v>50</v>
      </c>
      <c r="Z746" t="s">
        <v>53</v>
      </c>
      <c r="AA746" t="s">
        <v>54</v>
      </c>
      <c r="AB746" t="s">
        <v>46</v>
      </c>
      <c r="AC746">
        <f>IF(Cdacdata[[#This Row],[placement_status]]="Placed",1,0)</f>
        <v>1</v>
      </c>
      <c r="AD746" t="s">
        <v>213</v>
      </c>
      <c r="AE746" t="s">
        <v>75</v>
      </c>
      <c r="AF746" t="s">
        <v>39</v>
      </c>
      <c r="AG746">
        <v>2022</v>
      </c>
      <c r="AH746" t="s">
        <v>40</v>
      </c>
      <c r="AI746" t="str">
        <f>IF(Cdacdata[ccat_rank]&lt;=100,"Top 100",
IF(Cdacdata[ccat_rank]&lt;=500,"101–500",
IF(Cdacdata[ccat_rank]&lt;=1000,"501–1000",
"1000+")))</f>
        <v>501–1000</v>
      </c>
    </row>
    <row r="747" spans="1:35" x14ac:dyDescent="0.3">
      <c r="A747" s="1" t="s">
        <v>212</v>
      </c>
      <c r="B747">
        <v>220700923</v>
      </c>
      <c r="C747" s="2">
        <v>44815</v>
      </c>
      <c r="D747" s="2" t="s">
        <v>985</v>
      </c>
      <c r="E747">
        <v>960</v>
      </c>
      <c r="F747" s="2">
        <v>34954</v>
      </c>
      <c r="G747">
        <v>90.91</v>
      </c>
      <c r="H747" t="s">
        <v>26</v>
      </c>
      <c r="I747">
        <v>79.55</v>
      </c>
      <c r="J747">
        <v>78.3</v>
      </c>
      <c r="K747" s="3">
        <f t="shared" si="11"/>
        <v>82.92</v>
      </c>
      <c r="L747" t="s">
        <v>27</v>
      </c>
      <c r="M747" t="s">
        <v>41</v>
      </c>
      <c r="N747">
        <v>26</v>
      </c>
      <c r="O747" t="s">
        <v>48</v>
      </c>
      <c r="P747" t="s">
        <v>29</v>
      </c>
      <c r="Q747" t="s">
        <v>30</v>
      </c>
      <c r="R747">
        <v>611</v>
      </c>
      <c r="S747">
        <v>76.375</v>
      </c>
      <c r="T747" t="s">
        <v>49</v>
      </c>
      <c r="U747" t="s">
        <v>32</v>
      </c>
      <c r="V747" t="s">
        <v>49</v>
      </c>
      <c r="W747" t="s">
        <v>49</v>
      </c>
      <c r="X747" t="s">
        <v>34</v>
      </c>
      <c r="Y747" t="s">
        <v>58</v>
      </c>
      <c r="Z747" t="s">
        <v>44</v>
      </c>
      <c r="AA747" t="s">
        <v>91</v>
      </c>
      <c r="AB747" t="s">
        <v>46</v>
      </c>
      <c r="AC747">
        <f>IF(Cdacdata[[#This Row],[placement_status]]="Placed",1,0)</f>
        <v>1</v>
      </c>
      <c r="AD747" t="s">
        <v>213</v>
      </c>
      <c r="AE747" t="s">
        <v>75</v>
      </c>
      <c r="AF747" t="s">
        <v>55</v>
      </c>
      <c r="AG747">
        <v>2022</v>
      </c>
      <c r="AH747" t="s">
        <v>40</v>
      </c>
      <c r="AI747" t="str">
        <f>IF(Cdacdata[ccat_rank]&lt;=100,"Top 100",
IF(Cdacdata[ccat_rank]&lt;=500,"101–500",
IF(Cdacdata[ccat_rank]&lt;=1000,"501–1000",
"1000+")))</f>
        <v>501–1000</v>
      </c>
    </row>
    <row r="748" spans="1:35" x14ac:dyDescent="0.3">
      <c r="A748" s="1" t="s">
        <v>212</v>
      </c>
      <c r="B748">
        <v>220604315</v>
      </c>
      <c r="C748" s="2">
        <v>44815</v>
      </c>
      <c r="D748" s="2" t="s">
        <v>986</v>
      </c>
      <c r="E748">
        <v>406</v>
      </c>
      <c r="F748" s="2">
        <v>35088</v>
      </c>
      <c r="G748">
        <v>94.33</v>
      </c>
      <c r="H748">
        <v>72.67</v>
      </c>
      <c r="I748" t="s">
        <v>26</v>
      </c>
      <c r="J748">
        <v>79.099999999999994</v>
      </c>
      <c r="K748" s="3">
        <f t="shared" si="11"/>
        <v>82.033333333333331</v>
      </c>
      <c r="L748" t="s">
        <v>41</v>
      </c>
      <c r="M748" t="s">
        <v>27</v>
      </c>
      <c r="N748">
        <v>26</v>
      </c>
      <c r="O748" t="s">
        <v>48</v>
      </c>
      <c r="P748" t="s">
        <v>60</v>
      </c>
      <c r="Q748" t="s">
        <v>30</v>
      </c>
      <c r="R748">
        <v>583</v>
      </c>
      <c r="S748">
        <v>72.875</v>
      </c>
      <c r="T748" t="s">
        <v>49</v>
      </c>
      <c r="U748" t="s">
        <v>32</v>
      </c>
      <c r="V748" t="s">
        <v>49</v>
      </c>
      <c r="W748" t="s">
        <v>49</v>
      </c>
      <c r="X748" t="s">
        <v>34</v>
      </c>
      <c r="Y748" t="s">
        <v>58</v>
      </c>
      <c r="Z748" t="s">
        <v>44</v>
      </c>
      <c r="AA748" t="s">
        <v>221</v>
      </c>
      <c r="AB748" t="s">
        <v>46</v>
      </c>
      <c r="AC748">
        <f>IF(Cdacdata[[#This Row],[placement_status]]="Placed",1,0)</f>
        <v>1</v>
      </c>
      <c r="AD748" t="s">
        <v>213</v>
      </c>
      <c r="AE748" t="s">
        <v>75</v>
      </c>
      <c r="AF748" t="s">
        <v>55</v>
      </c>
      <c r="AG748">
        <v>2022</v>
      </c>
      <c r="AH748" t="s">
        <v>40</v>
      </c>
      <c r="AI748" t="str">
        <f>IF(Cdacdata[ccat_rank]&lt;=100,"Top 100",
IF(Cdacdata[ccat_rank]&lt;=500,"101–500",
IF(Cdacdata[ccat_rank]&lt;=1000,"501–1000",
"1000+")))</f>
        <v>101–500</v>
      </c>
    </row>
    <row r="749" spans="1:35" x14ac:dyDescent="0.3">
      <c r="A749" s="1" t="s">
        <v>212</v>
      </c>
      <c r="B749">
        <v>220602968</v>
      </c>
      <c r="C749" s="2">
        <v>44817</v>
      </c>
      <c r="D749" s="2" t="s">
        <v>987</v>
      </c>
      <c r="E749">
        <v>1480</v>
      </c>
      <c r="F749" s="2">
        <v>36243</v>
      </c>
      <c r="G749">
        <v>77.8</v>
      </c>
      <c r="H749">
        <v>58.92</v>
      </c>
      <c r="I749" t="s">
        <v>26</v>
      </c>
      <c r="J749">
        <v>69.48</v>
      </c>
      <c r="K749" s="3">
        <f t="shared" si="11"/>
        <v>68.733333333333334</v>
      </c>
      <c r="L749" t="s">
        <v>27</v>
      </c>
      <c r="M749" t="s">
        <v>27</v>
      </c>
      <c r="N749">
        <v>23</v>
      </c>
      <c r="O749" t="s">
        <v>28</v>
      </c>
      <c r="P749" t="s">
        <v>60</v>
      </c>
      <c r="Q749" t="s">
        <v>30</v>
      </c>
      <c r="R749">
        <v>504</v>
      </c>
      <c r="S749">
        <v>63</v>
      </c>
      <c r="T749" t="s">
        <v>31</v>
      </c>
      <c r="U749" t="s">
        <v>32</v>
      </c>
      <c r="V749" t="s">
        <v>31</v>
      </c>
      <c r="W749" t="s">
        <v>33</v>
      </c>
      <c r="X749" t="s">
        <v>34</v>
      </c>
      <c r="Y749" t="s">
        <v>50</v>
      </c>
      <c r="Z749" t="s">
        <v>36</v>
      </c>
      <c r="AA749" t="s">
        <v>1268</v>
      </c>
      <c r="AB749" t="s">
        <v>36</v>
      </c>
      <c r="AC749">
        <f>IF(Cdacdata[[#This Row],[placement_status]]="Placed",1,0)</f>
        <v>0</v>
      </c>
      <c r="AD749" t="s">
        <v>213</v>
      </c>
      <c r="AE749" t="s">
        <v>47</v>
      </c>
      <c r="AF749" t="s">
        <v>39</v>
      </c>
      <c r="AG749">
        <v>2022</v>
      </c>
      <c r="AH749" t="s">
        <v>40</v>
      </c>
      <c r="AI749" t="str">
        <f>IF(Cdacdata[ccat_rank]&lt;=100,"Top 100",
IF(Cdacdata[ccat_rank]&lt;=500,"101–500",
IF(Cdacdata[ccat_rank]&lt;=1000,"501–1000",
"1000+")))</f>
        <v>1000+</v>
      </c>
    </row>
    <row r="750" spans="1:35" x14ac:dyDescent="0.3">
      <c r="A750" s="1" t="s">
        <v>212</v>
      </c>
      <c r="B750">
        <v>220600777</v>
      </c>
      <c r="C750" s="2">
        <v>44813</v>
      </c>
      <c r="D750" s="2" t="s">
        <v>988</v>
      </c>
      <c r="E750">
        <v>1007</v>
      </c>
      <c r="F750" s="2">
        <v>35355</v>
      </c>
      <c r="G750">
        <v>74.91</v>
      </c>
      <c r="H750">
        <v>58.92</v>
      </c>
      <c r="I750" t="s">
        <v>26</v>
      </c>
      <c r="J750">
        <v>68.3</v>
      </c>
      <c r="K750" s="3">
        <f t="shared" si="11"/>
        <v>67.376666666666665</v>
      </c>
      <c r="L750" t="s">
        <v>27</v>
      </c>
      <c r="M750" t="s">
        <v>41</v>
      </c>
      <c r="N750">
        <v>25</v>
      </c>
      <c r="O750" t="s">
        <v>28</v>
      </c>
      <c r="P750" t="s">
        <v>56</v>
      </c>
      <c r="Q750" t="s">
        <v>30</v>
      </c>
      <c r="R750">
        <v>436</v>
      </c>
      <c r="S750">
        <v>54.5</v>
      </c>
      <c r="T750" t="s">
        <v>31</v>
      </c>
      <c r="U750" t="s">
        <v>32</v>
      </c>
      <c r="V750" t="s">
        <v>31</v>
      </c>
      <c r="W750" t="s">
        <v>31</v>
      </c>
      <c r="X750" t="s">
        <v>34</v>
      </c>
      <c r="Y750" t="s">
        <v>35</v>
      </c>
      <c r="Z750" t="s">
        <v>36</v>
      </c>
      <c r="AA750" t="s">
        <v>1268</v>
      </c>
      <c r="AB750" t="s">
        <v>36</v>
      </c>
      <c r="AC750">
        <f>IF(Cdacdata[[#This Row],[placement_status]]="Placed",1,0)</f>
        <v>0</v>
      </c>
      <c r="AD750" t="s">
        <v>213</v>
      </c>
      <c r="AE750" t="s">
        <v>47</v>
      </c>
      <c r="AF750" t="s">
        <v>39</v>
      </c>
      <c r="AG750">
        <v>2022</v>
      </c>
      <c r="AH750" t="s">
        <v>40</v>
      </c>
      <c r="AI750" t="str">
        <f>IF(Cdacdata[ccat_rank]&lt;=100,"Top 100",
IF(Cdacdata[ccat_rank]&lt;=500,"101–500",
IF(Cdacdata[ccat_rank]&lt;=1000,"501–1000",
"1000+")))</f>
        <v>1000+</v>
      </c>
    </row>
    <row r="751" spans="1:35" x14ac:dyDescent="0.3">
      <c r="A751" s="1" t="s">
        <v>212</v>
      </c>
      <c r="B751">
        <v>220712082</v>
      </c>
      <c r="C751" s="2">
        <v>44814</v>
      </c>
      <c r="D751" s="2" t="s">
        <v>989</v>
      </c>
      <c r="E751">
        <v>1739</v>
      </c>
      <c r="F751" s="2">
        <v>35643</v>
      </c>
      <c r="G751">
        <v>83.64</v>
      </c>
      <c r="H751">
        <v>52.46</v>
      </c>
      <c r="I751">
        <v>71.56</v>
      </c>
      <c r="J751">
        <v>65.67</v>
      </c>
      <c r="K751" s="3">
        <f t="shared" si="11"/>
        <v>68.332499999999996</v>
      </c>
      <c r="L751" t="s">
        <v>27</v>
      </c>
      <c r="M751" t="s">
        <v>27</v>
      </c>
      <c r="N751">
        <v>25</v>
      </c>
      <c r="O751" t="s">
        <v>28</v>
      </c>
      <c r="P751" t="s">
        <v>65</v>
      </c>
      <c r="Q751" t="s">
        <v>30</v>
      </c>
      <c r="R751">
        <v>555</v>
      </c>
      <c r="S751">
        <v>69.375</v>
      </c>
      <c r="T751" t="s">
        <v>49</v>
      </c>
      <c r="U751" t="s">
        <v>32</v>
      </c>
      <c r="V751" t="s">
        <v>49</v>
      </c>
      <c r="W751" t="s">
        <v>31</v>
      </c>
      <c r="X751" t="s">
        <v>34</v>
      </c>
      <c r="Y751" t="s">
        <v>50</v>
      </c>
      <c r="Z751" t="s">
        <v>53</v>
      </c>
      <c r="AA751" t="s">
        <v>54</v>
      </c>
      <c r="AB751" t="s">
        <v>46</v>
      </c>
      <c r="AC751">
        <f>IF(Cdacdata[[#This Row],[placement_status]]="Placed",1,0)</f>
        <v>1</v>
      </c>
      <c r="AD751" t="s">
        <v>213</v>
      </c>
      <c r="AE751" t="s">
        <v>47</v>
      </c>
      <c r="AF751" t="s">
        <v>39</v>
      </c>
      <c r="AG751">
        <v>2022</v>
      </c>
      <c r="AH751" t="s">
        <v>40</v>
      </c>
      <c r="AI751" t="str">
        <f>IF(Cdacdata[ccat_rank]&lt;=100,"Top 100",
IF(Cdacdata[ccat_rank]&lt;=500,"101–500",
IF(Cdacdata[ccat_rank]&lt;=1000,"501–1000",
"1000+")))</f>
        <v>1000+</v>
      </c>
    </row>
    <row r="752" spans="1:35" x14ac:dyDescent="0.3">
      <c r="A752" s="1" t="s">
        <v>212</v>
      </c>
      <c r="B752">
        <v>220704194</v>
      </c>
      <c r="C752" s="2">
        <v>44814</v>
      </c>
      <c r="D752" s="2" t="s">
        <v>990</v>
      </c>
      <c r="E752">
        <v>1447</v>
      </c>
      <c r="F752" s="2">
        <v>35629</v>
      </c>
      <c r="G752">
        <v>92.46</v>
      </c>
      <c r="H752">
        <v>72</v>
      </c>
      <c r="I752" t="s">
        <v>26</v>
      </c>
      <c r="J752">
        <v>77</v>
      </c>
      <c r="K752" s="3">
        <f t="shared" si="11"/>
        <v>80.486666666666665</v>
      </c>
      <c r="L752" t="s">
        <v>27</v>
      </c>
      <c r="M752" t="s">
        <v>27</v>
      </c>
      <c r="N752">
        <v>25</v>
      </c>
      <c r="O752" t="s">
        <v>48</v>
      </c>
      <c r="P752" t="s">
        <v>60</v>
      </c>
      <c r="Q752" t="s">
        <v>30</v>
      </c>
      <c r="R752">
        <v>584</v>
      </c>
      <c r="S752">
        <v>73</v>
      </c>
      <c r="T752" t="s">
        <v>49</v>
      </c>
      <c r="U752" t="s">
        <v>32</v>
      </c>
      <c r="V752" t="s">
        <v>49</v>
      </c>
      <c r="W752" t="s">
        <v>49</v>
      </c>
      <c r="X752" t="s">
        <v>34</v>
      </c>
      <c r="Y752" t="s">
        <v>58</v>
      </c>
      <c r="Z752" t="s">
        <v>44</v>
      </c>
      <c r="AA752" t="s">
        <v>221</v>
      </c>
      <c r="AB752" t="s">
        <v>46</v>
      </c>
      <c r="AC752">
        <f>IF(Cdacdata[[#This Row],[placement_status]]="Placed",1,0)</f>
        <v>1</v>
      </c>
      <c r="AD752" t="s">
        <v>213</v>
      </c>
      <c r="AE752" t="s">
        <v>47</v>
      </c>
      <c r="AF752" t="s">
        <v>39</v>
      </c>
      <c r="AG752">
        <v>2022</v>
      </c>
      <c r="AH752" t="s">
        <v>40</v>
      </c>
      <c r="AI752" t="str">
        <f>IF(Cdacdata[ccat_rank]&lt;=100,"Top 100",
IF(Cdacdata[ccat_rank]&lt;=500,"101–500",
IF(Cdacdata[ccat_rank]&lt;=1000,"501–1000",
"1000+")))</f>
        <v>1000+</v>
      </c>
    </row>
    <row r="753" spans="1:35" x14ac:dyDescent="0.3">
      <c r="A753" s="1" t="s">
        <v>212</v>
      </c>
      <c r="B753">
        <v>220606852</v>
      </c>
      <c r="C753" s="2">
        <v>44813</v>
      </c>
      <c r="D753" s="2" t="s">
        <v>991</v>
      </c>
      <c r="E753">
        <v>1105</v>
      </c>
      <c r="F753" s="2">
        <v>34876</v>
      </c>
      <c r="G753">
        <v>85.09</v>
      </c>
      <c r="H753" t="s">
        <v>26</v>
      </c>
      <c r="I753" t="s">
        <v>26</v>
      </c>
      <c r="J753">
        <v>61.4</v>
      </c>
      <c r="K753" s="3">
        <f t="shared" si="11"/>
        <v>73.245000000000005</v>
      </c>
      <c r="L753" t="s">
        <v>27</v>
      </c>
      <c r="M753" t="s">
        <v>41</v>
      </c>
      <c r="N753">
        <v>27</v>
      </c>
      <c r="O753" t="s">
        <v>28</v>
      </c>
      <c r="P753" t="s">
        <v>60</v>
      </c>
      <c r="Q753" t="s">
        <v>30</v>
      </c>
      <c r="R753">
        <v>444</v>
      </c>
      <c r="S753">
        <v>55.5</v>
      </c>
      <c r="T753" t="s">
        <v>33</v>
      </c>
      <c r="U753" t="s">
        <v>32</v>
      </c>
      <c r="V753" t="s">
        <v>33</v>
      </c>
      <c r="W753" t="s">
        <v>33</v>
      </c>
      <c r="X753" t="s">
        <v>34</v>
      </c>
      <c r="Y753" t="s">
        <v>35</v>
      </c>
      <c r="Z753" t="s">
        <v>36</v>
      </c>
      <c r="AA753" t="s">
        <v>1268</v>
      </c>
      <c r="AB753" t="s">
        <v>36</v>
      </c>
      <c r="AC753">
        <f>IF(Cdacdata[[#This Row],[placement_status]]="Placed",1,0)</f>
        <v>0</v>
      </c>
      <c r="AD753" t="s">
        <v>213</v>
      </c>
      <c r="AE753" t="s">
        <v>47</v>
      </c>
      <c r="AF753" t="s">
        <v>55</v>
      </c>
      <c r="AG753">
        <v>2022</v>
      </c>
      <c r="AH753" t="s">
        <v>40</v>
      </c>
      <c r="AI753" t="str">
        <f>IF(Cdacdata[ccat_rank]&lt;=100,"Top 100",
IF(Cdacdata[ccat_rank]&lt;=500,"101–500",
IF(Cdacdata[ccat_rank]&lt;=1000,"501–1000",
"1000+")))</f>
        <v>1000+</v>
      </c>
    </row>
    <row r="754" spans="1:35" x14ac:dyDescent="0.3">
      <c r="A754" s="1" t="s">
        <v>212</v>
      </c>
      <c r="B754">
        <v>220606435</v>
      </c>
      <c r="C754" s="2">
        <v>44817</v>
      </c>
      <c r="D754" s="2" t="s">
        <v>992</v>
      </c>
      <c r="E754">
        <v>1714</v>
      </c>
      <c r="F754" s="2">
        <v>36060</v>
      </c>
      <c r="G754">
        <v>70.3</v>
      </c>
      <c r="H754">
        <v>72.8</v>
      </c>
      <c r="I754" t="s">
        <v>26</v>
      </c>
      <c r="J754">
        <v>70.16</v>
      </c>
      <c r="K754" s="3">
        <f t="shared" si="11"/>
        <v>71.086666666666659</v>
      </c>
      <c r="L754" t="s">
        <v>27</v>
      </c>
      <c r="M754" t="s">
        <v>27</v>
      </c>
      <c r="N754">
        <v>23</v>
      </c>
      <c r="O754" t="s">
        <v>28</v>
      </c>
      <c r="P754" t="s">
        <v>60</v>
      </c>
      <c r="Q754" t="s">
        <v>43</v>
      </c>
      <c r="R754">
        <v>483</v>
      </c>
      <c r="S754">
        <v>60.375</v>
      </c>
      <c r="T754" t="s">
        <v>33</v>
      </c>
      <c r="U754" t="s">
        <v>32</v>
      </c>
      <c r="V754" t="s">
        <v>33</v>
      </c>
      <c r="W754" t="s">
        <v>33</v>
      </c>
      <c r="X754" t="s">
        <v>34</v>
      </c>
      <c r="Y754" t="s">
        <v>50</v>
      </c>
      <c r="Z754" t="s">
        <v>36</v>
      </c>
      <c r="AA754" t="s">
        <v>1268</v>
      </c>
      <c r="AB754" t="s">
        <v>36</v>
      </c>
      <c r="AC754">
        <f>IF(Cdacdata[[#This Row],[placement_status]]="Placed",1,0)</f>
        <v>0</v>
      </c>
      <c r="AD754" t="s">
        <v>213</v>
      </c>
      <c r="AE754" t="s">
        <v>47</v>
      </c>
      <c r="AF754" t="s">
        <v>39</v>
      </c>
      <c r="AG754">
        <v>2022</v>
      </c>
      <c r="AH754" t="s">
        <v>40</v>
      </c>
      <c r="AI754" t="str">
        <f>IF(Cdacdata[ccat_rank]&lt;=100,"Top 100",
IF(Cdacdata[ccat_rank]&lt;=500,"101–500",
IF(Cdacdata[ccat_rank]&lt;=1000,"501–1000",
"1000+")))</f>
        <v>1000+</v>
      </c>
    </row>
    <row r="755" spans="1:35" x14ac:dyDescent="0.3">
      <c r="A755" s="1" t="s">
        <v>212</v>
      </c>
      <c r="B755">
        <v>220601739</v>
      </c>
      <c r="C755" s="2">
        <v>44815</v>
      </c>
      <c r="D755" s="2" t="s">
        <v>993</v>
      </c>
      <c r="E755">
        <v>1731</v>
      </c>
      <c r="F755" s="2">
        <v>36374</v>
      </c>
      <c r="G755">
        <v>85.5</v>
      </c>
      <c r="H755">
        <v>88.66</v>
      </c>
      <c r="I755" t="s">
        <v>26</v>
      </c>
      <c r="J755">
        <v>77</v>
      </c>
      <c r="K755" s="3">
        <f t="shared" si="11"/>
        <v>83.72</v>
      </c>
      <c r="L755" t="s">
        <v>27</v>
      </c>
      <c r="M755" t="s">
        <v>41</v>
      </c>
      <c r="N755">
        <v>23</v>
      </c>
      <c r="O755" t="s">
        <v>48</v>
      </c>
      <c r="P755" t="s">
        <v>52</v>
      </c>
      <c r="Q755" t="s">
        <v>30</v>
      </c>
      <c r="R755">
        <v>586</v>
      </c>
      <c r="S755">
        <v>73.25</v>
      </c>
      <c r="T755" t="s">
        <v>49</v>
      </c>
      <c r="U755" t="s">
        <v>32</v>
      </c>
      <c r="V755" t="s">
        <v>49</v>
      </c>
      <c r="W755" t="s">
        <v>33</v>
      </c>
      <c r="X755" t="s">
        <v>34</v>
      </c>
      <c r="Y755" t="s">
        <v>58</v>
      </c>
      <c r="Z755" t="s">
        <v>44</v>
      </c>
      <c r="AA755" t="s">
        <v>221</v>
      </c>
      <c r="AB755" t="s">
        <v>46</v>
      </c>
      <c r="AC755">
        <f>IF(Cdacdata[[#This Row],[placement_status]]="Placed",1,0)</f>
        <v>1</v>
      </c>
      <c r="AD755" t="s">
        <v>213</v>
      </c>
      <c r="AE755" t="s">
        <v>47</v>
      </c>
      <c r="AF755" t="s">
        <v>39</v>
      </c>
      <c r="AG755">
        <v>2022</v>
      </c>
      <c r="AH755" t="s">
        <v>40</v>
      </c>
      <c r="AI755" t="str">
        <f>IF(Cdacdata[ccat_rank]&lt;=100,"Top 100",
IF(Cdacdata[ccat_rank]&lt;=500,"101–500",
IF(Cdacdata[ccat_rank]&lt;=1000,"501–1000",
"1000+")))</f>
        <v>1000+</v>
      </c>
    </row>
    <row r="756" spans="1:35" x14ac:dyDescent="0.3">
      <c r="A756" s="1" t="s">
        <v>212</v>
      </c>
      <c r="B756">
        <v>220603896</v>
      </c>
      <c r="C756" s="2">
        <v>44813</v>
      </c>
      <c r="D756" s="2" t="s">
        <v>994</v>
      </c>
      <c r="E756">
        <v>154</v>
      </c>
      <c r="F756" s="2">
        <v>36395</v>
      </c>
      <c r="G756">
        <v>93.6</v>
      </c>
      <c r="H756">
        <v>71.38</v>
      </c>
      <c r="I756" t="s">
        <v>26</v>
      </c>
      <c r="J756">
        <v>78.55</v>
      </c>
      <c r="K756" s="3">
        <f t="shared" si="11"/>
        <v>81.176666666666662</v>
      </c>
      <c r="L756" t="s">
        <v>27</v>
      </c>
      <c r="M756" t="s">
        <v>41</v>
      </c>
      <c r="N756">
        <v>23</v>
      </c>
      <c r="O756" t="s">
        <v>48</v>
      </c>
      <c r="P756" t="s">
        <v>26</v>
      </c>
      <c r="Q756" t="s">
        <v>30</v>
      </c>
      <c r="R756">
        <v>652</v>
      </c>
      <c r="S756">
        <v>81.5</v>
      </c>
      <c r="T756" t="s">
        <v>49</v>
      </c>
      <c r="U756" t="s">
        <v>32</v>
      </c>
      <c r="V756" t="s">
        <v>49</v>
      </c>
      <c r="W756" t="s">
        <v>49</v>
      </c>
      <c r="X756" t="s">
        <v>34</v>
      </c>
      <c r="Y756" t="s">
        <v>58</v>
      </c>
      <c r="Z756" t="s">
        <v>44</v>
      </c>
      <c r="AA756" t="s">
        <v>115</v>
      </c>
      <c r="AB756" t="s">
        <v>46</v>
      </c>
      <c r="AC756">
        <f>IF(Cdacdata[[#This Row],[placement_status]]="Placed",1,0)</f>
        <v>1</v>
      </c>
      <c r="AD756" t="s">
        <v>213</v>
      </c>
      <c r="AE756" t="s">
        <v>75</v>
      </c>
      <c r="AF756" t="s">
        <v>39</v>
      </c>
      <c r="AG756">
        <v>2022</v>
      </c>
      <c r="AH756" t="s">
        <v>40</v>
      </c>
      <c r="AI756" t="str">
        <f>IF(Cdacdata[ccat_rank]&lt;=100,"Top 100",
IF(Cdacdata[ccat_rank]&lt;=500,"101–500",
IF(Cdacdata[ccat_rank]&lt;=1000,"501–1000",
"1000+")))</f>
        <v>101–500</v>
      </c>
    </row>
    <row r="757" spans="1:35" x14ac:dyDescent="0.3">
      <c r="A757" s="1" t="s">
        <v>212</v>
      </c>
      <c r="B757">
        <v>220604262</v>
      </c>
      <c r="C757" s="2">
        <v>44816</v>
      </c>
      <c r="D757" s="2" t="s">
        <v>995</v>
      </c>
      <c r="E757">
        <v>1765</v>
      </c>
      <c r="F757" s="2">
        <v>34908</v>
      </c>
      <c r="G757">
        <v>73.599999999999994</v>
      </c>
      <c r="H757">
        <v>76.599999999999994</v>
      </c>
      <c r="I757" t="s">
        <v>26</v>
      </c>
      <c r="J757">
        <v>61.73</v>
      </c>
      <c r="K757" s="3">
        <f t="shared" si="11"/>
        <v>70.643333333333331</v>
      </c>
      <c r="L757" t="s">
        <v>27</v>
      </c>
      <c r="M757" t="s">
        <v>27</v>
      </c>
      <c r="N757">
        <v>27</v>
      </c>
      <c r="O757" t="s">
        <v>28</v>
      </c>
      <c r="P757" t="s">
        <v>60</v>
      </c>
      <c r="Q757" t="s">
        <v>43</v>
      </c>
      <c r="R757">
        <v>523</v>
      </c>
      <c r="S757">
        <v>65.375</v>
      </c>
      <c r="T757" t="s">
        <v>33</v>
      </c>
      <c r="U757" t="s">
        <v>32</v>
      </c>
      <c r="V757" t="s">
        <v>33</v>
      </c>
      <c r="W757" t="s">
        <v>33</v>
      </c>
      <c r="X757" t="s">
        <v>34</v>
      </c>
      <c r="Y757" t="s">
        <v>50</v>
      </c>
      <c r="Z757" t="s">
        <v>44</v>
      </c>
      <c r="AA757" t="s">
        <v>226</v>
      </c>
      <c r="AB757" t="s">
        <v>46</v>
      </c>
      <c r="AC757">
        <f>IF(Cdacdata[[#This Row],[placement_status]]="Placed",1,0)</f>
        <v>1</v>
      </c>
      <c r="AD757" t="s">
        <v>213</v>
      </c>
      <c r="AE757" t="s">
        <v>47</v>
      </c>
      <c r="AF757" t="s">
        <v>55</v>
      </c>
      <c r="AG757">
        <v>2022</v>
      </c>
      <c r="AH757" t="s">
        <v>40</v>
      </c>
      <c r="AI757" t="str">
        <f>IF(Cdacdata[ccat_rank]&lt;=100,"Top 100",
IF(Cdacdata[ccat_rank]&lt;=500,"101–500",
IF(Cdacdata[ccat_rank]&lt;=1000,"501–1000",
"1000+")))</f>
        <v>1000+</v>
      </c>
    </row>
    <row r="758" spans="1:35" x14ac:dyDescent="0.3">
      <c r="A758" s="1" t="s">
        <v>212</v>
      </c>
      <c r="B758">
        <v>220710442</v>
      </c>
      <c r="C758" s="2">
        <v>44815</v>
      </c>
      <c r="D758" s="2" t="s">
        <v>996</v>
      </c>
      <c r="E758">
        <v>1610</v>
      </c>
      <c r="F758" s="2">
        <v>36519</v>
      </c>
      <c r="G758">
        <v>92.6</v>
      </c>
      <c r="H758">
        <v>78.599999999999994</v>
      </c>
      <c r="I758" t="s">
        <v>26</v>
      </c>
      <c r="J758">
        <v>70.819999999999993</v>
      </c>
      <c r="K758" s="3">
        <f t="shared" si="11"/>
        <v>80.673333333333332</v>
      </c>
      <c r="L758" t="s">
        <v>27</v>
      </c>
      <c r="M758" t="s">
        <v>27</v>
      </c>
      <c r="N758">
        <v>22</v>
      </c>
      <c r="O758" t="s">
        <v>28</v>
      </c>
      <c r="P758" t="s">
        <v>26</v>
      </c>
      <c r="Q758" t="s">
        <v>43</v>
      </c>
      <c r="R758">
        <v>605</v>
      </c>
      <c r="S758">
        <v>75.625</v>
      </c>
      <c r="T758" t="s">
        <v>49</v>
      </c>
      <c r="U758" t="s">
        <v>32</v>
      </c>
      <c r="V758" t="s">
        <v>49</v>
      </c>
      <c r="W758" t="s">
        <v>49</v>
      </c>
      <c r="X758" t="s">
        <v>34</v>
      </c>
      <c r="Y758" t="s">
        <v>58</v>
      </c>
      <c r="Z758" t="s">
        <v>44</v>
      </c>
      <c r="AA758" t="s">
        <v>227</v>
      </c>
      <c r="AB758" t="s">
        <v>46</v>
      </c>
      <c r="AC758">
        <f>IF(Cdacdata[[#This Row],[placement_status]]="Placed",1,0)</f>
        <v>1</v>
      </c>
      <c r="AD758" t="s">
        <v>213</v>
      </c>
      <c r="AE758" t="s">
        <v>47</v>
      </c>
      <c r="AF758" t="s">
        <v>57</v>
      </c>
      <c r="AG758">
        <v>2022</v>
      </c>
      <c r="AH758" t="s">
        <v>40</v>
      </c>
      <c r="AI758" t="str">
        <f>IF(Cdacdata[ccat_rank]&lt;=100,"Top 100",
IF(Cdacdata[ccat_rank]&lt;=500,"101–500",
IF(Cdacdata[ccat_rank]&lt;=1000,"501–1000",
"1000+")))</f>
        <v>1000+</v>
      </c>
    </row>
    <row r="759" spans="1:35" x14ac:dyDescent="0.3">
      <c r="A759" s="1" t="s">
        <v>212</v>
      </c>
      <c r="B759">
        <v>220710779</v>
      </c>
      <c r="C759" s="2">
        <v>44817</v>
      </c>
      <c r="D759" s="2" t="s">
        <v>997</v>
      </c>
      <c r="E759">
        <v>1735</v>
      </c>
      <c r="F759" s="2">
        <v>35165</v>
      </c>
      <c r="G759">
        <v>78</v>
      </c>
      <c r="H759" t="s">
        <v>26</v>
      </c>
      <c r="I759">
        <v>69.97</v>
      </c>
      <c r="J759">
        <v>6.71</v>
      </c>
      <c r="K759" s="3">
        <f t="shared" si="11"/>
        <v>51.56</v>
      </c>
      <c r="L759" t="s">
        <v>27</v>
      </c>
      <c r="M759" t="s">
        <v>27</v>
      </c>
      <c r="N759">
        <v>26</v>
      </c>
      <c r="O759" t="s">
        <v>62</v>
      </c>
      <c r="P759" t="s">
        <v>60</v>
      </c>
      <c r="Q759" t="s">
        <v>30</v>
      </c>
      <c r="R759">
        <v>444</v>
      </c>
      <c r="S759">
        <v>55.5</v>
      </c>
      <c r="T759" t="s">
        <v>33</v>
      </c>
      <c r="U759" t="s">
        <v>32</v>
      </c>
      <c r="V759" t="s">
        <v>33</v>
      </c>
      <c r="W759" t="s">
        <v>33</v>
      </c>
      <c r="X759" t="s">
        <v>34</v>
      </c>
      <c r="Y759" t="s">
        <v>35</v>
      </c>
      <c r="Z759" t="s">
        <v>53</v>
      </c>
      <c r="AA759" t="s">
        <v>54</v>
      </c>
      <c r="AB759" t="s">
        <v>46</v>
      </c>
      <c r="AC759">
        <f>IF(Cdacdata[[#This Row],[placement_status]]="Placed",1,0)</f>
        <v>1</v>
      </c>
      <c r="AD759" t="s">
        <v>213</v>
      </c>
      <c r="AE759" t="s">
        <v>47</v>
      </c>
      <c r="AF759" t="s">
        <v>55</v>
      </c>
      <c r="AG759">
        <v>2022</v>
      </c>
      <c r="AH759" t="s">
        <v>40</v>
      </c>
      <c r="AI759" t="str">
        <f>IF(Cdacdata[ccat_rank]&lt;=100,"Top 100",
IF(Cdacdata[ccat_rank]&lt;=500,"101–500",
IF(Cdacdata[ccat_rank]&lt;=1000,"501–1000",
"1000+")))</f>
        <v>1000+</v>
      </c>
    </row>
    <row r="760" spans="1:35" x14ac:dyDescent="0.3">
      <c r="A760" s="1" t="s">
        <v>212</v>
      </c>
      <c r="B760">
        <v>220600486</v>
      </c>
      <c r="C760" s="2">
        <v>44817</v>
      </c>
      <c r="D760" s="2" t="s">
        <v>998</v>
      </c>
      <c r="E760">
        <v>612</v>
      </c>
      <c r="F760" s="2">
        <v>34215</v>
      </c>
      <c r="G760">
        <v>69.53</v>
      </c>
      <c r="H760">
        <v>60.67</v>
      </c>
      <c r="I760" t="s">
        <v>26</v>
      </c>
      <c r="J760">
        <v>51</v>
      </c>
      <c r="K760" s="3">
        <f t="shared" si="11"/>
        <v>60.4</v>
      </c>
      <c r="L760" t="s">
        <v>27</v>
      </c>
      <c r="M760" t="s">
        <v>27</v>
      </c>
      <c r="N760">
        <v>29</v>
      </c>
      <c r="O760" t="s">
        <v>72</v>
      </c>
      <c r="P760" t="s">
        <v>65</v>
      </c>
      <c r="Q760" t="s">
        <v>30</v>
      </c>
      <c r="R760">
        <v>498</v>
      </c>
      <c r="S760">
        <v>62.25</v>
      </c>
      <c r="T760" t="s">
        <v>33</v>
      </c>
      <c r="U760" t="s">
        <v>32</v>
      </c>
      <c r="V760" t="s">
        <v>33</v>
      </c>
      <c r="W760" t="s">
        <v>33</v>
      </c>
      <c r="X760" t="s">
        <v>34</v>
      </c>
      <c r="Y760" t="s">
        <v>50</v>
      </c>
      <c r="Z760" t="s">
        <v>36</v>
      </c>
      <c r="AA760" t="s">
        <v>1268</v>
      </c>
      <c r="AB760" t="s">
        <v>36</v>
      </c>
      <c r="AC760">
        <f>IF(Cdacdata[[#This Row],[placement_status]]="Placed",1,0)</f>
        <v>0</v>
      </c>
      <c r="AD760" t="s">
        <v>213</v>
      </c>
      <c r="AE760" t="s">
        <v>75</v>
      </c>
      <c r="AF760" t="s">
        <v>69</v>
      </c>
      <c r="AG760">
        <v>2022</v>
      </c>
      <c r="AH760" t="s">
        <v>40</v>
      </c>
      <c r="AI760" t="str">
        <f>IF(Cdacdata[ccat_rank]&lt;=100,"Top 100",
IF(Cdacdata[ccat_rank]&lt;=500,"101–500",
IF(Cdacdata[ccat_rank]&lt;=1000,"501–1000",
"1000+")))</f>
        <v>501–1000</v>
      </c>
    </row>
    <row r="761" spans="1:35" x14ac:dyDescent="0.3">
      <c r="A761" s="1" t="s">
        <v>212</v>
      </c>
      <c r="B761">
        <v>220701481</v>
      </c>
      <c r="C761" s="2">
        <v>44815</v>
      </c>
      <c r="D761" s="2" t="s">
        <v>999</v>
      </c>
      <c r="E761">
        <v>1295</v>
      </c>
      <c r="F761" s="2">
        <v>35261</v>
      </c>
      <c r="G761">
        <v>83.6</v>
      </c>
      <c r="H761">
        <v>55.8</v>
      </c>
      <c r="I761" t="s">
        <v>26</v>
      </c>
      <c r="J761">
        <v>7.26</v>
      </c>
      <c r="K761" s="3">
        <f t="shared" si="11"/>
        <v>48.886666666666656</v>
      </c>
      <c r="L761" t="s">
        <v>41</v>
      </c>
      <c r="M761" t="s">
        <v>27</v>
      </c>
      <c r="N761">
        <v>26</v>
      </c>
      <c r="O761" t="s">
        <v>62</v>
      </c>
      <c r="P761" t="s">
        <v>26</v>
      </c>
      <c r="Q761" t="s">
        <v>67</v>
      </c>
      <c r="R761">
        <v>520</v>
      </c>
      <c r="S761">
        <v>65</v>
      </c>
      <c r="T761" t="s">
        <v>33</v>
      </c>
      <c r="U761" t="s">
        <v>32</v>
      </c>
      <c r="V761" t="s">
        <v>33</v>
      </c>
      <c r="W761" t="s">
        <v>49</v>
      </c>
      <c r="X761" t="s">
        <v>34</v>
      </c>
      <c r="Y761" t="s">
        <v>50</v>
      </c>
      <c r="Z761" t="s">
        <v>53</v>
      </c>
      <c r="AA761" t="s">
        <v>54</v>
      </c>
      <c r="AB761" t="s">
        <v>46</v>
      </c>
      <c r="AC761">
        <f>IF(Cdacdata[[#This Row],[placement_status]]="Placed",1,0)</f>
        <v>1</v>
      </c>
      <c r="AD761" t="s">
        <v>213</v>
      </c>
      <c r="AE761" t="s">
        <v>47</v>
      </c>
      <c r="AF761" t="s">
        <v>55</v>
      </c>
      <c r="AG761">
        <v>2022</v>
      </c>
      <c r="AH761" t="s">
        <v>40</v>
      </c>
      <c r="AI761" t="str">
        <f>IF(Cdacdata[ccat_rank]&lt;=100,"Top 100",
IF(Cdacdata[ccat_rank]&lt;=500,"101–500",
IF(Cdacdata[ccat_rank]&lt;=1000,"501–1000",
"1000+")))</f>
        <v>1000+</v>
      </c>
    </row>
    <row r="762" spans="1:35" x14ac:dyDescent="0.3">
      <c r="A762" s="1" t="s">
        <v>212</v>
      </c>
      <c r="B762">
        <v>220603586</v>
      </c>
      <c r="C762" s="2">
        <v>44815</v>
      </c>
      <c r="D762" s="2" t="s">
        <v>1000</v>
      </c>
      <c r="E762">
        <v>953</v>
      </c>
      <c r="F762" s="2">
        <v>35845</v>
      </c>
      <c r="G762">
        <v>82.6</v>
      </c>
      <c r="H762">
        <v>70.010000000000005</v>
      </c>
      <c r="I762" t="s">
        <v>26</v>
      </c>
      <c r="J762">
        <v>64.319999999999993</v>
      </c>
      <c r="K762" s="3">
        <f t="shared" si="11"/>
        <v>72.31</v>
      </c>
      <c r="L762" t="s">
        <v>27</v>
      </c>
      <c r="M762" t="s">
        <v>41</v>
      </c>
      <c r="N762">
        <v>24</v>
      </c>
      <c r="O762" t="s">
        <v>28</v>
      </c>
      <c r="P762" t="s">
        <v>60</v>
      </c>
      <c r="Q762" t="s">
        <v>30</v>
      </c>
      <c r="R762">
        <v>481</v>
      </c>
      <c r="S762">
        <v>60.125</v>
      </c>
      <c r="T762" t="s">
        <v>49</v>
      </c>
      <c r="U762" t="s">
        <v>32</v>
      </c>
      <c r="V762" t="s">
        <v>49</v>
      </c>
      <c r="W762" t="s">
        <v>31</v>
      </c>
      <c r="X762" t="s">
        <v>34</v>
      </c>
      <c r="Y762" t="s">
        <v>50</v>
      </c>
      <c r="Z762" t="s">
        <v>44</v>
      </c>
      <c r="AA762" t="s">
        <v>219</v>
      </c>
      <c r="AB762" t="s">
        <v>46</v>
      </c>
      <c r="AC762">
        <f>IF(Cdacdata[[#This Row],[placement_status]]="Placed",1,0)</f>
        <v>1</v>
      </c>
      <c r="AD762" t="s">
        <v>213</v>
      </c>
      <c r="AE762" t="s">
        <v>75</v>
      </c>
      <c r="AF762" t="s">
        <v>39</v>
      </c>
      <c r="AG762">
        <v>2022</v>
      </c>
      <c r="AH762" t="s">
        <v>40</v>
      </c>
      <c r="AI762" t="str">
        <f>IF(Cdacdata[ccat_rank]&lt;=100,"Top 100",
IF(Cdacdata[ccat_rank]&lt;=500,"101–500",
IF(Cdacdata[ccat_rank]&lt;=1000,"501–1000",
"1000+")))</f>
        <v>501–1000</v>
      </c>
    </row>
    <row r="763" spans="1:35" x14ac:dyDescent="0.3">
      <c r="A763" s="1" t="s">
        <v>212</v>
      </c>
      <c r="B763">
        <v>220600062</v>
      </c>
      <c r="C763" s="2">
        <v>44813</v>
      </c>
      <c r="D763" s="2" t="s">
        <v>1001</v>
      </c>
      <c r="E763">
        <v>1150</v>
      </c>
      <c r="F763" s="2">
        <v>35609</v>
      </c>
      <c r="G763">
        <v>71.27</v>
      </c>
      <c r="H763">
        <v>52.92</v>
      </c>
      <c r="I763">
        <v>75.819999999999993</v>
      </c>
      <c r="J763">
        <v>52.96</v>
      </c>
      <c r="K763" s="3">
        <f t="shared" si="11"/>
        <v>63.2425</v>
      </c>
      <c r="L763" t="s">
        <v>27</v>
      </c>
      <c r="M763" t="s">
        <v>27</v>
      </c>
      <c r="N763">
        <v>25</v>
      </c>
      <c r="O763" t="s">
        <v>72</v>
      </c>
      <c r="P763" t="s">
        <v>52</v>
      </c>
      <c r="Q763" t="s">
        <v>30</v>
      </c>
      <c r="R763">
        <v>476</v>
      </c>
      <c r="S763">
        <v>59.5</v>
      </c>
      <c r="T763" t="s">
        <v>33</v>
      </c>
      <c r="U763" t="s">
        <v>32</v>
      </c>
      <c r="V763" t="s">
        <v>33</v>
      </c>
      <c r="W763" t="s">
        <v>33</v>
      </c>
      <c r="X763" t="s">
        <v>34</v>
      </c>
      <c r="Y763" t="s">
        <v>35</v>
      </c>
      <c r="Z763" t="s">
        <v>53</v>
      </c>
      <c r="AA763" t="s">
        <v>54</v>
      </c>
      <c r="AB763" t="s">
        <v>46</v>
      </c>
      <c r="AC763">
        <f>IF(Cdacdata[[#This Row],[placement_status]]="Placed",1,0)</f>
        <v>1</v>
      </c>
      <c r="AD763" t="s">
        <v>213</v>
      </c>
      <c r="AE763" t="s">
        <v>47</v>
      </c>
      <c r="AF763" t="s">
        <v>39</v>
      </c>
      <c r="AG763">
        <v>2022</v>
      </c>
      <c r="AH763" t="s">
        <v>40</v>
      </c>
      <c r="AI763" t="str">
        <f>IF(Cdacdata[ccat_rank]&lt;=100,"Top 100",
IF(Cdacdata[ccat_rank]&lt;=500,"101–500",
IF(Cdacdata[ccat_rank]&lt;=1000,"501–1000",
"1000+")))</f>
        <v>1000+</v>
      </c>
    </row>
    <row r="764" spans="1:35" x14ac:dyDescent="0.3">
      <c r="A764" s="1" t="s">
        <v>212</v>
      </c>
      <c r="B764">
        <v>220603916</v>
      </c>
      <c r="C764" s="2">
        <v>44813</v>
      </c>
      <c r="D764" s="2" t="s">
        <v>1002</v>
      </c>
      <c r="E764">
        <v>390</v>
      </c>
      <c r="F764" s="2">
        <v>35161</v>
      </c>
      <c r="G764">
        <v>88.18</v>
      </c>
      <c r="H764" t="s">
        <v>26</v>
      </c>
      <c r="I764">
        <v>79.88</v>
      </c>
      <c r="J764">
        <v>68.239999999999995</v>
      </c>
      <c r="K764" s="3">
        <f t="shared" si="11"/>
        <v>78.766666666666666</v>
      </c>
      <c r="L764" t="s">
        <v>27</v>
      </c>
      <c r="M764" t="s">
        <v>41</v>
      </c>
      <c r="N764">
        <v>26</v>
      </c>
      <c r="O764" t="s">
        <v>28</v>
      </c>
      <c r="P764" t="s">
        <v>60</v>
      </c>
      <c r="Q764" t="s">
        <v>30</v>
      </c>
      <c r="R764">
        <v>638</v>
      </c>
      <c r="S764">
        <v>79.75</v>
      </c>
      <c r="T764" t="s">
        <v>49</v>
      </c>
      <c r="U764" t="s">
        <v>32</v>
      </c>
      <c r="V764" t="s">
        <v>49</v>
      </c>
      <c r="W764" t="s">
        <v>49</v>
      </c>
      <c r="X764" t="s">
        <v>34</v>
      </c>
      <c r="Y764" t="s">
        <v>58</v>
      </c>
      <c r="Z764" t="s">
        <v>53</v>
      </c>
      <c r="AA764" t="s">
        <v>54</v>
      </c>
      <c r="AB764" t="s">
        <v>46</v>
      </c>
      <c r="AC764">
        <f>IF(Cdacdata[[#This Row],[placement_status]]="Placed",1,0)</f>
        <v>1</v>
      </c>
      <c r="AD764" t="s">
        <v>213</v>
      </c>
      <c r="AE764" t="s">
        <v>75</v>
      </c>
      <c r="AF764" t="s">
        <v>55</v>
      </c>
      <c r="AG764">
        <v>2022</v>
      </c>
      <c r="AH764" t="s">
        <v>40</v>
      </c>
      <c r="AI764" t="str">
        <f>IF(Cdacdata[ccat_rank]&lt;=100,"Top 100",
IF(Cdacdata[ccat_rank]&lt;=500,"101–500",
IF(Cdacdata[ccat_rank]&lt;=1000,"501–1000",
"1000+")))</f>
        <v>101–500</v>
      </c>
    </row>
    <row r="765" spans="1:35" x14ac:dyDescent="0.3">
      <c r="A765" s="1" t="s">
        <v>212</v>
      </c>
      <c r="B765">
        <v>220603547</v>
      </c>
      <c r="C765" s="2">
        <v>44815</v>
      </c>
      <c r="D765" s="2" t="s">
        <v>1003</v>
      </c>
      <c r="E765">
        <v>1666</v>
      </c>
      <c r="F765" s="2">
        <v>36112</v>
      </c>
      <c r="G765">
        <v>86.3</v>
      </c>
      <c r="H765">
        <v>74</v>
      </c>
      <c r="I765" t="s">
        <v>26</v>
      </c>
      <c r="J765">
        <v>5.93</v>
      </c>
      <c r="K765" s="3">
        <f t="shared" si="11"/>
        <v>55.410000000000004</v>
      </c>
      <c r="L765" t="s">
        <v>27</v>
      </c>
      <c r="M765" t="s">
        <v>27</v>
      </c>
      <c r="N765">
        <v>23</v>
      </c>
      <c r="O765" t="s">
        <v>62</v>
      </c>
      <c r="P765" t="s">
        <v>26</v>
      </c>
      <c r="Q765" t="s">
        <v>43</v>
      </c>
      <c r="R765">
        <v>473</v>
      </c>
      <c r="S765">
        <v>59.125</v>
      </c>
      <c r="T765" t="s">
        <v>49</v>
      </c>
      <c r="U765" t="s">
        <v>32</v>
      </c>
      <c r="V765" t="s">
        <v>49</v>
      </c>
      <c r="W765" t="s">
        <v>33</v>
      </c>
      <c r="X765" t="s">
        <v>34</v>
      </c>
      <c r="Y765" t="s">
        <v>35</v>
      </c>
      <c r="Z765" t="s">
        <v>53</v>
      </c>
      <c r="AA765" t="s">
        <v>54</v>
      </c>
      <c r="AB765" t="s">
        <v>46</v>
      </c>
      <c r="AC765">
        <f>IF(Cdacdata[[#This Row],[placement_status]]="Placed",1,0)</f>
        <v>1</v>
      </c>
      <c r="AD765" t="s">
        <v>213</v>
      </c>
      <c r="AE765" t="s">
        <v>47</v>
      </c>
      <c r="AF765" t="s">
        <v>39</v>
      </c>
      <c r="AG765">
        <v>2022</v>
      </c>
      <c r="AH765" t="s">
        <v>40</v>
      </c>
      <c r="AI765" t="str">
        <f>IF(Cdacdata[ccat_rank]&lt;=100,"Top 100",
IF(Cdacdata[ccat_rank]&lt;=500,"101–500",
IF(Cdacdata[ccat_rank]&lt;=1000,"501–1000",
"1000+")))</f>
        <v>1000+</v>
      </c>
    </row>
    <row r="766" spans="1:35" x14ac:dyDescent="0.3">
      <c r="A766" s="1" t="s">
        <v>212</v>
      </c>
      <c r="B766">
        <v>220602601</v>
      </c>
      <c r="C766" s="2">
        <v>44813</v>
      </c>
      <c r="D766" s="2" t="s">
        <v>1004</v>
      </c>
      <c r="E766">
        <v>336</v>
      </c>
      <c r="F766" s="2">
        <v>36383</v>
      </c>
      <c r="G766">
        <v>81.7</v>
      </c>
      <c r="H766" t="s">
        <v>26</v>
      </c>
      <c r="I766">
        <v>84.6</v>
      </c>
      <c r="J766">
        <v>76.8</v>
      </c>
      <c r="K766" s="3">
        <f t="shared" si="11"/>
        <v>81.033333333333346</v>
      </c>
      <c r="L766" t="s">
        <v>27</v>
      </c>
      <c r="M766" t="s">
        <v>41</v>
      </c>
      <c r="N766">
        <v>23</v>
      </c>
      <c r="O766" t="s">
        <v>48</v>
      </c>
      <c r="P766" t="s">
        <v>60</v>
      </c>
      <c r="Q766" t="s">
        <v>43</v>
      </c>
      <c r="R766">
        <v>576</v>
      </c>
      <c r="S766">
        <v>72</v>
      </c>
      <c r="T766" t="s">
        <v>49</v>
      </c>
      <c r="U766" t="s">
        <v>32</v>
      </c>
      <c r="V766" t="s">
        <v>49</v>
      </c>
      <c r="W766" t="s">
        <v>33</v>
      </c>
      <c r="X766" t="s">
        <v>34</v>
      </c>
      <c r="Y766" t="s">
        <v>58</v>
      </c>
      <c r="Z766" t="s">
        <v>44</v>
      </c>
      <c r="AA766" t="s">
        <v>146</v>
      </c>
      <c r="AB766" t="s">
        <v>46</v>
      </c>
      <c r="AC766">
        <f>IF(Cdacdata[[#This Row],[placement_status]]="Placed",1,0)</f>
        <v>1</v>
      </c>
      <c r="AD766" t="s">
        <v>213</v>
      </c>
      <c r="AE766" t="s">
        <v>75</v>
      </c>
      <c r="AF766" t="s">
        <v>39</v>
      </c>
      <c r="AG766">
        <v>2022</v>
      </c>
      <c r="AH766" t="s">
        <v>40</v>
      </c>
      <c r="AI766" t="str">
        <f>IF(Cdacdata[ccat_rank]&lt;=100,"Top 100",
IF(Cdacdata[ccat_rank]&lt;=500,"101–500",
IF(Cdacdata[ccat_rank]&lt;=1000,"501–1000",
"1000+")))</f>
        <v>101–500</v>
      </c>
    </row>
    <row r="767" spans="1:35" x14ac:dyDescent="0.3">
      <c r="A767" s="1" t="s">
        <v>212</v>
      </c>
      <c r="B767">
        <v>220707969</v>
      </c>
      <c r="C767" s="2">
        <v>44816</v>
      </c>
      <c r="D767" s="2" t="s">
        <v>1005</v>
      </c>
      <c r="E767">
        <v>1644</v>
      </c>
      <c r="F767" s="2">
        <v>36591</v>
      </c>
      <c r="G767">
        <v>82.8</v>
      </c>
      <c r="H767">
        <v>63.38</v>
      </c>
      <c r="I767" t="s">
        <v>26</v>
      </c>
      <c r="J767">
        <v>6.9</v>
      </c>
      <c r="K767" s="3">
        <f t="shared" si="11"/>
        <v>51.026666666666671</v>
      </c>
      <c r="L767" t="s">
        <v>27</v>
      </c>
      <c r="M767" t="s">
        <v>27</v>
      </c>
      <c r="N767">
        <v>22</v>
      </c>
      <c r="O767" t="s">
        <v>62</v>
      </c>
      <c r="P767" t="s">
        <v>60</v>
      </c>
      <c r="Q767" t="s">
        <v>30</v>
      </c>
      <c r="R767">
        <v>503</v>
      </c>
      <c r="S767">
        <v>62.875</v>
      </c>
      <c r="T767" t="s">
        <v>33</v>
      </c>
      <c r="U767" t="s">
        <v>32</v>
      </c>
      <c r="V767" t="s">
        <v>33</v>
      </c>
      <c r="W767" t="s">
        <v>33</v>
      </c>
      <c r="X767" t="s">
        <v>34</v>
      </c>
      <c r="Y767" t="s">
        <v>50</v>
      </c>
      <c r="Z767" t="s">
        <v>36</v>
      </c>
      <c r="AA767" t="s">
        <v>1268</v>
      </c>
      <c r="AB767" t="s">
        <v>36</v>
      </c>
      <c r="AC767">
        <f>IF(Cdacdata[[#This Row],[placement_status]]="Placed",1,0)</f>
        <v>0</v>
      </c>
      <c r="AD767" t="s">
        <v>213</v>
      </c>
      <c r="AE767" t="s">
        <v>47</v>
      </c>
      <c r="AF767" t="s">
        <v>57</v>
      </c>
      <c r="AG767">
        <v>2022</v>
      </c>
      <c r="AH767" t="s">
        <v>40</v>
      </c>
      <c r="AI767" t="str">
        <f>IF(Cdacdata[ccat_rank]&lt;=100,"Top 100",
IF(Cdacdata[ccat_rank]&lt;=500,"101–500",
IF(Cdacdata[ccat_rank]&lt;=1000,"501–1000",
"1000+")))</f>
        <v>1000+</v>
      </c>
    </row>
    <row r="768" spans="1:35" x14ac:dyDescent="0.3">
      <c r="A768" s="1" t="s">
        <v>212</v>
      </c>
      <c r="B768">
        <v>220709383</v>
      </c>
      <c r="C768" s="2">
        <v>44816</v>
      </c>
      <c r="D768" s="2" t="s">
        <v>1006</v>
      </c>
      <c r="E768">
        <v>1588</v>
      </c>
      <c r="F768" s="2">
        <v>35469</v>
      </c>
      <c r="G768">
        <v>91.2</v>
      </c>
      <c r="H768">
        <v>70.400000000000006</v>
      </c>
      <c r="I768" t="s">
        <v>26</v>
      </c>
      <c r="J768">
        <v>71.8</v>
      </c>
      <c r="K768" s="3">
        <f t="shared" si="11"/>
        <v>77.800000000000011</v>
      </c>
      <c r="L768" t="s">
        <v>27</v>
      </c>
      <c r="M768" t="s">
        <v>41</v>
      </c>
      <c r="N768">
        <v>25</v>
      </c>
      <c r="O768" t="s">
        <v>28</v>
      </c>
      <c r="P768" t="s">
        <v>42</v>
      </c>
      <c r="Q768" t="s">
        <v>30</v>
      </c>
      <c r="R768">
        <v>481</v>
      </c>
      <c r="S768">
        <v>60.125</v>
      </c>
      <c r="T768" t="s">
        <v>49</v>
      </c>
      <c r="U768" t="s">
        <v>32</v>
      </c>
      <c r="V768" t="s">
        <v>49</v>
      </c>
      <c r="W768" t="s">
        <v>33</v>
      </c>
      <c r="X768" t="s">
        <v>34</v>
      </c>
      <c r="Y768" t="s">
        <v>50</v>
      </c>
      <c r="Z768" t="s">
        <v>44</v>
      </c>
      <c r="AA768" t="s">
        <v>115</v>
      </c>
      <c r="AB768" t="s">
        <v>46</v>
      </c>
      <c r="AC768">
        <f>IF(Cdacdata[[#This Row],[placement_status]]="Placed",1,0)</f>
        <v>1</v>
      </c>
      <c r="AD768" t="s">
        <v>213</v>
      </c>
      <c r="AE768" t="s">
        <v>47</v>
      </c>
      <c r="AF768" t="s">
        <v>39</v>
      </c>
      <c r="AG768">
        <v>2022</v>
      </c>
      <c r="AH768" t="s">
        <v>40</v>
      </c>
      <c r="AI768" t="str">
        <f>IF(Cdacdata[ccat_rank]&lt;=100,"Top 100",
IF(Cdacdata[ccat_rank]&lt;=500,"101–500",
IF(Cdacdata[ccat_rank]&lt;=1000,"501–1000",
"1000+")))</f>
        <v>1000+</v>
      </c>
    </row>
    <row r="769" spans="1:35" x14ac:dyDescent="0.3">
      <c r="A769" s="1" t="s">
        <v>212</v>
      </c>
      <c r="B769">
        <v>220602799</v>
      </c>
      <c r="C769" s="2">
        <v>44813</v>
      </c>
      <c r="D769" s="2" t="s">
        <v>1007</v>
      </c>
      <c r="E769">
        <v>1722</v>
      </c>
      <c r="F769" s="2">
        <v>36688</v>
      </c>
      <c r="G769">
        <v>78.8</v>
      </c>
      <c r="H769">
        <v>63.85</v>
      </c>
      <c r="I769" t="s">
        <v>26</v>
      </c>
      <c r="J769">
        <v>6.66</v>
      </c>
      <c r="K769" s="3">
        <f t="shared" si="11"/>
        <v>49.77</v>
      </c>
      <c r="L769" t="s">
        <v>27</v>
      </c>
      <c r="M769" t="s">
        <v>27</v>
      </c>
      <c r="N769">
        <v>22</v>
      </c>
      <c r="O769" t="s">
        <v>62</v>
      </c>
      <c r="P769" t="s">
        <v>26</v>
      </c>
      <c r="Q769" t="s">
        <v>30</v>
      </c>
      <c r="R769">
        <v>566</v>
      </c>
      <c r="S769">
        <v>70.75</v>
      </c>
      <c r="T769" t="s">
        <v>49</v>
      </c>
      <c r="U769" t="s">
        <v>32</v>
      </c>
      <c r="V769" t="s">
        <v>49</v>
      </c>
      <c r="W769" t="s">
        <v>33</v>
      </c>
      <c r="X769" t="s">
        <v>34</v>
      </c>
      <c r="Y769" t="s">
        <v>58</v>
      </c>
      <c r="Z769" t="s">
        <v>53</v>
      </c>
      <c r="AA769" t="s">
        <v>54</v>
      </c>
      <c r="AB769" t="s">
        <v>46</v>
      </c>
      <c r="AC769">
        <f>IF(Cdacdata[[#This Row],[placement_status]]="Placed",1,0)</f>
        <v>1</v>
      </c>
      <c r="AD769" t="s">
        <v>213</v>
      </c>
      <c r="AE769" t="s">
        <v>47</v>
      </c>
      <c r="AF769" t="s">
        <v>57</v>
      </c>
      <c r="AG769">
        <v>2022</v>
      </c>
      <c r="AH769" t="s">
        <v>40</v>
      </c>
      <c r="AI769" t="str">
        <f>IF(Cdacdata[ccat_rank]&lt;=100,"Top 100",
IF(Cdacdata[ccat_rank]&lt;=500,"101–500",
IF(Cdacdata[ccat_rank]&lt;=1000,"501–1000",
"1000+")))</f>
        <v>1000+</v>
      </c>
    </row>
    <row r="770" spans="1:35" x14ac:dyDescent="0.3">
      <c r="A770" s="1" t="s">
        <v>212</v>
      </c>
      <c r="B770">
        <v>220602200</v>
      </c>
      <c r="C770" s="2">
        <v>44814</v>
      </c>
      <c r="D770" s="2" t="s">
        <v>1008</v>
      </c>
      <c r="E770">
        <v>1720</v>
      </c>
      <c r="F770" s="2">
        <v>35770</v>
      </c>
      <c r="G770">
        <v>82</v>
      </c>
      <c r="H770">
        <v>59.2</v>
      </c>
      <c r="I770" t="s">
        <v>26</v>
      </c>
      <c r="J770">
        <v>69.959999999999994</v>
      </c>
      <c r="K770" s="3">
        <f t="shared" ref="K770:K833" si="12">AVERAGE(G770,H770,I770,J770)</f>
        <v>70.386666666666656</v>
      </c>
      <c r="L770" t="s">
        <v>27</v>
      </c>
      <c r="M770" t="s">
        <v>41</v>
      </c>
      <c r="N770">
        <v>24</v>
      </c>
      <c r="O770" t="s">
        <v>28</v>
      </c>
      <c r="P770" t="s">
        <v>56</v>
      </c>
      <c r="Q770" t="s">
        <v>71</v>
      </c>
      <c r="R770">
        <v>436</v>
      </c>
      <c r="S770">
        <v>54.5</v>
      </c>
      <c r="T770" t="s">
        <v>49</v>
      </c>
      <c r="U770" t="s">
        <v>32</v>
      </c>
      <c r="V770" t="s">
        <v>49</v>
      </c>
      <c r="W770" t="s">
        <v>31</v>
      </c>
      <c r="X770" t="s">
        <v>34</v>
      </c>
      <c r="Y770" t="s">
        <v>35</v>
      </c>
      <c r="Z770" t="s">
        <v>53</v>
      </c>
      <c r="AA770" t="s">
        <v>54</v>
      </c>
      <c r="AB770" t="s">
        <v>46</v>
      </c>
      <c r="AC770">
        <f>IF(Cdacdata[[#This Row],[placement_status]]="Placed",1,0)</f>
        <v>1</v>
      </c>
      <c r="AD770" t="s">
        <v>213</v>
      </c>
      <c r="AE770" t="s">
        <v>47</v>
      </c>
      <c r="AF770" t="s">
        <v>39</v>
      </c>
      <c r="AG770">
        <v>2022</v>
      </c>
      <c r="AH770" t="s">
        <v>40</v>
      </c>
      <c r="AI770" t="str">
        <f>IF(Cdacdata[ccat_rank]&lt;=100,"Top 100",
IF(Cdacdata[ccat_rank]&lt;=500,"101–500",
IF(Cdacdata[ccat_rank]&lt;=1000,"501–1000",
"1000+")))</f>
        <v>1000+</v>
      </c>
    </row>
    <row r="771" spans="1:35" x14ac:dyDescent="0.3">
      <c r="A771" s="1" t="s">
        <v>212</v>
      </c>
      <c r="B771">
        <v>220603915</v>
      </c>
      <c r="C771" s="2">
        <v>44813</v>
      </c>
      <c r="D771" s="2" t="s">
        <v>1009</v>
      </c>
      <c r="E771">
        <v>1149</v>
      </c>
      <c r="F771" s="2">
        <v>35360</v>
      </c>
      <c r="G771">
        <v>75.45</v>
      </c>
      <c r="H771">
        <v>61.08</v>
      </c>
      <c r="I771" t="s">
        <v>26</v>
      </c>
      <c r="J771">
        <v>61.49</v>
      </c>
      <c r="K771" s="3">
        <f t="shared" si="12"/>
        <v>66.006666666666675</v>
      </c>
      <c r="L771" t="s">
        <v>27</v>
      </c>
      <c r="M771" t="s">
        <v>41</v>
      </c>
      <c r="N771">
        <v>25</v>
      </c>
      <c r="O771" t="s">
        <v>28</v>
      </c>
      <c r="P771" t="s">
        <v>60</v>
      </c>
      <c r="Q771" t="s">
        <v>30</v>
      </c>
      <c r="R771">
        <v>639</v>
      </c>
      <c r="S771">
        <v>79.875</v>
      </c>
      <c r="T771" t="s">
        <v>49</v>
      </c>
      <c r="U771" t="s">
        <v>32</v>
      </c>
      <c r="V771" t="s">
        <v>49</v>
      </c>
      <c r="W771" t="s">
        <v>49</v>
      </c>
      <c r="X771" t="s">
        <v>34</v>
      </c>
      <c r="Y771" t="s">
        <v>58</v>
      </c>
      <c r="Z771" t="s">
        <v>44</v>
      </c>
      <c r="AA771" t="s">
        <v>228</v>
      </c>
      <c r="AB771" t="s">
        <v>46</v>
      </c>
      <c r="AC771">
        <f>IF(Cdacdata[[#This Row],[placement_status]]="Placed",1,0)</f>
        <v>1</v>
      </c>
      <c r="AD771" t="s">
        <v>213</v>
      </c>
      <c r="AE771" t="s">
        <v>47</v>
      </c>
      <c r="AF771" t="s">
        <v>39</v>
      </c>
      <c r="AG771">
        <v>2022</v>
      </c>
      <c r="AH771" t="s">
        <v>40</v>
      </c>
      <c r="AI771" t="str">
        <f>IF(Cdacdata[ccat_rank]&lt;=100,"Top 100",
IF(Cdacdata[ccat_rank]&lt;=500,"101–500",
IF(Cdacdata[ccat_rank]&lt;=1000,"501–1000",
"1000+")))</f>
        <v>1000+</v>
      </c>
    </row>
    <row r="772" spans="1:35" x14ac:dyDescent="0.3">
      <c r="A772" s="1" t="s">
        <v>212</v>
      </c>
      <c r="B772">
        <v>220702493</v>
      </c>
      <c r="C772" s="2">
        <v>44812</v>
      </c>
      <c r="D772" s="2" t="s">
        <v>1010</v>
      </c>
      <c r="E772">
        <v>1689</v>
      </c>
      <c r="F772" s="2">
        <v>36415</v>
      </c>
      <c r="G772">
        <v>81.3</v>
      </c>
      <c r="H772">
        <v>70.8</v>
      </c>
      <c r="I772">
        <v>70.08</v>
      </c>
      <c r="J772">
        <v>74.58</v>
      </c>
      <c r="K772" s="3">
        <f t="shared" si="12"/>
        <v>74.19</v>
      </c>
      <c r="L772" t="s">
        <v>27</v>
      </c>
      <c r="M772" t="s">
        <v>27</v>
      </c>
      <c r="N772">
        <v>22</v>
      </c>
      <c r="O772" t="s">
        <v>62</v>
      </c>
      <c r="P772" t="s">
        <v>56</v>
      </c>
      <c r="Q772" t="s">
        <v>43</v>
      </c>
      <c r="R772">
        <v>536</v>
      </c>
      <c r="S772">
        <v>67</v>
      </c>
      <c r="T772" t="s">
        <v>31</v>
      </c>
      <c r="U772" t="s">
        <v>32</v>
      </c>
      <c r="V772" t="s">
        <v>31</v>
      </c>
      <c r="W772" t="s">
        <v>49</v>
      </c>
      <c r="X772" t="s">
        <v>34</v>
      </c>
      <c r="Y772" t="s">
        <v>50</v>
      </c>
      <c r="Z772" t="s">
        <v>44</v>
      </c>
      <c r="AA772" t="s">
        <v>115</v>
      </c>
      <c r="AB772" t="s">
        <v>46</v>
      </c>
      <c r="AC772">
        <f>IF(Cdacdata[[#This Row],[placement_status]]="Placed",1,0)</f>
        <v>1</v>
      </c>
      <c r="AD772" t="s">
        <v>213</v>
      </c>
      <c r="AE772" t="s">
        <v>47</v>
      </c>
      <c r="AF772" t="s">
        <v>57</v>
      </c>
      <c r="AG772">
        <v>2022</v>
      </c>
      <c r="AH772" t="s">
        <v>40</v>
      </c>
      <c r="AI772" t="str">
        <f>IF(Cdacdata[ccat_rank]&lt;=100,"Top 100",
IF(Cdacdata[ccat_rank]&lt;=500,"101–500",
IF(Cdacdata[ccat_rank]&lt;=1000,"501–1000",
"1000+")))</f>
        <v>1000+</v>
      </c>
    </row>
    <row r="773" spans="1:35" x14ac:dyDescent="0.3">
      <c r="A773" s="1" t="s">
        <v>212</v>
      </c>
      <c r="B773">
        <v>220601172</v>
      </c>
      <c r="C773" s="2">
        <v>44814</v>
      </c>
      <c r="D773" s="2" t="s">
        <v>1011</v>
      </c>
      <c r="E773">
        <v>1726</v>
      </c>
      <c r="F773" s="2">
        <v>35587</v>
      </c>
      <c r="G773">
        <v>91.09</v>
      </c>
      <c r="H773">
        <v>75.38</v>
      </c>
      <c r="I773" t="s">
        <v>26</v>
      </c>
      <c r="J773">
        <v>63.95</v>
      </c>
      <c r="K773" s="3">
        <f t="shared" si="12"/>
        <v>76.806666666666672</v>
      </c>
      <c r="L773" t="s">
        <v>27</v>
      </c>
      <c r="M773" t="s">
        <v>41</v>
      </c>
      <c r="N773">
        <v>25</v>
      </c>
      <c r="O773" t="s">
        <v>28</v>
      </c>
      <c r="P773" t="s">
        <v>60</v>
      </c>
      <c r="Q773" t="s">
        <v>30</v>
      </c>
      <c r="R773">
        <v>523</v>
      </c>
      <c r="S773">
        <v>65.375</v>
      </c>
      <c r="T773" t="s">
        <v>31</v>
      </c>
      <c r="U773" t="s">
        <v>32</v>
      </c>
      <c r="V773" t="s">
        <v>31</v>
      </c>
      <c r="W773" t="s">
        <v>31</v>
      </c>
      <c r="X773" t="s">
        <v>34</v>
      </c>
      <c r="Y773" t="s">
        <v>50</v>
      </c>
      <c r="Z773" t="s">
        <v>44</v>
      </c>
      <c r="AA773" t="s">
        <v>229</v>
      </c>
      <c r="AB773" t="s">
        <v>46</v>
      </c>
      <c r="AC773">
        <f>IF(Cdacdata[[#This Row],[placement_status]]="Placed",1,0)</f>
        <v>1</v>
      </c>
      <c r="AD773" t="s">
        <v>213</v>
      </c>
      <c r="AE773" t="s">
        <v>47</v>
      </c>
      <c r="AF773" t="s">
        <v>39</v>
      </c>
      <c r="AG773">
        <v>2022</v>
      </c>
      <c r="AH773" t="s">
        <v>40</v>
      </c>
      <c r="AI773" t="str">
        <f>IF(Cdacdata[ccat_rank]&lt;=100,"Top 100",
IF(Cdacdata[ccat_rank]&lt;=500,"101–500",
IF(Cdacdata[ccat_rank]&lt;=1000,"501–1000",
"1000+")))</f>
        <v>1000+</v>
      </c>
    </row>
    <row r="774" spans="1:35" x14ac:dyDescent="0.3">
      <c r="A774" s="1" t="s">
        <v>212</v>
      </c>
      <c r="B774">
        <v>220600845</v>
      </c>
      <c r="C774" s="2">
        <v>44815</v>
      </c>
      <c r="D774" s="2" t="s">
        <v>1012</v>
      </c>
      <c r="E774">
        <v>1775</v>
      </c>
      <c r="F774" s="2">
        <v>33307</v>
      </c>
      <c r="G774">
        <v>59</v>
      </c>
      <c r="H774" t="s">
        <v>26</v>
      </c>
      <c r="I774" t="s">
        <v>26</v>
      </c>
      <c r="J774">
        <v>67.59</v>
      </c>
      <c r="K774" s="3">
        <f t="shared" si="12"/>
        <v>63.295000000000002</v>
      </c>
      <c r="L774" t="s">
        <v>27</v>
      </c>
      <c r="M774" t="s">
        <v>41</v>
      </c>
      <c r="N774">
        <v>31</v>
      </c>
      <c r="O774" t="s">
        <v>28</v>
      </c>
      <c r="P774" t="s">
        <v>56</v>
      </c>
      <c r="Q774" t="s">
        <v>71</v>
      </c>
      <c r="R774">
        <v>451</v>
      </c>
      <c r="S774">
        <v>56.375</v>
      </c>
      <c r="T774" t="s">
        <v>33</v>
      </c>
      <c r="U774" t="s">
        <v>32</v>
      </c>
      <c r="V774" t="s">
        <v>33</v>
      </c>
      <c r="W774" t="s">
        <v>31</v>
      </c>
      <c r="X774" t="s">
        <v>34</v>
      </c>
      <c r="Y774" t="s">
        <v>35</v>
      </c>
      <c r="Z774" t="s">
        <v>44</v>
      </c>
      <c r="AA774" t="s">
        <v>214</v>
      </c>
      <c r="AB774" t="s">
        <v>46</v>
      </c>
      <c r="AC774">
        <f>IF(Cdacdata[[#This Row],[placement_status]]="Placed",1,0)</f>
        <v>1</v>
      </c>
      <c r="AD774" t="s">
        <v>213</v>
      </c>
      <c r="AE774" t="s">
        <v>47</v>
      </c>
      <c r="AF774" t="s">
        <v>69</v>
      </c>
      <c r="AG774">
        <v>2022</v>
      </c>
      <c r="AH774" t="s">
        <v>40</v>
      </c>
      <c r="AI774" t="str">
        <f>IF(Cdacdata[ccat_rank]&lt;=100,"Top 100",
IF(Cdacdata[ccat_rank]&lt;=500,"101–500",
IF(Cdacdata[ccat_rank]&lt;=1000,"501–1000",
"1000+")))</f>
        <v>1000+</v>
      </c>
    </row>
    <row r="775" spans="1:35" x14ac:dyDescent="0.3">
      <c r="A775" s="1" t="s">
        <v>212</v>
      </c>
      <c r="B775">
        <v>220705733</v>
      </c>
      <c r="C775" s="2">
        <v>44814</v>
      </c>
      <c r="D775" s="2" t="s">
        <v>1013</v>
      </c>
      <c r="E775">
        <v>922</v>
      </c>
      <c r="F775" s="2">
        <v>35335</v>
      </c>
      <c r="G775">
        <v>67.64</v>
      </c>
      <c r="H775">
        <v>58</v>
      </c>
      <c r="I775" t="s">
        <v>26</v>
      </c>
      <c r="J775">
        <v>61.81</v>
      </c>
      <c r="K775" s="3">
        <f t="shared" si="12"/>
        <v>62.483333333333327</v>
      </c>
      <c r="L775" t="s">
        <v>27</v>
      </c>
      <c r="M775" t="s">
        <v>41</v>
      </c>
      <c r="N775">
        <v>25</v>
      </c>
      <c r="O775" t="s">
        <v>28</v>
      </c>
      <c r="P775" t="s">
        <v>60</v>
      </c>
      <c r="Q775" t="s">
        <v>30</v>
      </c>
      <c r="R775">
        <v>547</v>
      </c>
      <c r="S775">
        <v>68.375</v>
      </c>
      <c r="T775" t="s">
        <v>33</v>
      </c>
      <c r="U775" t="s">
        <v>32</v>
      </c>
      <c r="V775" t="s">
        <v>33</v>
      </c>
      <c r="W775" t="s">
        <v>33</v>
      </c>
      <c r="X775" t="s">
        <v>34</v>
      </c>
      <c r="Y775" t="s">
        <v>50</v>
      </c>
      <c r="Z775" t="s">
        <v>44</v>
      </c>
      <c r="AA775" t="s">
        <v>230</v>
      </c>
      <c r="AB775" t="s">
        <v>46</v>
      </c>
      <c r="AC775">
        <f>IF(Cdacdata[[#This Row],[placement_status]]="Placed",1,0)</f>
        <v>1</v>
      </c>
      <c r="AD775" t="s">
        <v>213</v>
      </c>
      <c r="AE775" t="s">
        <v>75</v>
      </c>
      <c r="AF775" t="s">
        <v>39</v>
      </c>
      <c r="AG775">
        <v>2022</v>
      </c>
      <c r="AH775" t="s">
        <v>40</v>
      </c>
      <c r="AI775" t="str">
        <f>IF(Cdacdata[ccat_rank]&lt;=100,"Top 100",
IF(Cdacdata[ccat_rank]&lt;=500,"101–500",
IF(Cdacdata[ccat_rank]&lt;=1000,"501–1000",
"1000+")))</f>
        <v>501–1000</v>
      </c>
    </row>
    <row r="776" spans="1:35" x14ac:dyDescent="0.3">
      <c r="A776" s="1" t="s">
        <v>212</v>
      </c>
      <c r="B776">
        <v>220711759</v>
      </c>
      <c r="C776" s="2">
        <v>44813</v>
      </c>
      <c r="D776" s="2" t="s">
        <v>1014</v>
      </c>
      <c r="E776">
        <v>1783</v>
      </c>
      <c r="F776" s="2">
        <v>35402</v>
      </c>
      <c r="G776">
        <v>74.36</v>
      </c>
      <c r="H776">
        <v>61.08</v>
      </c>
      <c r="I776" t="s">
        <v>26</v>
      </c>
      <c r="J776">
        <v>52.96</v>
      </c>
      <c r="K776" s="3">
        <f t="shared" si="12"/>
        <v>62.800000000000004</v>
      </c>
      <c r="L776" t="s">
        <v>41</v>
      </c>
      <c r="M776" t="s">
        <v>27</v>
      </c>
      <c r="N776">
        <v>25</v>
      </c>
      <c r="O776" t="s">
        <v>72</v>
      </c>
      <c r="P776" t="s">
        <v>26</v>
      </c>
      <c r="Q776" t="s">
        <v>67</v>
      </c>
      <c r="R776">
        <v>637</v>
      </c>
      <c r="S776">
        <v>79.625</v>
      </c>
      <c r="T776" t="s">
        <v>49</v>
      </c>
      <c r="U776" t="s">
        <v>32</v>
      </c>
      <c r="V776" t="s">
        <v>49</v>
      </c>
      <c r="W776" t="s">
        <v>49</v>
      </c>
      <c r="X776" t="s">
        <v>34</v>
      </c>
      <c r="Y776" t="s">
        <v>58</v>
      </c>
      <c r="Z776" t="s">
        <v>44</v>
      </c>
      <c r="AA776" t="s">
        <v>229</v>
      </c>
      <c r="AB776" t="s">
        <v>46</v>
      </c>
      <c r="AC776">
        <f>IF(Cdacdata[[#This Row],[placement_status]]="Placed",1,0)</f>
        <v>1</v>
      </c>
      <c r="AD776" t="s">
        <v>213</v>
      </c>
      <c r="AE776" t="s">
        <v>47</v>
      </c>
      <c r="AF776" t="s">
        <v>39</v>
      </c>
      <c r="AG776">
        <v>2022</v>
      </c>
      <c r="AH776" t="s">
        <v>40</v>
      </c>
      <c r="AI776" t="str">
        <f>IF(Cdacdata[ccat_rank]&lt;=100,"Top 100",
IF(Cdacdata[ccat_rank]&lt;=500,"101–500",
IF(Cdacdata[ccat_rank]&lt;=1000,"501–1000",
"1000+")))</f>
        <v>1000+</v>
      </c>
    </row>
    <row r="777" spans="1:35" x14ac:dyDescent="0.3">
      <c r="A777" s="1" t="s">
        <v>212</v>
      </c>
      <c r="B777">
        <v>220601085</v>
      </c>
      <c r="C777" s="2">
        <v>44815</v>
      </c>
      <c r="D777" s="2" t="s">
        <v>1015</v>
      </c>
      <c r="E777">
        <v>1730</v>
      </c>
      <c r="F777" s="2">
        <v>35729</v>
      </c>
      <c r="G777">
        <v>86.18</v>
      </c>
      <c r="H777">
        <v>60.92</v>
      </c>
      <c r="I777">
        <v>75</v>
      </c>
      <c r="J777">
        <v>64.59</v>
      </c>
      <c r="K777" s="3">
        <f t="shared" si="12"/>
        <v>71.672500000000014</v>
      </c>
      <c r="L777" t="s">
        <v>27</v>
      </c>
      <c r="M777" t="s">
        <v>41</v>
      </c>
      <c r="N777">
        <v>24</v>
      </c>
      <c r="O777" t="s">
        <v>28</v>
      </c>
      <c r="P777" t="s">
        <v>60</v>
      </c>
      <c r="Q777" t="s">
        <v>30</v>
      </c>
      <c r="R777">
        <v>442</v>
      </c>
      <c r="S777">
        <v>55.25</v>
      </c>
      <c r="T777" t="s">
        <v>33</v>
      </c>
      <c r="U777" t="s">
        <v>32</v>
      </c>
      <c r="V777" t="s">
        <v>33</v>
      </c>
      <c r="W777" t="s">
        <v>33</v>
      </c>
      <c r="X777" t="s">
        <v>34</v>
      </c>
      <c r="Y777" t="s">
        <v>35</v>
      </c>
      <c r="Z777" t="s">
        <v>53</v>
      </c>
      <c r="AA777" t="s">
        <v>54</v>
      </c>
      <c r="AB777" t="s">
        <v>46</v>
      </c>
      <c r="AC777">
        <f>IF(Cdacdata[[#This Row],[placement_status]]="Placed",1,0)</f>
        <v>1</v>
      </c>
      <c r="AD777" t="s">
        <v>213</v>
      </c>
      <c r="AE777" t="s">
        <v>47</v>
      </c>
      <c r="AF777" t="s">
        <v>39</v>
      </c>
      <c r="AG777">
        <v>2022</v>
      </c>
      <c r="AH777" t="s">
        <v>40</v>
      </c>
      <c r="AI777" t="str">
        <f>IF(Cdacdata[ccat_rank]&lt;=100,"Top 100",
IF(Cdacdata[ccat_rank]&lt;=500,"101–500",
IF(Cdacdata[ccat_rank]&lt;=1000,"501–1000",
"1000+")))</f>
        <v>1000+</v>
      </c>
    </row>
    <row r="778" spans="1:35" x14ac:dyDescent="0.3">
      <c r="A778" s="1" t="s">
        <v>212</v>
      </c>
      <c r="B778">
        <v>220601832</v>
      </c>
      <c r="C778" s="2">
        <v>44815</v>
      </c>
      <c r="D778" s="2" t="s">
        <v>1016</v>
      </c>
      <c r="E778">
        <v>379</v>
      </c>
      <c r="F778" s="2">
        <v>35916</v>
      </c>
      <c r="G778">
        <v>76.400000000000006</v>
      </c>
      <c r="H778" t="s">
        <v>26</v>
      </c>
      <c r="I778">
        <v>76.13</v>
      </c>
      <c r="J778">
        <v>0</v>
      </c>
      <c r="K778" s="3">
        <f t="shared" si="12"/>
        <v>50.843333333333334</v>
      </c>
      <c r="L778" t="s">
        <v>27</v>
      </c>
      <c r="M778" t="s">
        <v>41</v>
      </c>
      <c r="N778">
        <v>24</v>
      </c>
      <c r="O778" t="s">
        <v>62</v>
      </c>
      <c r="P778" t="s">
        <v>60</v>
      </c>
      <c r="Q778" t="s">
        <v>30</v>
      </c>
      <c r="R778">
        <v>459</v>
      </c>
      <c r="S778">
        <v>57.375</v>
      </c>
      <c r="T778" t="s">
        <v>31</v>
      </c>
      <c r="U778" t="s">
        <v>32</v>
      </c>
      <c r="V778" t="s">
        <v>31</v>
      </c>
      <c r="W778" t="s">
        <v>31</v>
      </c>
      <c r="X778" t="s">
        <v>34</v>
      </c>
      <c r="Y778" t="s">
        <v>35</v>
      </c>
      <c r="Z778" t="s">
        <v>36</v>
      </c>
      <c r="AA778" t="s">
        <v>1268</v>
      </c>
      <c r="AB778" t="s">
        <v>36</v>
      </c>
      <c r="AC778">
        <f>IF(Cdacdata[[#This Row],[placement_status]]="Placed",1,0)</f>
        <v>0</v>
      </c>
      <c r="AD778" t="s">
        <v>213</v>
      </c>
      <c r="AE778" t="s">
        <v>75</v>
      </c>
      <c r="AF778" t="s">
        <v>39</v>
      </c>
      <c r="AG778">
        <v>2022</v>
      </c>
      <c r="AH778" t="s">
        <v>40</v>
      </c>
      <c r="AI778" t="str">
        <f>IF(Cdacdata[ccat_rank]&lt;=100,"Top 100",
IF(Cdacdata[ccat_rank]&lt;=500,"101–500",
IF(Cdacdata[ccat_rank]&lt;=1000,"501–1000",
"1000+")))</f>
        <v>101–500</v>
      </c>
    </row>
    <row r="779" spans="1:35" x14ac:dyDescent="0.3">
      <c r="A779" s="1" t="s">
        <v>212</v>
      </c>
      <c r="B779">
        <v>220603159</v>
      </c>
      <c r="C779" s="2">
        <v>44812</v>
      </c>
      <c r="D779" s="2" t="s">
        <v>1017</v>
      </c>
      <c r="E779">
        <v>1111</v>
      </c>
      <c r="F779" s="2">
        <v>35572</v>
      </c>
      <c r="G779">
        <v>89.6</v>
      </c>
      <c r="H779">
        <v>54.62</v>
      </c>
      <c r="I779" t="s">
        <v>26</v>
      </c>
      <c r="J779">
        <v>74.099999999999994</v>
      </c>
      <c r="K779" s="3">
        <f t="shared" si="12"/>
        <v>72.773333333333326</v>
      </c>
      <c r="L779" t="s">
        <v>41</v>
      </c>
      <c r="M779" t="s">
        <v>41</v>
      </c>
      <c r="N779">
        <v>25</v>
      </c>
      <c r="O779" t="s">
        <v>62</v>
      </c>
      <c r="P779" t="s">
        <v>56</v>
      </c>
      <c r="Q779" t="s">
        <v>71</v>
      </c>
      <c r="R779">
        <v>611</v>
      </c>
      <c r="S779">
        <v>76.375</v>
      </c>
      <c r="T779" t="s">
        <v>33</v>
      </c>
      <c r="U779" t="s">
        <v>32</v>
      </c>
      <c r="V779" t="s">
        <v>33</v>
      </c>
      <c r="W779" t="s">
        <v>49</v>
      </c>
      <c r="X779" t="s">
        <v>34</v>
      </c>
      <c r="Y779" t="s">
        <v>58</v>
      </c>
      <c r="Z779" t="s">
        <v>44</v>
      </c>
      <c r="AA779" t="s">
        <v>230</v>
      </c>
      <c r="AB779" t="s">
        <v>46</v>
      </c>
      <c r="AC779">
        <f>IF(Cdacdata[[#This Row],[placement_status]]="Placed",1,0)</f>
        <v>1</v>
      </c>
      <c r="AD779" t="s">
        <v>213</v>
      </c>
      <c r="AE779" t="s">
        <v>47</v>
      </c>
      <c r="AF779" t="s">
        <v>39</v>
      </c>
      <c r="AG779">
        <v>2022</v>
      </c>
      <c r="AH779" t="s">
        <v>40</v>
      </c>
      <c r="AI779" t="str">
        <f>IF(Cdacdata[ccat_rank]&lt;=100,"Top 100",
IF(Cdacdata[ccat_rank]&lt;=500,"101–500",
IF(Cdacdata[ccat_rank]&lt;=1000,"501–1000",
"1000+")))</f>
        <v>1000+</v>
      </c>
    </row>
    <row r="780" spans="1:35" x14ac:dyDescent="0.3">
      <c r="A780" s="1" t="s">
        <v>212</v>
      </c>
      <c r="B780">
        <v>220602939</v>
      </c>
      <c r="C780" s="2">
        <v>44813</v>
      </c>
      <c r="D780" s="2" t="s">
        <v>1018</v>
      </c>
      <c r="E780">
        <v>216</v>
      </c>
      <c r="F780" s="2">
        <v>36793</v>
      </c>
      <c r="G780">
        <v>74.2</v>
      </c>
      <c r="H780" t="s">
        <v>26</v>
      </c>
      <c r="I780">
        <v>62.29</v>
      </c>
      <c r="J780">
        <v>74.53</v>
      </c>
      <c r="K780" s="3">
        <f t="shared" si="12"/>
        <v>70.34</v>
      </c>
      <c r="L780" t="s">
        <v>27</v>
      </c>
      <c r="M780" t="s">
        <v>41</v>
      </c>
      <c r="N780">
        <v>21</v>
      </c>
      <c r="O780" t="s">
        <v>62</v>
      </c>
      <c r="P780" t="s">
        <v>60</v>
      </c>
      <c r="Q780" t="s">
        <v>30</v>
      </c>
      <c r="R780">
        <v>495</v>
      </c>
      <c r="S780">
        <v>61.875</v>
      </c>
      <c r="T780" t="s">
        <v>31</v>
      </c>
      <c r="U780" t="s">
        <v>32</v>
      </c>
      <c r="V780" t="s">
        <v>31</v>
      </c>
      <c r="W780" t="s">
        <v>33</v>
      </c>
      <c r="X780" t="s">
        <v>34</v>
      </c>
      <c r="Y780" t="s">
        <v>50</v>
      </c>
      <c r="Z780" t="s">
        <v>53</v>
      </c>
      <c r="AA780" t="s">
        <v>54</v>
      </c>
      <c r="AB780" t="s">
        <v>46</v>
      </c>
      <c r="AC780">
        <f>IF(Cdacdata[[#This Row],[placement_status]]="Placed",1,0)</f>
        <v>1</v>
      </c>
      <c r="AD780" t="s">
        <v>213</v>
      </c>
      <c r="AE780" t="s">
        <v>75</v>
      </c>
      <c r="AF780" t="s">
        <v>57</v>
      </c>
      <c r="AG780">
        <v>2022</v>
      </c>
      <c r="AH780" t="s">
        <v>40</v>
      </c>
      <c r="AI780" t="str">
        <f>IF(Cdacdata[ccat_rank]&lt;=100,"Top 100",
IF(Cdacdata[ccat_rank]&lt;=500,"101–500",
IF(Cdacdata[ccat_rank]&lt;=1000,"501–1000",
"1000+")))</f>
        <v>101–500</v>
      </c>
    </row>
    <row r="781" spans="1:35" x14ac:dyDescent="0.3">
      <c r="A781" s="1" t="s">
        <v>212</v>
      </c>
      <c r="B781">
        <v>220709321</v>
      </c>
      <c r="C781" s="2">
        <v>44815</v>
      </c>
      <c r="D781" s="2" t="s">
        <v>1019</v>
      </c>
      <c r="E781">
        <v>1029</v>
      </c>
      <c r="F781" s="2">
        <v>35306</v>
      </c>
      <c r="G781">
        <v>78.91</v>
      </c>
      <c r="H781" t="s">
        <v>26</v>
      </c>
      <c r="I781">
        <v>69.709999999999994</v>
      </c>
      <c r="J781">
        <v>68.599999999999994</v>
      </c>
      <c r="K781" s="3">
        <f t="shared" si="12"/>
        <v>72.406666666666666</v>
      </c>
      <c r="L781" t="s">
        <v>27</v>
      </c>
      <c r="M781" t="s">
        <v>41</v>
      </c>
      <c r="N781">
        <v>26</v>
      </c>
      <c r="O781" t="s">
        <v>28</v>
      </c>
      <c r="P781" t="s">
        <v>60</v>
      </c>
      <c r="Q781" t="s">
        <v>43</v>
      </c>
      <c r="R781">
        <v>574</v>
      </c>
      <c r="S781">
        <v>71.75</v>
      </c>
      <c r="T781" t="s">
        <v>33</v>
      </c>
      <c r="U781" t="s">
        <v>32</v>
      </c>
      <c r="V781" t="s">
        <v>33</v>
      </c>
      <c r="W781" t="s">
        <v>49</v>
      </c>
      <c r="X781" t="s">
        <v>34</v>
      </c>
      <c r="Y781" t="s">
        <v>58</v>
      </c>
      <c r="Z781" t="s">
        <v>53</v>
      </c>
      <c r="AA781" t="s">
        <v>54</v>
      </c>
      <c r="AB781" t="s">
        <v>46</v>
      </c>
      <c r="AC781">
        <f>IF(Cdacdata[[#This Row],[placement_status]]="Placed",1,0)</f>
        <v>1</v>
      </c>
      <c r="AD781" t="s">
        <v>213</v>
      </c>
      <c r="AE781" t="s">
        <v>47</v>
      </c>
      <c r="AF781" t="s">
        <v>55</v>
      </c>
      <c r="AG781">
        <v>2022</v>
      </c>
      <c r="AH781" t="s">
        <v>40</v>
      </c>
      <c r="AI781" t="str">
        <f>IF(Cdacdata[ccat_rank]&lt;=100,"Top 100",
IF(Cdacdata[ccat_rank]&lt;=500,"101–500",
IF(Cdacdata[ccat_rank]&lt;=1000,"501–1000",
"1000+")))</f>
        <v>1000+</v>
      </c>
    </row>
    <row r="782" spans="1:35" x14ac:dyDescent="0.3">
      <c r="A782" s="1" t="s">
        <v>212</v>
      </c>
      <c r="B782">
        <v>220600923</v>
      </c>
      <c r="C782" s="2">
        <v>44813</v>
      </c>
      <c r="D782" s="2" t="s">
        <v>1020</v>
      </c>
      <c r="E782">
        <v>1789</v>
      </c>
      <c r="F782" s="2">
        <v>35797</v>
      </c>
      <c r="G782">
        <v>81.09</v>
      </c>
      <c r="H782">
        <v>66.92</v>
      </c>
      <c r="I782" t="s">
        <v>26</v>
      </c>
      <c r="J782">
        <v>62.69</v>
      </c>
      <c r="K782" s="3">
        <f t="shared" si="12"/>
        <v>70.233333333333334</v>
      </c>
      <c r="L782" t="s">
        <v>27</v>
      </c>
      <c r="M782" t="s">
        <v>27</v>
      </c>
      <c r="N782">
        <v>24</v>
      </c>
      <c r="O782" t="s">
        <v>28</v>
      </c>
      <c r="P782" t="s">
        <v>60</v>
      </c>
      <c r="Q782" t="s">
        <v>30</v>
      </c>
      <c r="R782">
        <v>522</v>
      </c>
      <c r="S782">
        <v>65.25</v>
      </c>
      <c r="T782" t="s">
        <v>33</v>
      </c>
      <c r="U782" t="s">
        <v>32</v>
      </c>
      <c r="V782" t="s">
        <v>33</v>
      </c>
      <c r="W782" t="s">
        <v>33</v>
      </c>
      <c r="X782" t="s">
        <v>34</v>
      </c>
      <c r="Y782" t="s">
        <v>50</v>
      </c>
      <c r="Z782" t="s">
        <v>36</v>
      </c>
      <c r="AA782" t="s">
        <v>1268</v>
      </c>
      <c r="AB782" t="s">
        <v>36</v>
      </c>
      <c r="AC782">
        <f>IF(Cdacdata[[#This Row],[placement_status]]="Placed",1,0)</f>
        <v>0</v>
      </c>
      <c r="AD782" t="s">
        <v>213</v>
      </c>
      <c r="AE782" t="s">
        <v>47</v>
      </c>
      <c r="AF782" t="s">
        <v>39</v>
      </c>
      <c r="AG782">
        <v>2022</v>
      </c>
      <c r="AH782" t="s">
        <v>40</v>
      </c>
      <c r="AI782" t="str">
        <f>IF(Cdacdata[ccat_rank]&lt;=100,"Top 100",
IF(Cdacdata[ccat_rank]&lt;=500,"101–500",
IF(Cdacdata[ccat_rank]&lt;=1000,"501–1000",
"1000+")))</f>
        <v>1000+</v>
      </c>
    </row>
    <row r="783" spans="1:35" x14ac:dyDescent="0.3">
      <c r="A783" s="1" t="s">
        <v>212</v>
      </c>
      <c r="B783">
        <v>220710273</v>
      </c>
      <c r="C783" s="2">
        <v>44813</v>
      </c>
      <c r="D783" s="2" t="s">
        <v>1021</v>
      </c>
      <c r="E783">
        <v>1423</v>
      </c>
      <c r="F783" s="2">
        <v>36526</v>
      </c>
      <c r="G783">
        <v>82.6</v>
      </c>
      <c r="H783" t="s">
        <v>26</v>
      </c>
      <c r="I783">
        <v>67.41</v>
      </c>
      <c r="J783">
        <v>72.84</v>
      </c>
      <c r="K783" s="3">
        <f t="shared" si="12"/>
        <v>74.283333333333331</v>
      </c>
      <c r="L783" t="s">
        <v>27</v>
      </c>
      <c r="M783" t="s">
        <v>27</v>
      </c>
      <c r="N783">
        <v>22</v>
      </c>
      <c r="O783" t="s">
        <v>28</v>
      </c>
      <c r="P783" t="s">
        <v>60</v>
      </c>
      <c r="Q783" t="s">
        <v>30</v>
      </c>
      <c r="R783">
        <v>564</v>
      </c>
      <c r="S783">
        <v>70.5</v>
      </c>
      <c r="T783" t="s">
        <v>33</v>
      </c>
      <c r="U783" t="s">
        <v>32</v>
      </c>
      <c r="V783" t="s">
        <v>33</v>
      </c>
      <c r="W783" t="s">
        <v>49</v>
      </c>
      <c r="X783" t="s">
        <v>34</v>
      </c>
      <c r="Y783" t="s">
        <v>58</v>
      </c>
      <c r="Z783" t="s">
        <v>44</v>
      </c>
      <c r="AA783" t="s">
        <v>74</v>
      </c>
      <c r="AB783" t="s">
        <v>46</v>
      </c>
      <c r="AC783">
        <f>IF(Cdacdata[[#This Row],[placement_status]]="Placed",1,0)</f>
        <v>1</v>
      </c>
      <c r="AD783" t="s">
        <v>213</v>
      </c>
      <c r="AE783" t="s">
        <v>47</v>
      </c>
      <c r="AF783" t="s">
        <v>57</v>
      </c>
      <c r="AG783">
        <v>2022</v>
      </c>
      <c r="AH783" t="s">
        <v>40</v>
      </c>
      <c r="AI783" t="str">
        <f>IF(Cdacdata[ccat_rank]&lt;=100,"Top 100",
IF(Cdacdata[ccat_rank]&lt;=500,"101–500",
IF(Cdacdata[ccat_rank]&lt;=1000,"501–1000",
"1000+")))</f>
        <v>1000+</v>
      </c>
    </row>
    <row r="784" spans="1:35" x14ac:dyDescent="0.3">
      <c r="A784" s="1" t="s">
        <v>212</v>
      </c>
      <c r="B784">
        <v>220602638</v>
      </c>
      <c r="C784" s="2">
        <v>44814</v>
      </c>
      <c r="D784" s="2" t="s">
        <v>1022</v>
      </c>
      <c r="E784">
        <v>1633</v>
      </c>
      <c r="F784" s="2">
        <v>36778</v>
      </c>
      <c r="G784">
        <v>74</v>
      </c>
      <c r="H784">
        <v>65</v>
      </c>
      <c r="I784" t="s">
        <v>26</v>
      </c>
      <c r="J784">
        <v>7.92</v>
      </c>
      <c r="K784" s="3">
        <f t="shared" si="12"/>
        <v>48.973333333333329</v>
      </c>
      <c r="L784" t="s">
        <v>27</v>
      </c>
      <c r="M784" t="s">
        <v>41</v>
      </c>
      <c r="N784">
        <v>22</v>
      </c>
      <c r="O784" t="s">
        <v>62</v>
      </c>
      <c r="P784" t="s">
        <v>56</v>
      </c>
      <c r="Q784" t="s">
        <v>43</v>
      </c>
      <c r="R784">
        <v>556</v>
      </c>
      <c r="S784">
        <v>69.5</v>
      </c>
      <c r="T784" t="s">
        <v>33</v>
      </c>
      <c r="U784" t="s">
        <v>32</v>
      </c>
      <c r="V784" t="s">
        <v>33</v>
      </c>
      <c r="W784" t="s">
        <v>33</v>
      </c>
      <c r="X784" t="s">
        <v>34</v>
      </c>
      <c r="Y784" t="s">
        <v>50</v>
      </c>
      <c r="Z784" t="s">
        <v>44</v>
      </c>
      <c r="AA784" t="s">
        <v>136</v>
      </c>
      <c r="AB784" t="s">
        <v>46</v>
      </c>
      <c r="AC784">
        <f>IF(Cdacdata[[#This Row],[placement_status]]="Placed",1,0)</f>
        <v>1</v>
      </c>
      <c r="AD784" t="s">
        <v>213</v>
      </c>
      <c r="AE784" t="s">
        <v>47</v>
      </c>
      <c r="AF784" t="s">
        <v>57</v>
      </c>
      <c r="AG784">
        <v>2022</v>
      </c>
      <c r="AH784" t="s">
        <v>40</v>
      </c>
      <c r="AI784" t="str">
        <f>IF(Cdacdata[ccat_rank]&lt;=100,"Top 100",
IF(Cdacdata[ccat_rank]&lt;=500,"101–500",
IF(Cdacdata[ccat_rank]&lt;=1000,"501–1000",
"1000+")))</f>
        <v>1000+</v>
      </c>
    </row>
    <row r="785" spans="1:35" x14ac:dyDescent="0.3">
      <c r="A785" s="1" t="s">
        <v>212</v>
      </c>
      <c r="B785">
        <v>220710845</v>
      </c>
      <c r="C785" s="2">
        <v>44813</v>
      </c>
      <c r="D785" s="2" t="s">
        <v>1023</v>
      </c>
      <c r="E785">
        <v>650</v>
      </c>
      <c r="F785" s="2">
        <v>35106</v>
      </c>
      <c r="G785">
        <v>80.91</v>
      </c>
      <c r="H785">
        <v>70.150000000000006</v>
      </c>
      <c r="I785" t="s">
        <v>26</v>
      </c>
      <c r="J785">
        <v>69.94</v>
      </c>
      <c r="K785" s="3">
        <f t="shared" si="12"/>
        <v>73.666666666666671</v>
      </c>
      <c r="L785" t="s">
        <v>27</v>
      </c>
      <c r="M785" t="s">
        <v>41</v>
      </c>
      <c r="N785">
        <v>26</v>
      </c>
      <c r="O785" t="s">
        <v>28</v>
      </c>
      <c r="P785" t="s">
        <v>52</v>
      </c>
      <c r="Q785" t="s">
        <v>30</v>
      </c>
      <c r="R785">
        <v>635</v>
      </c>
      <c r="S785">
        <v>79.375</v>
      </c>
      <c r="T785" t="s">
        <v>49</v>
      </c>
      <c r="U785" t="s">
        <v>32</v>
      </c>
      <c r="V785" t="s">
        <v>49</v>
      </c>
      <c r="W785" t="s">
        <v>49</v>
      </c>
      <c r="X785" t="s">
        <v>34</v>
      </c>
      <c r="Y785" t="s">
        <v>58</v>
      </c>
      <c r="Z785" t="s">
        <v>44</v>
      </c>
      <c r="AA785" t="s">
        <v>228</v>
      </c>
      <c r="AB785" t="s">
        <v>46</v>
      </c>
      <c r="AC785">
        <f>IF(Cdacdata[[#This Row],[placement_status]]="Placed",1,0)</f>
        <v>1</v>
      </c>
      <c r="AD785" t="s">
        <v>213</v>
      </c>
      <c r="AE785" t="s">
        <v>75</v>
      </c>
      <c r="AF785" t="s">
        <v>55</v>
      </c>
      <c r="AG785">
        <v>2022</v>
      </c>
      <c r="AH785" t="s">
        <v>40</v>
      </c>
      <c r="AI785" t="str">
        <f>IF(Cdacdata[ccat_rank]&lt;=100,"Top 100",
IF(Cdacdata[ccat_rank]&lt;=500,"101–500",
IF(Cdacdata[ccat_rank]&lt;=1000,"501–1000",
"1000+")))</f>
        <v>501–1000</v>
      </c>
    </row>
    <row r="786" spans="1:35" x14ac:dyDescent="0.3">
      <c r="A786" s="1" t="s">
        <v>212</v>
      </c>
      <c r="B786">
        <v>220600356</v>
      </c>
      <c r="C786" s="2">
        <v>44815</v>
      </c>
      <c r="D786" s="2" t="s">
        <v>1024</v>
      </c>
      <c r="E786">
        <v>57</v>
      </c>
      <c r="F786" s="2">
        <v>35128</v>
      </c>
      <c r="G786">
        <v>84.36</v>
      </c>
      <c r="H786">
        <v>61.08</v>
      </c>
      <c r="I786" t="s">
        <v>26</v>
      </c>
      <c r="J786">
        <v>60</v>
      </c>
      <c r="K786" s="3">
        <f t="shared" si="12"/>
        <v>68.48</v>
      </c>
      <c r="L786" t="s">
        <v>27</v>
      </c>
      <c r="M786" t="s">
        <v>41</v>
      </c>
      <c r="N786">
        <v>26</v>
      </c>
      <c r="O786" t="s">
        <v>28</v>
      </c>
      <c r="P786" t="s">
        <v>65</v>
      </c>
      <c r="Q786" t="s">
        <v>30</v>
      </c>
      <c r="R786">
        <v>566</v>
      </c>
      <c r="S786">
        <v>70.75</v>
      </c>
      <c r="T786" t="s">
        <v>49</v>
      </c>
      <c r="U786" t="s">
        <v>32</v>
      </c>
      <c r="V786" t="s">
        <v>49</v>
      </c>
      <c r="W786" t="s">
        <v>49</v>
      </c>
      <c r="X786" t="s">
        <v>34</v>
      </c>
      <c r="Y786" t="s">
        <v>58</v>
      </c>
      <c r="Z786" t="s">
        <v>53</v>
      </c>
      <c r="AA786" t="s">
        <v>54</v>
      </c>
      <c r="AB786" t="s">
        <v>46</v>
      </c>
      <c r="AC786">
        <f>IF(Cdacdata[[#This Row],[placement_status]]="Placed",1,0)</f>
        <v>1</v>
      </c>
      <c r="AD786" t="s">
        <v>213</v>
      </c>
      <c r="AE786" t="s">
        <v>75</v>
      </c>
      <c r="AF786" t="s">
        <v>55</v>
      </c>
      <c r="AG786">
        <v>2022</v>
      </c>
      <c r="AH786" t="s">
        <v>40</v>
      </c>
      <c r="AI786" t="str">
        <f>IF(Cdacdata[ccat_rank]&lt;=100,"Top 100",
IF(Cdacdata[ccat_rank]&lt;=500,"101–500",
IF(Cdacdata[ccat_rank]&lt;=1000,"501–1000",
"1000+")))</f>
        <v>Top 100</v>
      </c>
    </row>
    <row r="787" spans="1:35" x14ac:dyDescent="0.3">
      <c r="A787" s="1" t="s">
        <v>212</v>
      </c>
      <c r="B787">
        <v>220711871</v>
      </c>
      <c r="C787" s="2">
        <v>44814</v>
      </c>
      <c r="D787" s="2" t="s">
        <v>1025</v>
      </c>
      <c r="E787">
        <v>897</v>
      </c>
      <c r="F787" s="2">
        <v>36082</v>
      </c>
      <c r="G787">
        <v>76.599999999999994</v>
      </c>
      <c r="H787">
        <v>51.23</v>
      </c>
      <c r="I787" t="s">
        <v>26</v>
      </c>
      <c r="J787">
        <v>6.69</v>
      </c>
      <c r="K787" s="3">
        <f t="shared" si="12"/>
        <v>44.839999999999996</v>
      </c>
      <c r="L787" t="s">
        <v>41</v>
      </c>
      <c r="M787" t="s">
        <v>41</v>
      </c>
      <c r="N787">
        <v>23</v>
      </c>
      <c r="O787" t="s">
        <v>62</v>
      </c>
      <c r="P787" t="s">
        <v>56</v>
      </c>
      <c r="Q787" t="s">
        <v>67</v>
      </c>
      <c r="R787">
        <v>609</v>
      </c>
      <c r="S787">
        <v>76.125</v>
      </c>
      <c r="T787" t="s">
        <v>49</v>
      </c>
      <c r="U787" t="s">
        <v>32</v>
      </c>
      <c r="V787" t="s">
        <v>49</v>
      </c>
      <c r="W787" t="s">
        <v>49</v>
      </c>
      <c r="X787" t="s">
        <v>34</v>
      </c>
      <c r="Y787" t="s">
        <v>58</v>
      </c>
      <c r="Z787" t="s">
        <v>44</v>
      </c>
      <c r="AA787" t="s">
        <v>91</v>
      </c>
      <c r="AB787" t="s">
        <v>46</v>
      </c>
      <c r="AC787">
        <f>IF(Cdacdata[[#This Row],[placement_status]]="Placed",1,0)</f>
        <v>1</v>
      </c>
      <c r="AD787" t="s">
        <v>213</v>
      </c>
      <c r="AE787" t="s">
        <v>75</v>
      </c>
      <c r="AF787" t="s">
        <v>39</v>
      </c>
      <c r="AG787">
        <v>2022</v>
      </c>
      <c r="AH787" t="s">
        <v>40</v>
      </c>
      <c r="AI787" t="str">
        <f>IF(Cdacdata[ccat_rank]&lt;=100,"Top 100",
IF(Cdacdata[ccat_rank]&lt;=500,"101–500",
IF(Cdacdata[ccat_rank]&lt;=1000,"501–1000",
"1000+")))</f>
        <v>501–1000</v>
      </c>
    </row>
    <row r="788" spans="1:35" x14ac:dyDescent="0.3">
      <c r="A788" s="1" t="s">
        <v>212</v>
      </c>
      <c r="B788">
        <v>220602925</v>
      </c>
      <c r="C788" s="2">
        <v>44817</v>
      </c>
      <c r="D788" s="2" t="s">
        <v>1026</v>
      </c>
      <c r="E788">
        <v>1721</v>
      </c>
      <c r="F788" s="2">
        <v>35557</v>
      </c>
      <c r="G788">
        <v>88.91</v>
      </c>
      <c r="H788">
        <v>74.77</v>
      </c>
      <c r="I788" t="s">
        <v>26</v>
      </c>
      <c r="J788">
        <v>60.03</v>
      </c>
      <c r="K788" s="3">
        <f t="shared" si="12"/>
        <v>74.570000000000007</v>
      </c>
      <c r="L788" t="s">
        <v>27</v>
      </c>
      <c r="M788" t="s">
        <v>41</v>
      </c>
      <c r="N788">
        <v>25</v>
      </c>
      <c r="O788" t="s">
        <v>28</v>
      </c>
      <c r="P788" t="s">
        <v>60</v>
      </c>
      <c r="Q788" t="s">
        <v>30</v>
      </c>
      <c r="R788">
        <v>500</v>
      </c>
      <c r="S788">
        <v>62.5</v>
      </c>
      <c r="T788" t="s">
        <v>31</v>
      </c>
      <c r="U788" t="s">
        <v>32</v>
      </c>
      <c r="V788" t="s">
        <v>31</v>
      </c>
      <c r="W788" t="s">
        <v>33</v>
      </c>
      <c r="X788" t="s">
        <v>34</v>
      </c>
      <c r="Y788" t="s">
        <v>50</v>
      </c>
      <c r="Z788" t="s">
        <v>36</v>
      </c>
      <c r="AA788" t="s">
        <v>1268</v>
      </c>
      <c r="AB788" t="s">
        <v>36</v>
      </c>
      <c r="AC788">
        <f>IF(Cdacdata[[#This Row],[placement_status]]="Placed",1,0)</f>
        <v>0</v>
      </c>
      <c r="AD788" t="s">
        <v>213</v>
      </c>
      <c r="AE788" t="s">
        <v>47</v>
      </c>
      <c r="AF788" t="s">
        <v>39</v>
      </c>
      <c r="AG788">
        <v>2022</v>
      </c>
      <c r="AH788" t="s">
        <v>40</v>
      </c>
      <c r="AI788" t="str">
        <f>IF(Cdacdata[ccat_rank]&lt;=100,"Top 100",
IF(Cdacdata[ccat_rank]&lt;=500,"101–500",
IF(Cdacdata[ccat_rank]&lt;=1000,"501–1000",
"1000+")))</f>
        <v>1000+</v>
      </c>
    </row>
    <row r="789" spans="1:35" x14ac:dyDescent="0.3">
      <c r="A789" s="1" t="s">
        <v>212</v>
      </c>
      <c r="B789">
        <v>220710276</v>
      </c>
      <c r="C789" s="2">
        <v>44816</v>
      </c>
      <c r="D789" s="2" t="s">
        <v>1027</v>
      </c>
      <c r="E789">
        <v>1784</v>
      </c>
      <c r="F789" s="2">
        <v>35597</v>
      </c>
      <c r="G789">
        <v>78.400000000000006</v>
      </c>
      <c r="H789" t="s">
        <v>26</v>
      </c>
      <c r="I789">
        <v>65.53</v>
      </c>
      <c r="J789">
        <v>61.38</v>
      </c>
      <c r="K789" s="3">
        <f t="shared" si="12"/>
        <v>68.436666666666667</v>
      </c>
      <c r="L789" t="s">
        <v>27</v>
      </c>
      <c r="M789" t="s">
        <v>41</v>
      </c>
      <c r="N789">
        <v>25</v>
      </c>
      <c r="O789" t="s">
        <v>28</v>
      </c>
      <c r="P789" t="s">
        <v>60</v>
      </c>
      <c r="Q789" t="s">
        <v>30</v>
      </c>
      <c r="R789">
        <v>424</v>
      </c>
      <c r="S789">
        <v>53</v>
      </c>
      <c r="T789" t="s">
        <v>31</v>
      </c>
      <c r="U789" t="s">
        <v>32</v>
      </c>
      <c r="V789" t="s">
        <v>31</v>
      </c>
      <c r="W789" t="s">
        <v>33</v>
      </c>
      <c r="X789" t="s">
        <v>34</v>
      </c>
      <c r="Y789" t="s">
        <v>35</v>
      </c>
      <c r="Z789" t="s">
        <v>36</v>
      </c>
      <c r="AA789" t="s">
        <v>1268</v>
      </c>
      <c r="AB789" t="s">
        <v>36</v>
      </c>
      <c r="AC789">
        <f>IF(Cdacdata[[#This Row],[placement_status]]="Placed",1,0)</f>
        <v>0</v>
      </c>
      <c r="AD789" t="s">
        <v>213</v>
      </c>
      <c r="AE789" t="s">
        <v>47</v>
      </c>
      <c r="AF789" t="s">
        <v>39</v>
      </c>
      <c r="AG789">
        <v>2022</v>
      </c>
      <c r="AH789" t="s">
        <v>40</v>
      </c>
      <c r="AI789" t="str">
        <f>IF(Cdacdata[ccat_rank]&lt;=100,"Top 100",
IF(Cdacdata[ccat_rank]&lt;=500,"101–500",
IF(Cdacdata[ccat_rank]&lt;=1000,"501–1000",
"1000+")))</f>
        <v>1000+</v>
      </c>
    </row>
    <row r="790" spans="1:35" x14ac:dyDescent="0.3">
      <c r="A790" s="1" t="s">
        <v>212</v>
      </c>
      <c r="B790">
        <v>220606007</v>
      </c>
      <c r="C790" s="2">
        <v>44816</v>
      </c>
      <c r="D790" s="2" t="s">
        <v>1028</v>
      </c>
      <c r="E790">
        <v>1470</v>
      </c>
      <c r="F790" s="2">
        <v>35360</v>
      </c>
      <c r="G790">
        <v>70.55</v>
      </c>
      <c r="H790">
        <v>55.08</v>
      </c>
      <c r="I790" t="s">
        <v>26</v>
      </c>
      <c r="J790">
        <v>62.57</v>
      </c>
      <c r="K790" s="3">
        <f t="shared" si="12"/>
        <v>62.733333333333327</v>
      </c>
      <c r="L790" t="s">
        <v>27</v>
      </c>
      <c r="M790" t="s">
        <v>27</v>
      </c>
      <c r="N790">
        <v>25</v>
      </c>
      <c r="O790" t="s">
        <v>28</v>
      </c>
      <c r="P790" t="s">
        <v>42</v>
      </c>
      <c r="Q790" t="s">
        <v>30</v>
      </c>
      <c r="R790">
        <v>395</v>
      </c>
      <c r="S790">
        <v>49.375</v>
      </c>
      <c r="T790" t="s">
        <v>31</v>
      </c>
      <c r="U790" t="s">
        <v>32</v>
      </c>
      <c r="V790" t="s">
        <v>31</v>
      </c>
      <c r="W790" t="s">
        <v>33</v>
      </c>
      <c r="X790" t="s">
        <v>34</v>
      </c>
      <c r="Y790" t="s">
        <v>80</v>
      </c>
      <c r="Z790" t="s">
        <v>36</v>
      </c>
      <c r="AA790" t="s">
        <v>1268</v>
      </c>
      <c r="AB790" t="s">
        <v>36</v>
      </c>
      <c r="AC790">
        <f>IF(Cdacdata[[#This Row],[placement_status]]="Placed",1,0)</f>
        <v>0</v>
      </c>
      <c r="AD790" t="s">
        <v>213</v>
      </c>
      <c r="AE790" t="s">
        <v>47</v>
      </c>
      <c r="AF790" t="s">
        <v>39</v>
      </c>
      <c r="AG790">
        <v>2022</v>
      </c>
      <c r="AH790" t="s">
        <v>40</v>
      </c>
      <c r="AI790" t="str">
        <f>IF(Cdacdata[ccat_rank]&lt;=100,"Top 100",
IF(Cdacdata[ccat_rank]&lt;=500,"101–500",
IF(Cdacdata[ccat_rank]&lt;=1000,"501–1000",
"1000+")))</f>
        <v>1000+</v>
      </c>
    </row>
    <row r="791" spans="1:35" x14ac:dyDescent="0.3">
      <c r="A791" s="1" t="s">
        <v>212</v>
      </c>
      <c r="B791">
        <v>220711322</v>
      </c>
      <c r="C791" s="2">
        <v>44812</v>
      </c>
      <c r="D791" s="2" t="s">
        <v>1029</v>
      </c>
      <c r="E791">
        <v>1709</v>
      </c>
      <c r="F791" s="2">
        <v>36735</v>
      </c>
      <c r="G791">
        <v>89.4</v>
      </c>
      <c r="H791">
        <v>77.540000000000006</v>
      </c>
      <c r="I791" t="s">
        <v>26</v>
      </c>
      <c r="J791">
        <v>8.2799999999999994</v>
      </c>
      <c r="K791" s="3">
        <f t="shared" si="12"/>
        <v>58.406666666666666</v>
      </c>
      <c r="L791" t="s">
        <v>27</v>
      </c>
      <c r="M791" t="s">
        <v>27</v>
      </c>
      <c r="N791">
        <v>22</v>
      </c>
      <c r="O791" t="s">
        <v>62</v>
      </c>
      <c r="P791" t="s">
        <v>60</v>
      </c>
      <c r="Q791" t="s">
        <v>30</v>
      </c>
      <c r="R791">
        <v>620</v>
      </c>
      <c r="S791">
        <v>77.5</v>
      </c>
      <c r="T791" t="s">
        <v>49</v>
      </c>
      <c r="U791" t="s">
        <v>32</v>
      </c>
      <c r="V791" t="s">
        <v>49</v>
      </c>
      <c r="W791" t="s">
        <v>49</v>
      </c>
      <c r="X791" t="s">
        <v>34</v>
      </c>
      <c r="Y791" t="s">
        <v>58</v>
      </c>
      <c r="Z791" t="s">
        <v>44</v>
      </c>
      <c r="AA791" t="s">
        <v>115</v>
      </c>
      <c r="AB791" t="s">
        <v>46</v>
      </c>
      <c r="AC791">
        <f>IF(Cdacdata[[#This Row],[placement_status]]="Placed",1,0)</f>
        <v>1</v>
      </c>
      <c r="AD791" t="s">
        <v>213</v>
      </c>
      <c r="AE791" t="s">
        <v>47</v>
      </c>
      <c r="AF791" t="s">
        <v>57</v>
      </c>
      <c r="AG791">
        <v>2022</v>
      </c>
      <c r="AH791" t="s">
        <v>40</v>
      </c>
      <c r="AI791" t="str">
        <f>IF(Cdacdata[ccat_rank]&lt;=100,"Top 100",
IF(Cdacdata[ccat_rank]&lt;=500,"101–500",
IF(Cdacdata[ccat_rank]&lt;=1000,"501–1000",
"1000+")))</f>
        <v>1000+</v>
      </c>
    </row>
    <row r="792" spans="1:35" x14ac:dyDescent="0.3">
      <c r="A792" s="1" t="s">
        <v>212</v>
      </c>
      <c r="B792">
        <v>220702511</v>
      </c>
      <c r="C792" s="2">
        <v>44816</v>
      </c>
      <c r="D792" s="2" t="s">
        <v>1030</v>
      </c>
      <c r="E792">
        <v>1645</v>
      </c>
      <c r="F792" s="2">
        <v>36374</v>
      </c>
      <c r="G792">
        <v>85.4</v>
      </c>
      <c r="H792">
        <v>77.69</v>
      </c>
      <c r="I792" t="s">
        <v>26</v>
      </c>
      <c r="J792">
        <v>81.67</v>
      </c>
      <c r="K792" s="3">
        <f t="shared" si="12"/>
        <v>81.586666666666659</v>
      </c>
      <c r="L792" t="s">
        <v>27</v>
      </c>
      <c r="M792" t="s">
        <v>41</v>
      </c>
      <c r="N792">
        <v>23</v>
      </c>
      <c r="O792" t="s">
        <v>48</v>
      </c>
      <c r="P792" t="s">
        <v>60</v>
      </c>
      <c r="Q792" t="s">
        <v>30</v>
      </c>
      <c r="R792">
        <v>542</v>
      </c>
      <c r="S792">
        <v>67.75</v>
      </c>
      <c r="T792" t="s">
        <v>49</v>
      </c>
      <c r="U792" t="s">
        <v>32</v>
      </c>
      <c r="V792" t="s">
        <v>49</v>
      </c>
      <c r="W792" t="s">
        <v>49</v>
      </c>
      <c r="X792" t="s">
        <v>34</v>
      </c>
      <c r="Y792" t="s">
        <v>50</v>
      </c>
      <c r="Z792" t="s">
        <v>53</v>
      </c>
      <c r="AA792" t="s">
        <v>54</v>
      </c>
      <c r="AB792" t="s">
        <v>46</v>
      </c>
      <c r="AC792">
        <f>IF(Cdacdata[[#This Row],[placement_status]]="Placed",1,0)</f>
        <v>1</v>
      </c>
      <c r="AD792" t="s">
        <v>213</v>
      </c>
      <c r="AE792" t="s">
        <v>47</v>
      </c>
      <c r="AF792" t="s">
        <v>39</v>
      </c>
      <c r="AG792">
        <v>2022</v>
      </c>
      <c r="AH792" t="s">
        <v>40</v>
      </c>
      <c r="AI792" t="str">
        <f>IF(Cdacdata[ccat_rank]&lt;=100,"Top 100",
IF(Cdacdata[ccat_rank]&lt;=500,"101–500",
IF(Cdacdata[ccat_rank]&lt;=1000,"501–1000",
"1000+")))</f>
        <v>1000+</v>
      </c>
    </row>
    <row r="793" spans="1:35" x14ac:dyDescent="0.3">
      <c r="A793" s="1" t="s">
        <v>212</v>
      </c>
      <c r="B793">
        <v>220708885</v>
      </c>
      <c r="C793" s="2">
        <v>44817</v>
      </c>
      <c r="D793" s="2" t="s">
        <v>1031</v>
      </c>
      <c r="E793">
        <v>1586</v>
      </c>
      <c r="F793" s="2">
        <v>36564</v>
      </c>
      <c r="G793">
        <v>92.6</v>
      </c>
      <c r="H793">
        <v>63.54</v>
      </c>
      <c r="I793" t="s">
        <v>26</v>
      </c>
      <c r="J793">
        <v>74.599999999999994</v>
      </c>
      <c r="K793" s="3">
        <f t="shared" si="12"/>
        <v>76.913333333333327</v>
      </c>
      <c r="L793" t="s">
        <v>27</v>
      </c>
      <c r="M793" t="s">
        <v>27</v>
      </c>
      <c r="N793">
        <v>22</v>
      </c>
      <c r="O793" t="s">
        <v>62</v>
      </c>
      <c r="P793" t="s">
        <v>29</v>
      </c>
      <c r="Q793" t="s">
        <v>30</v>
      </c>
      <c r="R793">
        <v>496</v>
      </c>
      <c r="S793">
        <v>62</v>
      </c>
      <c r="T793" t="s">
        <v>31</v>
      </c>
      <c r="U793" t="s">
        <v>32</v>
      </c>
      <c r="V793" t="s">
        <v>31</v>
      </c>
      <c r="W793" t="s">
        <v>33</v>
      </c>
      <c r="X793" t="s">
        <v>34</v>
      </c>
      <c r="Y793" t="s">
        <v>50</v>
      </c>
      <c r="Z793" t="s">
        <v>44</v>
      </c>
      <c r="AA793" t="s">
        <v>231</v>
      </c>
      <c r="AB793" t="s">
        <v>46</v>
      </c>
      <c r="AC793">
        <f>IF(Cdacdata[[#This Row],[placement_status]]="Placed",1,0)</f>
        <v>1</v>
      </c>
      <c r="AD793" t="s">
        <v>213</v>
      </c>
      <c r="AE793" t="s">
        <v>47</v>
      </c>
      <c r="AF793" t="s">
        <v>57</v>
      </c>
      <c r="AG793">
        <v>2022</v>
      </c>
      <c r="AH793" t="s">
        <v>40</v>
      </c>
      <c r="AI793" t="str">
        <f>IF(Cdacdata[ccat_rank]&lt;=100,"Top 100",
IF(Cdacdata[ccat_rank]&lt;=500,"101–500",
IF(Cdacdata[ccat_rank]&lt;=1000,"501–1000",
"1000+")))</f>
        <v>1000+</v>
      </c>
    </row>
    <row r="794" spans="1:35" x14ac:dyDescent="0.3">
      <c r="A794" s="1" t="s">
        <v>212</v>
      </c>
      <c r="B794">
        <v>220710495</v>
      </c>
      <c r="C794" s="2">
        <v>44813</v>
      </c>
      <c r="D794" s="2" t="s">
        <v>1032</v>
      </c>
      <c r="E794">
        <v>1723</v>
      </c>
      <c r="F794" s="2">
        <v>35444</v>
      </c>
      <c r="G794">
        <v>79.819999999999993</v>
      </c>
      <c r="H794">
        <v>66.62</v>
      </c>
      <c r="I794" t="s">
        <v>26</v>
      </c>
      <c r="J794">
        <v>62</v>
      </c>
      <c r="K794" s="3">
        <f t="shared" si="12"/>
        <v>69.48</v>
      </c>
      <c r="L794" t="s">
        <v>27</v>
      </c>
      <c r="M794" t="s">
        <v>27</v>
      </c>
      <c r="N794">
        <v>25</v>
      </c>
      <c r="O794" t="s">
        <v>28</v>
      </c>
      <c r="P794" t="s">
        <v>60</v>
      </c>
      <c r="Q794" t="s">
        <v>30</v>
      </c>
      <c r="R794">
        <v>571</v>
      </c>
      <c r="S794">
        <v>71.375</v>
      </c>
      <c r="T794" t="s">
        <v>49</v>
      </c>
      <c r="U794" t="s">
        <v>32</v>
      </c>
      <c r="V794" t="s">
        <v>49</v>
      </c>
      <c r="W794" t="s">
        <v>49</v>
      </c>
      <c r="X794" t="s">
        <v>34</v>
      </c>
      <c r="Y794" t="s">
        <v>58</v>
      </c>
      <c r="Z794" t="s">
        <v>44</v>
      </c>
      <c r="AA794" t="s">
        <v>74</v>
      </c>
      <c r="AB794" t="s">
        <v>46</v>
      </c>
      <c r="AC794">
        <f>IF(Cdacdata[[#This Row],[placement_status]]="Placed",1,0)</f>
        <v>1</v>
      </c>
      <c r="AD794" t="s">
        <v>213</v>
      </c>
      <c r="AE794" t="s">
        <v>47</v>
      </c>
      <c r="AF794" t="s">
        <v>39</v>
      </c>
      <c r="AG794">
        <v>2022</v>
      </c>
      <c r="AH794" t="s">
        <v>40</v>
      </c>
      <c r="AI794" t="str">
        <f>IF(Cdacdata[ccat_rank]&lt;=100,"Top 100",
IF(Cdacdata[ccat_rank]&lt;=500,"101–500",
IF(Cdacdata[ccat_rank]&lt;=1000,"501–1000",
"1000+")))</f>
        <v>1000+</v>
      </c>
    </row>
    <row r="795" spans="1:35" x14ac:dyDescent="0.3">
      <c r="A795" s="1" t="s">
        <v>212</v>
      </c>
      <c r="B795">
        <v>220710828</v>
      </c>
      <c r="C795" s="2">
        <v>44815</v>
      </c>
      <c r="D795" s="2" t="s">
        <v>1033</v>
      </c>
      <c r="E795">
        <v>1546</v>
      </c>
      <c r="F795" s="2">
        <v>36576</v>
      </c>
      <c r="G795">
        <v>89.8</v>
      </c>
      <c r="H795">
        <v>71.540000000000006</v>
      </c>
      <c r="I795" t="s">
        <v>26</v>
      </c>
      <c r="J795">
        <v>80</v>
      </c>
      <c r="K795" s="3">
        <f t="shared" si="12"/>
        <v>80.446666666666673</v>
      </c>
      <c r="L795" t="s">
        <v>27</v>
      </c>
      <c r="M795" t="s">
        <v>27</v>
      </c>
      <c r="N795">
        <v>22</v>
      </c>
      <c r="O795" t="s">
        <v>48</v>
      </c>
      <c r="P795" t="s">
        <v>29</v>
      </c>
      <c r="Q795" t="s">
        <v>43</v>
      </c>
      <c r="R795">
        <v>578</v>
      </c>
      <c r="S795">
        <v>72.25</v>
      </c>
      <c r="T795" t="s">
        <v>49</v>
      </c>
      <c r="U795" t="s">
        <v>32</v>
      </c>
      <c r="V795" t="s">
        <v>49</v>
      </c>
      <c r="W795" t="s">
        <v>33</v>
      </c>
      <c r="X795" t="s">
        <v>34</v>
      </c>
      <c r="Y795" t="s">
        <v>58</v>
      </c>
      <c r="Z795" t="s">
        <v>44</v>
      </c>
      <c r="AA795" t="s">
        <v>91</v>
      </c>
      <c r="AB795" t="s">
        <v>46</v>
      </c>
      <c r="AC795">
        <f>IF(Cdacdata[[#This Row],[placement_status]]="Placed",1,0)</f>
        <v>1</v>
      </c>
      <c r="AD795" t="s">
        <v>213</v>
      </c>
      <c r="AE795" t="s">
        <v>47</v>
      </c>
      <c r="AF795" t="s">
        <v>57</v>
      </c>
      <c r="AG795">
        <v>2022</v>
      </c>
      <c r="AH795" t="s">
        <v>40</v>
      </c>
      <c r="AI795" t="str">
        <f>IF(Cdacdata[ccat_rank]&lt;=100,"Top 100",
IF(Cdacdata[ccat_rank]&lt;=500,"101–500",
IF(Cdacdata[ccat_rank]&lt;=1000,"501–1000",
"1000+")))</f>
        <v>1000+</v>
      </c>
    </row>
    <row r="796" spans="1:35" x14ac:dyDescent="0.3">
      <c r="A796" s="1" t="s">
        <v>212</v>
      </c>
      <c r="B796">
        <v>220607704</v>
      </c>
      <c r="C796" s="2">
        <v>44815</v>
      </c>
      <c r="D796" s="2" t="s">
        <v>1034</v>
      </c>
      <c r="E796">
        <v>1691</v>
      </c>
      <c r="F796" s="2">
        <v>35369</v>
      </c>
      <c r="G796">
        <v>79.599999999999994</v>
      </c>
      <c r="H796" t="s">
        <v>26</v>
      </c>
      <c r="I796">
        <v>80.5</v>
      </c>
      <c r="J796">
        <v>73.66</v>
      </c>
      <c r="K796" s="3">
        <f t="shared" si="12"/>
        <v>77.92</v>
      </c>
      <c r="L796" t="s">
        <v>27</v>
      </c>
      <c r="M796" t="s">
        <v>41</v>
      </c>
      <c r="N796">
        <v>25</v>
      </c>
      <c r="O796" t="s">
        <v>28</v>
      </c>
      <c r="P796" t="s">
        <v>65</v>
      </c>
      <c r="Q796" t="s">
        <v>30</v>
      </c>
      <c r="R796">
        <v>539</v>
      </c>
      <c r="S796">
        <v>67.375</v>
      </c>
      <c r="T796" t="s">
        <v>33</v>
      </c>
      <c r="U796" t="s">
        <v>32</v>
      </c>
      <c r="V796" t="s">
        <v>33</v>
      </c>
      <c r="W796" t="s">
        <v>49</v>
      </c>
      <c r="X796" t="s">
        <v>34</v>
      </c>
      <c r="Y796" t="s">
        <v>50</v>
      </c>
      <c r="Z796" t="s">
        <v>36</v>
      </c>
      <c r="AA796" t="s">
        <v>1268</v>
      </c>
      <c r="AB796" t="s">
        <v>36</v>
      </c>
      <c r="AC796">
        <f>IF(Cdacdata[[#This Row],[placement_status]]="Placed",1,0)</f>
        <v>0</v>
      </c>
      <c r="AD796" t="s">
        <v>213</v>
      </c>
      <c r="AE796" t="s">
        <v>47</v>
      </c>
      <c r="AF796" t="s">
        <v>39</v>
      </c>
      <c r="AG796">
        <v>2022</v>
      </c>
      <c r="AH796" t="s">
        <v>40</v>
      </c>
      <c r="AI796" t="str">
        <f>IF(Cdacdata[ccat_rank]&lt;=100,"Top 100",
IF(Cdacdata[ccat_rank]&lt;=500,"101–500",
IF(Cdacdata[ccat_rank]&lt;=1000,"501–1000",
"1000+")))</f>
        <v>1000+</v>
      </c>
    </row>
    <row r="797" spans="1:35" x14ac:dyDescent="0.3">
      <c r="A797" s="1" t="s">
        <v>212</v>
      </c>
      <c r="B797">
        <v>220606300</v>
      </c>
      <c r="C797" s="2">
        <v>44813</v>
      </c>
      <c r="D797" s="2" t="s">
        <v>1035</v>
      </c>
      <c r="E797">
        <v>1446</v>
      </c>
      <c r="F797" s="2">
        <v>35792</v>
      </c>
      <c r="G797">
        <v>89.3</v>
      </c>
      <c r="H797">
        <v>74</v>
      </c>
      <c r="I797" t="s">
        <v>26</v>
      </c>
      <c r="J797">
        <v>71.760000000000005</v>
      </c>
      <c r="K797" s="3">
        <f t="shared" si="12"/>
        <v>78.353333333333339</v>
      </c>
      <c r="L797" t="s">
        <v>27</v>
      </c>
      <c r="M797" t="s">
        <v>27</v>
      </c>
      <c r="N797">
        <v>24</v>
      </c>
      <c r="O797" t="s">
        <v>28</v>
      </c>
      <c r="P797" t="s">
        <v>52</v>
      </c>
      <c r="Q797" t="s">
        <v>43</v>
      </c>
      <c r="R797">
        <v>410</v>
      </c>
      <c r="S797">
        <v>51.25</v>
      </c>
      <c r="T797" t="s">
        <v>49</v>
      </c>
      <c r="U797" t="s">
        <v>32</v>
      </c>
      <c r="V797" t="s">
        <v>49</v>
      </c>
      <c r="W797" t="s">
        <v>33</v>
      </c>
      <c r="X797" t="s">
        <v>34</v>
      </c>
      <c r="Y797" t="s">
        <v>35</v>
      </c>
      <c r="Z797" t="s">
        <v>36</v>
      </c>
      <c r="AA797" t="s">
        <v>1268</v>
      </c>
      <c r="AB797" t="s">
        <v>36</v>
      </c>
      <c r="AC797">
        <f>IF(Cdacdata[[#This Row],[placement_status]]="Placed",1,0)</f>
        <v>0</v>
      </c>
      <c r="AD797" t="s">
        <v>213</v>
      </c>
      <c r="AE797" t="s">
        <v>47</v>
      </c>
      <c r="AF797" t="s">
        <v>39</v>
      </c>
      <c r="AG797">
        <v>2022</v>
      </c>
      <c r="AH797" t="s">
        <v>40</v>
      </c>
      <c r="AI797" t="str">
        <f>IF(Cdacdata[ccat_rank]&lt;=100,"Top 100",
IF(Cdacdata[ccat_rank]&lt;=500,"101–500",
IF(Cdacdata[ccat_rank]&lt;=1000,"501–1000",
"1000+")))</f>
        <v>1000+</v>
      </c>
    </row>
    <row r="798" spans="1:35" x14ac:dyDescent="0.3">
      <c r="A798" s="1" t="s">
        <v>212</v>
      </c>
      <c r="B798">
        <v>220600575</v>
      </c>
      <c r="C798" s="2">
        <v>44814</v>
      </c>
      <c r="D798" s="2" t="s">
        <v>1036</v>
      </c>
      <c r="E798">
        <v>1582</v>
      </c>
      <c r="F798" s="2">
        <v>36961</v>
      </c>
      <c r="G798">
        <v>87.2</v>
      </c>
      <c r="H798">
        <v>58.62</v>
      </c>
      <c r="I798" t="s">
        <v>26</v>
      </c>
      <c r="J798">
        <v>70.239999999999995</v>
      </c>
      <c r="K798" s="3">
        <f t="shared" si="12"/>
        <v>72.02</v>
      </c>
      <c r="L798" t="s">
        <v>27</v>
      </c>
      <c r="M798" t="s">
        <v>27</v>
      </c>
      <c r="N798">
        <v>21</v>
      </c>
      <c r="O798" t="s">
        <v>28</v>
      </c>
      <c r="P798" t="s">
        <v>56</v>
      </c>
      <c r="Q798" t="s">
        <v>43</v>
      </c>
      <c r="R798">
        <v>544</v>
      </c>
      <c r="S798">
        <v>68</v>
      </c>
      <c r="T798" t="s">
        <v>49</v>
      </c>
      <c r="U798" t="s">
        <v>32</v>
      </c>
      <c r="V798" t="s">
        <v>49</v>
      </c>
      <c r="W798" t="s">
        <v>33</v>
      </c>
      <c r="X798" t="s">
        <v>34</v>
      </c>
      <c r="Y798" t="s">
        <v>50</v>
      </c>
      <c r="Z798" t="s">
        <v>44</v>
      </c>
      <c r="AA798" t="s">
        <v>91</v>
      </c>
      <c r="AB798" t="s">
        <v>46</v>
      </c>
      <c r="AC798">
        <f>IF(Cdacdata[[#This Row],[placement_status]]="Placed",1,0)</f>
        <v>1</v>
      </c>
      <c r="AD798" t="s">
        <v>213</v>
      </c>
      <c r="AE798" t="s">
        <v>47</v>
      </c>
      <c r="AF798" t="s">
        <v>57</v>
      </c>
      <c r="AG798">
        <v>2022</v>
      </c>
      <c r="AH798" t="s">
        <v>40</v>
      </c>
      <c r="AI798" t="str">
        <f>IF(Cdacdata[ccat_rank]&lt;=100,"Top 100",
IF(Cdacdata[ccat_rank]&lt;=500,"101–500",
IF(Cdacdata[ccat_rank]&lt;=1000,"501–1000",
"1000+")))</f>
        <v>1000+</v>
      </c>
    </row>
    <row r="799" spans="1:35" x14ac:dyDescent="0.3">
      <c r="A799" s="1" t="s">
        <v>212</v>
      </c>
      <c r="B799">
        <v>220604544</v>
      </c>
      <c r="C799" s="2">
        <v>44812</v>
      </c>
      <c r="D799" s="2" t="s">
        <v>1037</v>
      </c>
      <c r="E799">
        <v>1706</v>
      </c>
      <c r="F799" s="2">
        <v>35513</v>
      </c>
      <c r="G799">
        <v>77</v>
      </c>
      <c r="H799">
        <v>77.8</v>
      </c>
      <c r="I799" t="s">
        <v>26</v>
      </c>
      <c r="J799">
        <v>64.680000000000007</v>
      </c>
      <c r="K799" s="3">
        <f t="shared" si="12"/>
        <v>73.160000000000011</v>
      </c>
      <c r="L799" t="s">
        <v>27</v>
      </c>
      <c r="M799" t="s">
        <v>27</v>
      </c>
      <c r="N799">
        <v>25</v>
      </c>
      <c r="O799" t="s">
        <v>28</v>
      </c>
      <c r="P799" t="s">
        <v>56</v>
      </c>
      <c r="Q799" t="s">
        <v>30</v>
      </c>
      <c r="R799">
        <v>509</v>
      </c>
      <c r="S799">
        <v>63.625</v>
      </c>
      <c r="T799" t="s">
        <v>33</v>
      </c>
      <c r="U799" t="s">
        <v>32</v>
      </c>
      <c r="V799" t="s">
        <v>33</v>
      </c>
      <c r="W799" t="s">
        <v>49</v>
      </c>
      <c r="X799" t="s">
        <v>34</v>
      </c>
      <c r="Y799" t="s">
        <v>50</v>
      </c>
      <c r="Z799" t="s">
        <v>44</v>
      </c>
      <c r="AA799" t="s">
        <v>74</v>
      </c>
      <c r="AB799" t="s">
        <v>46</v>
      </c>
      <c r="AC799">
        <f>IF(Cdacdata[[#This Row],[placement_status]]="Placed",1,0)</f>
        <v>1</v>
      </c>
      <c r="AD799" t="s">
        <v>213</v>
      </c>
      <c r="AE799" t="s">
        <v>47</v>
      </c>
      <c r="AF799" t="s">
        <v>39</v>
      </c>
      <c r="AG799">
        <v>2022</v>
      </c>
      <c r="AH799" t="s">
        <v>40</v>
      </c>
      <c r="AI799" t="str">
        <f>IF(Cdacdata[ccat_rank]&lt;=100,"Top 100",
IF(Cdacdata[ccat_rank]&lt;=500,"101–500",
IF(Cdacdata[ccat_rank]&lt;=1000,"501–1000",
"1000+")))</f>
        <v>1000+</v>
      </c>
    </row>
    <row r="800" spans="1:35" x14ac:dyDescent="0.3">
      <c r="A800" s="1" t="s">
        <v>212</v>
      </c>
      <c r="B800">
        <v>220711655</v>
      </c>
      <c r="C800" s="2">
        <v>44814</v>
      </c>
      <c r="D800" s="2" t="s">
        <v>1038</v>
      </c>
      <c r="E800">
        <v>2276</v>
      </c>
      <c r="F800" s="2">
        <v>34568</v>
      </c>
      <c r="G800">
        <v>93.45</v>
      </c>
      <c r="H800">
        <v>70.33</v>
      </c>
      <c r="I800" t="s">
        <v>26</v>
      </c>
      <c r="J800">
        <v>67.75</v>
      </c>
      <c r="K800" s="3">
        <f t="shared" si="12"/>
        <v>77.176666666666662</v>
      </c>
      <c r="L800" t="s">
        <v>27</v>
      </c>
      <c r="M800" t="s">
        <v>27</v>
      </c>
      <c r="N800">
        <v>28</v>
      </c>
      <c r="O800" t="s">
        <v>28</v>
      </c>
      <c r="P800" t="s">
        <v>65</v>
      </c>
      <c r="Q800" t="s">
        <v>43</v>
      </c>
      <c r="R800">
        <v>573</v>
      </c>
      <c r="S800">
        <v>71.625</v>
      </c>
      <c r="T800" t="s">
        <v>49</v>
      </c>
      <c r="U800" t="s">
        <v>32</v>
      </c>
      <c r="V800" t="s">
        <v>49</v>
      </c>
      <c r="W800" t="s">
        <v>33</v>
      </c>
      <c r="X800" t="s">
        <v>96</v>
      </c>
      <c r="Y800" t="s">
        <v>58</v>
      </c>
      <c r="Z800" t="s">
        <v>36</v>
      </c>
      <c r="AA800" t="s">
        <v>1268</v>
      </c>
      <c r="AB800" t="s">
        <v>36</v>
      </c>
      <c r="AC800">
        <f>IF(Cdacdata[[#This Row],[placement_status]]="Placed",1,0)</f>
        <v>0</v>
      </c>
      <c r="AD800" t="s">
        <v>213</v>
      </c>
      <c r="AE800" t="s">
        <v>38</v>
      </c>
      <c r="AF800" t="s">
        <v>55</v>
      </c>
      <c r="AG800">
        <v>2022</v>
      </c>
      <c r="AH800" t="s">
        <v>40</v>
      </c>
      <c r="AI800" t="str">
        <f>IF(Cdacdata[ccat_rank]&lt;=100,"Top 100",
IF(Cdacdata[ccat_rank]&lt;=500,"101–500",
IF(Cdacdata[ccat_rank]&lt;=1000,"501–1000",
"1000+")))</f>
        <v>1000+</v>
      </c>
    </row>
    <row r="801" spans="1:35" x14ac:dyDescent="0.3">
      <c r="A801" s="1" t="s">
        <v>212</v>
      </c>
      <c r="B801">
        <v>220703198</v>
      </c>
      <c r="C801" s="2">
        <v>44813</v>
      </c>
      <c r="D801" s="2" t="s">
        <v>1039</v>
      </c>
      <c r="E801">
        <v>2673</v>
      </c>
      <c r="F801" s="2">
        <v>35857</v>
      </c>
      <c r="G801">
        <v>69.45</v>
      </c>
      <c r="H801">
        <v>54.77</v>
      </c>
      <c r="I801" t="s">
        <v>26</v>
      </c>
      <c r="J801">
        <v>63.23</v>
      </c>
      <c r="K801" s="3">
        <f t="shared" si="12"/>
        <v>62.483333333333327</v>
      </c>
      <c r="L801" t="s">
        <v>27</v>
      </c>
      <c r="M801" t="s">
        <v>41</v>
      </c>
      <c r="N801">
        <v>24</v>
      </c>
      <c r="O801" t="s">
        <v>28</v>
      </c>
      <c r="P801" t="s">
        <v>60</v>
      </c>
      <c r="Q801" t="s">
        <v>30</v>
      </c>
      <c r="R801">
        <v>501</v>
      </c>
      <c r="S801">
        <v>62.625</v>
      </c>
      <c r="T801" t="s">
        <v>33</v>
      </c>
      <c r="U801" t="s">
        <v>32</v>
      </c>
      <c r="V801" t="s">
        <v>33</v>
      </c>
      <c r="W801" t="s">
        <v>33</v>
      </c>
      <c r="X801" t="s">
        <v>96</v>
      </c>
      <c r="Y801" t="s">
        <v>50</v>
      </c>
      <c r="Z801" t="s">
        <v>53</v>
      </c>
      <c r="AA801" t="s">
        <v>54</v>
      </c>
      <c r="AB801" t="s">
        <v>46</v>
      </c>
      <c r="AC801">
        <f>IF(Cdacdata[[#This Row],[placement_status]]="Placed",1,0)</f>
        <v>1</v>
      </c>
      <c r="AD801" t="s">
        <v>213</v>
      </c>
      <c r="AE801" t="s">
        <v>38</v>
      </c>
      <c r="AF801" t="s">
        <v>39</v>
      </c>
      <c r="AG801">
        <v>2022</v>
      </c>
      <c r="AH801" t="s">
        <v>40</v>
      </c>
      <c r="AI801" t="str">
        <f>IF(Cdacdata[ccat_rank]&lt;=100,"Top 100",
IF(Cdacdata[ccat_rank]&lt;=500,"101–500",
IF(Cdacdata[ccat_rank]&lt;=1000,"501–1000",
"1000+")))</f>
        <v>1000+</v>
      </c>
    </row>
    <row r="802" spans="1:35" x14ac:dyDescent="0.3">
      <c r="A802" s="1" t="s">
        <v>212</v>
      </c>
      <c r="B802">
        <v>220709380</v>
      </c>
      <c r="C802" s="2">
        <v>44815</v>
      </c>
      <c r="D802" s="2" t="s">
        <v>1040</v>
      </c>
      <c r="E802">
        <v>2032</v>
      </c>
      <c r="F802" s="2">
        <v>36373</v>
      </c>
      <c r="G802">
        <v>83.4</v>
      </c>
      <c r="H802">
        <v>61.54</v>
      </c>
      <c r="I802" t="s">
        <v>26</v>
      </c>
      <c r="J802">
        <v>61.62</v>
      </c>
      <c r="K802" s="3">
        <f t="shared" si="12"/>
        <v>68.853333333333339</v>
      </c>
      <c r="L802" t="s">
        <v>27</v>
      </c>
      <c r="M802" t="s">
        <v>27</v>
      </c>
      <c r="N802">
        <v>23</v>
      </c>
      <c r="O802" t="s">
        <v>28</v>
      </c>
      <c r="P802" t="s">
        <v>60</v>
      </c>
      <c r="Q802" t="s">
        <v>30</v>
      </c>
      <c r="R802">
        <v>484</v>
      </c>
      <c r="S802">
        <v>60.5</v>
      </c>
      <c r="T802" t="s">
        <v>31</v>
      </c>
      <c r="U802" t="s">
        <v>32</v>
      </c>
      <c r="V802" t="s">
        <v>31</v>
      </c>
      <c r="W802" t="s">
        <v>31</v>
      </c>
      <c r="X802" t="s">
        <v>96</v>
      </c>
      <c r="Y802" t="s">
        <v>50</v>
      </c>
      <c r="Z802" t="s">
        <v>36</v>
      </c>
      <c r="AA802" t="s">
        <v>1268</v>
      </c>
      <c r="AB802" t="s">
        <v>36</v>
      </c>
      <c r="AC802">
        <f>IF(Cdacdata[[#This Row],[placement_status]]="Placed",1,0)</f>
        <v>0</v>
      </c>
      <c r="AD802" t="s">
        <v>213</v>
      </c>
      <c r="AE802" t="s">
        <v>38</v>
      </c>
      <c r="AF802" t="s">
        <v>39</v>
      </c>
      <c r="AG802">
        <v>2022</v>
      </c>
      <c r="AH802" t="s">
        <v>40</v>
      </c>
      <c r="AI802" t="str">
        <f>IF(Cdacdata[ccat_rank]&lt;=100,"Top 100",
IF(Cdacdata[ccat_rank]&lt;=500,"101–500",
IF(Cdacdata[ccat_rank]&lt;=1000,"501–1000",
"1000+")))</f>
        <v>1000+</v>
      </c>
    </row>
    <row r="803" spans="1:35" x14ac:dyDescent="0.3">
      <c r="A803" s="1" t="s">
        <v>212</v>
      </c>
      <c r="B803">
        <v>220703728</v>
      </c>
      <c r="C803" s="2">
        <v>44815</v>
      </c>
      <c r="D803" s="2" t="s">
        <v>1041</v>
      </c>
      <c r="E803">
        <v>2269</v>
      </c>
      <c r="F803" s="2">
        <v>36551</v>
      </c>
      <c r="G803">
        <v>94.8</v>
      </c>
      <c r="H803">
        <v>76.92</v>
      </c>
      <c r="I803" t="s">
        <v>26</v>
      </c>
      <c r="J803">
        <v>84.2</v>
      </c>
      <c r="K803" s="3">
        <f t="shared" si="12"/>
        <v>85.306666666666672</v>
      </c>
      <c r="L803" t="s">
        <v>27</v>
      </c>
      <c r="M803" t="s">
        <v>27</v>
      </c>
      <c r="N803">
        <v>22</v>
      </c>
      <c r="O803" t="s">
        <v>48</v>
      </c>
      <c r="P803" t="s">
        <v>26</v>
      </c>
      <c r="Q803" t="s">
        <v>43</v>
      </c>
      <c r="R803">
        <v>636</v>
      </c>
      <c r="S803">
        <v>79.5</v>
      </c>
      <c r="T803" t="s">
        <v>33</v>
      </c>
      <c r="U803" t="s">
        <v>32</v>
      </c>
      <c r="V803" t="s">
        <v>33</v>
      </c>
      <c r="W803" t="s">
        <v>33</v>
      </c>
      <c r="X803" t="s">
        <v>96</v>
      </c>
      <c r="Y803" t="s">
        <v>58</v>
      </c>
      <c r="Z803" t="s">
        <v>44</v>
      </c>
      <c r="AA803" t="s">
        <v>183</v>
      </c>
      <c r="AB803" t="s">
        <v>46</v>
      </c>
      <c r="AC803">
        <f>IF(Cdacdata[[#This Row],[placement_status]]="Placed",1,0)</f>
        <v>1</v>
      </c>
      <c r="AD803" t="s">
        <v>213</v>
      </c>
      <c r="AE803" t="s">
        <v>38</v>
      </c>
      <c r="AF803" t="s">
        <v>57</v>
      </c>
      <c r="AG803">
        <v>2022</v>
      </c>
      <c r="AH803" t="s">
        <v>40</v>
      </c>
      <c r="AI803" t="str">
        <f>IF(Cdacdata[ccat_rank]&lt;=100,"Top 100",
IF(Cdacdata[ccat_rank]&lt;=500,"101–500",
IF(Cdacdata[ccat_rank]&lt;=1000,"501–1000",
"1000+")))</f>
        <v>1000+</v>
      </c>
    </row>
    <row r="804" spans="1:35" x14ac:dyDescent="0.3">
      <c r="A804" s="1" t="s">
        <v>212</v>
      </c>
      <c r="B804">
        <v>220604822</v>
      </c>
      <c r="C804" s="2">
        <v>44812</v>
      </c>
      <c r="D804" s="2" t="s">
        <v>1042</v>
      </c>
      <c r="E804">
        <v>2486</v>
      </c>
      <c r="F804" s="2">
        <v>36135</v>
      </c>
      <c r="G804">
        <v>89.8</v>
      </c>
      <c r="H804" t="s">
        <v>26</v>
      </c>
      <c r="I804" t="s">
        <v>26</v>
      </c>
      <c r="J804">
        <v>60.62</v>
      </c>
      <c r="K804" s="3">
        <f t="shared" si="12"/>
        <v>75.209999999999994</v>
      </c>
      <c r="L804" t="s">
        <v>27</v>
      </c>
      <c r="M804" t="s">
        <v>27</v>
      </c>
      <c r="N804">
        <v>23</v>
      </c>
      <c r="O804" t="s">
        <v>28</v>
      </c>
      <c r="P804" t="s">
        <v>26</v>
      </c>
      <c r="Q804" t="s">
        <v>30</v>
      </c>
      <c r="R804">
        <v>537</v>
      </c>
      <c r="S804">
        <v>67.125</v>
      </c>
      <c r="T804" t="s">
        <v>33</v>
      </c>
      <c r="U804" t="s">
        <v>32</v>
      </c>
      <c r="V804" t="s">
        <v>33</v>
      </c>
      <c r="W804" t="s">
        <v>49</v>
      </c>
      <c r="X804" t="s">
        <v>96</v>
      </c>
      <c r="Y804" t="s">
        <v>50</v>
      </c>
      <c r="Z804" t="s">
        <v>36</v>
      </c>
      <c r="AA804" t="s">
        <v>1268</v>
      </c>
      <c r="AB804" t="s">
        <v>36</v>
      </c>
      <c r="AC804">
        <f>IF(Cdacdata[[#This Row],[placement_status]]="Placed",1,0)</f>
        <v>0</v>
      </c>
      <c r="AD804" t="s">
        <v>213</v>
      </c>
      <c r="AE804" t="s">
        <v>38</v>
      </c>
      <c r="AF804" t="s">
        <v>39</v>
      </c>
      <c r="AG804">
        <v>2022</v>
      </c>
      <c r="AH804" t="s">
        <v>40</v>
      </c>
      <c r="AI804" t="str">
        <f>IF(Cdacdata[ccat_rank]&lt;=100,"Top 100",
IF(Cdacdata[ccat_rank]&lt;=500,"101–500",
IF(Cdacdata[ccat_rank]&lt;=1000,"501–1000",
"1000+")))</f>
        <v>1000+</v>
      </c>
    </row>
    <row r="805" spans="1:35" x14ac:dyDescent="0.3">
      <c r="A805" s="1" t="s">
        <v>212</v>
      </c>
      <c r="B805">
        <v>220701672</v>
      </c>
      <c r="C805" s="2">
        <v>44813</v>
      </c>
      <c r="D805" s="2" t="s">
        <v>1043</v>
      </c>
      <c r="E805">
        <v>1975</v>
      </c>
      <c r="F805" s="2">
        <v>36601</v>
      </c>
      <c r="G805">
        <v>76.400000000000006</v>
      </c>
      <c r="H805">
        <v>74.31</v>
      </c>
      <c r="I805" t="s">
        <v>26</v>
      </c>
      <c r="J805">
        <v>64.7</v>
      </c>
      <c r="K805" s="3">
        <f t="shared" si="12"/>
        <v>71.803333333333342</v>
      </c>
      <c r="L805" t="s">
        <v>27</v>
      </c>
      <c r="M805" t="s">
        <v>27</v>
      </c>
      <c r="N805">
        <v>22</v>
      </c>
      <c r="O805" t="s">
        <v>28</v>
      </c>
      <c r="P805" t="s">
        <v>65</v>
      </c>
      <c r="Q805" t="s">
        <v>43</v>
      </c>
      <c r="R805">
        <v>496</v>
      </c>
      <c r="S805">
        <v>62</v>
      </c>
      <c r="T805" t="s">
        <v>31</v>
      </c>
      <c r="U805" t="s">
        <v>32</v>
      </c>
      <c r="V805" t="s">
        <v>31</v>
      </c>
      <c r="W805" t="s">
        <v>33</v>
      </c>
      <c r="X805" t="s">
        <v>96</v>
      </c>
      <c r="Y805" t="s">
        <v>50</v>
      </c>
      <c r="Z805" t="s">
        <v>36</v>
      </c>
      <c r="AA805" t="s">
        <v>1268</v>
      </c>
      <c r="AB805" t="s">
        <v>36</v>
      </c>
      <c r="AC805">
        <f>IF(Cdacdata[[#This Row],[placement_status]]="Placed",1,0)</f>
        <v>0</v>
      </c>
      <c r="AD805" t="s">
        <v>213</v>
      </c>
      <c r="AE805" t="s">
        <v>47</v>
      </c>
      <c r="AF805" t="s">
        <v>57</v>
      </c>
      <c r="AG805">
        <v>2022</v>
      </c>
      <c r="AH805" t="s">
        <v>40</v>
      </c>
      <c r="AI805" t="str">
        <f>IF(Cdacdata[ccat_rank]&lt;=100,"Top 100",
IF(Cdacdata[ccat_rank]&lt;=500,"101–500",
IF(Cdacdata[ccat_rank]&lt;=1000,"501–1000",
"1000+")))</f>
        <v>1000+</v>
      </c>
    </row>
    <row r="806" spans="1:35" x14ac:dyDescent="0.3">
      <c r="A806" s="1" t="s">
        <v>212</v>
      </c>
      <c r="B806">
        <v>220600416</v>
      </c>
      <c r="C806" s="2">
        <v>44814</v>
      </c>
      <c r="D806" s="2" t="s">
        <v>1044</v>
      </c>
      <c r="E806">
        <v>2177</v>
      </c>
      <c r="F806" s="2">
        <v>33902</v>
      </c>
      <c r="G806">
        <v>77.38</v>
      </c>
      <c r="H806">
        <v>49.5</v>
      </c>
      <c r="I806">
        <v>61.92</v>
      </c>
      <c r="J806">
        <v>62.66</v>
      </c>
      <c r="K806" s="3">
        <f t="shared" si="12"/>
        <v>62.865000000000002</v>
      </c>
      <c r="L806" t="s">
        <v>27</v>
      </c>
      <c r="M806" t="s">
        <v>41</v>
      </c>
      <c r="N806">
        <v>29</v>
      </c>
      <c r="O806" t="s">
        <v>28</v>
      </c>
      <c r="P806" t="s">
        <v>52</v>
      </c>
      <c r="Q806" t="s">
        <v>43</v>
      </c>
      <c r="R806">
        <v>523</v>
      </c>
      <c r="S806">
        <v>65.375</v>
      </c>
      <c r="T806" t="s">
        <v>33</v>
      </c>
      <c r="U806" t="s">
        <v>32</v>
      </c>
      <c r="V806" t="s">
        <v>33</v>
      </c>
      <c r="W806" t="s">
        <v>33</v>
      </c>
      <c r="X806" t="s">
        <v>96</v>
      </c>
      <c r="Y806" t="s">
        <v>50</v>
      </c>
      <c r="Z806" t="s">
        <v>36</v>
      </c>
      <c r="AA806" t="s">
        <v>1268</v>
      </c>
      <c r="AB806" t="s">
        <v>36</v>
      </c>
      <c r="AC806">
        <f>IF(Cdacdata[[#This Row],[placement_status]]="Placed",1,0)</f>
        <v>0</v>
      </c>
      <c r="AD806" t="s">
        <v>213</v>
      </c>
      <c r="AE806" t="s">
        <v>38</v>
      </c>
      <c r="AF806" t="s">
        <v>69</v>
      </c>
      <c r="AG806">
        <v>2022</v>
      </c>
      <c r="AH806" t="s">
        <v>40</v>
      </c>
      <c r="AI806" t="str">
        <f>IF(Cdacdata[ccat_rank]&lt;=100,"Top 100",
IF(Cdacdata[ccat_rank]&lt;=500,"101–500",
IF(Cdacdata[ccat_rank]&lt;=1000,"501–1000",
"1000+")))</f>
        <v>1000+</v>
      </c>
    </row>
    <row r="807" spans="1:35" x14ac:dyDescent="0.3">
      <c r="A807" s="1" t="s">
        <v>212</v>
      </c>
      <c r="B807">
        <v>220602110</v>
      </c>
      <c r="C807" s="2">
        <v>44817</v>
      </c>
      <c r="D807" s="2" t="s">
        <v>1045</v>
      </c>
      <c r="E807">
        <v>2800</v>
      </c>
      <c r="F807" s="2">
        <v>35654</v>
      </c>
      <c r="G807">
        <v>72.180000000000007</v>
      </c>
      <c r="H807" t="s">
        <v>26</v>
      </c>
      <c r="I807">
        <v>60.59</v>
      </c>
      <c r="J807">
        <v>67.7</v>
      </c>
      <c r="K807" s="3">
        <f t="shared" si="12"/>
        <v>66.823333333333338</v>
      </c>
      <c r="L807" t="s">
        <v>27</v>
      </c>
      <c r="M807" t="s">
        <v>41</v>
      </c>
      <c r="N807">
        <v>25</v>
      </c>
      <c r="O807" t="s">
        <v>28</v>
      </c>
      <c r="P807" t="s">
        <v>60</v>
      </c>
      <c r="Q807" t="s">
        <v>30</v>
      </c>
      <c r="R807">
        <v>447</v>
      </c>
      <c r="S807">
        <v>55.875</v>
      </c>
      <c r="T807" t="s">
        <v>33</v>
      </c>
      <c r="U807" t="s">
        <v>32</v>
      </c>
      <c r="V807" t="s">
        <v>33</v>
      </c>
      <c r="W807" t="s">
        <v>49</v>
      </c>
      <c r="X807" t="s">
        <v>96</v>
      </c>
      <c r="Y807" t="s">
        <v>35</v>
      </c>
      <c r="Z807" t="s">
        <v>36</v>
      </c>
      <c r="AA807" t="s">
        <v>1268</v>
      </c>
      <c r="AB807" t="s">
        <v>36</v>
      </c>
      <c r="AC807">
        <f>IF(Cdacdata[[#This Row],[placement_status]]="Placed",1,0)</f>
        <v>0</v>
      </c>
      <c r="AD807" t="s">
        <v>213</v>
      </c>
      <c r="AE807" t="s">
        <v>38</v>
      </c>
      <c r="AF807" t="s">
        <v>39</v>
      </c>
      <c r="AG807">
        <v>2022</v>
      </c>
      <c r="AH807" t="s">
        <v>40</v>
      </c>
      <c r="AI807" t="str">
        <f>IF(Cdacdata[ccat_rank]&lt;=100,"Top 100",
IF(Cdacdata[ccat_rank]&lt;=500,"101–500",
IF(Cdacdata[ccat_rank]&lt;=1000,"501–1000",
"1000+")))</f>
        <v>1000+</v>
      </c>
    </row>
    <row r="808" spans="1:35" x14ac:dyDescent="0.3">
      <c r="A808" s="1" t="s">
        <v>212</v>
      </c>
      <c r="B808">
        <v>220600397</v>
      </c>
      <c r="C808" s="2">
        <v>44812</v>
      </c>
      <c r="D808" s="2" t="s">
        <v>1046</v>
      </c>
      <c r="E808">
        <v>2983</v>
      </c>
      <c r="F808" s="2">
        <v>36441</v>
      </c>
      <c r="G808">
        <v>75.2</v>
      </c>
      <c r="H808">
        <v>52.92</v>
      </c>
      <c r="I808" t="s">
        <v>26</v>
      </c>
      <c r="J808">
        <v>80.5</v>
      </c>
      <c r="K808" s="3">
        <f t="shared" si="12"/>
        <v>69.540000000000006</v>
      </c>
      <c r="L808" t="s">
        <v>27</v>
      </c>
      <c r="M808" t="s">
        <v>41</v>
      </c>
      <c r="N808">
        <v>22</v>
      </c>
      <c r="O808" t="s">
        <v>48</v>
      </c>
      <c r="P808" t="s">
        <v>60</v>
      </c>
      <c r="Q808" t="s">
        <v>30</v>
      </c>
      <c r="R808">
        <v>445</v>
      </c>
      <c r="S808">
        <v>55.625</v>
      </c>
      <c r="T808" t="s">
        <v>31</v>
      </c>
      <c r="U808" t="s">
        <v>32</v>
      </c>
      <c r="V808" t="s">
        <v>31</v>
      </c>
      <c r="W808" t="s">
        <v>31</v>
      </c>
      <c r="X808" t="s">
        <v>96</v>
      </c>
      <c r="Y808" t="s">
        <v>35</v>
      </c>
      <c r="Z808" t="s">
        <v>36</v>
      </c>
      <c r="AA808" t="s">
        <v>1268</v>
      </c>
      <c r="AB808" t="s">
        <v>36</v>
      </c>
      <c r="AC808">
        <f>IF(Cdacdata[[#This Row],[placement_status]]="Placed",1,0)</f>
        <v>0</v>
      </c>
      <c r="AD808" t="s">
        <v>213</v>
      </c>
      <c r="AE808" t="s">
        <v>38</v>
      </c>
      <c r="AF808" t="s">
        <v>57</v>
      </c>
      <c r="AG808">
        <v>2022</v>
      </c>
      <c r="AH808" t="s">
        <v>40</v>
      </c>
      <c r="AI808" t="str">
        <f>IF(Cdacdata[ccat_rank]&lt;=100,"Top 100",
IF(Cdacdata[ccat_rank]&lt;=500,"101–500",
IF(Cdacdata[ccat_rank]&lt;=1000,"501–1000",
"1000+")))</f>
        <v>1000+</v>
      </c>
    </row>
    <row r="809" spans="1:35" x14ac:dyDescent="0.3">
      <c r="A809" s="1" t="s">
        <v>212</v>
      </c>
      <c r="B809">
        <v>220700384</v>
      </c>
      <c r="C809" s="2">
        <v>44818</v>
      </c>
      <c r="D809" s="2" t="s">
        <v>1047</v>
      </c>
      <c r="E809">
        <v>839</v>
      </c>
      <c r="F809" s="2">
        <v>35155</v>
      </c>
      <c r="G809">
        <v>88.36</v>
      </c>
      <c r="H809">
        <v>66.459999999999994</v>
      </c>
      <c r="I809" t="s">
        <v>26</v>
      </c>
      <c r="J809">
        <v>59.11</v>
      </c>
      <c r="K809" s="3">
        <f t="shared" si="12"/>
        <v>71.31</v>
      </c>
      <c r="L809" t="s">
        <v>27</v>
      </c>
      <c r="M809" t="s">
        <v>27</v>
      </c>
      <c r="N809">
        <v>26</v>
      </c>
      <c r="O809" t="s">
        <v>62</v>
      </c>
      <c r="P809" t="s">
        <v>60</v>
      </c>
      <c r="Q809" t="s">
        <v>30</v>
      </c>
      <c r="R809">
        <v>511</v>
      </c>
      <c r="S809">
        <v>63.875</v>
      </c>
      <c r="T809" t="s">
        <v>31</v>
      </c>
      <c r="U809" t="s">
        <v>32</v>
      </c>
      <c r="V809" t="s">
        <v>31</v>
      </c>
      <c r="W809" t="s">
        <v>33</v>
      </c>
      <c r="X809" t="s">
        <v>96</v>
      </c>
      <c r="Y809" t="s">
        <v>50</v>
      </c>
      <c r="Z809" t="s">
        <v>36</v>
      </c>
      <c r="AA809" t="s">
        <v>1268</v>
      </c>
      <c r="AB809" t="s">
        <v>36</v>
      </c>
      <c r="AC809">
        <f>IF(Cdacdata[[#This Row],[placement_status]]="Placed",1,0)</f>
        <v>0</v>
      </c>
      <c r="AD809" t="s">
        <v>213</v>
      </c>
      <c r="AE809" t="s">
        <v>75</v>
      </c>
      <c r="AF809" t="s">
        <v>55</v>
      </c>
      <c r="AG809">
        <v>2022</v>
      </c>
      <c r="AH809" t="s">
        <v>40</v>
      </c>
      <c r="AI809" t="str">
        <f>IF(Cdacdata[ccat_rank]&lt;=100,"Top 100",
IF(Cdacdata[ccat_rank]&lt;=500,"101–500",
IF(Cdacdata[ccat_rank]&lt;=1000,"501–1000",
"1000+")))</f>
        <v>501–1000</v>
      </c>
    </row>
    <row r="810" spans="1:35" x14ac:dyDescent="0.3">
      <c r="A810" s="1" t="s">
        <v>212</v>
      </c>
      <c r="B810">
        <v>220601949</v>
      </c>
      <c r="C810" s="2">
        <v>44813</v>
      </c>
      <c r="D810" s="2" t="s">
        <v>1048</v>
      </c>
      <c r="E810">
        <v>2347</v>
      </c>
      <c r="F810" s="2">
        <v>35285</v>
      </c>
      <c r="G810">
        <v>70</v>
      </c>
      <c r="H810">
        <v>54</v>
      </c>
      <c r="I810" t="s">
        <v>26</v>
      </c>
      <c r="J810">
        <v>63.9</v>
      </c>
      <c r="K810" s="3">
        <f t="shared" si="12"/>
        <v>62.633333333333333</v>
      </c>
      <c r="L810" t="s">
        <v>27</v>
      </c>
      <c r="M810" t="s">
        <v>27</v>
      </c>
      <c r="N810">
        <v>26</v>
      </c>
      <c r="O810" t="s">
        <v>28</v>
      </c>
      <c r="P810" t="s">
        <v>60</v>
      </c>
      <c r="Q810" t="s">
        <v>30</v>
      </c>
      <c r="R810">
        <v>491</v>
      </c>
      <c r="S810">
        <v>61.375</v>
      </c>
      <c r="T810" t="s">
        <v>33</v>
      </c>
      <c r="U810" t="s">
        <v>32</v>
      </c>
      <c r="V810" t="s">
        <v>33</v>
      </c>
      <c r="W810" t="s">
        <v>33</v>
      </c>
      <c r="X810" t="s">
        <v>96</v>
      </c>
      <c r="Y810" t="s">
        <v>50</v>
      </c>
      <c r="Z810" t="s">
        <v>36</v>
      </c>
      <c r="AA810" t="s">
        <v>1268</v>
      </c>
      <c r="AB810" t="s">
        <v>36</v>
      </c>
      <c r="AC810">
        <f>IF(Cdacdata[[#This Row],[placement_status]]="Placed",1,0)</f>
        <v>0</v>
      </c>
      <c r="AD810" t="s">
        <v>213</v>
      </c>
      <c r="AE810" t="s">
        <v>38</v>
      </c>
      <c r="AF810" t="s">
        <v>55</v>
      </c>
      <c r="AG810">
        <v>2022</v>
      </c>
      <c r="AH810" t="s">
        <v>40</v>
      </c>
      <c r="AI810" t="str">
        <f>IF(Cdacdata[ccat_rank]&lt;=100,"Top 100",
IF(Cdacdata[ccat_rank]&lt;=500,"101–500",
IF(Cdacdata[ccat_rank]&lt;=1000,"501–1000",
"1000+")))</f>
        <v>1000+</v>
      </c>
    </row>
    <row r="811" spans="1:35" x14ac:dyDescent="0.3">
      <c r="A811" s="1" t="s">
        <v>212</v>
      </c>
      <c r="B811">
        <v>220606836</v>
      </c>
      <c r="C811" s="2">
        <v>44817</v>
      </c>
      <c r="D811" s="2" t="s">
        <v>1049</v>
      </c>
      <c r="E811">
        <v>1845</v>
      </c>
      <c r="F811" s="2">
        <v>36124</v>
      </c>
      <c r="G811">
        <v>85.5</v>
      </c>
      <c r="H811">
        <v>76.62</v>
      </c>
      <c r="I811" t="s">
        <v>26</v>
      </c>
      <c r="J811">
        <v>79.2</v>
      </c>
      <c r="K811" s="3">
        <f t="shared" si="12"/>
        <v>80.44</v>
      </c>
      <c r="L811" t="s">
        <v>27</v>
      </c>
      <c r="M811" t="s">
        <v>27</v>
      </c>
      <c r="N811">
        <v>23</v>
      </c>
      <c r="O811" t="s">
        <v>48</v>
      </c>
      <c r="P811" t="s">
        <v>60</v>
      </c>
      <c r="Q811" t="s">
        <v>43</v>
      </c>
      <c r="R811">
        <v>607</v>
      </c>
      <c r="S811">
        <v>75.875</v>
      </c>
      <c r="T811" t="s">
        <v>49</v>
      </c>
      <c r="U811" t="s">
        <v>32</v>
      </c>
      <c r="V811" t="s">
        <v>49</v>
      </c>
      <c r="W811" t="s">
        <v>49</v>
      </c>
      <c r="X811" t="s">
        <v>96</v>
      </c>
      <c r="Y811" t="s">
        <v>58</v>
      </c>
      <c r="Z811" t="s">
        <v>44</v>
      </c>
      <c r="AA811" t="s">
        <v>97</v>
      </c>
      <c r="AB811" t="s">
        <v>46</v>
      </c>
      <c r="AC811">
        <f>IF(Cdacdata[[#This Row],[placement_status]]="Placed",1,0)</f>
        <v>1</v>
      </c>
      <c r="AD811" t="s">
        <v>213</v>
      </c>
      <c r="AE811" t="s">
        <v>47</v>
      </c>
      <c r="AF811" t="s">
        <v>39</v>
      </c>
      <c r="AG811">
        <v>2022</v>
      </c>
      <c r="AH811" t="s">
        <v>40</v>
      </c>
      <c r="AI811" t="str">
        <f>IF(Cdacdata[ccat_rank]&lt;=100,"Top 100",
IF(Cdacdata[ccat_rank]&lt;=500,"101–500",
IF(Cdacdata[ccat_rank]&lt;=1000,"501–1000",
"1000+")))</f>
        <v>1000+</v>
      </c>
    </row>
    <row r="812" spans="1:35" x14ac:dyDescent="0.3">
      <c r="A812" s="1" t="s">
        <v>212</v>
      </c>
      <c r="B812">
        <v>220708028</v>
      </c>
      <c r="C812" s="2">
        <v>44814</v>
      </c>
      <c r="D812" s="2" t="s">
        <v>1050</v>
      </c>
      <c r="E812">
        <v>1898</v>
      </c>
      <c r="F812" s="2">
        <v>36349</v>
      </c>
      <c r="G812">
        <v>83.8</v>
      </c>
      <c r="H812">
        <v>68.3</v>
      </c>
      <c r="I812" t="s">
        <v>26</v>
      </c>
      <c r="J812">
        <v>63.1</v>
      </c>
      <c r="K812" s="3">
        <f t="shared" si="12"/>
        <v>71.733333333333334</v>
      </c>
      <c r="L812" t="s">
        <v>27</v>
      </c>
      <c r="M812" t="s">
        <v>27</v>
      </c>
      <c r="N812">
        <v>23</v>
      </c>
      <c r="O812" t="s">
        <v>28</v>
      </c>
      <c r="P812" t="s">
        <v>65</v>
      </c>
      <c r="Q812" t="s">
        <v>30</v>
      </c>
      <c r="R812">
        <v>558</v>
      </c>
      <c r="S812">
        <v>69.75</v>
      </c>
      <c r="T812" t="s">
        <v>33</v>
      </c>
      <c r="U812" t="s">
        <v>32</v>
      </c>
      <c r="V812" t="s">
        <v>33</v>
      </c>
      <c r="W812" t="s">
        <v>49</v>
      </c>
      <c r="X812" t="s">
        <v>96</v>
      </c>
      <c r="Y812" t="s">
        <v>50</v>
      </c>
      <c r="Z812" t="s">
        <v>44</v>
      </c>
      <c r="AA812" t="s">
        <v>232</v>
      </c>
      <c r="AB812" t="s">
        <v>46</v>
      </c>
      <c r="AC812">
        <f>IF(Cdacdata[[#This Row],[placement_status]]="Placed",1,0)</f>
        <v>1</v>
      </c>
      <c r="AD812" t="s">
        <v>213</v>
      </c>
      <c r="AE812" t="s">
        <v>47</v>
      </c>
      <c r="AF812" t="s">
        <v>39</v>
      </c>
      <c r="AG812">
        <v>2022</v>
      </c>
      <c r="AH812" t="s">
        <v>40</v>
      </c>
      <c r="AI812" t="str">
        <f>IF(Cdacdata[ccat_rank]&lt;=100,"Top 100",
IF(Cdacdata[ccat_rank]&lt;=500,"101–500",
IF(Cdacdata[ccat_rank]&lt;=1000,"501–1000",
"1000+")))</f>
        <v>1000+</v>
      </c>
    </row>
    <row r="813" spans="1:35" x14ac:dyDescent="0.3">
      <c r="A813" s="1" t="s">
        <v>212</v>
      </c>
      <c r="B813">
        <v>220606772</v>
      </c>
      <c r="C813" s="2">
        <v>44815</v>
      </c>
      <c r="D813" s="2" t="s">
        <v>1051</v>
      </c>
      <c r="E813">
        <v>2135</v>
      </c>
      <c r="F813" s="2">
        <v>35050</v>
      </c>
      <c r="G813">
        <v>81.64</v>
      </c>
      <c r="H813">
        <v>68</v>
      </c>
      <c r="I813" t="s">
        <v>26</v>
      </c>
      <c r="J813">
        <v>59.28</v>
      </c>
      <c r="K813" s="3">
        <f t="shared" si="12"/>
        <v>69.64</v>
      </c>
      <c r="L813" t="s">
        <v>27</v>
      </c>
      <c r="M813" t="s">
        <v>27</v>
      </c>
      <c r="N813">
        <v>26</v>
      </c>
      <c r="O813" t="s">
        <v>62</v>
      </c>
      <c r="P813" t="s">
        <v>42</v>
      </c>
      <c r="Q813" t="s">
        <v>30</v>
      </c>
      <c r="R813">
        <v>576</v>
      </c>
      <c r="S813">
        <v>72</v>
      </c>
      <c r="T813" t="s">
        <v>49</v>
      </c>
      <c r="U813" t="s">
        <v>32</v>
      </c>
      <c r="V813" t="s">
        <v>49</v>
      </c>
      <c r="W813" t="s">
        <v>49</v>
      </c>
      <c r="X813" t="s">
        <v>96</v>
      </c>
      <c r="Y813" t="s">
        <v>58</v>
      </c>
      <c r="Z813" t="s">
        <v>44</v>
      </c>
      <c r="AA813" t="s">
        <v>183</v>
      </c>
      <c r="AB813" t="s">
        <v>46</v>
      </c>
      <c r="AC813">
        <f>IF(Cdacdata[[#This Row],[placement_status]]="Placed",1,0)</f>
        <v>1</v>
      </c>
      <c r="AD813" t="s">
        <v>213</v>
      </c>
      <c r="AE813" t="s">
        <v>38</v>
      </c>
      <c r="AF813" t="s">
        <v>55</v>
      </c>
      <c r="AG813">
        <v>2022</v>
      </c>
      <c r="AH813" t="s">
        <v>40</v>
      </c>
      <c r="AI813" t="str">
        <f>IF(Cdacdata[ccat_rank]&lt;=100,"Top 100",
IF(Cdacdata[ccat_rank]&lt;=500,"101–500",
IF(Cdacdata[ccat_rank]&lt;=1000,"501–1000",
"1000+")))</f>
        <v>1000+</v>
      </c>
    </row>
    <row r="814" spans="1:35" x14ac:dyDescent="0.3">
      <c r="A814" s="1" t="s">
        <v>212</v>
      </c>
      <c r="B814">
        <v>220600733</v>
      </c>
      <c r="C814" s="2">
        <v>44814</v>
      </c>
      <c r="D814" s="2" t="s">
        <v>1052</v>
      </c>
      <c r="E814">
        <v>438</v>
      </c>
      <c r="F814" s="2">
        <v>35047</v>
      </c>
      <c r="G814">
        <v>87.27</v>
      </c>
      <c r="H814" t="s">
        <v>26</v>
      </c>
      <c r="I814">
        <v>63.6</v>
      </c>
      <c r="J814">
        <v>56.23</v>
      </c>
      <c r="K814" s="3">
        <f t="shared" si="12"/>
        <v>69.033333333333331</v>
      </c>
      <c r="L814" t="s">
        <v>41</v>
      </c>
      <c r="M814" t="s">
        <v>41</v>
      </c>
      <c r="N814">
        <v>26</v>
      </c>
      <c r="O814" t="s">
        <v>72</v>
      </c>
      <c r="P814" t="s">
        <v>65</v>
      </c>
      <c r="Q814" t="s">
        <v>30</v>
      </c>
      <c r="R814">
        <v>552</v>
      </c>
      <c r="S814">
        <v>69</v>
      </c>
      <c r="T814" t="s">
        <v>33</v>
      </c>
      <c r="U814" t="s">
        <v>32</v>
      </c>
      <c r="V814" t="s">
        <v>33</v>
      </c>
      <c r="W814" t="s">
        <v>33</v>
      </c>
      <c r="X814" t="s">
        <v>96</v>
      </c>
      <c r="Y814" t="s">
        <v>50</v>
      </c>
      <c r="Z814" t="s">
        <v>36</v>
      </c>
      <c r="AA814" t="s">
        <v>1268</v>
      </c>
      <c r="AB814" t="s">
        <v>36</v>
      </c>
      <c r="AC814">
        <f>IF(Cdacdata[[#This Row],[placement_status]]="Placed",1,0)</f>
        <v>0</v>
      </c>
      <c r="AD814" t="s">
        <v>213</v>
      </c>
      <c r="AE814" t="s">
        <v>75</v>
      </c>
      <c r="AF814" t="s">
        <v>55</v>
      </c>
      <c r="AG814">
        <v>2022</v>
      </c>
      <c r="AH814" t="s">
        <v>40</v>
      </c>
      <c r="AI814" t="str">
        <f>IF(Cdacdata[ccat_rank]&lt;=100,"Top 100",
IF(Cdacdata[ccat_rank]&lt;=500,"101–500",
IF(Cdacdata[ccat_rank]&lt;=1000,"501–1000",
"1000+")))</f>
        <v>101–500</v>
      </c>
    </row>
    <row r="815" spans="1:35" x14ac:dyDescent="0.3">
      <c r="A815" s="1" t="s">
        <v>212</v>
      </c>
      <c r="B815">
        <v>220706160</v>
      </c>
      <c r="C815" s="2">
        <v>44813</v>
      </c>
      <c r="D815" s="2" t="s">
        <v>1053</v>
      </c>
      <c r="E815">
        <v>2604</v>
      </c>
      <c r="F815" s="2">
        <v>36353</v>
      </c>
      <c r="G815">
        <v>85.6</v>
      </c>
      <c r="H815">
        <v>75.23</v>
      </c>
      <c r="I815" t="s">
        <v>26</v>
      </c>
      <c r="J815">
        <v>73.3</v>
      </c>
      <c r="K815" s="3">
        <f t="shared" si="12"/>
        <v>78.043333333333337</v>
      </c>
      <c r="L815" t="s">
        <v>27</v>
      </c>
      <c r="M815" t="s">
        <v>41</v>
      </c>
      <c r="N815">
        <v>23</v>
      </c>
      <c r="O815" t="s">
        <v>28</v>
      </c>
      <c r="P815" t="s">
        <v>60</v>
      </c>
      <c r="Q815" t="s">
        <v>30</v>
      </c>
      <c r="R815">
        <v>512</v>
      </c>
      <c r="S815">
        <v>64</v>
      </c>
      <c r="T815" t="s">
        <v>49</v>
      </c>
      <c r="U815" t="s">
        <v>32</v>
      </c>
      <c r="V815" t="s">
        <v>49</v>
      </c>
      <c r="W815" t="s">
        <v>33</v>
      </c>
      <c r="X815" t="s">
        <v>96</v>
      </c>
      <c r="Y815" t="s">
        <v>50</v>
      </c>
      <c r="Z815" t="s">
        <v>44</v>
      </c>
      <c r="AA815" t="s">
        <v>183</v>
      </c>
      <c r="AB815" t="s">
        <v>46</v>
      </c>
      <c r="AC815">
        <f>IF(Cdacdata[[#This Row],[placement_status]]="Placed",1,0)</f>
        <v>1</v>
      </c>
      <c r="AD815" t="s">
        <v>213</v>
      </c>
      <c r="AE815" t="s">
        <v>38</v>
      </c>
      <c r="AF815" t="s">
        <v>39</v>
      </c>
      <c r="AG815">
        <v>2022</v>
      </c>
      <c r="AH815" t="s">
        <v>40</v>
      </c>
      <c r="AI815" t="str">
        <f>IF(Cdacdata[ccat_rank]&lt;=100,"Top 100",
IF(Cdacdata[ccat_rank]&lt;=500,"101–500",
IF(Cdacdata[ccat_rank]&lt;=1000,"501–1000",
"1000+")))</f>
        <v>1000+</v>
      </c>
    </row>
    <row r="816" spans="1:35" x14ac:dyDescent="0.3">
      <c r="A816" s="1" t="s">
        <v>212</v>
      </c>
      <c r="B816">
        <v>220608402</v>
      </c>
      <c r="C816" s="2">
        <v>44814</v>
      </c>
      <c r="D816" s="2" t="s">
        <v>1054</v>
      </c>
      <c r="E816">
        <v>2593</v>
      </c>
      <c r="F816" s="2">
        <v>36024</v>
      </c>
      <c r="G816">
        <v>83.8</v>
      </c>
      <c r="H816" t="s">
        <v>26</v>
      </c>
      <c r="I816">
        <v>83.58</v>
      </c>
      <c r="J816">
        <v>84.6</v>
      </c>
      <c r="K816" s="3">
        <f t="shared" si="12"/>
        <v>83.993333333333325</v>
      </c>
      <c r="L816" t="s">
        <v>41</v>
      </c>
      <c r="M816" t="s">
        <v>27</v>
      </c>
      <c r="N816">
        <v>24</v>
      </c>
      <c r="O816" t="s">
        <v>48</v>
      </c>
      <c r="P816" t="s">
        <v>52</v>
      </c>
      <c r="Q816" t="s">
        <v>30</v>
      </c>
      <c r="R816">
        <v>589</v>
      </c>
      <c r="S816">
        <v>73.625</v>
      </c>
      <c r="T816" t="s">
        <v>49</v>
      </c>
      <c r="U816" t="s">
        <v>32</v>
      </c>
      <c r="V816" t="s">
        <v>49</v>
      </c>
      <c r="W816" t="s">
        <v>49</v>
      </c>
      <c r="X816" t="s">
        <v>96</v>
      </c>
      <c r="Y816" t="s">
        <v>58</v>
      </c>
      <c r="Z816" t="s">
        <v>44</v>
      </c>
      <c r="AA816" t="s">
        <v>233</v>
      </c>
      <c r="AB816" t="s">
        <v>46</v>
      </c>
      <c r="AC816">
        <f>IF(Cdacdata[[#This Row],[placement_status]]="Placed",1,0)</f>
        <v>1</v>
      </c>
      <c r="AD816" t="s">
        <v>213</v>
      </c>
      <c r="AE816" t="s">
        <v>38</v>
      </c>
      <c r="AF816" t="s">
        <v>39</v>
      </c>
      <c r="AG816">
        <v>2022</v>
      </c>
      <c r="AH816" t="s">
        <v>40</v>
      </c>
      <c r="AI816" t="str">
        <f>IF(Cdacdata[ccat_rank]&lt;=100,"Top 100",
IF(Cdacdata[ccat_rank]&lt;=500,"101–500",
IF(Cdacdata[ccat_rank]&lt;=1000,"501–1000",
"1000+")))</f>
        <v>1000+</v>
      </c>
    </row>
    <row r="817" spans="1:35" x14ac:dyDescent="0.3">
      <c r="A817" s="1" t="s">
        <v>212</v>
      </c>
      <c r="B817">
        <v>220607499</v>
      </c>
      <c r="C817" s="2">
        <v>44816</v>
      </c>
      <c r="D817" s="2" t="s">
        <v>1055</v>
      </c>
      <c r="E817">
        <v>2920</v>
      </c>
      <c r="F817" s="2">
        <v>36386</v>
      </c>
      <c r="G817">
        <v>80.8</v>
      </c>
      <c r="H817" t="s">
        <v>26</v>
      </c>
      <c r="I817">
        <v>67.44</v>
      </c>
      <c r="J817">
        <v>69.64</v>
      </c>
      <c r="K817" s="3">
        <f t="shared" si="12"/>
        <v>72.626666666666665</v>
      </c>
      <c r="L817" t="s">
        <v>27</v>
      </c>
      <c r="M817" t="s">
        <v>27</v>
      </c>
      <c r="N817">
        <v>23</v>
      </c>
      <c r="O817" t="s">
        <v>28</v>
      </c>
      <c r="P817" t="s">
        <v>26</v>
      </c>
      <c r="Q817" t="s">
        <v>30</v>
      </c>
      <c r="R817">
        <v>579</v>
      </c>
      <c r="S817">
        <v>72.375</v>
      </c>
      <c r="T817" t="s">
        <v>49</v>
      </c>
      <c r="U817" t="s">
        <v>32</v>
      </c>
      <c r="V817" t="s">
        <v>49</v>
      </c>
      <c r="W817" t="s">
        <v>49</v>
      </c>
      <c r="X817" t="s">
        <v>96</v>
      </c>
      <c r="Y817" t="s">
        <v>58</v>
      </c>
      <c r="Z817" t="s">
        <v>44</v>
      </c>
      <c r="AA817" t="s">
        <v>234</v>
      </c>
      <c r="AB817" t="s">
        <v>46</v>
      </c>
      <c r="AC817">
        <f>IF(Cdacdata[[#This Row],[placement_status]]="Placed",1,0)</f>
        <v>1</v>
      </c>
      <c r="AD817" t="s">
        <v>213</v>
      </c>
      <c r="AE817" t="s">
        <v>38</v>
      </c>
      <c r="AF817" t="s">
        <v>39</v>
      </c>
      <c r="AG817">
        <v>2022</v>
      </c>
      <c r="AH817" t="s">
        <v>40</v>
      </c>
      <c r="AI817" t="str">
        <f>IF(Cdacdata[ccat_rank]&lt;=100,"Top 100",
IF(Cdacdata[ccat_rank]&lt;=500,"101–500",
IF(Cdacdata[ccat_rank]&lt;=1000,"501–1000",
"1000+")))</f>
        <v>1000+</v>
      </c>
    </row>
    <row r="818" spans="1:35" x14ac:dyDescent="0.3">
      <c r="A818" s="1" t="s">
        <v>212</v>
      </c>
      <c r="B818">
        <v>220601584</v>
      </c>
      <c r="C818" s="2">
        <v>44812</v>
      </c>
      <c r="D818" s="2" t="s">
        <v>1056</v>
      </c>
      <c r="E818">
        <v>2343</v>
      </c>
      <c r="F818" s="2">
        <v>35385</v>
      </c>
      <c r="G818">
        <v>66.5</v>
      </c>
      <c r="H818">
        <v>57.6</v>
      </c>
      <c r="I818" t="s">
        <v>26</v>
      </c>
      <c r="J818">
        <v>62.56</v>
      </c>
      <c r="K818" s="3">
        <f t="shared" si="12"/>
        <v>62.22</v>
      </c>
      <c r="L818" t="s">
        <v>41</v>
      </c>
      <c r="M818" t="s">
        <v>27</v>
      </c>
      <c r="N818">
        <v>25</v>
      </c>
      <c r="O818" t="s">
        <v>28</v>
      </c>
      <c r="P818" t="s">
        <v>42</v>
      </c>
      <c r="Q818" t="s">
        <v>43</v>
      </c>
      <c r="R818">
        <v>536</v>
      </c>
      <c r="S818">
        <v>67</v>
      </c>
      <c r="T818" t="s">
        <v>33</v>
      </c>
      <c r="U818" t="s">
        <v>32</v>
      </c>
      <c r="V818" t="s">
        <v>33</v>
      </c>
      <c r="W818" t="s">
        <v>33</v>
      </c>
      <c r="X818" t="s">
        <v>96</v>
      </c>
      <c r="Y818" t="s">
        <v>50</v>
      </c>
      <c r="Z818" t="s">
        <v>36</v>
      </c>
      <c r="AA818" t="s">
        <v>1268</v>
      </c>
      <c r="AB818" t="s">
        <v>36</v>
      </c>
      <c r="AC818">
        <f>IF(Cdacdata[[#This Row],[placement_status]]="Placed",1,0)</f>
        <v>0</v>
      </c>
      <c r="AD818" t="s">
        <v>213</v>
      </c>
      <c r="AE818" t="s">
        <v>38</v>
      </c>
      <c r="AF818" t="s">
        <v>39</v>
      </c>
      <c r="AG818">
        <v>2022</v>
      </c>
      <c r="AH818" t="s">
        <v>40</v>
      </c>
      <c r="AI818" t="str">
        <f>IF(Cdacdata[ccat_rank]&lt;=100,"Top 100",
IF(Cdacdata[ccat_rank]&lt;=500,"101–500",
IF(Cdacdata[ccat_rank]&lt;=1000,"501–1000",
"1000+")))</f>
        <v>1000+</v>
      </c>
    </row>
    <row r="819" spans="1:35" x14ac:dyDescent="0.3">
      <c r="A819" s="1" t="s">
        <v>212</v>
      </c>
      <c r="B819">
        <v>220708967</v>
      </c>
      <c r="C819" s="2">
        <v>44815</v>
      </c>
      <c r="D819" s="2" t="s">
        <v>1057</v>
      </c>
      <c r="E819">
        <v>2382</v>
      </c>
      <c r="F819" s="2">
        <v>35946</v>
      </c>
      <c r="G819">
        <v>79.8</v>
      </c>
      <c r="H819">
        <v>90.8</v>
      </c>
      <c r="I819" t="s">
        <v>26</v>
      </c>
      <c r="J819">
        <v>79.7</v>
      </c>
      <c r="K819" s="3">
        <f t="shared" si="12"/>
        <v>83.433333333333337</v>
      </c>
      <c r="L819" t="s">
        <v>27</v>
      </c>
      <c r="M819" t="s">
        <v>41</v>
      </c>
      <c r="N819">
        <v>24</v>
      </c>
      <c r="O819" t="s">
        <v>48</v>
      </c>
      <c r="P819" t="s">
        <v>60</v>
      </c>
      <c r="Q819" t="s">
        <v>43</v>
      </c>
      <c r="R819">
        <v>513</v>
      </c>
      <c r="S819">
        <v>64.125</v>
      </c>
      <c r="T819" t="s">
        <v>49</v>
      </c>
      <c r="U819" t="s">
        <v>32</v>
      </c>
      <c r="V819" t="s">
        <v>49</v>
      </c>
      <c r="W819" t="s">
        <v>33</v>
      </c>
      <c r="X819" t="s">
        <v>96</v>
      </c>
      <c r="Y819" t="s">
        <v>50</v>
      </c>
      <c r="Z819" t="s">
        <v>36</v>
      </c>
      <c r="AA819" t="s">
        <v>1268</v>
      </c>
      <c r="AB819" t="s">
        <v>36</v>
      </c>
      <c r="AC819">
        <f>IF(Cdacdata[[#This Row],[placement_status]]="Placed",1,0)</f>
        <v>0</v>
      </c>
      <c r="AD819" t="s">
        <v>213</v>
      </c>
      <c r="AE819" t="s">
        <v>38</v>
      </c>
      <c r="AF819" t="s">
        <v>39</v>
      </c>
      <c r="AG819">
        <v>2022</v>
      </c>
      <c r="AH819" t="s">
        <v>40</v>
      </c>
      <c r="AI819" t="str">
        <f>IF(Cdacdata[ccat_rank]&lt;=100,"Top 100",
IF(Cdacdata[ccat_rank]&lt;=500,"101–500",
IF(Cdacdata[ccat_rank]&lt;=1000,"501–1000",
"1000+")))</f>
        <v>1000+</v>
      </c>
    </row>
    <row r="820" spans="1:35" x14ac:dyDescent="0.3">
      <c r="A820" s="1" t="s">
        <v>212</v>
      </c>
      <c r="B820">
        <v>220601484</v>
      </c>
      <c r="C820" s="2">
        <v>44815</v>
      </c>
      <c r="D820" s="2" t="s">
        <v>1058</v>
      </c>
      <c r="E820">
        <v>2287</v>
      </c>
      <c r="F820" s="2">
        <v>35543</v>
      </c>
      <c r="G820">
        <v>70.36</v>
      </c>
      <c r="H820">
        <v>51.08</v>
      </c>
      <c r="I820" t="s">
        <v>26</v>
      </c>
      <c r="J820">
        <v>43.44</v>
      </c>
      <c r="K820" s="3">
        <f t="shared" si="12"/>
        <v>54.96</v>
      </c>
      <c r="L820" t="s">
        <v>41</v>
      </c>
      <c r="M820" t="s">
        <v>27</v>
      </c>
      <c r="N820">
        <v>25</v>
      </c>
      <c r="O820" t="s">
        <v>235</v>
      </c>
      <c r="P820" t="s">
        <v>26</v>
      </c>
      <c r="Q820" t="s">
        <v>67</v>
      </c>
      <c r="R820">
        <v>629</v>
      </c>
      <c r="S820">
        <v>78.625</v>
      </c>
      <c r="T820" t="s">
        <v>49</v>
      </c>
      <c r="U820" t="s">
        <v>32</v>
      </c>
      <c r="V820" t="s">
        <v>49</v>
      </c>
      <c r="W820" t="s">
        <v>49</v>
      </c>
      <c r="X820" t="s">
        <v>96</v>
      </c>
      <c r="Y820" t="s">
        <v>58</v>
      </c>
      <c r="Z820" t="s">
        <v>44</v>
      </c>
      <c r="AA820" t="s">
        <v>234</v>
      </c>
      <c r="AB820" t="s">
        <v>46</v>
      </c>
      <c r="AC820">
        <f>IF(Cdacdata[[#This Row],[placement_status]]="Placed",1,0)</f>
        <v>1</v>
      </c>
      <c r="AD820" t="s">
        <v>213</v>
      </c>
      <c r="AE820" t="s">
        <v>38</v>
      </c>
      <c r="AF820" t="s">
        <v>39</v>
      </c>
      <c r="AG820">
        <v>2022</v>
      </c>
      <c r="AH820" t="s">
        <v>40</v>
      </c>
      <c r="AI820" t="str">
        <f>IF(Cdacdata[ccat_rank]&lt;=100,"Top 100",
IF(Cdacdata[ccat_rank]&lt;=500,"101–500",
IF(Cdacdata[ccat_rank]&lt;=1000,"501–1000",
"1000+")))</f>
        <v>1000+</v>
      </c>
    </row>
    <row r="821" spans="1:35" x14ac:dyDescent="0.3">
      <c r="A821" s="1" t="s">
        <v>212</v>
      </c>
      <c r="B821">
        <v>220604748</v>
      </c>
      <c r="C821" s="2">
        <v>44813</v>
      </c>
      <c r="D821" s="2" t="s">
        <v>1059</v>
      </c>
      <c r="E821">
        <v>1657</v>
      </c>
      <c r="F821" s="2">
        <v>35400</v>
      </c>
      <c r="G821">
        <v>93.27</v>
      </c>
      <c r="H821">
        <v>81.08</v>
      </c>
      <c r="I821" t="s">
        <v>26</v>
      </c>
      <c r="J821">
        <v>5.89</v>
      </c>
      <c r="K821" s="3">
        <f t="shared" si="12"/>
        <v>60.079999999999991</v>
      </c>
      <c r="L821" t="s">
        <v>27</v>
      </c>
      <c r="M821" t="s">
        <v>41</v>
      </c>
      <c r="N821">
        <v>25</v>
      </c>
      <c r="O821" t="s">
        <v>62</v>
      </c>
      <c r="P821" t="s">
        <v>52</v>
      </c>
      <c r="Q821" t="s">
        <v>30</v>
      </c>
      <c r="R821">
        <v>619</v>
      </c>
      <c r="S821">
        <v>77.375</v>
      </c>
      <c r="T821" t="s">
        <v>49</v>
      </c>
      <c r="U821" t="s">
        <v>32</v>
      </c>
      <c r="V821" t="s">
        <v>49</v>
      </c>
      <c r="W821" t="s">
        <v>49</v>
      </c>
      <c r="X821" t="s">
        <v>96</v>
      </c>
      <c r="Y821" t="s">
        <v>58</v>
      </c>
      <c r="Z821" t="s">
        <v>44</v>
      </c>
      <c r="AA821" t="s">
        <v>97</v>
      </c>
      <c r="AB821" t="s">
        <v>46</v>
      </c>
      <c r="AC821">
        <f>IF(Cdacdata[[#This Row],[placement_status]]="Placed",1,0)</f>
        <v>1</v>
      </c>
      <c r="AD821" t="s">
        <v>213</v>
      </c>
      <c r="AE821" t="s">
        <v>47</v>
      </c>
      <c r="AF821" t="s">
        <v>39</v>
      </c>
      <c r="AG821">
        <v>2022</v>
      </c>
      <c r="AH821" t="s">
        <v>40</v>
      </c>
      <c r="AI821" t="str">
        <f>IF(Cdacdata[ccat_rank]&lt;=100,"Top 100",
IF(Cdacdata[ccat_rank]&lt;=500,"101–500",
IF(Cdacdata[ccat_rank]&lt;=1000,"501–1000",
"1000+")))</f>
        <v>1000+</v>
      </c>
    </row>
    <row r="822" spans="1:35" x14ac:dyDescent="0.3">
      <c r="A822" s="1" t="s">
        <v>212</v>
      </c>
      <c r="B822">
        <v>220602112</v>
      </c>
      <c r="C822" s="2">
        <v>44813</v>
      </c>
      <c r="D822" s="2" t="s">
        <v>1060</v>
      </c>
      <c r="E822">
        <v>2819</v>
      </c>
      <c r="F822" s="2">
        <v>35026</v>
      </c>
      <c r="G822">
        <v>87</v>
      </c>
      <c r="H822">
        <v>83.6</v>
      </c>
      <c r="I822" t="s">
        <v>26</v>
      </c>
      <c r="J822">
        <v>72.599999999999994</v>
      </c>
      <c r="K822" s="3">
        <f t="shared" si="12"/>
        <v>81.066666666666663</v>
      </c>
      <c r="L822" t="s">
        <v>27</v>
      </c>
      <c r="M822" t="s">
        <v>27</v>
      </c>
      <c r="N822">
        <v>26</v>
      </c>
      <c r="O822" t="s">
        <v>28</v>
      </c>
      <c r="P822" t="s">
        <v>52</v>
      </c>
      <c r="Q822" t="s">
        <v>30</v>
      </c>
      <c r="R822">
        <v>565</v>
      </c>
      <c r="S822">
        <v>70.625</v>
      </c>
      <c r="T822" t="s">
        <v>49</v>
      </c>
      <c r="U822" t="s">
        <v>32</v>
      </c>
      <c r="V822" t="s">
        <v>49</v>
      </c>
      <c r="W822" t="s">
        <v>49</v>
      </c>
      <c r="X822" t="s">
        <v>96</v>
      </c>
      <c r="Y822" t="s">
        <v>58</v>
      </c>
      <c r="Z822" t="s">
        <v>44</v>
      </c>
      <c r="AA822" t="s">
        <v>97</v>
      </c>
      <c r="AB822" t="s">
        <v>46</v>
      </c>
      <c r="AC822">
        <f>IF(Cdacdata[[#This Row],[placement_status]]="Placed",1,0)</f>
        <v>1</v>
      </c>
      <c r="AD822" t="s">
        <v>213</v>
      </c>
      <c r="AE822" t="s">
        <v>38</v>
      </c>
      <c r="AF822" t="s">
        <v>55</v>
      </c>
      <c r="AG822">
        <v>2022</v>
      </c>
      <c r="AH822" t="s">
        <v>40</v>
      </c>
      <c r="AI822" t="str">
        <f>IF(Cdacdata[ccat_rank]&lt;=100,"Top 100",
IF(Cdacdata[ccat_rank]&lt;=500,"101–500",
IF(Cdacdata[ccat_rank]&lt;=1000,"501–1000",
"1000+")))</f>
        <v>1000+</v>
      </c>
    </row>
    <row r="823" spans="1:35" x14ac:dyDescent="0.3">
      <c r="A823" s="1" t="s">
        <v>212</v>
      </c>
      <c r="B823">
        <v>220600277</v>
      </c>
      <c r="C823" s="2">
        <v>44814</v>
      </c>
      <c r="D823" s="2" t="s">
        <v>1061</v>
      </c>
      <c r="E823">
        <v>2786</v>
      </c>
      <c r="F823" s="2">
        <v>36757</v>
      </c>
      <c r="G823">
        <v>72</v>
      </c>
      <c r="H823" t="s">
        <v>26</v>
      </c>
      <c r="I823">
        <v>76</v>
      </c>
      <c r="J823">
        <v>69</v>
      </c>
      <c r="K823" s="3">
        <f t="shared" si="12"/>
        <v>72.333333333333329</v>
      </c>
      <c r="L823" t="s">
        <v>27</v>
      </c>
      <c r="M823" t="s">
        <v>27</v>
      </c>
      <c r="N823">
        <v>22</v>
      </c>
      <c r="O823" t="s">
        <v>28</v>
      </c>
      <c r="P823" t="s">
        <v>60</v>
      </c>
      <c r="Q823" t="s">
        <v>30</v>
      </c>
      <c r="R823">
        <v>569</v>
      </c>
      <c r="S823">
        <v>71.125</v>
      </c>
      <c r="T823" t="s">
        <v>33</v>
      </c>
      <c r="U823" t="s">
        <v>32</v>
      </c>
      <c r="V823" t="s">
        <v>33</v>
      </c>
      <c r="W823" t="s">
        <v>49</v>
      </c>
      <c r="X823" t="s">
        <v>96</v>
      </c>
      <c r="Y823" t="s">
        <v>58</v>
      </c>
      <c r="Z823" t="s">
        <v>44</v>
      </c>
      <c r="AA823" t="s">
        <v>223</v>
      </c>
      <c r="AB823" t="s">
        <v>46</v>
      </c>
      <c r="AC823">
        <f>IF(Cdacdata[[#This Row],[placement_status]]="Placed",1,0)</f>
        <v>1</v>
      </c>
      <c r="AD823" t="s">
        <v>213</v>
      </c>
      <c r="AE823" t="s">
        <v>38</v>
      </c>
      <c r="AF823" t="s">
        <v>57</v>
      </c>
      <c r="AG823">
        <v>2022</v>
      </c>
      <c r="AH823" t="s">
        <v>40</v>
      </c>
      <c r="AI823" t="str">
        <f>IF(Cdacdata[ccat_rank]&lt;=100,"Top 100",
IF(Cdacdata[ccat_rank]&lt;=500,"101–500",
IF(Cdacdata[ccat_rank]&lt;=1000,"501–1000",
"1000+")))</f>
        <v>1000+</v>
      </c>
    </row>
    <row r="824" spans="1:35" x14ac:dyDescent="0.3">
      <c r="A824" s="1" t="s">
        <v>212</v>
      </c>
      <c r="B824">
        <v>220700019</v>
      </c>
      <c r="C824" s="2">
        <v>44818</v>
      </c>
      <c r="D824" s="2" t="s">
        <v>1062</v>
      </c>
      <c r="E824">
        <v>2156</v>
      </c>
      <c r="F824" s="2">
        <v>33801</v>
      </c>
      <c r="G824">
        <v>77.16</v>
      </c>
      <c r="H824">
        <v>80.599999999999994</v>
      </c>
      <c r="I824" t="s">
        <v>26</v>
      </c>
      <c r="J824">
        <v>77.38</v>
      </c>
      <c r="K824" s="3">
        <f t="shared" si="12"/>
        <v>78.38</v>
      </c>
      <c r="L824" t="s">
        <v>27</v>
      </c>
      <c r="M824" t="s">
        <v>27</v>
      </c>
      <c r="N824">
        <v>30</v>
      </c>
      <c r="O824" t="s">
        <v>48</v>
      </c>
      <c r="P824" t="s">
        <v>60</v>
      </c>
      <c r="Q824" t="s">
        <v>43</v>
      </c>
      <c r="R824">
        <v>572</v>
      </c>
      <c r="S824">
        <v>71.5</v>
      </c>
      <c r="T824" t="s">
        <v>49</v>
      </c>
      <c r="U824" t="s">
        <v>32</v>
      </c>
      <c r="V824" t="s">
        <v>49</v>
      </c>
      <c r="W824" t="s">
        <v>49</v>
      </c>
      <c r="X824" t="s">
        <v>96</v>
      </c>
      <c r="Y824" t="s">
        <v>58</v>
      </c>
      <c r="Z824" t="s">
        <v>36</v>
      </c>
      <c r="AA824" t="s">
        <v>1268</v>
      </c>
      <c r="AB824" t="s">
        <v>36</v>
      </c>
      <c r="AC824">
        <f>IF(Cdacdata[[#This Row],[placement_status]]="Placed",1,0)</f>
        <v>0</v>
      </c>
      <c r="AD824" t="s">
        <v>213</v>
      </c>
      <c r="AE824" t="s">
        <v>38</v>
      </c>
      <c r="AF824" t="s">
        <v>69</v>
      </c>
      <c r="AG824">
        <v>2022</v>
      </c>
      <c r="AH824" t="s">
        <v>40</v>
      </c>
      <c r="AI824" t="str">
        <f>IF(Cdacdata[ccat_rank]&lt;=100,"Top 100",
IF(Cdacdata[ccat_rank]&lt;=500,"101–500",
IF(Cdacdata[ccat_rank]&lt;=1000,"501–1000",
"1000+")))</f>
        <v>1000+</v>
      </c>
    </row>
    <row r="825" spans="1:35" x14ac:dyDescent="0.3">
      <c r="A825" s="1" t="s">
        <v>212</v>
      </c>
      <c r="B825">
        <v>220701080</v>
      </c>
      <c r="C825" s="2">
        <v>44816</v>
      </c>
      <c r="D825" s="2" t="s">
        <v>1063</v>
      </c>
      <c r="E825">
        <v>2491</v>
      </c>
      <c r="F825" s="2">
        <v>35533</v>
      </c>
      <c r="G825">
        <v>79.819999999999993</v>
      </c>
      <c r="H825">
        <v>59.38</v>
      </c>
      <c r="I825" t="s">
        <v>26</v>
      </c>
      <c r="J825">
        <v>61.06</v>
      </c>
      <c r="K825" s="3">
        <f t="shared" si="12"/>
        <v>66.75333333333333</v>
      </c>
      <c r="L825" t="s">
        <v>27</v>
      </c>
      <c r="M825" t="s">
        <v>27</v>
      </c>
      <c r="N825">
        <v>25</v>
      </c>
      <c r="O825" t="s">
        <v>28</v>
      </c>
      <c r="P825" t="s">
        <v>65</v>
      </c>
      <c r="Q825" t="s">
        <v>30</v>
      </c>
      <c r="R825">
        <v>591</v>
      </c>
      <c r="S825">
        <v>73.875</v>
      </c>
      <c r="T825" t="s">
        <v>49</v>
      </c>
      <c r="U825" t="s">
        <v>32</v>
      </c>
      <c r="V825" t="s">
        <v>49</v>
      </c>
      <c r="W825" t="s">
        <v>49</v>
      </c>
      <c r="X825" t="s">
        <v>96</v>
      </c>
      <c r="Y825" t="s">
        <v>58</v>
      </c>
      <c r="Z825" t="s">
        <v>44</v>
      </c>
      <c r="AA825" t="s">
        <v>198</v>
      </c>
      <c r="AB825" t="s">
        <v>46</v>
      </c>
      <c r="AC825">
        <f>IF(Cdacdata[[#This Row],[placement_status]]="Placed",1,0)</f>
        <v>1</v>
      </c>
      <c r="AD825" t="s">
        <v>213</v>
      </c>
      <c r="AE825" t="s">
        <v>38</v>
      </c>
      <c r="AF825" t="s">
        <v>39</v>
      </c>
      <c r="AG825">
        <v>2022</v>
      </c>
      <c r="AH825" t="s">
        <v>40</v>
      </c>
      <c r="AI825" t="str">
        <f>IF(Cdacdata[ccat_rank]&lt;=100,"Top 100",
IF(Cdacdata[ccat_rank]&lt;=500,"101–500",
IF(Cdacdata[ccat_rank]&lt;=1000,"501–1000",
"1000+")))</f>
        <v>1000+</v>
      </c>
    </row>
    <row r="826" spans="1:35" x14ac:dyDescent="0.3">
      <c r="A826" s="1" t="s">
        <v>212</v>
      </c>
      <c r="B826">
        <v>220704799</v>
      </c>
      <c r="C826" s="2">
        <v>44817</v>
      </c>
      <c r="D826" s="2" t="s">
        <v>1064</v>
      </c>
      <c r="E826">
        <v>2748</v>
      </c>
      <c r="F826" s="2">
        <v>34201</v>
      </c>
      <c r="G826">
        <v>73.23</v>
      </c>
      <c r="H826">
        <v>50.33</v>
      </c>
      <c r="I826" t="s">
        <v>26</v>
      </c>
      <c r="J826">
        <v>56.75</v>
      </c>
      <c r="K826" s="3">
        <f t="shared" si="12"/>
        <v>60.103333333333332</v>
      </c>
      <c r="L826" t="s">
        <v>27</v>
      </c>
      <c r="M826" t="s">
        <v>27</v>
      </c>
      <c r="N826">
        <v>29</v>
      </c>
      <c r="O826" t="s">
        <v>72</v>
      </c>
      <c r="P826" t="s">
        <v>60</v>
      </c>
      <c r="Q826" t="s">
        <v>30</v>
      </c>
      <c r="R826">
        <v>478</v>
      </c>
      <c r="S826">
        <v>59.75</v>
      </c>
      <c r="T826" t="s">
        <v>33</v>
      </c>
      <c r="U826" t="s">
        <v>32</v>
      </c>
      <c r="V826" t="s">
        <v>33</v>
      </c>
      <c r="W826" t="s">
        <v>31</v>
      </c>
      <c r="X826" t="s">
        <v>96</v>
      </c>
      <c r="Y826" t="s">
        <v>35</v>
      </c>
      <c r="Z826" t="s">
        <v>36</v>
      </c>
      <c r="AA826" t="s">
        <v>1268</v>
      </c>
      <c r="AB826" t="s">
        <v>36</v>
      </c>
      <c r="AC826">
        <f>IF(Cdacdata[[#This Row],[placement_status]]="Placed",1,0)</f>
        <v>0</v>
      </c>
      <c r="AD826" t="s">
        <v>213</v>
      </c>
      <c r="AE826" t="s">
        <v>38</v>
      </c>
      <c r="AF826" t="s">
        <v>69</v>
      </c>
      <c r="AG826">
        <v>2022</v>
      </c>
      <c r="AH826" t="s">
        <v>40</v>
      </c>
      <c r="AI826" t="str">
        <f>IF(Cdacdata[ccat_rank]&lt;=100,"Top 100",
IF(Cdacdata[ccat_rank]&lt;=500,"101–500",
IF(Cdacdata[ccat_rank]&lt;=1000,"501–1000",
"1000+")))</f>
        <v>1000+</v>
      </c>
    </row>
    <row r="827" spans="1:35" x14ac:dyDescent="0.3">
      <c r="A827" s="1" t="s">
        <v>212</v>
      </c>
      <c r="B827">
        <v>220604346</v>
      </c>
      <c r="C827" s="2">
        <v>44814</v>
      </c>
      <c r="D827" s="2" t="s">
        <v>1065</v>
      </c>
      <c r="E827">
        <v>2317</v>
      </c>
      <c r="F827" s="2">
        <v>36061</v>
      </c>
      <c r="G827">
        <v>90</v>
      </c>
      <c r="H827">
        <v>76.62</v>
      </c>
      <c r="I827" t="s">
        <v>26</v>
      </c>
      <c r="J827">
        <v>73.900000000000006</v>
      </c>
      <c r="K827" s="3">
        <f t="shared" si="12"/>
        <v>80.173333333333332</v>
      </c>
      <c r="L827" t="s">
        <v>27</v>
      </c>
      <c r="M827" t="s">
        <v>27</v>
      </c>
      <c r="N827">
        <v>23</v>
      </c>
      <c r="O827" t="s">
        <v>28</v>
      </c>
      <c r="P827" t="s">
        <v>65</v>
      </c>
      <c r="Q827" t="s">
        <v>30</v>
      </c>
      <c r="R827">
        <v>587</v>
      </c>
      <c r="S827">
        <v>73.375</v>
      </c>
      <c r="T827" t="s">
        <v>49</v>
      </c>
      <c r="U827" t="s">
        <v>32</v>
      </c>
      <c r="V827" t="s">
        <v>49</v>
      </c>
      <c r="W827" t="s">
        <v>49</v>
      </c>
      <c r="X827" t="s">
        <v>96</v>
      </c>
      <c r="Y827" t="s">
        <v>58</v>
      </c>
      <c r="Z827" t="s">
        <v>44</v>
      </c>
      <c r="AA827" t="s">
        <v>236</v>
      </c>
      <c r="AB827" t="s">
        <v>46</v>
      </c>
      <c r="AC827">
        <f>IF(Cdacdata[[#This Row],[placement_status]]="Placed",1,0)</f>
        <v>1</v>
      </c>
      <c r="AD827" t="s">
        <v>213</v>
      </c>
      <c r="AE827" t="s">
        <v>38</v>
      </c>
      <c r="AF827" t="s">
        <v>39</v>
      </c>
      <c r="AG827">
        <v>2022</v>
      </c>
      <c r="AH827" t="s">
        <v>40</v>
      </c>
      <c r="AI827" t="str">
        <f>IF(Cdacdata[ccat_rank]&lt;=100,"Top 100",
IF(Cdacdata[ccat_rank]&lt;=500,"101–500",
IF(Cdacdata[ccat_rank]&lt;=1000,"501–1000",
"1000+")))</f>
        <v>1000+</v>
      </c>
    </row>
    <row r="828" spans="1:35" x14ac:dyDescent="0.3">
      <c r="A828" s="1" t="s">
        <v>212</v>
      </c>
      <c r="B828">
        <v>220702740</v>
      </c>
      <c r="C828" s="2">
        <v>44815</v>
      </c>
      <c r="D828" s="2" t="s">
        <v>1066</v>
      </c>
      <c r="E828">
        <v>2946</v>
      </c>
      <c r="F828" s="2">
        <v>36153</v>
      </c>
      <c r="G828">
        <v>95.2</v>
      </c>
      <c r="H828">
        <v>80.150000000000006</v>
      </c>
      <c r="I828" t="s">
        <v>26</v>
      </c>
      <c r="J828">
        <v>70.62</v>
      </c>
      <c r="K828" s="3">
        <f t="shared" si="12"/>
        <v>81.990000000000009</v>
      </c>
      <c r="L828" t="s">
        <v>27</v>
      </c>
      <c r="M828" t="s">
        <v>41</v>
      </c>
      <c r="N828">
        <v>23</v>
      </c>
      <c r="O828" t="s">
        <v>28</v>
      </c>
      <c r="P828" t="s">
        <v>60</v>
      </c>
      <c r="Q828" t="s">
        <v>30</v>
      </c>
      <c r="R828">
        <v>554</v>
      </c>
      <c r="S828">
        <v>69.25</v>
      </c>
      <c r="T828" t="s">
        <v>49</v>
      </c>
      <c r="U828" t="s">
        <v>32</v>
      </c>
      <c r="V828" t="s">
        <v>49</v>
      </c>
      <c r="W828" t="s">
        <v>49</v>
      </c>
      <c r="X828" t="s">
        <v>96</v>
      </c>
      <c r="Y828" t="s">
        <v>50</v>
      </c>
      <c r="Z828" t="s">
        <v>44</v>
      </c>
      <c r="AA828" t="s">
        <v>97</v>
      </c>
      <c r="AB828" t="s">
        <v>46</v>
      </c>
      <c r="AC828">
        <f>IF(Cdacdata[[#This Row],[placement_status]]="Placed",1,0)</f>
        <v>1</v>
      </c>
      <c r="AD828" t="s">
        <v>213</v>
      </c>
      <c r="AE828" t="s">
        <v>38</v>
      </c>
      <c r="AF828" t="s">
        <v>39</v>
      </c>
      <c r="AG828">
        <v>2022</v>
      </c>
      <c r="AH828" t="s">
        <v>40</v>
      </c>
      <c r="AI828" t="str">
        <f>IF(Cdacdata[ccat_rank]&lt;=100,"Top 100",
IF(Cdacdata[ccat_rank]&lt;=500,"101–500",
IF(Cdacdata[ccat_rank]&lt;=1000,"501–1000",
"1000+")))</f>
        <v>1000+</v>
      </c>
    </row>
    <row r="829" spans="1:35" x14ac:dyDescent="0.3">
      <c r="A829" s="1" t="s">
        <v>212</v>
      </c>
      <c r="B829">
        <v>220712876</v>
      </c>
      <c r="C829" s="2">
        <v>44817</v>
      </c>
      <c r="D829" s="2" t="s">
        <v>1067</v>
      </c>
      <c r="E829">
        <v>2826</v>
      </c>
      <c r="F829" s="2">
        <v>35377</v>
      </c>
      <c r="G829">
        <v>86.73</v>
      </c>
      <c r="H829">
        <v>62</v>
      </c>
      <c r="I829" t="s">
        <v>26</v>
      </c>
      <c r="J829">
        <v>69.349999999999994</v>
      </c>
      <c r="K829" s="3">
        <f t="shared" si="12"/>
        <v>72.693333333333342</v>
      </c>
      <c r="L829" t="s">
        <v>27</v>
      </c>
      <c r="M829" t="s">
        <v>41</v>
      </c>
      <c r="N829">
        <v>25</v>
      </c>
      <c r="O829" t="s">
        <v>28</v>
      </c>
      <c r="P829" t="s">
        <v>42</v>
      </c>
      <c r="Q829" t="s">
        <v>30</v>
      </c>
      <c r="R829">
        <v>628</v>
      </c>
      <c r="S829">
        <v>78.5</v>
      </c>
      <c r="T829" t="s">
        <v>33</v>
      </c>
      <c r="U829" t="s">
        <v>32</v>
      </c>
      <c r="V829" t="s">
        <v>33</v>
      </c>
      <c r="W829" t="s">
        <v>49</v>
      </c>
      <c r="X829" t="s">
        <v>96</v>
      </c>
      <c r="Y829" t="s">
        <v>58</v>
      </c>
      <c r="Z829" t="s">
        <v>44</v>
      </c>
      <c r="AA829" t="s">
        <v>198</v>
      </c>
      <c r="AB829" t="s">
        <v>46</v>
      </c>
      <c r="AC829">
        <f>IF(Cdacdata[[#This Row],[placement_status]]="Placed",1,0)</f>
        <v>1</v>
      </c>
      <c r="AD829" t="s">
        <v>213</v>
      </c>
      <c r="AE829" t="s">
        <v>38</v>
      </c>
      <c r="AF829" t="s">
        <v>39</v>
      </c>
      <c r="AG829">
        <v>2022</v>
      </c>
      <c r="AH829" t="s">
        <v>40</v>
      </c>
      <c r="AI829" t="str">
        <f>IF(Cdacdata[ccat_rank]&lt;=100,"Top 100",
IF(Cdacdata[ccat_rank]&lt;=500,"101–500",
IF(Cdacdata[ccat_rank]&lt;=1000,"501–1000",
"1000+")))</f>
        <v>1000+</v>
      </c>
    </row>
    <row r="830" spans="1:35" x14ac:dyDescent="0.3">
      <c r="A830" s="1" t="s">
        <v>212</v>
      </c>
      <c r="B830">
        <v>220710955</v>
      </c>
      <c r="C830" s="2">
        <v>44812</v>
      </c>
      <c r="D830" s="2" t="s">
        <v>1068</v>
      </c>
      <c r="E830">
        <v>2004</v>
      </c>
      <c r="F830" s="2">
        <v>36244</v>
      </c>
      <c r="G830">
        <v>78.8</v>
      </c>
      <c r="H830" t="s">
        <v>26</v>
      </c>
      <c r="I830">
        <v>64.8</v>
      </c>
      <c r="J830">
        <v>76.849999999999994</v>
      </c>
      <c r="K830" s="3">
        <f t="shared" si="12"/>
        <v>73.483333333333334</v>
      </c>
      <c r="L830" t="s">
        <v>27</v>
      </c>
      <c r="M830" t="s">
        <v>27</v>
      </c>
      <c r="N830">
        <v>23</v>
      </c>
      <c r="O830" t="s">
        <v>48</v>
      </c>
      <c r="P830" t="s">
        <v>60</v>
      </c>
      <c r="Q830" t="s">
        <v>30</v>
      </c>
      <c r="R830">
        <v>467</v>
      </c>
      <c r="S830">
        <v>58.375</v>
      </c>
      <c r="T830" t="s">
        <v>49</v>
      </c>
      <c r="U830" t="s">
        <v>32</v>
      </c>
      <c r="V830" t="s">
        <v>49</v>
      </c>
      <c r="W830" t="s">
        <v>33</v>
      </c>
      <c r="X830" t="s">
        <v>96</v>
      </c>
      <c r="Y830" t="s">
        <v>35</v>
      </c>
      <c r="Z830" t="s">
        <v>36</v>
      </c>
      <c r="AA830" t="s">
        <v>1268</v>
      </c>
      <c r="AB830" t="s">
        <v>36</v>
      </c>
      <c r="AC830">
        <f>IF(Cdacdata[[#This Row],[placement_status]]="Placed",1,0)</f>
        <v>0</v>
      </c>
      <c r="AD830" t="s">
        <v>213</v>
      </c>
      <c r="AE830" t="s">
        <v>38</v>
      </c>
      <c r="AF830" t="s">
        <v>39</v>
      </c>
      <c r="AG830">
        <v>2022</v>
      </c>
      <c r="AH830" t="s">
        <v>40</v>
      </c>
      <c r="AI830" t="str">
        <f>IF(Cdacdata[ccat_rank]&lt;=100,"Top 100",
IF(Cdacdata[ccat_rank]&lt;=500,"101–500",
IF(Cdacdata[ccat_rank]&lt;=1000,"501–1000",
"1000+")))</f>
        <v>1000+</v>
      </c>
    </row>
    <row r="831" spans="1:35" x14ac:dyDescent="0.3">
      <c r="A831" s="1" t="s">
        <v>212</v>
      </c>
      <c r="B831">
        <v>220600149</v>
      </c>
      <c r="C831" s="2">
        <v>44815</v>
      </c>
      <c r="D831" s="2" t="s">
        <v>1069</v>
      </c>
      <c r="E831">
        <v>2764</v>
      </c>
      <c r="F831" s="2">
        <v>36377</v>
      </c>
      <c r="G831">
        <v>81.599999999999994</v>
      </c>
      <c r="H831">
        <v>73.38</v>
      </c>
      <c r="I831" t="s">
        <v>26</v>
      </c>
      <c r="J831">
        <v>67.599999999999994</v>
      </c>
      <c r="K831" s="3">
        <f t="shared" si="12"/>
        <v>74.193333333333328</v>
      </c>
      <c r="L831" t="s">
        <v>27</v>
      </c>
      <c r="M831" t="s">
        <v>27</v>
      </c>
      <c r="N831">
        <v>23</v>
      </c>
      <c r="O831" t="s">
        <v>28</v>
      </c>
      <c r="P831" t="s">
        <v>56</v>
      </c>
      <c r="Q831" t="s">
        <v>43</v>
      </c>
      <c r="R831">
        <v>563</v>
      </c>
      <c r="S831">
        <v>70.375</v>
      </c>
      <c r="T831" t="s">
        <v>49</v>
      </c>
      <c r="U831" t="s">
        <v>32</v>
      </c>
      <c r="V831" t="s">
        <v>49</v>
      </c>
      <c r="W831" t="s">
        <v>49</v>
      </c>
      <c r="X831" t="s">
        <v>96</v>
      </c>
      <c r="Y831" t="s">
        <v>58</v>
      </c>
      <c r="Z831" t="s">
        <v>44</v>
      </c>
      <c r="AA831" t="s">
        <v>237</v>
      </c>
      <c r="AB831" t="s">
        <v>46</v>
      </c>
      <c r="AC831">
        <f>IF(Cdacdata[[#This Row],[placement_status]]="Placed",1,0)</f>
        <v>1</v>
      </c>
      <c r="AD831" t="s">
        <v>213</v>
      </c>
      <c r="AE831" t="s">
        <v>38</v>
      </c>
      <c r="AF831" t="s">
        <v>39</v>
      </c>
      <c r="AG831">
        <v>2022</v>
      </c>
      <c r="AH831" t="s">
        <v>40</v>
      </c>
      <c r="AI831" t="str">
        <f>IF(Cdacdata[ccat_rank]&lt;=100,"Top 100",
IF(Cdacdata[ccat_rank]&lt;=500,"101–500",
IF(Cdacdata[ccat_rank]&lt;=1000,"501–1000",
"1000+")))</f>
        <v>1000+</v>
      </c>
    </row>
    <row r="832" spans="1:35" x14ac:dyDescent="0.3">
      <c r="A832" s="1" t="s">
        <v>212</v>
      </c>
      <c r="B832">
        <v>220604254</v>
      </c>
      <c r="C832" s="2">
        <v>44814</v>
      </c>
      <c r="D832" s="2" t="s">
        <v>1070</v>
      </c>
      <c r="E832">
        <v>2729</v>
      </c>
      <c r="F832" s="2">
        <v>36256</v>
      </c>
      <c r="G832">
        <v>55.1</v>
      </c>
      <c r="H832">
        <v>57</v>
      </c>
      <c r="I832" t="s">
        <v>26</v>
      </c>
      <c r="J832">
        <v>7.87</v>
      </c>
      <c r="K832" s="3">
        <f t="shared" si="12"/>
        <v>39.99</v>
      </c>
      <c r="L832" t="s">
        <v>27</v>
      </c>
      <c r="M832" t="s">
        <v>27</v>
      </c>
      <c r="N832">
        <v>23</v>
      </c>
      <c r="O832" t="s">
        <v>62</v>
      </c>
      <c r="P832" t="s">
        <v>56</v>
      </c>
      <c r="Q832" t="s">
        <v>30</v>
      </c>
      <c r="R832">
        <v>473</v>
      </c>
      <c r="S832">
        <v>59.125</v>
      </c>
      <c r="T832" t="s">
        <v>31</v>
      </c>
      <c r="U832" t="s">
        <v>32</v>
      </c>
      <c r="V832" t="s">
        <v>31</v>
      </c>
      <c r="W832" t="s">
        <v>33</v>
      </c>
      <c r="X832" t="s">
        <v>96</v>
      </c>
      <c r="Y832" t="s">
        <v>35</v>
      </c>
      <c r="Z832" t="s">
        <v>36</v>
      </c>
      <c r="AA832" t="s">
        <v>1268</v>
      </c>
      <c r="AB832" t="s">
        <v>36</v>
      </c>
      <c r="AC832">
        <f>IF(Cdacdata[[#This Row],[placement_status]]="Placed",1,0)</f>
        <v>0</v>
      </c>
      <c r="AD832" t="s">
        <v>213</v>
      </c>
      <c r="AE832" t="s">
        <v>38</v>
      </c>
      <c r="AF832" t="s">
        <v>39</v>
      </c>
      <c r="AG832">
        <v>2022</v>
      </c>
      <c r="AH832" t="s">
        <v>40</v>
      </c>
      <c r="AI832" t="str">
        <f>IF(Cdacdata[ccat_rank]&lt;=100,"Top 100",
IF(Cdacdata[ccat_rank]&lt;=500,"101–500",
IF(Cdacdata[ccat_rank]&lt;=1000,"501–1000",
"1000+")))</f>
        <v>1000+</v>
      </c>
    </row>
    <row r="833" spans="1:35" x14ac:dyDescent="0.3">
      <c r="A833" s="1" t="s">
        <v>212</v>
      </c>
      <c r="B833">
        <v>220712485</v>
      </c>
      <c r="C833" s="2">
        <v>44815</v>
      </c>
      <c r="D833" s="2" t="s">
        <v>1071</v>
      </c>
      <c r="E833">
        <v>2421</v>
      </c>
      <c r="F833" s="2">
        <v>36443</v>
      </c>
      <c r="G833">
        <v>92.8</v>
      </c>
      <c r="H833">
        <v>65.08</v>
      </c>
      <c r="I833" t="s">
        <v>26</v>
      </c>
      <c r="J833">
        <v>77</v>
      </c>
      <c r="K833" s="3">
        <f t="shared" si="12"/>
        <v>78.293333333333337</v>
      </c>
      <c r="L833" t="s">
        <v>27</v>
      </c>
      <c r="M833" t="s">
        <v>27</v>
      </c>
      <c r="N833">
        <v>22</v>
      </c>
      <c r="O833" t="s">
        <v>48</v>
      </c>
      <c r="P833" t="s">
        <v>52</v>
      </c>
      <c r="Q833" t="s">
        <v>30</v>
      </c>
      <c r="R833">
        <v>572</v>
      </c>
      <c r="S833">
        <v>71.5</v>
      </c>
      <c r="T833" t="s">
        <v>49</v>
      </c>
      <c r="U833" t="s">
        <v>32</v>
      </c>
      <c r="V833" t="s">
        <v>49</v>
      </c>
      <c r="W833" t="s">
        <v>33</v>
      </c>
      <c r="X833" t="s">
        <v>96</v>
      </c>
      <c r="Y833" t="s">
        <v>58</v>
      </c>
      <c r="Z833" t="s">
        <v>36</v>
      </c>
      <c r="AA833" t="s">
        <v>1268</v>
      </c>
      <c r="AB833" t="s">
        <v>36</v>
      </c>
      <c r="AC833">
        <f>IF(Cdacdata[[#This Row],[placement_status]]="Placed",1,0)</f>
        <v>0</v>
      </c>
      <c r="AD833" t="s">
        <v>213</v>
      </c>
      <c r="AE833" t="s">
        <v>38</v>
      </c>
      <c r="AF833" t="s">
        <v>57</v>
      </c>
      <c r="AG833">
        <v>2022</v>
      </c>
      <c r="AH833" t="s">
        <v>40</v>
      </c>
      <c r="AI833" t="str">
        <f>IF(Cdacdata[ccat_rank]&lt;=100,"Top 100",
IF(Cdacdata[ccat_rank]&lt;=500,"101–500",
IF(Cdacdata[ccat_rank]&lt;=1000,"501–1000",
"1000+")))</f>
        <v>1000+</v>
      </c>
    </row>
    <row r="834" spans="1:35" x14ac:dyDescent="0.3">
      <c r="A834" s="1" t="s">
        <v>212</v>
      </c>
      <c r="B834">
        <v>220600288</v>
      </c>
      <c r="C834" s="2">
        <v>44812</v>
      </c>
      <c r="D834" s="2" t="s">
        <v>1072</v>
      </c>
      <c r="E834">
        <v>63</v>
      </c>
      <c r="F834" s="2">
        <v>36276</v>
      </c>
      <c r="G834">
        <v>96</v>
      </c>
      <c r="H834">
        <v>92.77</v>
      </c>
      <c r="I834" t="s">
        <v>26</v>
      </c>
      <c r="J834">
        <v>0</v>
      </c>
      <c r="K834" s="3">
        <f t="shared" ref="K834:K897" si="13">AVERAGE(G834,H834,I834,J834)</f>
        <v>62.923333333333325</v>
      </c>
      <c r="L834" t="s">
        <v>27</v>
      </c>
      <c r="M834" t="s">
        <v>27</v>
      </c>
      <c r="N834">
        <v>23</v>
      </c>
      <c r="O834" t="s">
        <v>62</v>
      </c>
      <c r="P834" t="s">
        <v>60</v>
      </c>
      <c r="Q834" t="s">
        <v>43</v>
      </c>
      <c r="R834">
        <v>624</v>
      </c>
      <c r="S834">
        <v>78</v>
      </c>
      <c r="T834" t="s">
        <v>49</v>
      </c>
      <c r="U834" t="s">
        <v>32</v>
      </c>
      <c r="V834" t="s">
        <v>49</v>
      </c>
      <c r="W834" t="s">
        <v>49</v>
      </c>
      <c r="X834" t="s">
        <v>96</v>
      </c>
      <c r="Y834" t="s">
        <v>58</v>
      </c>
      <c r="Z834" t="s">
        <v>44</v>
      </c>
      <c r="AA834" t="s">
        <v>238</v>
      </c>
      <c r="AB834" t="s">
        <v>46</v>
      </c>
      <c r="AC834">
        <f>IF(Cdacdata[[#This Row],[placement_status]]="Placed",1,0)</f>
        <v>1</v>
      </c>
      <c r="AD834" t="s">
        <v>213</v>
      </c>
      <c r="AE834" t="s">
        <v>75</v>
      </c>
      <c r="AF834" t="s">
        <v>39</v>
      </c>
      <c r="AG834">
        <v>2022</v>
      </c>
      <c r="AH834" t="s">
        <v>40</v>
      </c>
      <c r="AI834" t="str">
        <f>IF(Cdacdata[ccat_rank]&lt;=100,"Top 100",
IF(Cdacdata[ccat_rank]&lt;=500,"101–500",
IF(Cdacdata[ccat_rank]&lt;=1000,"501–1000",
"1000+")))</f>
        <v>Top 100</v>
      </c>
    </row>
    <row r="835" spans="1:35" x14ac:dyDescent="0.3">
      <c r="A835" s="1" t="s">
        <v>212</v>
      </c>
      <c r="B835">
        <v>220603345</v>
      </c>
      <c r="C835" s="2">
        <v>44816</v>
      </c>
      <c r="D835" s="2" t="s">
        <v>1073</v>
      </c>
      <c r="E835">
        <v>2572</v>
      </c>
      <c r="F835" s="2">
        <v>35009</v>
      </c>
      <c r="G835">
        <v>79.8</v>
      </c>
      <c r="H835">
        <v>59.9</v>
      </c>
      <c r="I835" t="s">
        <v>26</v>
      </c>
      <c r="J835">
        <v>76.900000000000006</v>
      </c>
      <c r="K835" s="3">
        <f t="shared" si="13"/>
        <v>72.2</v>
      </c>
      <c r="L835" t="s">
        <v>27</v>
      </c>
      <c r="M835" t="s">
        <v>27</v>
      </c>
      <c r="N835">
        <v>26</v>
      </c>
      <c r="O835" t="s">
        <v>48</v>
      </c>
      <c r="P835" t="s">
        <v>56</v>
      </c>
      <c r="Q835" t="s">
        <v>30</v>
      </c>
      <c r="R835">
        <v>535</v>
      </c>
      <c r="S835">
        <v>66.875</v>
      </c>
      <c r="T835" t="s">
        <v>33</v>
      </c>
      <c r="U835" t="s">
        <v>32</v>
      </c>
      <c r="V835" t="s">
        <v>33</v>
      </c>
      <c r="W835" t="s">
        <v>49</v>
      </c>
      <c r="X835" t="s">
        <v>96</v>
      </c>
      <c r="Y835" t="s">
        <v>50</v>
      </c>
      <c r="Z835" t="s">
        <v>53</v>
      </c>
      <c r="AA835" t="s">
        <v>54</v>
      </c>
      <c r="AB835" t="s">
        <v>46</v>
      </c>
      <c r="AC835">
        <f>IF(Cdacdata[[#This Row],[placement_status]]="Placed",1,0)</f>
        <v>1</v>
      </c>
      <c r="AD835" t="s">
        <v>213</v>
      </c>
      <c r="AE835" t="s">
        <v>38</v>
      </c>
      <c r="AF835" t="s">
        <v>55</v>
      </c>
      <c r="AG835">
        <v>2022</v>
      </c>
      <c r="AH835" t="s">
        <v>40</v>
      </c>
      <c r="AI835" t="str">
        <f>IF(Cdacdata[ccat_rank]&lt;=100,"Top 100",
IF(Cdacdata[ccat_rank]&lt;=500,"101–500",
IF(Cdacdata[ccat_rank]&lt;=1000,"501–1000",
"1000+")))</f>
        <v>1000+</v>
      </c>
    </row>
    <row r="836" spans="1:35" x14ac:dyDescent="0.3">
      <c r="A836" s="1" t="s">
        <v>212</v>
      </c>
      <c r="B836">
        <v>220710802</v>
      </c>
      <c r="C836" s="2">
        <v>44813</v>
      </c>
      <c r="D836" s="2" t="s">
        <v>1074</v>
      </c>
      <c r="E836">
        <v>2997</v>
      </c>
      <c r="F836" s="2">
        <v>35686</v>
      </c>
      <c r="G836">
        <v>96.73</v>
      </c>
      <c r="H836">
        <v>84.77</v>
      </c>
      <c r="I836" t="s">
        <v>26</v>
      </c>
      <c r="J836">
        <v>62.31</v>
      </c>
      <c r="K836" s="3">
        <f t="shared" si="13"/>
        <v>81.27</v>
      </c>
      <c r="L836" t="s">
        <v>27</v>
      </c>
      <c r="M836" t="s">
        <v>27</v>
      </c>
      <c r="N836">
        <v>24</v>
      </c>
      <c r="O836" t="s">
        <v>28</v>
      </c>
      <c r="P836" t="s">
        <v>60</v>
      </c>
      <c r="Q836" t="s">
        <v>43</v>
      </c>
      <c r="R836">
        <v>524</v>
      </c>
      <c r="S836">
        <v>65.5</v>
      </c>
      <c r="T836" t="s">
        <v>33</v>
      </c>
      <c r="U836" t="s">
        <v>32</v>
      </c>
      <c r="V836" t="s">
        <v>33</v>
      </c>
      <c r="W836" t="s">
        <v>33</v>
      </c>
      <c r="X836" t="s">
        <v>96</v>
      </c>
      <c r="Y836" t="s">
        <v>50</v>
      </c>
      <c r="Z836" t="s">
        <v>36</v>
      </c>
      <c r="AA836" t="s">
        <v>1268</v>
      </c>
      <c r="AB836" t="s">
        <v>36</v>
      </c>
      <c r="AC836">
        <f>IF(Cdacdata[[#This Row],[placement_status]]="Placed",1,0)</f>
        <v>0</v>
      </c>
      <c r="AD836" t="s">
        <v>213</v>
      </c>
      <c r="AE836" t="s">
        <v>38</v>
      </c>
      <c r="AF836" t="s">
        <v>39</v>
      </c>
      <c r="AG836">
        <v>2022</v>
      </c>
      <c r="AH836" t="s">
        <v>40</v>
      </c>
      <c r="AI836" t="str">
        <f>IF(Cdacdata[ccat_rank]&lt;=100,"Top 100",
IF(Cdacdata[ccat_rank]&lt;=500,"101–500",
IF(Cdacdata[ccat_rank]&lt;=1000,"501–1000",
"1000+")))</f>
        <v>1000+</v>
      </c>
    </row>
    <row r="837" spans="1:35" x14ac:dyDescent="0.3">
      <c r="A837" s="1" t="s">
        <v>212</v>
      </c>
      <c r="B837">
        <v>220601662</v>
      </c>
      <c r="C837" s="2">
        <v>44813</v>
      </c>
      <c r="D837" s="2" t="s">
        <v>1075</v>
      </c>
      <c r="E837">
        <v>3045</v>
      </c>
      <c r="F837" s="2">
        <v>35595</v>
      </c>
      <c r="G837">
        <v>89.09</v>
      </c>
      <c r="H837" t="s">
        <v>26</v>
      </c>
      <c r="I837">
        <v>93.69</v>
      </c>
      <c r="J837">
        <v>61.7</v>
      </c>
      <c r="K837" s="3">
        <f t="shared" si="13"/>
        <v>81.493333333333339</v>
      </c>
      <c r="L837" t="s">
        <v>27</v>
      </c>
      <c r="M837" t="s">
        <v>27</v>
      </c>
      <c r="N837">
        <v>25</v>
      </c>
      <c r="O837" t="s">
        <v>28</v>
      </c>
      <c r="P837" t="s">
        <v>65</v>
      </c>
      <c r="Q837" t="s">
        <v>43</v>
      </c>
      <c r="R837">
        <v>653</v>
      </c>
      <c r="S837">
        <v>81.625</v>
      </c>
      <c r="T837" t="s">
        <v>49</v>
      </c>
      <c r="U837" t="s">
        <v>32</v>
      </c>
      <c r="V837" t="s">
        <v>49</v>
      </c>
      <c r="W837" t="s">
        <v>49</v>
      </c>
      <c r="X837" t="s">
        <v>96</v>
      </c>
      <c r="Y837" t="s">
        <v>58</v>
      </c>
      <c r="Z837" t="s">
        <v>44</v>
      </c>
      <c r="AA837" t="s">
        <v>78</v>
      </c>
      <c r="AB837" t="s">
        <v>46</v>
      </c>
      <c r="AC837">
        <f>IF(Cdacdata[[#This Row],[placement_status]]="Placed",1,0)</f>
        <v>1</v>
      </c>
      <c r="AD837" t="s">
        <v>213</v>
      </c>
      <c r="AE837" t="s">
        <v>98</v>
      </c>
      <c r="AF837" t="s">
        <v>39</v>
      </c>
      <c r="AG837">
        <v>2022</v>
      </c>
      <c r="AH837" t="s">
        <v>40</v>
      </c>
      <c r="AI837" t="str">
        <f>IF(Cdacdata[ccat_rank]&lt;=100,"Top 100",
IF(Cdacdata[ccat_rank]&lt;=500,"101–500",
IF(Cdacdata[ccat_rank]&lt;=1000,"501–1000",
"1000+")))</f>
        <v>1000+</v>
      </c>
    </row>
    <row r="838" spans="1:35" x14ac:dyDescent="0.3">
      <c r="A838" s="1" t="s">
        <v>212</v>
      </c>
      <c r="B838">
        <v>220705999</v>
      </c>
      <c r="C838" s="2">
        <v>44814</v>
      </c>
      <c r="D838" s="2" t="s">
        <v>1076</v>
      </c>
      <c r="E838">
        <v>2299</v>
      </c>
      <c r="F838" s="2">
        <v>35307</v>
      </c>
      <c r="G838">
        <v>95</v>
      </c>
      <c r="H838">
        <v>78.400000000000006</v>
      </c>
      <c r="I838" t="s">
        <v>26</v>
      </c>
      <c r="J838">
        <v>84.5</v>
      </c>
      <c r="K838" s="3">
        <f t="shared" si="13"/>
        <v>85.966666666666654</v>
      </c>
      <c r="L838" t="s">
        <v>27</v>
      </c>
      <c r="M838" t="s">
        <v>27</v>
      </c>
      <c r="N838">
        <v>26</v>
      </c>
      <c r="O838" t="s">
        <v>48</v>
      </c>
      <c r="P838" t="s">
        <v>56</v>
      </c>
      <c r="Q838" t="s">
        <v>30</v>
      </c>
      <c r="R838">
        <v>587</v>
      </c>
      <c r="S838">
        <v>73.375</v>
      </c>
      <c r="T838" t="s">
        <v>49</v>
      </c>
      <c r="U838" t="s">
        <v>32</v>
      </c>
      <c r="V838" t="s">
        <v>49</v>
      </c>
      <c r="W838" t="s">
        <v>49</v>
      </c>
      <c r="X838" t="s">
        <v>96</v>
      </c>
      <c r="Y838" t="s">
        <v>58</v>
      </c>
      <c r="Z838" t="s">
        <v>44</v>
      </c>
      <c r="AA838" t="s">
        <v>221</v>
      </c>
      <c r="AB838" t="s">
        <v>46</v>
      </c>
      <c r="AC838">
        <f>IF(Cdacdata[[#This Row],[placement_status]]="Placed",1,0)</f>
        <v>1</v>
      </c>
      <c r="AD838" t="s">
        <v>213</v>
      </c>
      <c r="AE838" t="s">
        <v>38</v>
      </c>
      <c r="AF838" t="s">
        <v>55</v>
      </c>
      <c r="AG838">
        <v>2022</v>
      </c>
      <c r="AH838" t="s">
        <v>40</v>
      </c>
      <c r="AI838" t="str">
        <f>IF(Cdacdata[ccat_rank]&lt;=100,"Top 100",
IF(Cdacdata[ccat_rank]&lt;=500,"101–500",
IF(Cdacdata[ccat_rank]&lt;=1000,"501–1000",
"1000+")))</f>
        <v>1000+</v>
      </c>
    </row>
    <row r="839" spans="1:35" x14ac:dyDescent="0.3">
      <c r="A839" s="1" t="s">
        <v>212</v>
      </c>
      <c r="B839">
        <v>220600230</v>
      </c>
      <c r="C839" s="2">
        <v>44812</v>
      </c>
      <c r="D839" s="2" t="s">
        <v>1077</v>
      </c>
      <c r="E839">
        <v>2903</v>
      </c>
      <c r="F839" s="2">
        <v>35471</v>
      </c>
      <c r="G839">
        <v>78</v>
      </c>
      <c r="H839">
        <v>62</v>
      </c>
      <c r="I839" t="s">
        <v>26</v>
      </c>
      <c r="J839">
        <v>6.51</v>
      </c>
      <c r="K839" s="3">
        <f t="shared" si="13"/>
        <v>48.836666666666666</v>
      </c>
      <c r="L839" t="s">
        <v>27</v>
      </c>
      <c r="M839" t="s">
        <v>41</v>
      </c>
      <c r="N839">
        <v>25</v>
      </c>
      <c r="O839" t="s">
        <v>62</v>
      </c>
      <c r="P839" t="s">
        <v>56</v>
      </c>
      <c r="Q839" t="s">
        <v>30</v>
      </c>
      <c r="R839">
        <v>487</v>
      </c>
      <c r="S839">
        <v>60.875</v>
      </c>
      <c r="T839" t="s">
        <v>33</v>
      </c>
      <c r="U839" t="s">
        <v>32</v>
      </c>
      <c r="V839" t="s">
        <v>33</v>
      </c>
      <c r="W839" t="s">
        <v>33</v>
      </c>
      <c r="X839" t="s">
        <v>96</v>
      </c>
      <c r="Y839" t="s">
        <v>50</v>
      </c>
      <c r="Z839" t="s">
        <v>44</v>
      </c>
      <c r="AA839" t="s">
        <v>232</v>
      </c>
      <c r="AB839" t="s">
        <v>46</v>
      </c>
      <c r="AC839">
        <f>IF(Cdacdata[[#This Row],[placement_status]]="Placed",1,0)</f>
        <v>1</v>
      </c>
      <c r="AD839" t="s">
        <v>213</v>
      </c>
      <c r="AE839" t="s">
        <v>38</v>
      </c>
      <c r="AF839" t="s">
        <v>39</v>
      </c>
      <c r="AG839">
        <v>2022</v>
      </c>
      <c r="AH839" t="s">
        <v>40</v>
      </c>
      <c r="AI839" t="str">
        <f>IF(Cdacdata[ccat_rank]&lt;=100,"Top 100",
IF(Cdacdata[ccat_rank]&lt;=500,"101–500",
IF(Cdacdata[ccat_rank]&lt;=1000,"501–1000",
"1000+")))</f>
        <v>1000+</v>
      </c>
    </row>
    <row r="840" spans="1:35" x14ac:dyDescent="0.3">
      <c r="A840" s="1" t="s">
        <v>212</v>
      </c>
      <c r="B840">
        <v>220604553</v>
      </c>
      <c r="C840" s="2">
        <v>44814</v>
      </c>
      <c r="D840" s="2" t="s">
        <v>1078</v>
      </c>
      <c r="E840">
        <v>3020</v>
      </c>
      <c r="F840" s="2">
        <v>36363</v>
      </c>
      <c r="G840">
        <v>92</v>
      </c>
      <c r="H840">
        <v>74.92</v>
      </c>
      <c r="I840" t="s">
        <v>26</v>
      </c>
      <c r="J840">
        <v>80</v>
      </c>
      <c r="K840" s="3">
        <f t="shared" si="13"/>
        <v>82.306666666666672</v>
      </c>
      <c r="L840" t="s">
        <v>41</v>
      </c>
      <c r="M840" t="s">
        <v>41</v>
      </c>
      <c r="N840">
        <v>23</v>
      </c>
      <c r="O840" t="s">
        <v>48</v>
      </c>
      <c r="P840" t="s">
        <v>26</v>
      </c>
      <c r="Q840" t="s">
        <v>67</v>
      </c>
      <c r="R840">
        <v>498</v>
      </c>
      <c r="S840">
        <v>62.25</v>
      </c>
      <c r="T840" t="s">
        <v>49</v>
      </c>
      <c r="U840" t="s">
        <v>32</v>
      </c>
      <c r="V840" t="s">
        <v>49</v>
      </c>
      <c r="W840" t="s">
        <v>33</v>
      </c>
      <c r="X840" t="s">
        <v>96</v>
      </c>
      <c r="Y840" t="s">
        <v>50</v>
      </c>
      <c r="Z840" t="s">
        <v>36</v>
      </c>
      <c r="AA840" t="s">
        <v>1268</v>
      </c>
      <c r="AB840" t="s">
        <v>36</v>
      </c>
      <c r="AC840">
        <f>IF(Cdacdata[[#This Row],[placement_status]]="Placed",1,0)</f>
        <v>0</v>
      </c>
      <c r="AD840" t="s">
        <v>213</v>
      </c>
      <c r="AE840" t="s">
        <v>98</v>
      </c>
      <c r="AF840" t="s">
        <v>39</v>
      </c>
      <c r="AG840">
        <v>2022</v>
      </c>
      <c r="AH840" t="s">
        <v>40</v>
      </c>
      <c r="AI840" t="str">
        <f>IF(Cdacdata[ccat_rank]&lt;=100,"Top 100",
IF(Cdacdata[ccat_rank]&lt;=500,"101–500",
IF(Cdacdata[ccat_rank]&lt;=1000,"501–1000",
"1000+")))</f>
        <v>1000+</v>
      </c>
    </row>
    <row r="841" spans="1:35" x14ac:dyDescent="0.3">
      <c r="A841" s="1" t="s">
        <v>212</v>
      </c>
      <c r="B841">
        <v>220710694</v>
      </c>
      <c r="C841" s="2">
        <v>44817</v>
      </c>
      <c r="D841" s="2" t="s">
        <v>1079</v>
      </c>
      <c r="E841">
        <v>2520</v>
      </c>
      <c r="F841" s="2">
        <v>36437</v>
      </c>
      <c r="G841">
        <v>77.400000000000006</v>
      </c>
      <c r="H841" t="s">
        <v>26</v>
      </c>
      <c r="I841">
        <v>57.4</v>
      </c>
      <c r="J841">
        <v>80.400000000000006</v>
      </c>
      <c r="K841" s="3">
        <f t="shared" si="13"/>
        <v>71.733333333333334</v>
      </c>
      <c r="L841" t="s">
        <v>27</v>
      </c>
      <c r="M841" t="s">
        <v>27</v>
      </c>
      <c r="N841">
        <v>22</v>
      </c>
      <c r="O841" t="s">
        <v>48</v>
      </c>
      <c r="P841" t="s">
        <v>60</v>
      </c>
      <c r="Q841" t="s">
        <v>30</v>
      </c>
      <c r="R841">
        <v>452</v>
      </c>
      <c r="S841">
        <v>56.5</v>
      </c>
      <c r="T841" t="s">
        <v>31</v>
      </c>
      <c r="U841" t="s">
        <v>32</v>
      </c>
      <c r="V841" t="s">
        <v>31</v>
      </c>
      <c r="W841" t="s">
        <v>31</v>
      </c>
      <c r="X841" t="s">
        <v>96</v>
      </c>
      <c r="Y841" t="s">
        <v>35</v>
      </c>
      <c r="Z841" t="s">
        <v>36</v>
      </c>
      <c r="AA841" t="s">
        <v>1268</v>
      </c>
      <c r="AB841" t="s">
        <v>36</v>
      </c>
      <c r="AC841">
        <f>IF(Cdacdata[[#This Row],[placement_status]]="Placed",1,0)</f>
        <v>0</v>
      </c>
      <c r="AD841" t="s">
        <v>213</v>
      </c>
      <c r="AE841" t="s">
        <v>38</v>
      </c>
      <c r="AF841" t="s">
        <v>57</v>
      </c>
      <c r="AG841">
        <v>2022</v>
      </c>
      <c r="AH841" t="s">
        <v>40</v>
      </c>
      <c r="AI841" t="str">
        <f>IF(Cdacdata[ccat_rank]&lt;=100,"Top 100",
IF(Cdacdata[ccat_rank]&lt;=500,"101–500",
IF(Cdacdata[ccat_rank]&lt;=1000,"501–1000",
"1000+")))</f>
        <v>1000+</v>
      </c>
    </row>
    <row r="842" spans="1:35" x14ac:dyDescent="0.3">
      <c r="A842" s="1" t="s">
        <v>212</v>
      </c>
      <c r="B842">
        <v>220602930</v>
      </c>
      <c r="C842" s="2">
        <v>44815</v>
      </c>
      <c r="D842" s="2" t="s">
        <v>1080</v>
      </c>
      <c r="E842">
        <v>2810</v>
      </c>
      <c r="F842" s="2">
        <v>32746</v>
      </c>
      <c r="G842">
        <v>62.13</v>
      </c>
      <c r="H842">
        <v>53</v>
      </c>
      <c r="I842" t="s">
        <v>26</v>
      </c>
      <c r="J842">
        <v>59.93</v>
      </c>
      <c r="K842" s="3">
        <f t="shared" si="13"/>
        <v>58.353333333333332</v>
      </c>
      <c r="L842" t="s">
        <v>41</v>
      </c>
      <c r="M842" t="s">
        <v>41</v>
      </c>
      <c r="N842">
        <v>33</v>
      </c>
      <c r="O842" t="s">
        <v>62</v>
      </c>
      <c r="P842" t="s">
        <v>60</v>
      </c>
      <c r="Q842" t="s">
        <v>30</v>
      </c>
      <c r="R842">
        <v>518</v>
      </c>
      <c r="S842">
        <v>64.75</v>
      </c>
      <c r="T842" t="s">
        <v>49</v>
      </c>
      <c r="U842" t="s">
        <v>32</v>
      </c>
      <c r="V842" t="s">
        <v>49</v>
      </c>
      <c r="W842" t="s">
        <v>33</v>
      </c>
      <c r="X842" t="s">
        <v>96</v>
      </c>
      <c r="Y842" t="s">
        <v>50</v>
      </c>
      <c r="Z842" t="s">
        <v>36</v>
      </c>
      <c r="AA842" t="s">
        <v>1268</v>
      </c>
      <c r="AB842" t="s">
        <v>36</v>
      </c>
      <c r="AC842">
        <f>IF(Cdacdata[[#This Row],[placement_status]]="Placed",1,0)</f>
        <v>0</v>
      </c>
      <c r="AD842" t="s">
        <v>213</v>
      </c>
      <c r="AE842" t="s">
        <v>38</v>
      </c>
      <c r="AF842" t="s">
        <v>69</v>
      </c>
      <c r="AG842">
        <v>2022</v>
      </c>
      <c r="AH842" t="s">
        <v>40</v>
      </c>
      <c r="AI842" t="str">
        <f>IF(Cdacdata[ccat_rank]&lt;=100,"Top 100",
IF(Cdacdata[ccat_rank]&lt;=500,"101–500",
IF(Cdacdata[ccat_rank]&lt;=1000,"501–1000",
"1000+")))</f>
        <v>1000+</v>
      </c>
    </row>
    <row r="843" spans="1:35" x14ac:dyDescent="0.3">
      <c r="A843" s="1" t="s">
        <v>212</v>
      </c>
      <c r="B843">
        <v>220707552</v>
      </c>
      <c r="C843" s="2">
        <v>44813</v>
      </c>
      <c r="D843" s="2" t="s">
        <v>1081</v>
      </c>
      <c r="E843">
        <v>2595</v>
      </c>
      <c r="F843" s="2">
        <v>36190</v>
      </c>
      <c r="G843">
        <v>80</v>
      </c>
      <c r="H843">
        <v>60</v>
      </c>
      <c r="I843" t="s">
        <v>26</v>
      </c>
      <c r="J843">
        <v>70.150000000000006</v>
      </c>
      <c r="K843" s="3">
        <f t="shared" si="13"/>
        <v>70.05</v>
      </c>
      <c r="L843" t="s">
        <v>27</v>
      </c>
      <c r="M843" t="s">
        <v>27</v>
      </c>
      <c r="N843">
        <v>23</v>
      </c>
      <c r="O843" t="s">
        <v>28</v>
      </c>
      <c r="P843" t="s">
        <v>52</v>
      </c>
      <c r="Q843" t="s">
        <v>30</v>
      </c>
      <c r="R843">
        <v>422</v>
      </c>
      <c r="S843">
        <v>52.75</v>
      </c>
      <c r="T843" t="s">
        <v>31</v>
      </c>
      <c r="U843" t="s">
        <v>32</v>
      </c>
      <c r="V843" t="s">
        <v>31</v>
      </c>
      <c r="W843" t="s">
        <v>31</v>
      </c>
      <c r="X843" t="s">
        <v>96</v>
      </c>
      <c r="Y843" t="s">
        <v>35</v>
      </c>
      <c r="Z843" t="s">
        <v>36</v>
      </c>
      <c r="AA843" t="s">
        <v>1268</v>
      </c>
      <c r="AB843" t="s">
        <v>36</v>
      </c>
      <c r="AC843">
        <f>IF(Cdacdata[[#This Row],[placement_status]]="Placed",1,0)</f>
        <v>0</v>
      </c>
      <c r="AD843" t="s">
        <v>213</v>
      </c>
      <c r="AE843" t="s">
        <v>38</v>
      </c>
      <c r="AF843" t="s">
        <v>39</v>
      </c>
      <c r="AG843">
        <v>2022</v>
      </c>
      <c r="AH843" t="s">
        <v>40</v>
      </c>
      <c r="AI843" t="str">
        <f>IF(Cdacdata[ccat_rank]&lt;=100,"Top 100",
IF(Cdacdata[ccat_rank]&lt;=500,"101–500",
IF(Cdacdata[ccat_rank]&lt;=1000,"501–1000",
"1000+")))</f>
        <v>1000+</v>
      </c>
    </row>
    <row r="844" spans="1:35" x14ac:dyDescent="0.3">
      <c r="A844" s="1" t="s">
        <v>212</v>
      </c>
      <c r="B844">
        <v>220707834</v>
      </c>
      <c r="C844" s="2">
        <v>44812</v>
      </c>
      <c r="D844" s="2" t="s">
        <v>1082</v>
      </c>
      <c r="E844">
        <v>1831</v>
      </c>
      <c r="F844" s="2">
        <v>34691</v>
      </c>
      <c r="G844">
        <v>88</v>
      </c>
      <c r="H844">
        <v>53</v>
      </c>
      <c r="I844" t="s">
        <v>26</v>
      </c>
      <c r="J844">
        <v>61</v>
      </c>
      <c r="K844" s="3">
        <f t="shared" si="13"/>
        <v>67.333333333333329</v>
      </c>
      <c r="L844" t="s">
        <v>27</v>
      </c>
      <c r="M844" t="s">
        <v>41</v>
      </c>
      <c r="N844">
        <v>27</v>
      </c>
      <c r="O844" t="s">
        <v>28</v>
      </c>
      <c r="P844" t="s">
        <v>65</v>
      </c>
      <c r="Q844" t="s">
        <v>30</v>
      </c>
      <c r="R844">
        <v>520</v>
      </c>
      <c r="S844">
        <v>65</v>
      </c>
      <c r="T844" t="s">
        <v>49</v>
      </c>
      <c r="U844" t="s">
        <v>32</v>
      </c>
      <c r="V844" t="s">
        <v>49</v>
      </c>
      <c r="W844" t="s">
        <v>31</v>
      </c>
      <c r="X844" t="s">
        <v>96</v>
      </c>
      <c r="Y844" t="s">
        <v>50</v>
      </c>
      <c r="Z844" t="s">
        <v>44</v>
      </c>
      <c r="AA844" t="s">
        <v>74</v>
      </c>
      <c r="AB844" t="s">
        <v>46</v>
      </c>
      <c r="AC844">
        <f>IF(Cdacdata[[#This Row],[placement_status]]="Placed",1,0)</f>
        <v>1</v>
      </c>
      <c r="AD844" t="s">
        <v>213</v>
      </c>
      <c r="AE844" t="s">
        <v>47</v>
      </c>
      <c r="AF844" t="s">
        <v>55</v>
      </c>
      <c r="AG844">
        <v>2022</v>
      </c>
      <c r="AH844" t="s">
        <v>40</v>
      </c>
      <c r="AI844" t="str">
        <f>IF(Cdacdata[ccat_rank]&lt;=100,"Top 100",
IF(Cdacdata[ccat_rank]&lt;=500,"101–500",
IF(Cdacdata[ccat_rank]&lt;=1000,"501–1000",
"1000+")))</f>
        <v>1000+</v>
      </c>
    </row>
    <row r="845" spans="1:35" x14ac:dyDescent="0.3">
      <c r="A845" s="1" t="s">
        <v>212</v>
      </c>
      <c r="B845">
        <v>220603571</v>
      </c>
      <c r="C845" s="2">
        <v>44812</v>
      </c>
      <c r="D845" s="2" t="s">
        <v>1083</v>
      </c>
      <c r="E845">
        <v>2588</v>
      </c>
      <c r="F845" s="2">
        <v>34374</v>
      </c>
      <c r="G845">
        <v>72.73</v>
      </c>
      <c r="H845">
        <v>62.83</v>
      </c>
      <c r="I845" t="s">
        <v>26</v>
      </c>
      <c r="J845">
        <v>68.900000000000006</v>
      </c>
      <c r="K845" s="3">
        <f t="shared" si="13"/>
        <v>68.153333333333336</v>
      </c>
      <c r="L845" t="s">
        <v>27</v>
      </c>
      <c r="M845" t="s">
        <v>41</v>
      </c>
      <c r="N845">
        <v>28</v>
      </c>
      <c r="O845" t="s">
        <v>28</v>
      </c>
      <c r="P845" t="s">
        <v>26</v>
      </c>
      <c r="Q845" t="s">
        <v>30</v>
      </c>
      <c r="R845">
        <v>438</v>
      </c>
      <c r="S845">
        <v>54.75</v>
      </c>
      <c r="T845" t="s">
        <v>31</v>
      </c>
      <c r="U845" t="s">
        <v>32</v>
      </c>
      <c r="V845" t="s">
        <v>31</v>
      </c>
      <c r="W845" t="s">
        <v>33</v>
      </c>
      <c r="X845" t="s">
        <v>96</v>
      </c>
      <c r="Y845" t="s">
        <v>35</v>
      </c>
      <c r="Z845" t="s">
        <v>36</v>
      </c>
      <c r="AA845" t="s">
        <v>1268</v>
      </c>
      <c r="AB845" t="s">
        <v>36</v>
      </c>
      <c r="AC845">
        <f>IF(Cdacdata[[#This Row],[placement_status]]="Placed",1,0)</f>
        <v>0</v>
      </c>
      <c r="AD845" t="s">
        <v>213</v>
      </c>
      <c r="AE845" t="s">
        <v>38</v>
      </c>
      <c r="AF845" t="s">
        <v>55</v>
      </c>
      <c r="AG845">
        <v>2022</v>
      </c>
      <c r="AH845" t="s">
        <v>40</v>
      </c>
      <c r="AI845" t="str">
        <f>IF(Cdacdata[ccat_rank]&lt;=100,"Top 100",
IF(Cdacdata[ccat_rank]&lt;=500,"101–500",
IF(Cdacdata[ccat_rank]&lt;=1000,"501–1000",
"1000+")))</f>
        <v>1000+</v>
      </c>
    </row>
    <row r="846" spans="1:35" x14ac:dyDescent="0.3">
      <c r="A846" s="1" t="s">
        <v>212</v>
      </c>
      <c r="B846">
        <v>220603530</v>
      </c>
      <c r="C846" s="2">
        <v>44814</v>
      </c>
      <c r="D846" s="2" t="s">
        <v>1084</v>
      </c>
      <c r="E846">
        <v>1847</v>
      </c>
      <c r="F846" s="2">
        <v>35463</v>
      </c>
      <c r="G846">
        <v>94</v>
      </c>
      <c r="H846">
        <v>65</v>
      </c>
      <c r="I846" t="s">
        <v>26</v>
      </c>
      <c r="J846">
        <v>7.4</v>
      </c>
      <c r="K846" s="3">
        <f t="shared" si="13"/>
        <v>55.466666666666669</v>
      </c>
      <c r="L846" t="s">
        <v>27</v>
      </c>
      <c r="M846" t="s">
        <v>27</v>
      </c>
      <c r="N846">
        <v>25</v>
      </c>
      <c r="O846" t="s">
        <v>62</v>
      </c>
      <c r="P846" t="s">
        <v>65</v>
      </c>
      <c r="Q846" t="s">
        <v>30</v>
      </c>
      <c r="R846">
        <v>511</v>
      </c>
      <c r="S846">
        <v>63.875</v>
      </c>
      <c r="T846" t="s">
        <v>33</v>
      </c>
      <c r="U846" t="s">
        <v>32</v>
      </c>
      <c r="V846" t="s">
        <v>33</v>
      </c>
      <c r="W846" t="s">
        <v>33</v>
      </c>
      <c r="X846" t="s">
        <v>96</v>
      </c>
      <c r="Y846" t="s">
        <v>50</v>
      </c>
      <c r="Z846" t="s">
        <v>36</v>
      </c>
      <c r="AA846" t="s">
        <v>1268</v>
      </c>
      <c r="AB846" t="s">
        <v>36</v>
      </c>
      <c r="AC846">
        <f>IF(Cdacdata[[#This Row],[placement_status]]="Placed",1,0)</f>
        <v>0</v>
      </c>
      <c r="AD846" t="s">
        <v>213</v>
      </c>
      <c r="AE846" t="s">
        <v>47</v>
      </c>
      <c r="AF846" t="s">
        <v>39</v>
      </c>
      <c r="AG846">
        <v>2022</v>
      </c>
      <c r="AH846" t="s">
        <v>40</v>
      </c>
      <c r="AI846" t="str">
        <f>IF(Cdacdata[ccat_rank]&lt;=100,"Top 100",
IF(Cdacdata[ccat_rank]&lt;=500,"101–500",
IF(Cdacdata[ccat_rank]&lt;=1000,"501–1000",
"1000+")))</f>
        <v>1000+</v>
      </c>
    </row>
    <row r="847" spans="1:35" x14ac:dyDescent="0.3">
      <c r="A847" s="1" t="s">
        <v>212</v>
      </c>
      <c r="B847">
        <v>220600231</v>
      </c>
      <c r="C847" s="2">
        <v>44814</v>
      </c>
      <c r="D847" s="2" t="s">
        <v>1085</v>
      </c>
      <c r="E847">
        <v>2902</v>
      </c>
      <c r="F847" s="2">
        <v>35353</v>
      </c>
      <c r="G847">
        <v>55.82</v>
      </c>
      <c r="H847" t="s">
        <v>26</v>
      </c>
      <c r="I847">
        <v>60.29</v>
      </c>
      <c r="J847">
        <v>67.36</v>
      </c>
      <c r="K847" s="3">
        <f t="shared" si="13"/>
        <v>61.156666666666666</v>
      </c>
      <c r="L847" t="s">
        <v>27</v>
      </c>
      <c r="M847" t="s">
        <v>27</v>
      </c>
      <c r="N847">
        <v>25</v>
      </c>
      <c r="O847" t="s">
        <v>28</v>
      </c>
      <c r="P847" t="s">
        <v>42</v>
      </c>
      <c r="Q847" t="s">
        <v>30</v>
      </c>
      <c r="R847">
        <v>529</v>
      </c>
      <c r="S847">
        <v>66.125</v>
      </c>
      <c r="T847" t="s">
        <v>33</v>
      </c>
      <c r="U847" t="s">
        <v>32</v>
      </c>
      <c r="V847" t="s">
        <v>33</v>
      </c>
      <c r="W847" t="s">
        <v>49</v>
      </c>
      <c r="X847" t="s">
        <v>96</v>
      </c>
      <c r="Y847" t="s">
        <v>50</v>
      </c>
      <c r="Z847" t="s">
        <v>36</v>
      </c>
      <c r="AA847" t="s">
        <v>1268</v>
      </c>
      <c r="AB847" t="s">
        <v>36</v>
      </c>
      <c r="AC847">
        <f>IF(Cdacdata[[#This Row],[placement_status]]="Placed",1,0)</f>
        <v>0</v>
      </c>
      <c r="AD847" t="s">
        <v>213</v>
      </c>
      <c r="AE847" t="s">
        <v>38</v>
      </c>
      <c r="AF847" t="s">
        <v>39</v>
      </c>
      <c r="AG847">
        <v>2022</v>
      </c>
      <c r="AH847" t="s">
        <v>40</v>
      </c>
      <c r="AI847" t="str">
        <f>IF(Cdacdata[ccat_rank]&lt;=100,"Top 100",
IF(Cdacdata[ccat_rank]&lt;=500,"101–500",
IF(Cdacdata[ccat_rank]&lt;=1000,"501–1000",
"1000+")))</f>
        <v>1000+</v>
      </c>
    </row>
    <row r="848" spans="1:35" x14ac:dyDescent="0.3">
      <c r="A848" s="1" t="s">
        <v>212</v>
      </c>
      <c r="B848">
        <v>220702559</v>
      </c>
      <c r="C848" s="2">
        <v>44813</v>
      </c>
      <c r="D848" s="2" t="s">
        <v>1086</v>
      </c>
      <c r="E848">
        <v>1948</v>
      </c>
      <c r="F848" s="2">
        <v>36407</v>
      </c>
      <c r="G848">
        <v>80.8</v>
      </c>
      <c r="H848">
        <v>58.77</v>
      </c>
      <c r="I848" t="s">
        <v>26</v>
      </c>
      <c r="J848">
        <v>7.1</v>
      </c>
      <c r="K848" s="3">
        <f t="shared" si="13"/>
        <v>48.889999999999993</v>
      </c>
      <c r="L848" t="s">
        <v>27</v>
      </c>
      <c r="M848" t="s">
        <v>41</v>
      </c>
      <c r="N848">
        <v>23</v>
      </c>
      <c r="O848" t="s">
        <v>62</v>
      </c>
      <c r="P848" t="s">
        <v>60</v>
      </c>
      <c r="Q848" t="s">
        <v>30</v>
      </c>
      <c r="R848">
        <v>576</v>
      </c>
      <c r="S848">
        <v>72</v>
      </c>
      <c r="T848" t="s">
        <v>33</v>
      </c>
      <c r="U848" t="s">
        <v>32</v>
      </c>
      <c r="V848" t="s">
        <v>33</v>
      </c>
      <c r="W848" t="s">
        <v>49</v>
      </c>
      <c r="X848" t="s">
        <v>96</v>
      </c>
      <c r="Y848" t="s">
        <v>58</v>
      </c>
      <c r="Z848" t="s">
        <v>44</v>
      </c>
      <c r="AA848" t="s">
        <v>239</v>
      </c>
      <c r="AB848" t="s">
        <v>46</v>
      </c>
      <c r="AC848">
        <f>IF(Cdacdata[[#This Row],[placement_status]]="Placed",1,0)</f>
        <v>1</v>
      </c>
      <c r="AD848" t="s">
        <v>213</v>
      </c>
      <c r="AE848" t="s">
        <v>47</v>
      </c>
      <c r="AF848" t="s">
        <v>39</v>
      </c>
      <c r="AG848">
        <v>2022</v>
      </c>
      <c r="AH848" t="s">
        <v>40</v>
      </c>
      <c r="AI848" t="str">
        <f>IF(Cdacdata[ccat_rank]&lt;=100,"Top 100",
IF(Cdacdata[ccat_rank]&lt;=500,"101–500",
IF(Cdacdata[ccat_rank]&lt;=1000,"501–1000",
"1000+")))</f>
        <v>1000+</v>
      </c>
    </row>
    <row r="849" spans="1:35" x14ac:dyDescent="0.3">
      <c r="A849" s="1" t="s">
        <v>212</v>
      </c>
      <c r="B849">
        <v>220705367</v>
      </c>
      <c r="C849" s="2">
        <v>44812</v>
      </c>
      <c r="D849" s="2" t="s">
        <v>1087</v>
      </c>
      <c r="E849">
        <v>2434</v>
      </c>
      <c r="F849" s="2">
        <v>35343</v>
      </c>
      <c r="G849">
        <v>90.91</v>
      </c>
      <c r="H849">
        <v>76.62</v>
      </c>
      <c r="I849" t="s">
        <v>26</v>
      </c>
      <c r="J849">
        <v>64.8</v>
      </c>
      <c r="K849" s="3">
        <f t="shared" si="13"/>
        <v>77.443333333333328</v>
      </c>
      <c r="L849" t="s">
        <v>27</v>
      </c>
      <c r="M849" t="s">
        <v>27</v>
      </c>
      <c r="N849">
        <v>25</v>
      </c>
      <c r="O849" t="s">
        <v>28</v>
      </c>
      <c r="P849" t="s">
        <v>42</v>
      </c>
      <c r="Q849" t="s">
        <v>30</v>
      </c>
      <c r="R849">
        <v>557</v>
      </c>
      <c r="S849">
        <v>69.625</v>
      </c>
      <c r="T849" t="s">
        <v>33</v>
      </c>
      <c r="U849" t="s">
        <v>32</v>
      </c>
      <c r="V849" t="s">
        <v>33</v>
      </c>
      <c r="W849" t="s">
        <v>49</v>
      </c>
      <c r="X849" t="s">
        <v>96</v>
      </c>
      <c r="Y849" t="s">
        <v>50</v>
      </c>
      <c r="Z849" t="s">
        <v>44</v>
      </c>
      <c r="AA849" t="s">
        <v>240</v>
      </c>
      <c r="AB849" t="s">
        <v>46</v>
      </c>
      <c r="AC849">
        <f>IF(Cdacdata[[#This Row],[placement_status]]="Placed",1,0)</f>
        <v>1</v>
      </c>
      <c r="AD849" t="s">
        <v>213</v>
      </c>
      <c r="AE849" t="s">
        <v>38</v>
      </c>
      <c r="AF849" t="s">
        <v>39</v>
      </c>
      <c r="AG849">
        <v>2022</v>
      </c>
      <c r="AH849" t="s">
        <v>40</v>
      </c>
      <c r="AI849" t="str">
        <f>IF(Cdacdata[ccat_rank]&lt;=100,"Top 100",
IF(Cdacdata[ccat_rank]&lt;=500,"101–500",
IF(Cdacdata[ccat_rank]&lt;=1000,"501–1000",
"1000+")))</f>
        <v>1000+</v>
      </c>
    </row>
    <row r="850" spans="1:35" x14ac:dyDescent="0.3">
      <c r="A850" s="1" t="s">
        <v>212</v>
      </c>
      <c r="B850">
        <v>220603437</v>
      </c>
      <c r="C850" s="2">
        <v>44816</v>
      </c>
      <c r="D850" s="2" t="s">
        <v>1088</v>
      </c>
      <c r="E850">
        <v>328</v>
      </c>
      <c r="F850" s="2">
        <v>35155</v>
      </c>
      <c r="G850">
        <v>94.55</v>
      </c>
      <c r="H850">
        <v>75.83</v>
      </c>
      <c r="I850" t="s">
        <v>26</v>
      </c>
      <c r="J850">
        <v>66.56</v>
      </c>
      <c r="K850" s="3">
        <f t="shared" si="13"/>
        <v>78.98</v>
      </c>
      <c r="L850" t="s">
        <v>27</v>
      </c>
      <c r="M850" t="s">
        <v>41</v>
      </c>
      <c r="N850">
        <v>26</v>
      </c>
      <c r="O850" t="s">
        <v>28</v>
      </c>
      <c r="P850" t="s">
        <v>60</v>
      </c>
      <c r="Q850" t="s">
        <v>30</v>
      </c>
      <c r="R850">
        <v>504</v>
      </c>
      <c r="S850">
        <v>63</v>
      </c>
      <c r="T850" t="s">
        <v>49</v>
      </c>
      <c r="U850" t="s">
        <v>32</v>
      </c>
      <c r="V850" t="s">
        <v>49</v>
      </c>
      <c r="W850" t="s">
        <v>49</v>
      </c>
      <c r="X850" t="s">
        <v>96</v>
      </c>
      <c r="Y850" t="s">
        <v>50</v>
      </c>
      <c r="Z850" t="s">
        <v>36</v>
      </c>
      <c r="AA850" t="s">
        <v>1268</v>
      </c>
      <c r="AB850" t="s">
        <v>36</v>
      </c>
      <c r="AC850">
        <f>IF(Cdacdata[[#This Row],[placement_status]]="Placed",1,0)</f>
        <v>0</v>
      </c>
      <c r="AD850" t="s">
        <v>213</v>
      </c>
      <c r="AE850" t="s">
        <v>75</v>
      </c>
      <c r="AF850" t="s">
        <v>55</v>
      </c>
      <c r="AG850">
        <v>2022</v>
      </c>
      <c r="AH850" t="s">
        <v>40</v>
      </c>
      <c r="AI850" t="str">
        <f>IF(Cdacdata[ccat_rank]&lt;=100,"Top 100",
IF(Cdacdata[ccat_rank]&lt;=500,"101–500",
IF(Cdacdata[ccat_rank]&lt;=1000,"501–1000",
"1000+")))</f>
        <v>101–500</v>
      </c>
    </row>
    <row r="851" spans="1:35" x14ac:dyDescent="0.3">
      <c r="A851" s="1" t="s">
        <v>212</v>
      </c>
      <c r="B851">
        <v>220711963</v>
      </c>
      <c r="C851" s="2">
        <v>44812</v>
      </c>
      <c r="D851" s="2" t="s">
        <v>1089</v>
      </c>
      <c r="E851">
        <v>2154</v>
      </c>
      <c r="F851" s="2">
        <v>33218</v>
      </c>
      <c r="G851">
        <v>65.84</v>
      </c>
      <c r="H851">
        <v>44.67</v>
      </c>
      <c r="I851" t="s">
        <v>26</v>
      </c>
      <c r="J851">
        <v>62.2</v>
      </c>
      <c r="K851" s="3">
        <f t="shared" si="13"/>
        <v>57.57</v>
      </c>
      <c r="L851" t="s">
        <v>27</v>
      </c>
      <c r="M851" t="s">
        <v>27</v>
      </c>
      <c r="N851">
        <v>31</v>
      </c>
      <c r="O851" t="s">
        <v>28</v>
      </c>
      <c r="P851" t="s">
        <v>60</v>
      </c>
      <c r="Q851" t="s">
        <v>30</v>
      </c>
      <c r="R851">
        <v>444</v>
      </c>
      <c r="S851">
        <v>55.5</v>
      </c>
      <c r="T851" t="s">
        <v>31</v>
      </c>
      <c r="U851" t="s">
        <v>32</v>
      </c>
      <c r="V851" t="s">
        <v>31</v>
      </c>
      <c r="W851" t="s">
        <v>33</v>
      </c>
      <c r="X851" t="s">
        <v>96</v>
      </c>
      <c r="Y851" t="s">
        <v>35</v>
      </c>
      <c r="Z851" t="s">
        <v>36</v>
      </c>
      <c r="AA851" t="s">
        <v>1268</v>
      </c>
      <c r="AB851" t="s">
        <v>36</v>
      </c>
      <c r="AC851">
        <f>IF(Cdacdata[[#This Row],[placement_status]]="Placed",1,0)</f>
        <v>0</v>
      </c>
      <c r="AD851" t="s">
        <v>213</v>
      </c>
      <c r="AE851" t="s">
        <v>38</v>
      </c>
      <c r="AF851" t="s">
        <v>69</v>
      </c>
      <c r="AG851">
        <v>2022</v>
      </c>
      <c r="AH851" t="s">
        <v>40</v>
      </c>
      <c r="AI851" t="str">
        <f>IF(Cdacdata[ccat_rank]&lt;=100,"Top 100",
IF(Cdacdata[ccat_rank]&lt;=500,"101–500",
IF(Cdacdata[ccat_rank]&lt;=1000,"501–1000",
"1000+")))</f>
        <v>1000+</v>
      </c>
    </row>
    <row r="852" spans="1:35" x14ac:dyDescent="0.3">
      <c r="A852" s="1" t="s">
        <v>212</v>
      </c>
      <c r="B852">
        <v>220708029</v>
      </c>
      <c r="C852" s="2">
        <v>44817</v>
      </c>
      <c r="D852" s="2" t="s">
        <v>1090</v>
      </c>
      <c r="E852">
        <v>2252</v>
      </c>
      <c r="F852" s="2">
        <v>35710</v>
      </c>
      <c r="G852">
        <v>80</v>
      </c>
      <c r="H852">
        <v>60.61</v>
      </c>
      <c r="I852" t="s">
        <v>26</v>
      </c>
      <c r="J852">
        <v>74.760000000000005</v>
      </c>
      <c r="K852" s="3">
        <f t="shared" si="13"/>
        <v>71.790000000000006</v>
      </c>
      <c r="L852" t="s">
        <v>27</v>
      </c>
      <c r="M852" t="s">
        <v>27</v>
      </c>
      <c r="N852">
        <v>24</v>
      </c>
      <c r="O852" t="s">
        <v>62</v>
      </c>
      <c r="P852" t="s">
        <v>60</v>
      </c>
      <c r="Q852" t="s">
        <v>30</v>
      </c>
      <c r="R852">
        <v>533</v>
      </c>
      <c r="S852">
        <v>66.625</v>
      </c>
      <c r="T852" t="s">
        <v>33</v>
      </c>
      <c r="U852" t="s">
        <v>32</v>
      </c>
      <c r="V852" t="s">
        <v>33</v>
      </c>
      <c r="W852" t="s">
        <v>33</v>
      </c>
      <c r="X852" t="s">
        <v>96</v>
      </c>
      <c r="Y852" t="s">
        <v>50</v>
      </c>
      <c r="Z852" t="s">
        <v>36</v>
      </c>
      <c r="AA852" t="s">
        <v>1268</v>
      </c>
      <c r="AB852" t="s">
        <v>36</v>
      </c>
      <c r="AC852">
        <f>IF(Cdacdata[[#This Row],[placement_status]]="Placed",1,0)</f>
        <v>0</v>
      </c>
      <c r="AD852" t="s">
        <v>213</v>
      </c>
      <c r="AE852" t="s">
        <v>38</v>
      </c>
      <c r="AF852" t="s">
        <v>39</v>
      </c>
      <c r="AG852">
        <v>2022</v>
      </c>
      <c r="AH852" t="s">
        <v>40</v>
      </c>
      <c r="AI852" t="str">
        <f>IF(Cdacdata[ccat_rank]&lt;=100,"Top 100",
IF(Cdacdata[ccat_rank]&lt;=500,"101–500",
IF(Cdacdata[ccat_rank]&lt;=1000,"501–1000",
"1000+")))</f>
        <v>1000+</v>
      </c>
    </row>
    <row r="853" spans="1:35" x14ac:dyDescent="0.3">
      <c r="A853" s="1" t="s">
        <v>212</v>
      </c>
      <c r="B853">
        <v>220700086</v>
      </c>
      <c r="C853" s="2">
        <v>44816</v>
      </c>
      <c r="D853" s="2" t="s">
        <v>1091</v>
      </c>
      <c r="E853">
        <v>2296</v>
      </c>
      <c r="F853" s="2">
        <v>35964</v>
      </c>
      <c r="G853">
        <v>78</v>
      </c>
      <c r="H853" t="s">
        <v>26</v>
      </c>
      <c r="I853">
        <v>73</v>
      </c>
      <c r="J853">
        <v>78</v>
      </c>
      <c r="K853" s="3">
        <f t="shared" si="13"/>
        <v>76.333333333333329</v>
      </c>
      <c r="L853" t="s">
        <v>27</v>
      </c>
      <c r="M853" t="s">
        <v>41</v>
      </c>
      <c r="N853">
        <v>24</v>
      </c>
      <c r="O853" t="s">
        <v>48</v>
      </c>
      <c r="P853" t="s">
        <v>56</v>
      </c>
      <c r="Q853" t="s">
        <v>43</v>
      </c>
      <c r="R853">
        <v>486</v>
      </c>
      <c r="S853">
        <v>60.75</v>
      </c>
      <c r="T853" t="s">
        <v>33</v>
      </c>
      <c r="U853" t="s">
        <v>32</v>
      </c>
      <c r="V853" t="s">
        <v>33</v>
      </c>
      <c r="W853" t="s">
        <v>33</v>
      </c>
      <c r="X853" t="s">
        <v>96</v>
      </c>
      <c r="Y853" t="s">
        <v>50</v>
      </c>
      <c r="Z853" t="s">
        <v>36</v>
      </c>
      <c r="AA853" t="s">
        <v>1268</v>
      </c>
      <c r="AB853" t="s">
        <v>36</v>
      </c>
      <c r="AC853">
        <f>IF(Cdacdata[[#This Row],[placement_status]]="Placed",1,0)</f>
        <v>0</v>
      </c>
      <c r="AD853" t="s">
        <v>213</v>
      </c>
      <c r="AE853" t="s">
        <v>38</v>
      </c>
      <c r="AF853" t="s">
        <v>39</v>
      </c>
      <c r="AG853">
        <v>2022</v>
      </c>
      <c r="AH853" t="s">
        <v>40</v>
      </c>
      <c r="AI853" t="str">
        <f>IF(Cdacdata[ccat_rank]&lt;=100,"Top 100",
IF(Cdacdata[ccat_rank]&lt;=500,"101–500",
IF(Cdacdata[ccat_rank]&lt;=1000,"501–1000",
"1000+")))</f>
        <v>1000+</v>
      </c>
    </row>
    <row r="854" spans="1:35" x14ac:dyDescent="0.3">
      <c r="A854" s="1" t="s">
        <v>212</v>
      </c>
      <c r="B854">
        <v>220700380</v>
      </c>
      <c r="C854" s="2">
        <v>44815</v>
      </c>
      <c r="D854" s="2" t="s">
        <v>1092</v>
      </c>
      <c r="E854">
        <v>2006</v>
      </c>
      <c r="F854" s="2">
        <v>35266</v>
      </c>
      <c r="G854">
        <v>71.16</v>
      </c>
      <c r="H854">
        <v>81</v>
      </c>
      <c r="I854" t="s">
        <v>26</v>
      </c>
      <c r="J854">
        <v>75.83</v>
      </c>
      <c r="K854" s="3">
        <f t="shared" si="13"/>
        <v>75.99666666666667</v>
      </c>
      <c r="L854" t="s">
        <v>27</v>
      </c>
      <c r="M854" t="s">
        <v>27</v>
      </c>
      <c r="N854">
        <v>26</v>
      </c>
      <c r="O854" t="s">
        <v>48</v>
      </c>
      <c r="P854" t="s">
        <v>42</v>
      </c>
      <c r="Q854" t="s">
        <v>43</v>
      </c>
      <c r="R854">
        <v>551</v>
      </c>
      <c r="S854">
        <v>68.875</v>
      </c>
      <c r="T854" t="s">
        <v>49</v>
      </c>
      <c r="U854" t="s">
        <v>32</v>
      </c>
      <c r="V854" t="s">
        <v>49</v>
      </c>
      <c r="W854" t="s">
        <v>33</v>
      </c>
      <c r="X854" t="s">
        <v>96</v>
      </c>
      <c r="Y854" t="s">
        <v>50</v>
      </c>
      <c r="Z854" t="s">
        <v>44</v>
      </c>
      <c r="AA854" t="s">
        <v>221</v>
      </c>
      <c r="AB854" t="s">
        <v>46</v>
      </c>
      <c r="AC854">
        <f>IF(Cdacdata[[#This Row],[placement_status]]="Placed",1,0)</f>
        <v>1</v>
      </c>
      <c r="AD854" t="s">
        <v>213</v>
      </c>
      <c r="AE854" t="s">
        <v>38</v>
      </c>
      <c r="AF854" t="s">
        <v>55</v>
      </c>
      <c r="AG854">
        <v>2022</v>
      </c>
      <c r="AH854" t="s">
        <v>40</v>
      </c>
      <c r="AI854" t="str">
        <f>IF(Cdacdata[ccat_rank]&lt;=100,"Top 100",
IF(Cdacdata[ccat_rank]&lt;=500,"101–500",
IF(Cdacdata[ccat_rank]&lt;=1000,"501–1000",
"1000+")))</f>
        <v>1000+</v>
      </c>
    </row>
    <row r="855" spans="1:35" x14ac:dyDescent="0.3">
      <c r="A855" s="1" t="s">
        <v>212</v>
      </c>
      <c r="B855">
        <v>220710902</v>
      </c>
      <c r="C855" s="2">
        <v>44815</v>
      </c>
      <c r="D855" s="2" t="s">
        <v>1093</v>
      </c>
      <c r="E855">
        <v>2547</v>
      </c>
      <c r="F855" s="2">
        <v>36258</v>
      </c>
      <c r="G855">
        <v>83.6</v>
      </c>
      <c r="H855">
        <v>81.400000000000006</v>
      </c>
      <c r="I855" t="s">
        <v>26</v>
      </c>
      <c r="J855">
        <v>91.5</v>
      </c>
      <c r="K855" s="3">
        <f t="shared" si="13"/>
        <v>85.5</v>
      </c>
      <c r="L855" t="s">
        <v>27</v>
      </c>
      <c r="M855" t="s">
        <v>27</v>
      </c>
      <c r="N855">
        <v>23</v>
      </c>
      <c r="O855" t="s">
        <v>48</v>
      </c>
      <c r="P855" t="s">
        <v>52</v>
      </c>
      <c r="Q855" t="s">
        <v>43</v>
      </c>
      <c r="R855">
        <v>572</v>
      </c>
      <c r="S855">
        <v>71.5</v>
      </c>
      <c r="T855" t="s">
        <v>49</v>
      </c>
      <c r="U855" t="s">
        <v>32</v>
      </c>
      <c r="V855" t="s">
        <v>49</v>
      </c>
      <c r="W855" t="s">
        <v>33</v>
      </c>
      <c r="X855" t="s">
        <v>96</v>
      </c>
      <c r="Y855" t="s">
        <v>58</v>
      </c>
      <c r="Z855" t="s">
        <v>44</v>
      </c>
      <c r="AA855" t="s">
        <v>183</v>
      </c>
      <c r="AB855" t="s">
        <v>46</v>
      </c>
      <c r="AC855">
        <f>IF(Cdacdata[[#This Row],[placement_status]]="Placed",1,0)</f>
        <v>1</v>
      </c>
      <c r="AD855" t="s">
        <v>213</v>
      </c>
      <c r="AE855" t="s">
        <v>38</v>
      </c>
      <c r="AF855" t="s">
        <v>39</v>
      </c>
      <c r="AG855">
        <v>2022</v>
      </c>
      <c r="AH855" t="s">
        <v>40</v>
      </c>
      <c r="AI855" t="str">
        <f>IF(Cdacdata[ccat_rank]&lt;=100,"Top 100",
IF(Cdacdata[ccat_rank]&lt;=500,"101–500",
IF(Cdacdata[ccat_rank]&lt;=1000,"501–1000",
"1000+")))</f>
        <v>1000+</v>
      </c>
    </row>
    <row r="856" spans="1:35" x14ac:dyDescent="0.3">
      <c r="A856" s="1" t="s">
        <v>212</v>
      </c>
      <c r="B856">
        <v>220710391</v>
      </c>
      <c r="C856" s="2">
        <v>44816</v>
      </c>
      <c r="D856" s="2" t="s">
        <v>1094</v>
      </c>
      <c r="E856">
        <v>2352</v>
      </c>
      <c r="F856" s="2">
        <v>34926</v>
      </c>
      <c r="G856">
        <v>93.1</v>
      </c>
      <c r="H856">
        <v>71.83</v>
      </c>
      <c r="I856" t="s">
        <v>26</v>
      </c>
      <c r="J856">
        <v>76.2</v>
      </c>
      <c r="K856" s="3">
        <f t="shared" si="13"/>
        <v>80.376666666666665</v>
      </c>
      <c r="L856" t="s">
        <v>27</v>
      </c>
      <c r="M856" t="s">
        <v>27</v>
      </c>
      <c r="N856">
        <v>27</v>
      </c>
      <c r="O856" t="s">
        <v>48</v>
      </c>
      <c r="P856" t="s">
        <v>65</v>
      </c>
      <c r="Q856" t="s">
        <v>43</v>
      </c>
      <c r="R856">
        <v>662</v>
      </c>
      <c r="S856">
        <v>82.75</v>
      </c>
      <c r="T856" t="s">
        <v>49</v>
      </c>
      <c r="U856" t="s">
        <v>32</v>
      </c>
      <c r="V856" t="s">
        <v>49</v>
      </c>
      <c r="W856" t="s">
        <v>49</v>
      </c>
      <c r="X856" t="s">
        <v>96</v>
      </c>
      <c r="Y856" t="s">
        <v>58</v>
      </c>
      <c r="Z856" t="s">
        <v>36</v>
      </c>
      <c r="AA856" t="s">
        <v>1268</v>
      </c>
      <c r="AB856" t="s">
        <v>36</v>
      </c>
      <c r="AC856">
        <f>IF(Cdacdata[[#This Row],[placement_status]]="Placed",1,0)</f>
        <v>0</v>
      </c>
      <c r="AD856" t="s">
        <v>213</v>
      </c>
      <c r="AE856" t="s">
        <v>38</v>
      </c>
      <c r="AF856" t="s">
        <v>55</v>
      </c>
      <c r="AG856">
        <v>2022</v>
      </c>
      <c r="AH856" t="s">
        <v>40</v>
      </c>
      <c r="AI856" t="str">
        <f>IF(Cdacdata[ccat_rank]&lt;=100,"Top 100",
IF(Cdacdata[ccat_rank]&lt;=500,"101–500",
IF(Cdacdata[ccat_rank]&lt;=1000,"501–1000",
"1000+")))</f>
        <v>1000+</v>
      </c>
    </row>
    <row r="857" spans="1:35" x14ac:dyDescent="0.3">
      <c r="A857" s="1" t="s">
        <v>212</v>
      </c>
      <c r="B857">
        <v>220604308</v>
      </c>
      <c r="C857" s="2">
        <v>44818</v>
      </c>
      <c r="D857" s="2" t="s">
        <v>1095</v>
      </c>
      <c r="E857">
        <v>1985</v>
      </c>
      <c r="F857" s="2">
        <v>35210</v>
      </c>
      <c r="G857">
        <v>90.73</v>
      </c>
      <c r="H857">
        <v>77</v>
      </c>
      <c r="I857" t="s">
        <v>26</v>
      </c>
      <c r="J857">
        <v>61.41</v>
      </c>
      <c r="K857" s="3">
        <f t="shared" si="13"/>
        <v>76.38000000000001</v>
      </c>
      <c r="L857" t="s">
        <v>27</v>
      </c>
      <c r="M857" t="s">
        <v>27</v>
      </c>
      <c r="N857">
        <v>26</v>
      </c>
      <c r="O857" t="s">
        <v>28</v>
      </c>
      <c r="P857" t="s">
        <v>65</v>
      </c>
      <c r="Q857" t="s">
        <v>30</v>
      </c>
      <c r="R857">
        <v>563</v>
      </c>
      <c r="S857">
        <v>70.375</v>
      </c>
      <c r="T857" t="s">
        <v>33</v>
      </c>
      <c r="U857" t="s">
        <v>32</v>
      </c>
      <c r="V857" t="s">
        <v>33</v>
      </c>
      <c r="W857" t="s">
        <v>49</v>
      </c>
      <c r="X857" t="s">
        <v>96</v>
      </c>
      <c r="Y857" t="s">
        <v>58</v>
      </c>
      <c r="Z857" t="s">
        <v>44</v>
      </c>
      <c r="AA857" t="s">
        <v>241</v>
      </c>
      <c r="AB857" t="s">
        <v>46</v>
      </c>
      <c r="AC857">
        <f>IF(Cdacdata[[#This Row],[placement_status]]="Placed",1,0)</f>
        <v>1</v>
      </c>
      <c r="AD857" t="s">
        <v>213</v>
      </c>
      <c r="AE857" t="s">
        <v>47</v>
      </c>
      <c r="AF857" t="s">
        <v>55</v>
      </c>
      <c r="AG857">
        <v>2022</v>
      </c>
      <c r="AH857" t="s">
        <v>40</v>
      </c>
      <c r="AI857" t="str">
        <f>IF(Cdacdata[ccat_rank]&lt;=100,"Top 100",
IF(Cdacdata[ccat_rank]&lt;=500,"101–500",
IF(Cdacdata[ccat_rank]&lt;=1000,"501–1000",
"1000+")))</f>
        <v>1000+</v>
      </c>
    </row>
    <row r="858" spans="1:35" x14ac:dyDescent="0.3">
      <c r="A858" s="1" t="s">
        <v>212</v>
      </c>
      <c r="B858">
        <v>220606960</v>
      </c>
      <c r="C858" s="2">
        <v>44814</v>
      </c>
      <c r="D858" s="2" t="s">
        <v>1096</v>
      </c>
      <c r="E858">
        <v>3044</v>
      </c>
      <c r="F858" s="2">
        <v>33579</v>
      </c>
      <c r="G858">
        <v>85.23</v>
      </c>
      <c r="H858">
        <v>71.17</v>
      </c>
      <c r="I858" t="s">
        <v>26</v>
      </c>
      <c r="J858">
        <v>63.73</v>
      </c>
      <c r="K858" s="3">
        <f t="shared" si="13"/>
        <v>73.376666666666665</v>
      </c>
      <c r="L858" t="s">
        <v>27</v>
      </c>
      <c r="M858" t="s">
        <v>27</v>
      </c>
      <c r="N858">
        <v>30</v>
      </c>
      <c r="O858" t="s">
        <v>28</v>
      </c>
      <c r="P858" t="s">
        <v>65</v>
      </c>
      <c r="Q858" t="s">
        <v>30</v>
      </c>
      <c r="R858">
        <v>485</v>
      </c>
      <c r="S858">
        <v>60.625</v>
      </c>
      <c r="T858" t="s">
        <v>49</v>
      </c>
      <c r="U858" t="s">
        <v>32</v>
      </c>
      <c r="V858" t="s">
        <v>49</v>
      </c>
      <c r="W858" t="s">
        <v>33</v>
      </c>
      <c r="X858" t="s">
        <v>96</v>
      </c>
      <c r="Y858" t="s">
        <v>50</v>
      </c>
      <c r="Z858" t="s">
        <v>36</v>
      </c>
      <c r="AA858" t="s">
        <v>1268</v>
      </c>
      <c r="AB858" t="s">
        <v>36</v>
      </c>
      <c r="AC858">
        <f>IF(Cdacdata[[#This Row],[placement_status]]="Placed",1,0)</f>
        <v>0</v>
      </c>
      <c r="AD858" t="s">
        <v>213</v>
      </c>
      <c r="AE858" t="s">
        <v>98</v>
      </c>
      <c r="AF858" t="s">
        <v>69</v>
      </c>
      <c r="AG858">
        <v>2022</v>
      </c>
      <c r="AH858" t="s">
        <v>40</v>
      </c>
      <c r="AI858" t="str">
        <f>IF(Cdacdata[ccat_rank]&lt;=100,"Top 100",
IF(Cdacdata[ccat_rank]&lt;=500,"101–500",
IF(Cdacdata[ccat_rank]&lt;=1000,"501–1000",
"1000+")))</f>
        <v>1000+</v>
      </c>
    </row>
    <row r="859" spans="1:35" x14ac:dyDescent="0.3">
      <c r="A859" s="1" t="s">
        <v>212</v>
      </c>
      <c r="B859">
        <v>220701081</v>
      </c>
      <c r="C859" s="2">
        <v>44817</v>
      </c>
      <c r="D859" s="2" t="s">
        <v>1097</v>
      </c>
      <c r="E859">
        <v>2785</v>
      </c>
      <c r="F859" s="2">
        <v>35280</v>
      </c>
      <c r="G859">
        <v>81.64</v>
      </c>
      <c r="H859" t="s">
        <v>26</v>
      </c>
      <c r="I859">
        <v>73.88</v>
      </c>
      <c r="J859">
        <v>63.8</v>
      </c>
      <c r="K859" s="3">
        <f t="shared" si="13"/>
        <v>73.106666666666669</v>
      </c>
      <c r="L859" t="s">
        <v>27</v>
      </c>
      <c r="M859" t="s">
        <v>27</v>
      </c>
      <c r="N859">
        <v>26</v>
      </c>
      <c r="O859" t="s">
        <v>28</v>
      </c>
      <c r="P859" t="s">
        <v>65</v>
      </c>
      <c r="Q859" t="s">
        <v>30</v>
      </c>
      <c r="R859">
        <v>588</v>
      </c>
      <c r="S859">
        <v>73.5</v>
      </c>
      <c r="T859" t="s">
        <v>49</v>
      </c>
      <c r="U859" t="s">
        <v>32</v>
      </c>
      <c r="V859" t="s">
        <v>49</v>
      </c>
      <c r="W859" t="s">
        <v>49</v>
      </c>
      <c r="X859" t="s">
        <v>96</v>
      </c>
      <c r="Y859" t="s">
        <v>58</v>
      </c>
      <c r="Z859" t="s">
        <v>53</v>
      </c>
      <c r="AA859" t="s">
        <v>54</v>
      </c>
      <c r="AB859" t="s">
        <v>46</v>
      </c>
      <c r="AC859">
        <f>IF(Cdacdata[[#This Row],[placement_status]]="Placed",1,0)</f>
        <v>1</v>
      </c>
      <c r="AD859" t="s">
        <v>213</v>
      </c>
      <c r="AE859" t="s">
        <v>38</v>
      </c>
      <c r="AF859" t="s">
        <v>55</v>
      </c>
      <c r="AG859">
        <v>2022</v>
      </c>
      <c r="AH859" t="s">
        <v>40</v>
      </c>
      <c r="AI859" t="str">
        <f>IF(Cdacdata[ccat_rank]&lt;=100,"Top 100",
IF(Cdacdata[ccat_rank]&lt;=500,"101–500",
IF(Cdacdata[ccat_rank]&lt;=1000,"501–1000",
"1000+")))</f>
        <v>1000+</v>
      </c>
    </row>
    <row r="860" spans="1:35" x14ac:dyDescent="0.3">
      <c r="A860" s="1" t="s">
        <v>242</v>
      </c>
      <c r="B860">
        <v>210701213</v>
      </c>
      <c r="C860" s="2">
        <v>44455</v>
      </c>
      <c r="D860" s="2" t="s">
        <v>1098</v>
      </c>
      <c r="E860">
        <v>299</v>
      </c>
      <c r="F860" s="2">
        <v>35467</v>
      </c>
      <c r="G860">
        <v>83.64</v>
      </c>
      <c r="H860">
        <v>75.23</v>
      </c>
      <c r="I860" t="s">
        <v>26</v>
      </c>
      <c r="J860">
        <v>74.31</v>
      </c>
      <c r="K860" s="3">
        <f t="shared" si="13"/>
        <v>77.726666666666674</v>
      </c>
      <c r="L860" t="s">
        <v>27</v>
      </c>
      <c r="M860" t="s">
        <v>27</v>
      </c>
      <c r="N860">
        <v>24</v>
      </c>
      <c r="O860" t="s">
        <v>62</v>
      </c>
      <c r="P860" t="s">
        <v>26</v>
      </c>
      <c r="Q860" t="s">
        <v>30</v>
      </c>
      <c r="R860">
        <v>656</v>
      </c>
      <c r="S860">
        <v>82</v>
      </c>
      <c r="T860" t="s">
        <v>49</v>
      </c>
      <c r="U860" t="s">
        <v>32</v>
      </c>
      <c r="V860" t="s">
        <v>49</v>
      </c>
      <c r="W860" t="s">
        <v>49</v>
      </c>
      <c r="X860" t="s">
        <v>34</v>
      </c>
      <c r="Y860" t="s">
        <v>58</v>
      </c>
      <c r="Z860" t="s">
        <v>44</v>
      </c>
      <c r="AA860" t="s">
        <v>243</v>
      </c>
      <c r="AB860" t="s">
        <v>46</v>
      </c>
      <c r="AC860">
        <f>IF(Cdacdata[[#This Row],[placement_status]]="Placed",1,0)</f>
        <v>1</v>
      </c>
      <c r="AD860" t="s">
        <v>244</v>
      </c>
      <c r="AE860" t="s">
        <v>75</v>
      </c>
      <c r="AF860" t="s">
        <v>39</v>
      </c>
      <c r="AG860">
        <v>2021</v>
      </c>
      <c r="AH860" t="s">
        <v>40</v>
      </c>
      <c r="AI860" t="str">
        <f>IF(Cdacdata[ccat_rank]&lt;=100,"Top 100",
IF(Cdacdata[ccat_rank]&lt;=500,"101–500",
IF(Cdacdata[ccat_rank]&lt;=1000,"501–1000",
"1000+")))</f>
        <v>101–500</v>
      </c>
    </row>
    <row r="861" spans="1:35" x14ac:dyDescent="0.3">
      <c r="A861" s="1" t="s">
        <v>242</v>
      </c>
      <c r="B861">
        <v>210700824</v>
      </c>
      <c r="C861" s="2">
        <v>44454</v>
      </c>
      <c r="D861" s="2" t="s">
        <v>1099</v>
      </c>
      <c r="E861">
        <v>1503</v>
      </c>
      <c r="F861" s="2" t="s">
        <v>245</v>
      </c>
      <c r="G861">
        <v>77.819999999999993</v>
      </c>
      <c r="H861" t="s">
        <v>26</v>
      </c>
      <c r="I861">
        <v>67.94</v>
      </c>
      <c r="J861">
        <v>58.6</v>
      </c>
      <c r="K861" s="3">
        <f t="shared" si="13"/>
        <v>68.11999999999999</v>
      </c>
      <c r="L861" t="s">
        <v>27</v>
      </c>
      <c r="M861" t="s">
        <v>41</v>
      </c>
      <c r="N861">
        <v>24</v>
      </c>
      <c r="O861" t="s">
        <v>72</v>
      </c>
      <c r="P861" t="s">
        <v>42</v>
      </c>
      <c r="Q861" t="s">
        <v>30</v>
      </c>
      <c r="R861">
        <v>539</v>
      </c>
      <c r="S861">
        <v>67.375</v>
      </c>
      <c r="T861" t="s">
        <v>33</v>
      </c>
      <c r="U861" t="s">
        <v>32</v>
      </c>
      <c r="V861" t="s">
        <v>33</v>
      </c>
      <c r="W861" t="s">
        <v>31</v>
      </c>
      <c r="X861" t="s">
        <v>34</v>
      </c>
      <c r="Y861" t="s">
        <v>50</v>
      </c>
      <c r="Z861" t="s">
        <v>44</v>
      </c>
      <c r="AA861" t="s">
        <v>100</v>
      </c>
      <c r="AB861" t="s">
        <v>46</v>
      </c>
      <c r="AC861">
        <f>IF(Cdacdata[[#This Row],[placement_status]]="Placed",1,0)</f>
        <v>1</v>
      </c>
      <c r="AD861" t="s">
        <v>244</v>
      </c>
      <c r="AE861" t="s">
        <v>47</v>
      </c>
      <c r="AF861" t="s">
        <v>39</v>
      </c>
      <c r="AG861">
        <v>2021</v>
      </c>
      <c r="AH861" t="s">
        <v>40</v>
      </c>
      <c r="AI861" t="str">
        <f>IF(Cdacdata[ccat_rank]&lt;=100,"Top 100",
IF(Cdacdata[ccat_rank]&lt;=500,"101–500",
IF(Cdacdata[ccat_rank]&lt;=1000,"501–1000",
"1000+")))</f>
        <v>1000+</v>
      </c>
    </row>
    <row r="862" spans="1:35" x14ac:dyDescent="0.3">
      <c r="A862" s="1" t="s">
        <v>242</v>
      </c>
      <c r="B862">
        <v>210700481</v>
      </c>
      <c r="C862" s="2">
        <v>44454</v>
      </c>
      <c r="D862" s="2" t="s">
        <v>1100</v>
      </c>
      <c r="E862">
        <v>1403</v>
      </c>
      <c r="F862" s="2">
        <v>35797</v>
      </c>
      <c r="G862">
        <v>92.6</v>
      </c>
      <c r="H862">
        <v>68.319999999999993</v>
      </c>
      <c r="I862" t="s">
        <v>26</v>
      </c>
      <c r="J862">
        <v>62.1</v>
      </c>
      <c r="K862" s="3">
        <f t="shared" si="13"/>
        <v>74.339999999999989</v>
      </c>
      <c r="L862" t="s">
        <v>27</v>
      </c>
      <c r="M862" t="s">
        <v>41</v>
      </c>
      <c r="N862">
        <v>23</v>
      </c>
      <c r="O862" t="s">
        <v>28</v>
      </c>
      <c r="P862" t="s">
        <v>26</v>
      </c>
      <c r="Q862" t="s">
        <v>43</v>
      </c>
      <c r="R862">
        <v>531</v>
      </c>
      <c r="S862">
        <v>66.375</v>
      </c>
      <c r="T862" t="s">
        <v>31</v>
      </c>
      <c r="U862" t="s">
        <v>32</v>
      </c>
      <c r="V862" t="s">
        <v>31</v>
      </c>
      <c r="W862" t="s">
        <v>33</v>
      </c>
      <c r="X862" t="s">
        <v>34</v>
      </c>
      <c r="Y862" t="s">
        <v>50</v>
      </c>
      <c r="Z862" t="s">
        <v>44</v>
      </c>
      <c r="AA862" t="s">
        <v>132</v>
      </c>
      <c r="AB862" t="s">
        <v>46</v>
      </c>
      <c r="AC862">
        <f>IF(Cdacdata[[#This Row],[placement_status]]="Placed",1,0)</f>
        <v>1</v>
      </c>
      <c r="AD862" t="s">
        <v>244</v>
      </c>
      <c r="AE862" t="s">
        <v>47</v>
      </c>
      <c r="AF862" t="s">
        <v>39</v>
      </c>
      <c r="AG862">
        <v>2021</v>
      </c>
      <c r="AH862" t="s">
        <v>40</v>
      </c>
      <c r="AI862" t="str">
        <f>IF(Cdacdata[ccat_rank]&lt;=100,"Top 100",
IF(Cdacdata[ccat_rank]&lt;=500,"101–500",
IF(Cdacdata[ccat_rank]&lt;=1000,"501–1000",
"1000+")))</f>
        <v>1000+</v>
      </c>
    </row>
    <row r="863" spans="1:35" x14ac:dyDescent="0.3">
      <c r="A863" s="1" t="s">
        <v>242</v>
      </c>
      <c r="B863">
        <v>210700617</v>
      </c>
      <c r="C863" s="2">
        <v>44454</v>
      </c>
      <c r="D863" s="2" t="s">
        <v>1101</v>
      </c>
      <c r="E863">
        <v>1401</v>
      </c>
      <c r="F863" s="2" t="s">
        <v>246</v>
      </c>
      <c r="G863">
        <v>61.45</v>
      </c>
      <c r="H863" t="s">
        <v>26</v>
      </c>
      <c r="I863" t="s">
        <v>26</v>
      </c>
      <c r="J863">
        <v>59.09</v>
      </c>
      <c r="K863" s="3">
        <f t="shared" si="13"/>
        <v>60.27</v>
      </c>
      <c r="L863" t="s">
        <v>27</v>
      </c>
      <c r="M863" t="s">
        <v>41</v>
      </c>
      <c r="N863">
        <v>26</v>
      </c>
      <c r="O863" t="s">
        <v>62</v>
      </c>
      <c r="P863" t="s">
        <v>26</v>
      </c>
      <c r="Q863" t="s">
        <v>26</v>
      </c>
      <c r="R863">
        <v>592</v>
      </c>
      <c r="S863">
        <v>74</v>
      </c>
      <c r="T863" t="s">
        <v>33</v>
      </c>
      <c r="U863" t="s">
        <v>32</v>
      </c>
      <c r="V863" t="s">
        <v>33</v>
      </c>
      <c r="W863" t="s">
        <v>49</v>
      </c>
      <c r="X863" t="s">
        <v>34</v>
      </c>
      <c r="Y863" t="s">
        <v>58</v>
      </c>
      <c r="Z863" t="s">
        <v>44</v>
      </c>
      <c r="AA863" t="s">
        <v>247</v>
      </c>
      <c r="AB863" t="s">
        <v>46</v>
      </c>
      <c r="AC863">
        <f>IF(Cdacdata[[#This Row],[placement_status]]="Placed",1,0)</f>
        <v>1</v>
      </c>
      <c r="AD863" t="s">
        <v>244</v>
      </c>
      <c r="AE863" t="s">
        <v>47</v>
      </c>
      <c r="AF863" t="s">
        <v>55</v>
      </c>
      <c r="AG863">
        <v>2021</v>
      </c>
      <c r="AH863" t="s">
        <v>40</v>
      </c>
      <c r="AI863" t="str">
        <f>IF(Cdacdata[ccat_rank]&lt;=100,"Top 100",
IF(Cdacdata[ccat_rank]&lt;=500,"101–500",
IF(Cdacdata[ccat_rank]&lt;=1000,"501–1000",
"1000+")))</f>
        <v>1000+</v>
      </c>
    </row>
    <row r="864" spans="1:35" x14ac:dyDescent="0.3">
      <c r="A864" s="1" t="s">
        <v>242</v>
      </c>
      <c r="B864">
        <v>210704705</v>
      </c>
      <c r="C864" s="2">
        <v>44454</v>
      </c>
      <c r="D864" s="2" t="s">
        <v>1102</v>
      </c>
      <c r="E864">
        <v>1289</v>
      </c>
      <c r="F864" s="2" t="s">
        <v>248</v>
      </c>
      <c r="G864">
        <v>86.36</v>
      </c>
      <c r="H864">
        <v>76.62</v>
      </c>
      <c r="I864" t="s">
        <v>26</v>
      </c>
      <c r="J864">
        <v>72.75</v>
      </c>
      <c r="K864" s="3">
        <f t="shared" si="13"/>
        <v>78.576666666666668</v>
      </c>
      <c r="L864" t="s">
        <v>27</v>
      </c>
      <c r="M864" t="s">
        <v>27</v>
      </c>
      <c r="N864">
        <v>23</v>
      </c>
      <c r="O864" t="s">
        <v>28</v>
      </c>
      <c r="P864" t="s">
        <v>26</v>
      </c>
      <c r="Q864" t="s">
        <v>30</v>
      </c>
      <c r="R864">
        <v>613</v>
      </c>
      <c r="S864">
        <v>76.625</v>
      </c>
      <c r="T864" t="s">
        <v>49</v>
      </c>
      <c r="U864" t="s">
        <v>32</v>
      </c>
      <c r="V864" t="s">
        <v>49</v>
      </c>
      <c r="W864" t="s">
        <v>49</v>
      </c>
      <c r="X864" t="s">
        <v>34</v>
      </c>
      <c r="Y864" t="s">
        <v>58</v>
      </c>
      <c r="Z864" t="s">
        <v>44</v>
      </c>
      <c r="AA864" t="s">
        <v>249</v>
      </c>
      <c r="AB864" t="s">
        <v>46</v>
      </c>
      <c r="AC864">
        <f>IF(Cdacdata[[#This Row],[placement_status]]="Placed",1,0)</f>
        <v>1</v>
      </c>
      <c r="AD864" t="s">
        <v>244</v>
      </c>
      <c r="AE864" t="s">
        <v>47</v>
      </c>
      <c r="AF864" t="s">
        <v>39</v>
      </c>
      <c r="AG864">
        <v>2021</v>
      </c>
      <c r="AH864" t="s">
        <v>40</v>
      </c>
      <c r="AI864" t="str">
        <f>IF(Cdacdata[ccat_rank]&lt;=100,"Top 100",
IF(Cdacdata[ccat_rank]&lt;=500,"101–500",
IF(Cdacdata[ccat_rank]&lt;=1000,"501–1000",
"1000+")))</f>
        <v>1000+</v>
      </c>
    </row>
    <row r="865" spans="1:35" x14ac:dyDescent="0.3">
      <c r="A865" s="1" t="s">
        <v>242</v>
      </c>
      <c r="B865">
        <v>210711670</v>
      </c>
      <c r="C865" s="2">
        <v>44454</v>
      </c>
      <c r="D865" s="2" t="s">
        <v>1103</v>
      </c>
      <c r="E865">
        <v>1474</v>
      </c>
      <c r="F865" s="2">
        <v>35347</v>
      </c>
      <c r="G865">
        <v>96</v>
      </c>
      <c r="H865">
        <v>71.540000000000006</v>
      </c>
      <c r="I865" t="s">
        <v>26</v>
      </c>
      <c r="J865">
        <v>69</v>
      </c>
      <c r="K865" s="3">
        <f t="shared" si="13"/>
        <v>78.846666666666678</v>
      </c>
      <c r="L865" t="s">
        <v>27</v>
      </c>
      <c r="M865" t="s">
        <v>41</v>
      </c>
      <c r="N865">
        <v>25</v>
      </c>
      <c r="O865" t="s">
        <v>28</v>
      </c>
      <c r="P865" t="s">
        <v>42</v>
      </c>
      <c r="Q865" t="s">
        <v>30</v>
      </c>
      <c r="R865">
        <v>520</v>
      </c>
      <c r="S865">
        <v>65</v>
      </c>
      <c r="T865" t="s">
        <v>31</v>
      </c>
      <c r="U865" t="s">
        <v>32</v>
      </c>
      <c r="V865" t="s">
        <v>31</v>
      </c>
      <c r="W865" t="s">
        <v>33</v>
      </c>
      <c r="X865" t="s">
        <v>34</v>
      </c>
      <c r="Y865" t="s">
        <v>50</v>
      </c>
      <c r="Z865" t="s">
        <v>44</v>
      </c>
      <c r="AA865" t="s">
        <v>88</v>
      </c>
      <c r="AB865" t="s">
        <v>46</v>
      </c>
      <c r="AC865">
        <f>IF(Cdacdata[[#This Row],[placement_status]]="Placed",1,0)</f>
        <v>1</v>
      </c>
      <c r="AD865" t="s">
        <v>244</v>
      </c>
      <c r="AE865" t="s">
        <v>47</v>
      </c>
      <c r="AF865" t="s">
        <v>39</v>
      </c>
      <c r="AG865">
        <v>2021</v>
      </c>
      <c r="AH865" t="s">
        <v>40</v>
      </c>
      <c r="AI865" t="str">
        <f>IF(Cdacdata[ccat_rank]&lt;=100,"Top 100",
IF(Cdacdata[ccat_rank]&lt;=500,"101–500",
IF(Cdacdata[ccat_rank]&lt;=1000,"501–1000",
"1000+")))</f>
        <v>1000+</v>
      </c>
    </row>
    <row r="866" spans="1:35" x14ac:dyDescent="0.3">
      <c r="A866" s="1" t="s">
        <v>242</v>
      </c>
      <c r="B866">
        <v>210704122</v>
      </c>
      <c r="C866" s="2">
        <v>44454</v>
      </c>
      <c r="D866" s="2" t="s">
        <v>1104</v>
      </c>
      <c r="E866">
        <v>1248</v>
      </c>
      <c r="F866" s="2" t="s">
        <v>250</v>
      </c>
      <c r="G866">
        <v>78.2</v>
      </c>
      <c r="H866">
        <v>50</v>
      </c>
      <c r="I866" t="s">
        <v>26</v>
      </c>
      <c r="J866">
        <v>71.3</v>
      </c>
      <c r="K866" s="3">
        <f t="shared" si="13"/>
        <v>66.5</v>
      </c>
      <c r="L866" t="s">
        <v>41</v>
      </c>
      <c r="M866" t="s">
        <v>27</v>
      </c>
      <c r="N866">
        <v>26</v>
      </c>
      <c r="O866" t="s">
        <v>28</v>
      </c>
      <c r="P866" t="s">
        <v>56</v>
      </c>
      <c r="Q866" t="s">
        <v>26</v>
      </c>
      <c r="R866">
        <v>479</v>
      </c>
      <c r="S866">
        <v>59.875</v>
      </c>
      <c r="T866" t="s">
        <v>31</v>
      </c>
      <c r="U866" t="s">
        <v>32</v>
      </c>
      <c r="V866" t="s">
        <v>31</v>
      </c>
      <c r="W866" t="s">
        <v>31</v>
      </c>
      <c r="X866" t="s">
        <v>34</v>
      </c>
      <c r="Y866" t="s">
        <v>35</v>
      </c>
      <c r="Z866" t="s">
        <v>44</v>
      </c>
      <c r="AA866" t="s">
        <v>251</v>
      </c>
      <c r="AB866" t="s">
        <v>46</v>
      </c>
      <c r="AC866">
        <f>IF(Cdacdata[[#This Row],[placement_status]]="Placed",1,0)</f>
        <v>1</v>
      </c>
      <c r="AD866" t="s">
        <v>244</v>
      </c>
      <c r="AE866" t="s">
        <v>47</v>
      </c>
      <c r="AF866" t="s">
        <v>55</v>
      </c>
      <c r="AG866">
        <v>2021</v>
      </c>
      <c r="AH866" t="s">
        <v>40</v>
      </c>
      <c r="AI866" t="str">
        <f>IF(Cdacdata[ccat_rank]&lt;=100,"Top 100",
IF(Cdacdata[ccat_rank]&lt;=500,"101–500",
IF(Cdacdata[ccat_rank]&lt;=1000,"501–1000",
"1000+")))</f>
        <v>1000+</v>
      </c>
    </row>
    <row r="867" spans="1:35" x14ac:dyDescent="0.3">
      <c r="A867" s="1" t="s">
        <v>242</v>
      </c>
      <c r="B867">
        <v>210704589</v>
      </c>
      <c r="C867" s="2">
        <v>44454</v>
      </c>
      <c r="D867" s="2" t="s">
        <v>1105</v>
      </c>
      <c r="E867">
        <v>1127</v>
      </c>
      <c r="F867" s="2">
        <v>34462</v>
      </c>
      <c r="G867">
        <v>89.45</v>
      </c>
      <c r="H867">
        <v>72.33</v>
      </c>
      <c r="I867" t="s">
        <v>26</v>
      </c>
      <c r="J867">
        <v>80.400000000000006</v>
      </c>
      <c r="K867" s="3">
        <f t="shared" si="13"/>
        <v>80.726666666666674</v>
      </c>
      <c r="L867" t="s">
        <v>27</v>
      </c>
      <c r="M867" t="s">
        <v>27</v>
      </c>
      <c r="N867">
        <v>27</v>
      </c>
      <c r="O867" t="s">
        <v>48</v>
      </c>
      <c r="P867" t="s">
        <v>60</v>
      </c>
      <c r="Q867" t="s">
        <v>26</v>
      </c>
      <c r="R867">
        <v>607</v>
      </c>
      <c r="S867">
        <v>75.875</v>
      </c>
      <c r="T867" t="s">
        <v>33</v>
      </c>
      <c r="U867" t="s">
        <v>32</v>
      </c>
      <c r="V867" t="s">
        <v>33</v>
      </c>
      <c r="W867" t="s">
        <v>33</v>
      </c>
      <c r="X867" t="s">
        <v>34</v>
      </c>
      <c r="Y867" t="s">
        <v>58</v>
      </c>
      <c r="Z867" t="s">
        <v>44</v>
      </c>
      <c r="AA867" t="s">
        <v>249</v>
      </c>
      <c r="AB867" t="s">
        <v>46</v>
      </c>
      <c r="AC867">
        <f>IF(Cdacdata[[#This Row],[placement_status]]="Placed",1,0)</f>
        <v>1</v>
      </c>
      <c r="AD867" t="s">
        <v>244</v>
      </c>
      <c r="AE867" t="s">
        <v>47</v>
      </c>
      <c r="AF867" t="s">
        <v>55</v>
      </c>
      <c r="AG867">
        <v>2021</v>
      </c>
      <c r="AH867" t="s">
        <v>40</v>
      </c>
      <c r="AI867" t="str">
        <f>IF(Cdacdata[ccat_rank]&lt;=100,"Top 100",
IF(Cdacdata[ccat_rank]&lt;=500,"101–500",
IF(Cdacdata[ccat_rank]&lt;=1000,"501–1000",
"1000+")))</f>
        <v>1000+</v>
      </c>
    </row>
    <row r="868" spans="1:35" x14ac:dyDescent="0.3">
      <c r="A868" s="1" t="s">
        <v>242</v>
      </c>
      <c r="B868">
        <v>210703460</v>
      </c>
      <c r="C868" s="2">
        <v>44454</v>
      </c>
      <c r="D868" s="2" t="s">
        <v>1106</v>
      </c>
      <c r="E868">
        <v>1084</v>
      </c>
      <c r="F868" s="2" t="s">
        <v>252</v>
      </c>
      <c r="G868">
        <v>92.2</v>
      </c>
      <c r="H868">
        <v>85.69</v>
      </c>
      <c r="I868" t="s">
        <v>26</v>
      </c>
      <c r="J868">
        <v>82.2</v>
      </c>
      <c r="K868" s="3">
        <f t="shared" si="13"/>
        <v>86.696666666666658</v>
      </c>
      <c r="L868" t="s">
        <v>27</v>
      </c>
      <c r="M868" t="s">
        <v>27</v>
      </c>
      <c r="N868">
        <v>23</v>
      </c>
      <c r="O868" t="s">
        <v>48</v>
      </c>
      <c r="P868" t="s">
        <v>26</v>
      </c>
      <c r="Q868" t="s">
        <v>43</v>
      </c>
      <c r="R868">
        <v>482</v>
      </c>
      <c r="S868">
        <v>60.25</v>
      </c>
      <c r="T868" t="s">
        <v>33</v>
      </c>
      <c r="U868" t="s">
        <v>32</v>
      </c>
      <c r="V868" t="s">
        <v>33</v>
      </c>
      <c r="W868" t="s">
        <v>33</v>
      </c>
      <c r="X868" t="s">
        <v>34</v>
      </c>
      <c r="Y868" t="s">
        <v>50</v>
      </c>
      <c r="Z868" t="s">
        <v>44</v>
      </c>
      <c r="AA868" t="s">
        <v>253</v>
      </c>
      <c r="AB868" t="s">
        <v>46</v>
      </c>
      <c r="AC868">
        <f>IF(Cdacdata[[#This Row],[placement_status]]="Placed",1,0)</f>
        <v>1</v>
      </c>
      <c r="AD868" t="s">
        <v>244</v>
      </c>
      <c r="AE868" t="s">
        <v>47</v>
      </c>
      <c r="AF868" t="s">
        <v>39</v>
      </c>
      <c r="AG868">
        <v>2021</v>
      </c>
      <c r="AH868" t="s">
        <v>40</v>
      </c>
      <c r="AI868" t="str">
        <f>IF(Cdacdata[ccat_rank]&lt;=100,"Top 100",
IF(Cdacdata[ccat_rank]&lt;=500,"101–500",
IF(Cdacdata[ccat_rank]&lt;=1000,"501–1000",
"1000+")))</f>
        <v>1000+</v>
      </c>
    </row>
    <row r="869" spans="1:35" x14ac:dyDescent="0.3">
      <c r="A869" s="1" t="s">
        <v>242</v>
      </c>
      <c r="B869">
        <v>210703064</v>
      </c>
      <c r="C869" s="2">
        <v>44454</v>
      </c>
      <c r="D869" s="2" t="s">
        <v>1107</v>
      </c>
      <c r="E869">
        <v>1143</v>
      </c>
      <c r="F869" s="2">
        <v>34982</v>
      </c>
      <c r="G869">
        <v>58.9</v>
      </c>
      <c r="H869">
        <v>73.540000000000006</v>
      </c>
      <c r="I869" t="s">
        <v>26</v>
      </c>
      <c r="J869">
        <v>56.28</v>
      </c>
      <c r="K869" s="3">
        <f t="shared" si="13"/>
        <v>62.906666666666666</v>
      </c>
      <c r="L869" t="s">
        <v>27</v>
      </c>
      <c r="M869" t="s">
        <v>27</v>
      </c>
      <c r="N869">
        <v>25</v>
      </c>
      <c r="O869" t="s">
        <v>72</v>
      </c>
      <c r="P869" t="s">
        <v>60</v>
      </c>
      <c r="Q869" t="s">
        <v>30</v>
      </c>
      <c r="R869">
        <v>567</v>
      </c>
      <c r="S869">
        <v>70.875</v>
      </c>
      <c r="T869" t="s">
        <v>33</v>
      </c>
      <c r="U869" t="s">
        <v>32</v>
      </c>
      <c r="V869" t="s">
        <v>33</v>
      </c>
      <c r="W869" t="s">
        <v>49</v>
      </c>
      <c r="X869" t="s">
        <v>34</v>
      </c>
      <c r="Y869" t="s">
        <v>58</v>
      </c>
      <c r="Z869" t="s">
        <v>44</v>
      </c>
      <c r="AA869" t="s">
        <v>163</v>
      </c>
      <c r="AB869" t="s">
        <v>46</v>
      </c>
      <c r="AC869">
        <f>IF(Cdacdata[[#This Row],[placement_status]]="Placed",1,0)</f>
        <v>1</v>
      </c>
      <c r="AD869" t="s">
        <v>244</v>
      </c>
      <c r="AE869" t="s">
        <v>47</v>
      </c>
      <c r="AF869" t="s">
        <v>39</v>
      </c>
      <c r="AG869">
        <v>2021</v>
      </c>
      <c r="AH869" t="s">
        <v>40</v>
      </c>
      <c r="AI869" t="str">
        <f>IF(Cdacdata[ccat_rank]&lt;=100,"Top 100",
IF(Cdacdata[ccat_rank]&lt;=500,"101–500",
IF(Cdacdata[ccat_rank]&lt;=1000,"501–1000",
"1000+")))</f>
        <v>1000+</v>
      </c>
    </row>
    <row r="870" spans="1:35" x14ac:dyDescent="0.3">
      <c r="A870" s="1" t="s">
        <v>242</v>
      </c>
      <c r="B870">
        <v>210706901</v>
      </c>
      <c r="C870" s="2">
        <v>44454</v>
      </c>
      <c r="D870" s="2" t="s">
        <v>1108</v>
      </c>
      <c r="E870">
        <v>993</v>
      </c>
      <c r="F870" s="2" t="s">
        <v>254</v>
      </c>
      <c r="G870">
        <v>79.2</v>
      </c>
      <c r="H870">
        <v>59.2</v>
      </c>
      <c r="I870" t="s">
        <v>26</v>
      </c>
      <c r="J870">
        <v>63</v>
      </c>
      <c r="K870" s="3">
        <f t="shared" si="13"/>
        <v>67.13333333333334</v>
      </c>
      <c r="L870" t="s">
        <v>27</v>
      </c>
      <c r="M870" t="s">
        <v>27</v>
      </c>
      <c r="N870">
        <v>22</v>
      </c>
      <c r="O870" t="s">
        <v>28</v>
      </c>
      <c r="P870" t="s">
        <v>60</v>
      </c>
      <c r="Q870" t="s">
        <v>30</v>
      </c>
      <c r="R870">
        <v>609</v>
      </c>
      <c r="S870">
        <v>76.125</v>
      </c>
      <c r="T870" t="s">
        <v>49</v>
      </c>
      <c r="U870" t="s">
        <v>32</v>
      </c>
      <c r="V870" t="s">
        <v>49</v>
      </c>
      <c r="W870" t="s">
        <v>49</v>
      </c>
      <c r="X870" t="s">
        <v>34</v>
      </c>
      <c r="Y870" t="s">
        <v>58</v>
      </c>
      <c r="Z870" t="s">
        <v>44</v>
      </c>
      <c r="AA870" t="s">
        <v>255</v>
      </c>
      <c r="AB870" t="s">
        <v>46</v>
      </c>
      <c r="AC870">
        <f>IF(Cdacdata[[#This Row],[placement_status]]="Placed",1,0)</f>
        <v>1</v>
      </c>
      <c r="AD870" t="s">
        <v>244</v>
      </c>
      <c r="AE870" t="s">
        <v>75</v>
      </c>
      <c r="AF870" t="s">
        <v>57</v>
      </c>
      <c r="AG870">
        <v>2021</v>
      </c>
      <c r="AH870" t="s">
        <v>40</v>
      </c>
      <c r="AI870" t="str">
        <f>IF(Cdacdata[ccat_rank]&lt;=100,"Top 100",
IF(Cdacdata[ccat_rank]&lt;=500,"101–500",
IF(Cdacdata[ccat_rank]&lt;=1000,"501–1000",
"1000+")))</f>
        <v>501–1000</v>
      </c>
    </row>
    <row r="871" spans="1:35" x14ac:dyDescent="0.3">
      <c r="A871" s="1" t="s">
        <v>242</v>
      </c>
      <c r="B871">
        <v>210702437</v>
      </c>
      <c r="C871" s="2">
        <v>44454</v>
      </c>
      <c r="D871" s="2" t="s">
        <v>1109</v>
      </c>
      <c r="E871">
        <v>1491</v>
      </c>
      <c r="F871" s="2">
        <v>36438</v>
      </c>
      <c r="G871">
        <v>81.7</v>
      </c>
      <c r="H871">
        <v>69.8</v>
      </c>
      <c r="I871" t="s">
        <v>26</v>
      </c>
      <c r="J871">
        <v>80</v>
      </c>
      <c r="K871" s="3">
        <f t="shared" si="13"/>
        <v>77.166666666666671</v>
      </c>
      <c r="L871" t="s">
        <v>27</v>
      </c>
      <c r="M871" t="s">
        <v>27</v>
      </c>
      <c r="N871">
        <v>22</v>
      </c>
      <c r="O871" t="s">
        <v>48</v>
      </c>
      <c r="P871" t="s">
        <v>56</v>
      </c>
      <c r="Q871" t="s">
        <v>43</v>
      </c>
      <c r="R871">
        <v>600</v>
      </c>
      <c r="S871">
        <v>75</v>
      </c>
      <c r="T871" t="s">
        <v>33</v>
      </c>
      <c r="U871" t="s">
        <v>32</v>
      </c>
      <c r="V871" t="s">
        <v>33</v>
      </c>
      <c r="W871" t="s">
        <v>33</v>
      </c>
      <c r="X871" t="s">
        <v>34</v>
      </c>
      <c r="Y871" t="s">
        <v>58</v>
      </c>
      <c r="Z871" t="s">
        <v>44</v>
      </c>
      <c r="AA871" t="s">
        <v>154</v>
      </c>
      <c r="AB871" t="s">
        <v>46</v>
      </c>
      <c r="AC871">
        <f>IF(Cdacdata[[#This Row],[placement_status]]="Placed",1,0)</f>
        <v>1</v>
      </c>
      <c r="AD871" t="s">
        <v>244</v>
      </c>
      <c r="AE871" t="s">
        <v>47</v>
      </c>
      <c r="AF871" t="s">
        <v>57</v>
      </c>
      <c r="AG871">
        <v>2021</v>
      </c>
      <c r="AH871" t="s">
        <v>40</v>
      </c>
      <c r="AI871" t="str">
        <f>IF(Cdacdata[ccat_rank]&lt;=100,"Top 100",
IF(Cdacdata[ccat_rank]&lt;=500,"101–500",
IF(Cdacdata[ccat_rank]&lt;=1000,"501–1000",
"1000+")))</f>
        <v>1000+</v>
      </c>
    </row>
    <row r="872" spans="1:35" x14ac:dyDescent="0.3">
      <c r="A872" s="1" t="s">
        <v>242</v>
      </c>
      <c r="B872">
        <v>210703114</v>
      </c>
      <c r="C872" s="2">
        <v>44454</v>
      </c>
      <c r="D872" s="2" t="s">
        <v>1110</v>
      </c>
      <c r="E872">
        <v>1536</v>
      </c>
      <c r="F872" s="2" t="s">
        <v>256</v>
      </c>
      <c r="G872">
        <v>80.180000000000007</v>
      </c>
      <c r="H872">
        <v>65.5</v>
      </c>
      <c r="I872" t="s">
        <v>26</v>
      </c>
      <c r="J872">
        <v>62.98</v>
      </c>
      <c r="K872" s="3">
        <f t="shared" si="13"/>
        <v>69.553333333333327</v>
      </c>
      <c r="L872" t="s">
        <v>27</v>
      </c>
      <c r="M872" t="s">
        <v>27</v>
      </c>
      <c r="N872">
        <v>26</v>
      </c>
      <c r="O872" t="s">
        <v>28</v>
      </c>
      <c r="P872" t="s">
        <v>42</v>
      </c>
      <c r="Q872" t="s">
        <v>26</v>
      </c>
      <c r="R872">
        <v>521</v>
      </c>
      <c r="S872">
        <v>65.125</v>
      </c>
      <c r="T872" t="s">
        <v>49</v>
      </c>
      <c r="U872" t="s">
        <v>32</v>
      </c>
      <c r="V872" t="s">
        <v>49</v>
      </c>
      <c r="W872" t="s">
        <v>33</v>
      </c>
      <c r="X872" t="s">
        <v>34</v>
      </c>
      <c r="Y872" t="s">
        <v>50</v>
      </c>
      <c r="Z872" t="s">
        <v>44</v>
      </c>
      <c r="AA872" t="s">
        <v>88</v>
      </c>
      <c r="AB872" t="s">
        <v>46</v>
      </c>
      <c r="AC872">
        <f>IF(Cdacdata[[#This Row],[placement_status]]="Placed",1,0)</f>
        <v>1</v>
      </c>
      <c r="AD872" t="s">
        <v>244</v>
      </c>
      <c r="AE872" t="s">
        <v>47</v>
      </c>
      <c r="AF872" t="s">
        <v>55</v>
      </c>
      <c r="AG872">
        <v>2021</v>
      </c>
      <c r="AH872" t="s">
        <v>40</v>
      </c>
      <c r="AI872" t="str">
        <f>IF(Cdacdata[ccat_rank]&lt;=100,"Top 100",
IF(Cdacdata[ccat_rank]&lt;=500,"101–500",
IF(Cdacdata[ccat_rank]&lt;=1000,"501–1000",
"1000+")))</f>
        <v>1000+</v>
      </c>
    </row>
    <row r="873" spans="1:35" x14ac:dyDescent="0.3">
      <c r="A873" s="1" t="s">
        <v>242</v>
      </c>
      <c r="B873">
        <v>210704118</v>
      </c>
      <c r="C873" s="2">
        <v>44455</v>
      </c>
      <c r="D873" s="2" t="s">
        <v>1111</v>
      </c>
      <c r="E873">
        <v>7</v>
      </c>
      <c r="F873" s="2">
        <v>34977</v>
      </c>
      <c r="G873">
        <v>59.2</v>
      </c>
      <c r="H873">
        <v>68.77</v>
      </c>
      <c r="I873" t="s">
        <v>26</v>
      </c>
      <c r="J873">
        <v>62</v>
      </c>
      <c r="K873" s="3">
        <f t="shared" si="13"/>
        <v>63.323333333333331</v>
      </c>
      <c r="L873" t="s">
        <v>27</v>
      </c>
      <c r="M873" t="s">
        <v>27</v>
      </c>
      <c r="N873">
        <v>26</v>
      </c>
      <c r="O873" t="s">
        <v>28</v>
      </c>
      <c r="P873" t="s">
        <v>26</v>
      </c>
      <c r="Q873" t="s">
        <v>30</v>
      </c>
      <c r="R873">
        <v>562</v>
      </c>
      <c r="S873">
        <v>70.25</v>
      </c>
      <c r="T873" t="s">
        <v>33</v>
      </c>
      <c r="U873" t="s">
        <v>32</v>
      </c>
      <c r="V873" t="s">
        <v>33</v>
      </c>
      <c r="W873" t="s">
        <v>33</v>
      </c>
      <c r="X873" t="s">
        <v>34</v>
      </c>
      <c r="Y873" t="s">
        <v>58</v>
      </c>
      <c r="Z873" t="s">
        <v>44</v>
      </c>
      <c r="AA873" t="s">
        <v>257</v>
      </c>
      <c r="AB873" t="s">
        <v>46</v>
      </c>
      <c r="AC873">
        <f>IF(Cdacdata[[#This Row],[placement_status]]="Placed",1,0)</f>
        <v>1</v>
      </c>
      <c r="AD873" t="s">
        <v>244</v>
      </c>
      <c r="AE873" t="s">
        <v>75</v>
      </c>
      <c r="AF873" t="s">
        <v>55</v>
      </c>
      <c r="AG873">
        <v>2021</v>
      </c>
      <c r="AH873" t="s">
        <v>40</v>
      </c>
      <c r="AI873" t="str">
        <f>IF(Cdacdata[ccat_rank]&lt;=100,"Top 100",
IF(Cdacdata[ccat_rank]&lt;=500,"101–500",
IF(Cdacdata[ccat_rank]&lt;=1000,"501–1000",
"1000+")))</f>
        <v>Top 100</v>
      </c>
    </row>
    <row r="874" spans="1:35" x14ac:dyDescent="0.3">
      <c r="A874" s="1" t="s">
        <v>242</v>
      </c>
      <c r="B874">
        <v>210701185</v>
      </c>
      <c r="C874" s="2">
        <v>44454</v>
      </c>
      <c r="D874" s="2" t="s">
        <v>1112</v>
      </c>
      <c r="E874">
        <v>1037</v>
      </c>
      <c r="F874" s="2" t="s">
        <v>258</v>
      </c>
      <c r="G874">
        <v>75.2</v>
      </c>
      <c r="H874" t="s">
        <v>26</v>
      </c>
      <c r="I874">
        <v>80.06</v>
      </c>
      <c r="J874">
        <v>66.400000000000006</v>
      </c>
      <c r="K874" s="3">
        <f t="shared" si="13"/>
        <v>73.88666666666667</v>
      </c>
      <c r="L874" t="s">
        <v>27</v>
      </c>
      <c r="M874" t="s">
        <v>41</v>
      </c>
      <c r="N874">
        <v>21</v>
      </c>
      <c r="O874" t="s">
        <v>28</v>
      </c>
      <c r="P874" t="s">
        <v>26</v>
      </c>
      <c r="Q874" t="s">
        <v>30</v>
      </c>
      <c r="R874">
        <v>607</v>
      </c>
      <c r="S874">
        <v>75.875</v>
      </c>
      <c r="T874" t="s">
        <v>31</v>
      </c>
      <c r="U874" t="s">
        <v>32</v>
      </c>
      <c r="V874" t="s">
        <v>31</v>
      </c>
      <c r="W874" t="s">
        <v>33</v>
      </c>
      <c r="X874" t="s">
        <v>34</v>
      </c>
      <c r="Y874" t="s">
        <v>58</v>
      </c>
      <c r="Z874" t="s">
        <v>44</v>
      </c>
      <c r="AA874" t="s">
        <v>249</v>
      </c>
      <c r="AB874" t="s">
        <v>46</v>
      </c>
      <c r="AC874">
        <f>IF(Cdacdata[[#This Row],[placement_status]]="Placed",1,0)</f>
        <v>1</v>
      </c>
      <c r="AD874" t="s">
        <v>244</v>
      </c>
      <c r="AE874" t="s">
        <v>47</v>
      </c>
      <c r="AF874" t="s">
        <v>57</v>
      </c>
      <c r="AG874">
        <v>2021</v>
      </c>
      <c r="AH874" t="s">
        <v>40</v>
      </c>
      <c r="AI874" t="str">
        <f>IF(Cdacdata[ccat_rank]&lt;=100,"Top 100",
IF(Cdacdata[ccat_rank]&lt;=500,"101–500",
IF(Cdacdata[ccat_rank]&lt;=1000,"501–1000",
"1000+")))</f>
        <v>1000+</v>
      </c>
    </row>
    <row r="875" spans="1:35" x14ac:dyDescent="0.3">
      <c r="A875" s="1" t="s">
        <v>242</v>
      </c>
      <c r="B875">
        <v>210710408</v>
      </c>
      <c r="C875" s="2">
        <v>44454</v>
      </c>
      <c r="D875" s="2" t="s">
        <v>1113</v>
      </c>
      <c r="E875">
        <v>1461</v>
      </c>
      <c r="F875" s="2" t="s">
        <v>259</v>
      </c>
      <c r="G875">
        <v>87.09</v>
      </c>
      <c r="H875">
        <v>63.85</v>
      </c>
      <c r="I875" t="s">
        <v>26</v>
      </c>
      <c r="J875">
        <v>61.4</v>
      </c>
      <c r="K875" s="3">
        <f t="shared" si="13"/>
        <v>70.78</v>
      </c>
      <c r="L875" t="s">
        <v>27</v>
      </c>
      <c r="M875" t="s">
        <v>41</v>
      </c>
      <c r="N875">
        <v>25</v>
      </c>
      <c r="O875" t="s">
        <v>28</v>
      </c>
      <c r="P875" t="s">
        <v>42</v>
      </c>
      <c r="Q875" t="s">
        <v>30</v>
      </c>
      <c r="R875">
        <v>517</v>
      </c>
      <c r="S875">
        <v>64.625</v>
      </c>
      <c r="T875" t="s">
        <v>33</v>
      </c>
      <c r="U875" t="s">
        <v>32</v>
      </c>
      <c r="V875" t="s">
        <v>33</v>
      </c>
      <c r="W875" t="s">
        <v>33</v>
      </c>
      <c r="X875" t="s">
        <v>34</v>
      </c>
      <c r="Y875" t="s">
        <v>50</v>
      </c>
      <c r="Z875" t="s">
        <v>44</v>
      </c>
      <c r="AA875" t="s">
        <v>260</v>
      </c>
      <c r="AB875" t="s">
        <v>46</v>
      </c>
      <c r="AC875">
        <f>IF(Cdacdata[[#This Row],[placement_status]]="Placed",1,0)</f>
        <v>1</v>
      </c>
      <c r="AD875" t="s">
        <v>244</v>
      </c>
      <c r="AE875" t="s">
        <v>47</v>
      </c>
      <c r="AF875" t="s">
        <v>39</v>
      </c>
      <c r="AG875">
        <v>2021</v>
      </c>
      <c r="AH875" t="s">
        <v>40</v>
      </c>
      <c r="AI875" t="str">
        <f>IF(Cdacdata[ccat_rank]&lt;=100,"Top 100",
IF(Cdacdata[ccat_rank]&lt;=500,"101–500",
IF(Cdacdata[ccat_rank]&lt;=1000,"501–1000",
"1000+")))</f>
        <v>1000+</v>
      </c>
    </row>
    <row r="876" spans="1:35" x14ac:dyDescent="0.3">
      <c r="A876" s="1" t="s">
        <v>242</v>
      </c>
      <c r="B876">
        <v>210711194</v>
      </c>
      <c r="C876" s="2">
        <v>44454</v>
      </c>
      <c r="D876" s="2" t="s">
        <v>1114</v>
      </c>
      <c r="E876">
        <v>556</v>
      </c>
      <c r="F876" s="2">
        <v>35983</v>
      </c>
      <c r="G876">
        <v>73</v>
      </c>
      <c r="H876" t="s">
        <v>26</v>
      </c>
      <c r="I876">
        <v>65.66</v>
      </c>
      <c r="J876">
        <v>6.04</v>
      </c>
      <c r="K876" s="3">
        <f t="shared" si="13"/>
        <v>48.233333333333327</v>
      </c>
      <c r="L876" t="s">
        <v>27</v>
      </c>
      <c r="M876" t="s">
        <v>41</v>
      </c>
      <c r="N876">
        <v>23</v>
      </c>
      <c r="O876" t="s">
        <v>62</v>
      </c>
      <c r="P876" t="s">
        <v>65</v>
      </c>
      <c r="Q876" t="s">
        <v>30</v>
      </c>
      <c r="R876">
        <v>598</v>
      </c>
      <c r="S876">
        <v>74.75</v>
      </c>
      <c r="T876" t="s">
        <v>49</v>
      </c>
      <c r="U876" t="s">
        <v>32</v>
      </c>
      <c r="V876" t="s">
        <v>49</v>
      </c>
      <c r="W876" t="s">
        <v>49</v>
      </c>
      <c r="X876" t="s">
        <v>34</v>
      </c>
      <c r="Y876" t="s">
        <v>58</v>
      </c>
      <c r="Z876" t="s">
        <v>44</v>
      </c>
      <c r="AA876" t="s">
        <v>179</v>
      </c>
      <c r="AB876" t="s">
        <v>46</v>
      </c>
      <c r="AC876">
        <f>IF(Cdacdata[[#This Row],[placement_status]]="Placed",1,0)</f>
        <v>1</v>
      </c>
      <c r="AD876" t="s">
        <v>244</v>
      </c>
      <c r="AE876" t="s">
        <v>75</v>
      </c>
      <c r="AF876" t="s">
        <v>39</v>
      </c>
      <c r="AG876">
        <v>2021</v>
      </c>
      <c r="AH876" t="s">
        <v>40</v>
      </c>
      <c r="AI876" t="str">
        <f>IF(Cdacdata[ccat_rank]&lt;=100,"Top 100",
IF(Cdacdata[ccat_rank]&lt;=500,"101–500",
IF(Cdacdata[ccat_rank]&lt;=1000,"501–1000",
"1000+")))</f>
        <v>501–1000</v>
      </c>
    </row>
    <row r="877" spans="1:35" x14ac:dyDescent="0.3">
      <c r="A877" s="1" t="s">
        <v>242</v>
      </c>
      <c r="B877">
        <v>210715348</v>
      </c>
      <c r="C877" s="2">
        <v>44454</v>
      </c>
      <c r="D877" s="2" t="s">
        <v>1115</v>
      </c>
      <c r="E877">
        <v>1516</v>
      </c>
      <c r="F877" s="2">
        <v>35493</v>
      </c>
      <c r="G877">
        <v>88.91</v>
      </c>
      <c r="H877">
        <v>73.540000000000006</v>
      </c>
      <c r="I877" t="s">
        <v>26</v>
      </c>
      <c r="J877">
        <v>68.86</v>
      </c>
      <c r="K877" s="3">
        <f t="shared" si="13"/>
        <v>77.103333333333339</v>
      </c>
      <c r="L877" t="s">
        <v>27</v>
      </c>
      <c r="M877" t="s">
        <v>27</v>
      </c>
      <c r="N877">
        <v>24</v>
      </c>
      <c r="O877" t="s">
        <v>28</v>
      </c>
      <c r="P877" t="s">
        <v>60</v>
      </c>
      <c r="Q877" t="s">
        <v>26</v>
      </c>
      <c r="R877">
        <v>547</v>
      </c>
      <c r="S877">
        <v>68.375</v>
      </c>
      <c r="T877" t="s">
        <v>33</v>
      </c>
      <c r="U877" t="s">
        <v>32</v>
      </c>
      <c r="V877" t="s">
        <v>33</v>
      </c>
      <c r="W877" t="s">
        <v>33</v>
      </c>
      <c r="X877" t="s">
        <v>34</v>
      </c>
      <c r="Y877" t="s">
        <v>50</v>
      </c>
      <c r="Z877" t="s">
        <v>44</v>
      </c>
      <c r="AA877" t="s">
        <v>253</v>
      </c>
      <c r="AB877" t="s">
        <v>46</v>
      </c>
      <c r="AC877">
        <f>IF(Cdacdata[[#This Row],[placement_status]]="Placed",1,0)</f>
        <v>1</v>
      </c>
      <c r="AD877" t="s">
        <v>244</v>
      </c>
      <c r="AE877" t="s">
        <v>47</v>
      </c>
      <c r="AF877" t="s">
        <v>39</v>
      </c>
      <c r="AG877">
        <v>2021</v>
      </c>
      <c r="AH877" t="s">
        <v>40</v>
      </c>
      <c r="AI877" t="str">
        <f>IF(Cdacdata[ccat_rank]&lt;=100,"Top 100",
IF(Cdacdata[ccat_rank]&lt;=500,"101–500",
IF(Cdacdata[ccat_rank]&lt;=1000,"501–1000",
"1000+")))</f>
        <v>1000+</v>
      </c>
    </row>
    <row r="878" spans="1:35" x14ac:dyDescent="0.3">
      <c r="A878" s="1" t="s">
        <v>242</v>
      </c>
      <c r="B878">
        <v>210700021</v>
      </c>
      <c r="C878" s="2">
        <v>44454</v>
      </c>
      <c r="D878" s="2" t="s">
        <v>1116</v>
      </c>
      <c r="E878">
        <v>794</v>
      </c>
      <c r="F878" s="2" t="s">
        <v>261</v>
      </c>
      <c r="G878">
        <v>87.2</v>
      </c>
      <c r="H878">
        <v>61.85</v>
      </c>
      <c r="I878" t="s">
        <v>26</v>
      </c>
      <c r="J878">
        <v>63.6</v>
      </c>
      <c r="K878" s="3">
        <f t="shared" si="13"/>
        <v>70.88333333333334</v>
      </c>
      <c r="L878" t="s">
        <v>27</v>
      </c>
      <c r="M878" t="s">
        <v>27</v>
      </c>
      <c r="N878">
        <v>23</v>
      </c>
      <c r="O878" t="s">
        <v>28</v>
      </c>
      <c r="P878" t="s">
        <v>26</v>
      </c>
      <c r="Q878" t="s">
        <v>30</v>
      </c>
      <c r="R878">
        <v>519</v>
      </c>
      <c r="S878">
        <v>64.875</v>
      </c>
      <c r="T878" t="s">
        <v>31</v>
      </c>
      <c r="U878" t="s">
        <v>32</v>
      </c>
      <c r="V878" t="s">
        <v>31</v>
      </c>
      <c r="W878" t="s">
        <v>33</v>
      </c>
      <c r="X878" t="s">
        <v>34</v>
      </c>
      <c r="Y878" t="s">
        <v>50</v>
      </c>
      <c r="Z878" t="s">
        <v>44</v>
      </c>
      <c r="AA878" t="s">
        <v>168</v>
      </c>
      <c r="AB878" t="s">
        <v>46</v>
      </c>
      <c r="AC878">
        <f>IF(Cdacdata[[#This Row],[placement_status]]="Placed",1,0)</f>
        <v>1</v>
      </c>
      <c r="AD878" t="s">
        <v>244</v>
      </c>
      <c r="AE878" t="s">
        <v>75</v>
      </c>
      <c r="AF878" t="s">
        <v>39</v>
      </c>
      <c r="AG878">
        <v>2021</v>
      </c>
      <c r="AH878" t="s">
        <v>40</v>
      </c>
      <c r="AI878" t="str">
        <f>IF(Cdacdata[ccat_rank]&lt;=100,"Top 100",
IF(Cdacdata[ccat_rank]&lt;=500,"101–500",
IF(Cdacdata[ccat_rank]&lt;=1000,"501–1000",
"1000+")))</f>
        <v>501–1000</v>
      </c>
    </row>
    <row r="879" spans="1:35" x14ac:dyDescent="0.3">
      <c r="A879" s="1" t="s">
        <v>242</v>
      </c>
      <c r="B879">
        <v>210702438</v>
      </c>
      <c r="C879" s="2">
        <v>44454</v>
      </c>
      <c r="D879" s="2" t="s">
        <v>1117</v>
      </c>
      <c r="E879">
        <v>1416</v>
      </c>
      <c r="F879" s="2" t="s">
        <v>262</v>
      </c>
      <c r="G879">
        <v>81.64</v>
      </c>
      <c r="H879" t="s">
        <v>26</v>
      </c>
      <c r="I879">
        <v>80.06</v>
      </c>
      <c r="J879">
        <v>73.930000000000007</v>
      </c>
      <c r="K879" s="3">
        <f t="shared" si="13"/>
        <v>78.543333333333337</v>
      </c>
      <c r="L879" t="s">
        <v>41</v>
      </c>
      <c r="M879" t="s">
        <v>41</v>
      </c>
      <c r="N879">
        <v>26</v>
      </c>
      <c r="O879" t="s">
        <v>28</v>
      </c>
      <c r="P879" t="s">
        <v>60</v>
      </c>
      <c r="Q879" t="s">
        <v>30</v>
      </c>
      <c r="R879">
        <v>582</v>
      </c>
      <c r="S879">
        <v>72.75</v>
      </c>
      <c r="T879" t="s">
        <v>33</v>
      </c>
      <c r="U879" t="s">
        <v>32</v>
      </c>
      <c r="V879" t="s">
        <v>33</v>
      </c>
      <c r="W879" t="s">
        <v>33</v>
      </c>
      <c r="X879" t="s">
        <v>34</v>
      </c>
      <c r="Y879" t="s">
        <v>58</v>
      </c>
      <c r="Z879" t="s">
        <v>44</v>
      </c>
      <c r="AA879" t="s">
        <v>78</v>
      </c>
      <c r="AB879" t="s">
        <v>46</v>
      </c>
      <c r="AC879">
        <f>IF(Cdacdata[[#This Row],[placement_status]]="Placed",1,0)</f>
        <v>1</v>
      </c>
      <c r="AD879" t="s">
        <v>244</v>
      </c>
      <c r="AE879" t="s">
        <v>47</v>
      </c>
      <c r="AF879" t="s">
        <v>55</v>
      </c>
      <c r="AG879">
        <v>2021</v>
      </c>
      <c r="AH879" t="s">
        <v>40</v>
      </c>
      <c r="AI879" t="str">
        <f>IF(Cdacdata[ccat_rank]&lt;=100,"Top 100",
IF(Cdacdata[ccat_rank]&lt;=500,"101–500",
IF(Cdacdata[ccat_rank]&lt;=1000,"501–1000",
"1000+")))</f>
        <v>1000+</v>
      </c>
    </row>
    <row r="880" spans="1:35" x14ac:dyDescent="0.3">
      <c r="A880" s="1" t="s">
        <v>242</v>
      </c>
      <c r="B880">
        <v>210701002</v>
      </c>
      <c r="C880" s="2">
        <v>44454</v>
      </c>
      <c r="D880" s="2" t="s">
        <v>1118</v>
      </c>
      <c r="E880">
        <v>1464</v>
      </c>
      <c r="F880" s="2" t="s">
        <v>263</v>
      </c>
      <c r="G880">
        <v>88.18</v>
      </c>
      <c r="H880">
        <v>71.540000000000006</v>
      </c>
      <c r="I880" t="s">
        <v>26</v>
      </c>
      <c r="J880">
        <v>74</v>
      </c>
      <c r="K880" s="3">
        <f t="shared" si="13"/>
        <v>77.90666666666668</v>
      </c>
      <c r="L880" t="s">
        <v>27</v>
      </c>
      <c r="M880" t="s">
        <v>27</v>
      </c>
      <c r="N880">
        <v>23</v>
      </c>
      <c r="O880" t="s">
        <v>28</v>
      </c>
      <c r="P880" t="s">
        <v>60</v>
      </c>
      <c r="Q880" t="s">
        <v>30</v>
      </c>
      <c r="R880">
        <v>599</v>
      </c>
      <c r="S880">
        <v>74.875</v>
      </c>
      <c r="T880" t="s">
        <v>49</v>
      </c>
      <c r="U880" t="s">
        <v>32</v>
      </c>
      <c r="V880" t="s">
        <v>49</v>
      </c>
      <c r="W880" t="s">
        <v>49</v>
      </c>
      <c r="X880" t="s">
        <v>34</v>
      </c>
      <c r="Y880" t="s">
        <v>58</v>
      </c>
      <c r="Z880" t="s">
        <v>44</v>
      </c>
      <c r="AA880" t="s">
        <v>186</v>
      </c>
      <c r="AB880" t="s">
        <v>46</v>
      </c>
      <c r="AC880">
        <f>IF(Cdacdata[[#This Row],[placement_status]]="Placed",1,0)</f>
        <v>1</v>
      </c>
      <c r="AD880" t="s">
        <v>244</v>
      </c>
      <c r="AE880" t="s">
        <v>47</v>
      </c>
      <c r="AF880" t="s">
        <v>39</v>
      </c>
      <c r="AG880">
        <v>2021</v>
      </c>
      <c r="AH880" t="s">
        <v>40</v>
      </c>
      <c r="AI880" t="str">
        <f>IF(Cdacdata[ccat_rank]&lt;=100,"Top 100",
IF(Cdacdata[ccat_rank]&lt;=500,"101–500",
IF(Cdacdata[ccat_rank]&lt;=1000,"501–1000",
"1000+")))</f>
        <v>1000+</v>
      </c>
    </row>
    <row r="881" spans="1:35" x14ac:dyDescent="0.3">
      <c r="A881" s="1" t="s">
        <v>242</v>
      </c>
      <c r="B881">
        <v>210706976</v>
      </c>
      <c r="C881" s="2">
        <v>44454</v>
      </c>
      <c r="D881" s="2" t="s">
        <v>1119</v>
      </c>
      <c r="E881">
        <v>1060</v>
      </c>
      <c r="F881" s="2">
        <v>34701</v>
      </c>
      <c r="G881">
        <v>87.82</v>
      </c>
      <c r="H881">
        <v>82.83</v>
      </c>
      <c r="I881" t="s">
        <v>26</v>
      </c>
      <c r="J881">
        <v>64.5</v>
      </c>
      <c r="K881" s="3">
        <f t="shared" si="13"/>
        <v>78.383333333333326</v>
      </c>
      <c r="L881" t="s">
        <v>27</v>
      </c>
      <c r="M881" t="s">
        <v>41</v>
      </c>
      <c r="N881">
        <v>26</v>
      </c>
      <c r="O881" t="s">
        <v>28</v>
      </c>
      <c r="P881" t="s">
        <v>60</v>
      </c>
      <c r="Q881" t="s">
        <v>30</v>
      </c>
      <c r="R881">
        <v>628</v>
      </c>
      <c r="S881">
        <v>78.5</v>
      </c>
      <c r="T881" t="s">
        <v>31</v>
      </c>
      <c r="U881" t="s">
        <v>32</v>
      </c>
      <c r="V881" t="s">
        <v>31</v>
      </c>
      <c r="W881" t="s">
        <v>49</v>
      </c>
      <c r="X881" t="s">
        <v>34</v>
      </c>
      <c r="Y881" t="s">
        <v>58</v>
      </c>
      <c r="Z881" t="s">
        <v>44</v>
      </c>
      <c r="AA881" t="s">
        <v>78</v>
      </c>
      <c r="AB881" t="s">
        <v>46</v>
      </c>
      <c r="AC881">
        <f>IF(Cdacdata[[#This Row],[placement_status]]="Placed",1,0)</f>
        <v>1</v>
      </c>
      <c r="AD881" t="s">
        <v>244</v>
      </c>
      <c r="AE881" t="s">
        <v>47</v>
      </c>
      <c r="AF881" t="s">
        <v>55</v>
      </c>
      <c r="AG881">
        <v>2021</v>
      </c>
      <c r="AH881" t="s">
        <v>40</v>
      </c>
      <c r="AI881" t="str">
        <f>IF(Cdacdata[ccat_rank]&lt;=100,"Top 100",
IF(Cdacdata[ccat_rank]&lt;=500,"101–500",
IF(Cdacdata[ccat_rank]&lt;=1000,"501–1000",
"1000+")))</f>
        <v>1000+</v>
      </c>
    </row>
    <row r="882" spans="1:35" x14ac:dyDescent="0.3">
      <c r="A882" s="1" t="s">
        <v>242</v>
      </c>
      <c r="B882">
        <v>210700861</v>
      </c>
      <c r="C882" s="2">
        <v>44454</v>
      </c>
      <c r="D882" s="2" t="s">
        <v>1120</v>
      </c>
      <c r="E882">
        <v>1328</v>
      </c>
      <c r="F882" s="2" t="s">
        <v>264</v>
      </c>
      <c r="G882">
        <v>66.66</v>
      </c>
      <c r="H882">
        <v>49</v>
      </c>
      <c r="I882" t="s">
        <v>26</v>
      </c>
      <c r="J882">
        <v>66</v>
      </c>
      <c r="K882" s="3">
        <f t="shared" si="13"/>
        <v>60.553333333333335</v>
      </c>
      <c r="L882" t="s">
        <v>27</v>
      </c>
      <c r="M882" t="s">
        <v>41</v>
      </c>
      <c r="N882">
        <v>26</v>
      </c>
      <c r="O882" t="s">
        <v>28</v>
      </c>
      <c r="P882" t="s">
        <v>42</v>
      </c>
      <c r="Q882" t="s">
        <v>30</v>
      </c>
      <c r="R882">
        <v>543</v>
      </c>
      <c r="S882">
        <v>67.875</v>
      </c>
      <c r="T882" t="s">
        <v>49</v>
      </c>
      <c r="U882" t="s">
        <v>32</v>
      </c>
      <c r="V882" t="s">
        <v>49</v>
      </c>
      <c r="W882" t="s">
        <v>33</v>
      </c>
      <c r="X882" t="s">
        <v>34</v>
      </c>
      <c r="Y882" t="s">
        <v>50</v>
      </c>
      <c r="Z882" t="s">
        <v>44</v>
      </c>
      <c r="AA882" t="s">
        <v>230</v>
      </c>
      <c r="AB882" t="s">
        <v>46</v>
      </c>
      <c r="AC882">
        <f>IF(Cdacdata[[#This Row],[placement_status]]="Placed",1,0)</f>
        <v>1</v>
      </c>
      <c r="AD882" t="s">
        <v>244</v>
      </c>
      <c r="AE882" t="s">
        <v>47</v>
      </c>
      <c r="AF882" t="s">
        <v>55</v>
      </c>
      <c r="AG882">
        <v>2021</v>
      </c>
      <c r="AH882" t="s">
        <v>40</v>
      </c>
      <c r="AI882" t="str">
        <f>IF(Cdacdata[ccat_rank]&lt;=100,"Top 100",
IF(Cdacdata[ccat_rank]&lt;=500,"101–500",
IF(Cdacdata[ccat_rank]&lt;=1000,"501–1000",
"1000+")))</f>
        <v>1000+</v>
      </c>
    </row>
    <row r="883" spans="1:35" x14ac:dyDescent="0.3">
      <c r="A883" s="1" t="s">
        <v>242</v>
      </c>
      <c r="B883">
        <v>210712891</v>
      </c>
      <c r="C883" s="2">
        <v>44459</v>
      </c>
      <c r="D883" s="2" t="s">
        <v>1121</v>
      </c>
      <c r="E883">
        <v>1458</v>
      </c>
      <c r="F883" s="2" t="s">
        <v>265</v>
      </c>
      <c r="G883">
        <v>70.3</v>
      </c>
      <c r="H883">
        <v>75</v>
      </c>
      <c r="I883" t="s">
        <v>26</v>
      </c>
      <c r="J883">
        <v>73</v>
      </c>
      <c r="K883" s="3">
        <f t="shared" si="13"/>
        <v>72.766666666666666</v>
      </c>
      <c r="L883" t="s">
        <v>27</v>
      </c>
      <c r="M883" t="s">
        <v>41</v>
      </c>
      <c r="N883">
        <v>23</v>
      </c>
      <c r="O883" t="s">
        <v>28</v>
      </c>
      <c r="P883" t="s">
        <v>26</v>
      </c>
      <c r="Q883" t="s">
        <v>26</v>
      </c>
      <c r="R883">
        <v>589</v>
      </c>
      <c r="S883">
        <v>73.625</v>
      </c>
      <c r="T883" t="s">
        <v>33</v>
      </c>
      <c r="U883" t="s">
        <v>32</v>
      </c>
      <c r="V883" t="s">
        <v>33</v>
      </c>
      <c r="W883" t="s">
        <v>33</v>
      </c>
      <c r="X883" t="s">
        <v>34</v>
      </c>
      <c r="Y883" t="s">
        <v>58</v>
      </c>
      <c r="Z883" t="s">
        <v>44</v>
      </c>
      <c r="AA883" t="s">
        <v>78</v>
      </c>
      <c r="AB883" t="s">
        <v>46</v>
      </c>
      <c r="AC883">
        <f>IF(Cdacdata[[#This Row],[placement_status]]="Placed",1,0)</f>
        <v>1</v>
      </c>
      <c r="AD883" t="s">
        <v>244</v>
      </c>
      <c r="AE883" t="s">
        <v>47</v>
      </c>
      <c r="AF883" t="s">
        <v>39</v>
      </c>
      <c r="AG883">
        <v>2021</v>
      </c>
      <c r="AH883" t="s">
        <v>40</v>
      </c>
      <c r="AI883" t="str">
        <f>IF(Cdacdata[ccat_rank]&lt;=100,"Top 100",
IF(Cdacdata[ccat_rank]&lt;=500,"101–500",
IF(Cdacdata[ccat_rank]&lt;=1000,"501–1000",
"1000+")))</f>
        <v>1000+</v>
      </c>
    </row>
    <row r="884" spans="1:35" x14ac:dyDescent="0.3">
      <c r="A884" s="1" t="s">
        <v>242</v>
      </c>
      <c r="B884">
        <v>210700725</v>
      </c>
      <c r="C884" s="2">
        <v>44454</v>
      </c>
      <c r="D884" s="2" t="s">
        <v>1122</v>
      </c>
      <c r="E884">
        <v>816</v>
      </c>
      <c r="F884" s="2">
        <v>36048</v>
      </c>
      <c r="G884">
        <v>76.66</v>
      </c>
      <c r="H884">
        <v>65.56</v>
      </c>
      <c r="I884" t="s">
        <v>26</v>
      </c>
      <c r="J884">
        <v>66.67</v>
      </c>
      <c r="K884" s="3">
        <f t="shared" si="13"/>
        <v>69.63</v>
      </c>
      <c r="L884" t="s">
        <v>27</v>
      </c>
      <c r="M884" t="s">
        <v>41</v>
      </c>
      <c r="N884">
        <v>22</v>
      </c>
      <c r="O884" t="s">
        <v>28</v>
      </c>
      <c r="P884" t="s">
        <v>26</v>
      </c>
      <c r="Q884" t="s">
        <v>30</v>
      </c>
      <c r="R884">
        <v>588</v>
      </c>
      <c r="S884">
        <v>73.5</v>
      </c>
      <c r="T884" t="s">
        <v>49</v>
      </c>
      <c r="U884" t="s">
        <v>32</v>
      </c>
      <c r="V884" t="s">
        <v>49</v>
      </c>
      <c r="W884" t="s">
        <v>49</v>
      </c>
      <c r="X884" t="s">
        <v>34</v>
      </c>
      <c r="Y884" t="s">
        <v>58</v>
      </c>
      <c r="Z884" t="s">
        <v>44</v>
      </c>
      <c r="AA884" t="s">
        <v>78</v>
      </c>
      <c r="AB884" t="s">
        <v>46</v>
      </c>
      <c r="AC884">
        <f>IF(Cdacdata[[#This Row],[placement_status]]="Placed",1,0)</f>
        <v>1</v>
      </c>
      <c r="AD884" t="s">
        <v>244</v>
      </c>
      <c r="AE884" t="s">
        <v>75</v>
      </c>
      <c r="AF884" t="s">
        <v>57</v>
      </c>
      <c r="AG884">
        <v>2021</v>
      </c>
      <c r="AH884" t="s">
        <v>40</v>
      </c>
      <c r="AI884" t="str">
        <f>IF(Cdacdata[ccat_rank]&lt;=100,"Top 100",
IF(Cdacdata[ccat_rank]&lt;=500,"101–500",
IF(Cdacdata[ccat_rank]&lt;=1000,"501–1000",
"1000+")))</f>
        <v>501–1000</v>
      </c>
    </row>
    <row r="885" spans="1:35" x14ac:dyDescent="0.3">
      <c r="A885" s="1" t="s">
        <v>242</v>
      </c>
      <c r="B885">
        <v>210712473</v>
      </c>
      <c r="C885" s="2">
        <v>44454</v>
      </c>
      <c r="D885" s="2" t="s">
        <v>1123</v>
      </c>
      <c r="E885">
        <v>1451</v>
      </c>
      <c r="F885" s="2" t="s">
        <v>266</v>
      </c>
      <c r="G885">
        <v>57</v>
      </c>
      <c r="H885">
        <v>55.2</v>
      </c>
      <c r="I885" t="s">
        <v>26</v>
      </c>
      <c r="J885">
        <v>65.53</v>
      </c>
      <c r="K885" s="3">
        <f t="shared" si="13"/>
        <v>59.243333333333339</v>
      </c>
      <c r="L885" t="s">
        <v>41</v>
      </c>
      <c r="M885" t="s">
        <v>27</v>
      </c>
      <c r="N885">
        <v>25</v>
      </c>
      <c r="O885" t="s">
        <v>28</v>
      </c>
      <c r="P885" t="s">
        <v>26</v>
      </c>
      <c r="Q885" t="s">
        <v>200</v>
      </c>
      <c r="R885">
        <v>443</v>
      </c>
      <c r="S885">
        <v>55.375</v>
      </c>
      <c r="T885" t="s">
        <v>31</v>
      </c>
      <c r="U885" t="s">
        <v>64</v>
      </c>
      <c r="V885" t="s">
        <v>31</v>
      </c>
      <c r="W885" t="s">
        <v>103</v>
      </c>
      <c r="X885" t="s">
        <v>34</v>
      </c>
      <c r="Y885" t="s">
        <v>35</v>
      </c>
      <c r="Z885" t="s">
        <v>36</v>
      </c>
      <c r="AA885" t="s">
        <v>1268</v>
      </c>
      <c r="AB885" t="s">
        <v>36</v>
      </c>
      <c r="AC885">
        <f>IF(Cdacdata[[#This Row],[placement_status]]="Placed",1,0)</f>
        <v>0</v>
      </c>
      <c r="AD885" t="s">
        <v>244</v>
      </c>
      <c r="AE885" t="s">
        <v>47</v>
      </c>
      <c r="AF885" t="s">
        <v>39</v>
      </c>
      <c r="AG885">
        <v>2021</v>
      </c>
      <c r="AH885" t="s">
        <v>40</v>
      </c>
      <c r="AI885" t="str">
        <f>IF(Cdacdata[ccat_rank]&lt;=100,"Top 100",
IF(Cdacdata[ccat_rank]&lt;=500,"101–500",
IF(Cdacdata[ccat_rank]&lt;=1000,"501–1000",
"1000+")))</f>
        <v>1000+</v>
      </c>
    </row>
    <row r="886" spans="1:35" x14ac:dyDescent="0.3">
      <c r="A886" s="1" t="s">
        <v>242</v>
      </c>
      <c r="B886">
        <v>210705763</v>
      </c>
      <c r="C886" s="2">
        <v>44454</v>
      </c>
      <c r="D886" s="2" t="s">
        <v>1124</v>
      </c>
      <c r="E886">
        <v>1509</v>
      </c>
      <c r="F886" s="2">
        <v>35339</v>
      </c>
      <c r="G886">
        <v>78.2</v>
      </c>
      <c r="H886">
        <v>75.400000000000006</v>
      </c>
      <c r="I886" t="s">
        <v>26</v>
      </c>
      <c r="J886">
        <v>71.84</v>
      </c>
      <c r="K886" s="3">
        <f t="shared" si="13"/>
        <v>75.146666666666675</v>
      </c>
      <c r="L886" t="s">
        <v>27</v>
      </c>
      <c r="M886" t="s">
        <v>41</v>
      </c>
      <c r="N886">
        <v>25</v>
      </c>
      <c r="O886" t="s">
        <v>28</v>
      </c>
      <c r="P886" t="s">
        <v>26</v>
      </c>
      <c r="Q886" t="s">
        <v>26</v>
      </c>
      <c r="R886">
        <v>519</v>
      </c>
      <c r="S886">
        <v>64.875</v>
      </c>
      <c r="T886" t="s">
        <v>31</v>
      </c>
      <c r="U886" t="s">
        <v>32</v>
      </c>
      <c r="V886" t="s">
        <v>31</v>
      </c>
      <c r="W886" t="s">
        <v>33</v>
      </c>
      <c r="X886" t="s">
        <v>34</v>
      </c>
      <c r="Y886" t="s">
        <v>50</v>
      </c>
      <c r="Z886" t="s">
        <v>44</v>
      </c>
      <c r="AA886" t="s">
        <v>168</v>
      </c>
      <c r="AB886" t="s">
        <v>46</v>
      </c>
      <c r="AC886">
        <f>IF(Cdacdata[[#This Row],[placement_status]]="Placed",1,0)</f>
        <v>1</v>
      </c>
      <c r="AD886" t="s">
        <v>244</v>
      </c>
      <c r="AE886" t="s">
        <v>47</v>
      </c>
      <c r="AF886" t="s">
        <v>39</v>
      </c>
      <c r="AG886">
        <v>2021</v>
      </c>
      <c r="AH886" t="s">
        <v>40</v>
      </c>
      <c r="AI886" t="str">
        <f>IF(Cdacdata[ccat_rank]&lt;=100,"Top 100",
IF(Cdacdata[ccat_rank]&lt;=500,"101–500",
IF(Cdacdata[ccat_rank]&lt;=1000,"501–1000",
"1000+")))</f>
        <v>1000+</v>
      </c>
    </row>
    <row r="887" spans="1:35" x14ac:dyDescent="0.3">
      <c r="A887" s="1" t="s">
        <v>242</v>
      </c>
      <c r="B887">
        <v>210706655</v>
      </c>
      <c r="C887" s="2">
        <v>44454</v>
      </c>
      <c r="D887" s="2" t="s">
        <v>1125</v>
      </c>
      <c r="E887">
        <v>1519</v>
      </c>
      <c r="F887" s="2" t="s">
        <v>267</v>
      </c>
      <c r="G887">
        <v>82.4</v>
      </c>
      <c r="H887">
        <v>59.38</v>
      </c>
      <c r="I887" t="s">
        <v>26</v>
      </c>
      <c r="J887">
        <v>0</v>
      </c>
      <c r="K887" s="3">
        <f t="shared" si="13"/>
        <v>47.26</v>
      </c>
      <c r="L887" t="s">
        <v>27</v>
      </c>
      <c r="M887" t="s">
        <v>41</v>
      </c>
      <c r="N887">
        <v>23</v>
      </c>
      <c r="O887" t="s">
        <v>62</v>
      </c>
      <c r="P887" t="s">
        <v>26</v>
      </c>
      <c r="Q887" t="s">
        <v>43</v>
      </c>
      <c r="R887">
        <v>481</v>
      </c>
      <c r="S887">
        <v>60.125</v>
      </c>
      <c r="T887" t="s">
        <v>33</v>
      </c>
      <c r="U887" t="s">
        <v>32</v>
      </c>
      <c r="V887" t="s">
        <v>33</v>
      </c>
      <c r="W887" t="s">
        <v>33</v>
      </c>
      <c r="X887" t="s">
        <v>34</v>
      </c>
      <c r="Y887" t="s">
        <v>50</v>
      </c>
      <c r="Z887" t="s">
        <v>44</v>
      </c>
      <c r="AA887" t="s">
        <v>225</v>
      </c>
      <c r="AB887" t="s">
        <v>46</v>
      </c>
      <c r="AC887">
        <f>IF(Cdacdata[[#This Row],[placement_status]]="Placed",1,0)</f>
        <v>1</v>
      </c>
      <c r="AD887" t="s">
        <v>244</v>
      </c>
      <c r="AE887" t="s">
        <v>47</v>
      </c>
      <c r="AF887" t="s">
        <v>39</v>
      </c>
      <c r="AG887">
        <v>2021</v>
      </c>
      <c r="AH887" t="s">
        <v>40</v>
      </c>
      <c r="AI887" t="str">
        <f>IF(Cdacdata[ccat_rank]&lt;=100,"Top 100",
IF(Cdacdata[ccat_rank]&lt;=500,"101–500",
IF(Cdacdata[ccat_rank]&lt;=1000,"501–1000",
"1000+")))</f>
        <v>1000+</v>
      </c>
    </row>
    <row r="888" spans="1:35" x14ac:dyDescent="0.3">
      <c r="A888" s="1" t="s">
        <v>242</v>
      </c>
      <c r="B888">
        <v>210703709</v>
      </c>
      <c r="C888" s="2">
        <v>44454</v>
      </c>
      <c r="D888" s="2" t="s">
        <v>1126</v>
      </c>
      <c r="E888">
        <v>1190</v>
      </c>
      <c r="F888" s="2">
        <v>35949</v>
      </c>
      <c r="G888">
        <v>84.6</v>
      </c>
      <c r="H888">
        <v>61</v>
      </c>
      <c r="I888" t="s">
        <v>26</v>
      </c>
      <c r="J888">
        <v>84</v>
      </c>
      <c r="K888" s="3">
        <f t="shared" si="13"/>
        <v>76.533333333333331</v>
      </c>
      <c r="L888" t="s">
        <v>27</v>
      </c>
      <c r="M888" t="s">
        <v>27</v>
      </c>
      <c r="N888">
        <v>23</v>
      </c>
      <c r="O888" t="s">
        <v>48</v>
      </c>
      <c r="P888" t="s">
        <v>26</v>
      </c>
      <c r="Q888" t="s">
        <v>30</v>
      </c>
      <c r="R888">
        <v>590</v>
      </c>
      <c r="S888">
        <v>73.75</v>
      </c>
      <c r="T888" t="s">
        <v>31</v>
      </c>
      <c r="U888" t="s">
        <v>32</v>
      </c>
      <c r="V888" t="s">
        <v>31</v>
      </c>
      <c r="W888" t="s">
        <v>33</v>
      </c>
      <c r="X888" t="s">
        <v>34</v>
      </c>
      <c r="Y888" t="s">
        <v>58</v>
      </c>
      <c r="Z888" t="s">
        <v>44</v>
      </c>
      <c r="AA888" t="s">
        <v>268</v>
      </c>
      <c r="AB888" t="s">
        <v>46</v>
      </c>
      <c r="AC888">
        <f>IF(Cdacdata[[#This Row],[placement_status]]="Placed",1,0)</f>
        <v>1</v>
      </c>
      <c r="AD888" t="s">
        <v>244</v>
      </c>
      <c r="AE888" t="s">
        <v>47</v>
      </c>
      <c r="AF888" t="s">
        <v>39</v>
      </c>
      <c r="AG888">
        <v>2021</v>
      </c>
      <c r="AH888" t="s">
        <v>40</v>
      </c>
      <c r="AI888" t="str">
        <f>IF(Cdacdata[ccat_rank]&lt;=100,"Top 100",
IF(Cdacdata[ccat_rank]&lt;=500,"101–500",
IF(Cdacdata[ccat_rank]&lt;=1000,"501–1000",
"1000+")))</f>
        <v>1000+</v>
      </c>
    </row>
    <row r="889" spans="1:35" x14ac:dyDescent="0.3">
      <c r="A889" s="1" t="s">
        <v>242</v>
      </c>
      <c r="B889">
        <v>210709254</v>
      </c>
      <c r="C889" s="2">
        <v>44455</v>
      </c>
      <c r="D889" s="2" t="s">
        <v>1127</v>
      </c>
      <c r="E889">
        <v>1266</v>
      </c>
      <c r="F889" s="2" t="s">
        <v>269</v>
      </c>
      <c r="G889">
        <v>71.45</v>
      </c>
      <c r="H889">
        <v>54.62</v>
      </c>
      <c r="I889">
        <v>73.81</v>
      </c>
      <c r="J889">
        <v>80.16</v>
      </c>
      <c r="K889" s="3">
        <f t="shared" si="13"/>
        <v>70.009999999999991</v>
      </c>
      <c r="L889" t="s">
        <v>27</v>
      </c>
      <c r="M889" t="s">
        <v>27</v>
      </c>
      <c r="N889">
        <v>24</v>
      </c>
      <c r="O889" t="s">
        <v>48</v>
      </c>
      <c r="P889" t="s">
        <v>29</v>
      </c>
      <c r="Q889" t="s">
        <v>30</v>
      </c>
      <c r="R889">
        <v>592</v>
      </c>
      <c r="S889">
        <v>74</v>
      </c>
      <c r="T889" t="s">
        <v>33</v>
      </c>
      <c r="U889" t="s">
        <v>32</v>
      </c>
      <c r="V889" t="s">
        <v>33</v>
      </c>
      <c r="W889" t="s">
        <v>33</v>
      </c>
      <c r="X889" t="s">
        <v>34</v>
      </c>
      <c r="Y889" t="s">
        <v>58</v>
      </c>
      <c r="Z889" t="s">
        <v>44</v>
      </c>
      <c r="AA889" t="s">
        <v>180</v>
      </c>
      <c r="AB889" t="s">
        <v>46</v>
      </c>
      <c r="AC889">
        <f>IF(Cdacdata[[#This Row],[placement_status]]="Placed",1,0)</f>
        <v>1</v>
      </c>
      <c r="AD889" t="s">
        <v>244</v>
      </c>
      <c r="AE889" t="s">
        <v>47</v>
      </c>
      <c r="AF889" t="s">
        <v>39</v>
      </c>
      <c r="AG889">
        <v>2021</v>
      </c>
      <c r="AH889" t="s">
        <v>40</v>
      </c>
      <c r="AI889" t="str">
        <f>IF(Cdacdata[ccat_rank]&lt;=100,"Top 100",
IF(Cdacdata[ccat_rank]&lt;=500,"101–500",
IF(Cdacdata[ccat_rank]&lt;=1000,"501–1000",
"1000+")))</f>
        <v>1000+</v>
      </c>
    </row>
    <row r="890" spans="1:35" x14ac:dyDescent="0.3">
      <c r="A890" s="1" t="s">
        <v>242</v>
      </c>
      <c r="B890">
        <v>210701029</v>
      </c>
      <c r="C890" s="2">
        <v>44454</v>
      </c>
      <c r="D890" s="2" t="s">
        <v>1128</v>
      </c>
      <c r="E890">
        <v>1438</v>
      </c>
      <c r="F890" s="2">
        <v>34975</v>
      </c>
      <c r="G890">
        <v>82.73</v>
      </c>
      <c r="H890">
        <v>56.83</v>
      </c>
      <c r="I890" t="s">
        <v>26</v>
      </c>
      <c r="J890">
        <v>63.25</v>
      </c>
      <c r="K890" s="3">
        <f t="shared" si="13"/>
        <v>67.603333333333339</v>
      </c>
      <c r="L890" t="s">
        <v>27</v>
      </c>
      <c r="M890" t="s">
        <v>27</v>
      </c>
      <c r="N890">
        <v>26</v>
      </c>
      <c r="O890" t="s">
        <v>28</v>
      </c>
      <c r="P890" t="s">
        <v>60</v>
      </c>
      <c r="Q890" t="s">
        <v>30</v>
      </c>
      <c r="R890">
        <v>566</v>
      </c>
      <c r="S890">
        <v>70.75</v>
      </c>
      <c r="T890" t="s">
        <v>49</v>
      </c>
      <c r="U890" t="s">
        <v>32</v>
      </c>
      <c r="V890" t="s">
        <v>49</v>
      </c>
      <c r="W890" t="s">
        <v>33</v>
      </c>
      <c r="X890" t="s">
        <v>34</v>
      </c>
      <c r="Y890" t="s">
        <v>58</v>
      </c>
      <c r="Z890" t="s">
        <v>44</v>
      </c>
      <c r="AA890" t="s">
        <v>91</v>
      </c>
      <c r="AB890" t="s">
        <v>46</v>
      </c>
      <c r="AC890">
        <f>IF(Cdacdata[[#This Row],[placement_status]]="Placed",1,0)</f>
        <v>1</v>
      </c>
      <c r="AD890" t="s">
        <v>244</v>
      </c>
      <c r="AE890" t="s">
        <v>47</v>
      </c>
      <c r="AF890" t="s">
        <v>55</v>
      </c>
      <c r="AG890">
        <v>2021</v>
      </c>
      <c r="AH890" t="s">
        <v>40</v>
      </c>
      <c r="AI890" t="str">
        <f>IF(Cdacdata[ccat_rank]&lt;=100,"Top 100",
IF(Cdacdata[ccat_rank]&lt;=500,"101–500",
IF(Cdacdata[ccat_rank]&lt;=1000,"501–1000",
"1000+")))</f>
        <v>1000+</v>
      </c>
    </row>
    <row r="891" spans="1:35" x14ac:dyDescent="0.3">
      <c r="A891" s="1" t="s">
        <v>242</v>
      </c>
      <c r="B891">
        <v>210700581</v>
      </c>
      <c r="C891" s="2">
        <v>44454</v>
      </c>
      <c r="D891" s="2" t="s">
        <v>1129</v>
      </c>
      <c r="E891">
        <v>355</v>
      </c>
      <c r="F891" s="2" t="s">
        <v>270</v>
      </c>
      <c r="G891">
        <v>92</v>
      </c>
      <c r="H891" t="s">
        <v>26</v>
      </c>
      <c r="I891">
        <v>75</v>
      </c>
      <c r="J891">
        <v>60.42</v>
      </c>
      <c r="K891" s="3">
        <f t="shared" si="13"/>
        <v>75.806666666666672</v>
      </c>
      <c r="L891" t="s">
        <v>27</v>
      </c>
      <c r="M891" t="s">
        <v>27</v>
      </c>
      <c r="N891">
        <v>26</v>
      </c>
      <c r="O891" t="s">
        <v>28</v>
      </c>
      <c r="P891" t="s">
        <v>60</v>
      </c>
      <c r="Q891" t="s">
        <v>30</v>
      </c>
      <c r="R891">
        <v>657</v>
      </c>
      <c r="S891">
        <v>82.125</v>
      </c>
      <c r="T891" t="s">
        <v>49</v>
      </c>
      <c r="U891" t="s">
        <v>32</v>
      </c>
      <c r="V891" t="s">
        <v>49</v>
      </c>
      <c r="W891" t="s">
        <v>49</v>
      </c>
      <c r="X891" t="s">
        <v>34</v>
      </c>
      <c r="Y891" t="s">
        <v>58</v>
      </c>
      <c r="Z891" t="s">
        <v>44</v>
      </c>
      <c r="AA891" t="s">
        <v>145</v>
      </c>
      <c r="AB891" t="s">
        <v>46</v>
      </c>
      <c r="AC891">
        <f>IF(Cdacdata[[#This Row],[placement_status]]="Placed",1,0)</f>
        <v>1</v>
      </c>
      <c r="AD891" t="s">
        <v>244</v>
      </c>
      <c r="AE891" t="s">
        <v>75</v>
      </c>
      <c r="AF891" t="s">
        <v>55</v>
      </c>
      <c r="AG891">
        <v>2021</v>
      </c>
      <c r="AH891" t="s">
        <v>40</v>
      </c>
      <c r="AI891" t="str">
        <f>IF(Cdacdata[ccat_rank]&lt;=100,"Top 100",
IF(Cdacdata[ccat_rank]&lt;=500,"101–500",
IF(Cdacdata[ccat_rank]&lt;=1000,"501–1000",
"1000+")))</f>
        <v>101–500</v>
      </c>
    </row>
    <row r="892" spans="1:35" x14ac:dyDescent="0.3">
      <c r="A892" s="1" t="s">
        <v>242</v>
      </c>
      <c r="B892">
        <v>210703654</v>
      </c>
      <c r="C892" s="2">
        <v>44454</v>
      </c>
      <c r="D892" s="2" t="s">
        <v>1130</v>
      </c>
      <c r="E892">
        <v>1495</v>
      </c>
      <c r="F892" s="2">
        <v>34738</v>
      </c>
      <c r="G892">
        <v>92.91</v>
      </c>
      <c r="H892">
        <v>62.83</v>
      </c>
      <c r="I892" t="s">
        <v>26</v>
      </c>
      <c r="J892">
        <v>70.86</v>
      </c>
      <c r="K892" s="3">
        <f t="shared" si="13"/>
        <v>75.533333333333346</v>
      </c>
      <c r="L892" t="s">
        <v>27</v>
      </c>
      <c r="M892" t="s">
        <v>41</v>
      </c>
      <c r="N892">
        <v>26</v>
      </c>
      <c r="O892" t="s">
        <v>28</v>
      </c>
      <c r="P892" t="s">
        <v>60</v>
      </c>
      <c r="Q892" t="s">
        <v>30</v>
      </c>
      <c r="R892">
        <v>621</v>
      </c>
      <c r="S892">
        <v>77.625</v>
      </c>
      <c r="T892" t="s">
        <v>33</v>
      </c>
      <c r="U892" t="s">
        <v>32</v>
      </c>
      <c r="V892" t="s">
        <v>33</v>
      </c>
      <c r="W892" t="s">
        <v>33</v>
      </c>
      <c r="X892" t="s">
        <v>34</v>
      </c>
      <c r="Y892" t="s">
        <v>58</v>
      </c>
      <c r="Z892" t="s">
        <v>44</v>
      </c>
      <c r="AA892" t="s">
        <v>249</v>
      </c>
      <c r="AB892" t="s">
        <v>46</v>
      </c>
      <c r="AC892">
        <f>IF(Cdacdata[[#This Row],[placement_status]]="Placed",1,0)</f>
        <v>1</v>
      </c>
      <c r="AD892" t="s">
        <v>244</v>
      </c>
      <c r="AE892" t="s">
        <v>47</v>
      </c>
      <c r="AF892" t="s">
        <v>55</v>
      </c>
      <c r="AG892">
        <v>2021</v>
      </c>
      <c r="AH892" t="s">
        <v>40</v>
      </c>
      <c r="AI892" t="str">
        <f>IF(Cdacdata[ccat_rank]&lt;=100,"Top 100",
IF(Cdacdata[ccat_rank]&lt;=500,"101–500",
IF(Cdacdata[ccat_rank]&lt;=1000,"501–1000",
"1000+")))</f>
        <v>1000+</v>
      </c>
    </row>
    <row r="893" spans="1:35" x14ac:dyDescent="0.3">
      <c r="A893" s="1" t="s">
        <v>242</v>
      </c>
      <c r="B893">
        <v>210702728</v>
      </c>
      <c r="C893" s="2">
        <v>44454</v>
      </c>
      <c r="D893" s="2" t="s">
        <v>1131</v>
      </c>
      <c r="E893">
        <v>1450</v>
      </c>
      <c r="F893" s="2" t="s">
        <v>271</v>
      </c>
      <c r="G893">
        <v>84.91</v>
      </c>
      <c r="H893">
        <v>72.92</v>
      </c>
      <c r="I893" t="s">
        <v>26</v>
      </c>
      <c r="J893">
        <v>61.45</v>
      </c>
      <c r="K893" s="3">
        <f t="shared" si="13"/>
        <v>73.09333333333332</v>
      </c>
      <c r="L893" t="s">
        <v>27</v>
      </c>
      <c r="M893" t="s">
        <v>41</v>
      </c>
      <c r="N893">
        <v>25</v>
      </c>
      <c r="O893" t="s">
        <v>28</v>
      </c>
      <c r="P893" t="s">
        <v>26</v>
      </c>
      <c r="Q893" t="s">
        <v>30</v>
      </c>
      <c r="R893">
        <v>514</v>
      </c>
      <c r="S893">
        <v>64.25</v>
      </c>
      <c r="T893" t="s">
        <v>31</v>
      </c>
      <c r="U893" t="s">
        <v>32</v>
      </c>
      <c r="V893" t="s">
        <v>31</v>
      </c>
      <c r="W893" t="s">
        <v>33</v>
      </c>
      <c r="X893" t="s">
        <v>34</v>
      </c>
      <c r="Y893" t="s">
        <v>50</v>
      </c>
      <c r="Z893" t="s">
        <v>44</v>
      </c>
      <c r="AA893" t="s">
        <v>112</v>
      </c>
      <c r="AB893" t="s">
        <v>46</v>
      </c>
      <c r="AC893">
        <f>IF(Cdacdata[[#This Row],[placement_status]]="Placed",1,0)</f>
        <v>1</v>
      </c>
      <c r="AD893" t="s">
        <v>244</v>
      </c>
      <c r="AE893" t="s">
        <v>47</v>
      </c>
      <c r="AF893" t="s">
        <v>39</v>
      </c>
      <c r="AG893">
        <v>2021</v>
      </c>
      <c r="AH893" t="s">
        <v>40</v>
      </c>
      <c r="AI893" t="str">
        <f>IF(Cdacdata[ccat_rank]&lt;=100,"Top 100",
IF(Cdacdata[ccat_rank]&lt;=500,"101–500",
IF(Cdacdata[ccat_rank]&lt;=1000,"501–1000",
"1000+")))</f>
        <v>1000+</v>
      </c>
    </row>
    <row r="894" spans="1:35" x14ac:dyDescent="0.3">
      <c r="A894" s="1" t="s">
        <v>242</v>
      </c>
      <c r="B894">
        <v>210701230</v>
      </c>
      <c r="C894" s="2">
        <v>44454</v>
      </c>
      <c r="D894" s="2" t="s">
        <v>1132</v>
      </c>
      <c r="E894">
        <v>704</v>
      </c>
      <c r="F894" s="2" t="s">
        <v>272</v>
      </c>
      <c r="G894">
        <v>88.18</v>
      </c>
      <c r="H894">
        <v>70.62</v>
      </c>
      <c r="I894" t="s">
        <v>26</v>
      </c>
      <c r="J894">
        <v>55.45</v>
      </c>
      <c r="K894" s="3">
        <f t="shared" si="13"/>
        <v>71.416666666666671</v>
      </c>
      <c r="L894" t="s">
        <v>41</v>
      </c>
      <c r="M894" t="s">
        <v>41</v>
      </c>
      <c r="N894">
        <v>24</v>
      </c>
      <c r="O894" t="s">
        <v>72</v>
      </c>
      <c r="P894" t="s">
        <v>60</v>
      </c>
      <c r="Q894" t="s">
        <v>30</v>
      </c>
      <c r="R894">
        <v>615</v>
      </c>
      <c r="S894">
        <v>76.875</v>
      </c>
      <c r="T894" t="s">
        <v>49</v>
      </c>
      <c r="U894" t="s">
        <v>32</v>
      </c>
      <c r="V894" t="s">
        <v>49</v>
      </c>
      <c r="W894" t="s">
        <v>49</v>
      </c>
      <c r="X894" t="s">
        <v>34</v>
      </c>
      <c r="Y894" t="s">
        <v>58</v>
      </c>
      <c r="Z894" t="s">
        <v>44</v>
      </c>
      <c r="AA894" t="s">
        <v>171</v>
      </c>
      <c r="AB894" t="s">
        <v>46</v>
      </c>
      <c r="AC894">
        <f>IF(Cdacdata[[#This Row],[placement_status]]="Placed",1,0)</f>
        <v>1</v>
      </c>
      <c r="AD894" t="s">
        <v>244</v>
      </c>
      <c r="AE894" t="s">
        <v>75</v>
      </c>
      <c r="AF894" t="s">
        <v>39</v>
      </c>
      <c r="AG894">
        <v>2021</v>
      </c>
      <c r="AH894" t="s">
        <v>40</v>
      </c>
      <c r="AI894" t="str">
        <f>IF(Cdacdata[ccat_rank]&lt;=100,"Top 100",
IF(Cdacdata[ccat_rank]&lt;=500,"101–500",
IF(Cdacdata[ccat_rank]&lt;=1000,"501–1000",
"1000+")))</f>
        <v>501–1000</v>
      </c>
    </row>
    <row r="895" spans="1:35" x14ac:dyDescent="0.3">
      <c r="A895" s="1" t="s">
        <v>242</v>
      </c>
      <c r="B895">
        <v>210704400</v>
      </c>
      <c r="C895" s="2">
        <v>44454</v>
      </c>
      <c r="D895" s="2" t="s">
        <v>1133</v>
      </c>
      <c r="E895">
        <v>1404</v>
      </c>
      <c r="F895" s="2">
        <v>35714</v>
      </c>
      <c r="G895">
        <v>90.2</v>
      </c>
      <c r="H895" t="s">
        <v>26</v>
      </c>
      <c r="I895">
        <v>77.650000000000006</v>
      </c>
      <c r="J895">
        <v>70.459999999999994</v>
      </c>
      <c r="K895" s="3">
        <f t="shared" si="13"/>
        <v>79.436666666666667</v>
      </c>
      <c r="L895" t="s">
        <v>27</v>
      </c>
      <c r="M895" t="s">
        <v>27</v>
      </c>
      <c r="N895">
        <v>23</v>
      </c>
      <c r="O895" t="s">
        <v>28</v>
      </c>
      <c r="P895" t="s">
        <v>26</v>
      </c>
      <c r="Q895" t="s">
        <v>30</v>
      </c>
      <c r="R895">
        <v>606</v>
      </c>
      <c r="S895">
        <v>75.75</v>
      </c>
      <c r="T895" t="s">
        <v>49</v>
      </c>
      <c r="U895" t="s">
        <v>32</v>
      </c>
      <c r="V895" t="s">
        <v>49</v>
      </c>
      <c r="W895" t="s">
        <v>49</v>
      </c>
      <c r="X895" t="s">
        <v>34</v>
      </c>
      <c r="Y895" t="s">
        <v>58</v>
      </c>
      <c r="Z895" t="s">
        <v>44</v>
      </c>
      <c r="AA895" t="s">
        <v>249</v>
      </c>
      <c r="AB895" t="s">
        <v>46</v>
      </c>
      <c r="AC895">
        <f>IF(Cdacdata[[#This Row],[placement_status]]="Placed",1,0)</f>
        <v>1</v>
      </c>
      <c r="AD895" t="s">
        <v>244</v>
      </c>
      <c r="AE895" t="s">
        <v>47</v>
      </c>
      <c r="AF895" t="s">
        <v>39</v>
      </c>
      <c r="AG895">
        <v>2021</v>
      </c>
      <c r="AH895" t="s">
        <v>40</v>
      </c>
      <c r="AI895" t="str">
        <f>IF(Cdacdata[ccat_rank]&lt;=100,"Top 100",
IF(Cdacdata[ccat_rank]&lt;=500,"101–500",
IF(Cdacdata[ccat_rank]&lt;=1000,"501–1000",
"1000+")))</f>
        <v>1000+</v>
      </c>
    </row>
    <row r="896" spans="1:35" x14ac:dyDescent="0.3">
      <c r="A896" s="1" t="s">
        <v>242</v>
      </c>
      <c r="B896">
        <v>210715760</v>
      </c>
      <c r="C896" s="2">
        <v>44455</v>
      </c>
      <c r="D896" s="2" t="s">
        <v>1134</v>
      </c>
      <c r="E896">
        <v>882</v>
      </c>
      <c r="F896" s="2">
        <v>35311</v>
      </c>
      <c r="G896">
        <v>83.6</v>
      </c>
      <c r="H896">
        <v>71.2</v>
      </c>
      <c r="I896" t="s">
        <v>26</v>
      </c>
      <c r="J896">
        <v>60.35</v>
      </c>
      <c r="K896" s="3">
        <f t="shared" si="13"/>
        <v>71.716666666666669</v>
      </c>
      <c r="L896" t="s">
        <v>27</v>
      </c>
      <c r="M896" t="s">
        <v>27</v>
      </c>
      <c r="N896">
        <v>25</v>
      </c>
      <c r="O896" t="s">
        <v>28</v>
      </c>
      <c r="P896" t="s">
        <v>26</v>
      </c>
      <c r="Q896" t="s">
        <v>30</v>
      </c>
      <c r="R896">
        <v>649</v>
      </c>
      <c r="S896">
        <v>81.125</v>
      </c>
      <c r="T896" t="s">
        <v>49</v>
      </c>
      <c r="U896" t="s">
        <v>32</v>
      </c>
      <c r="V896" t="s">
        <v>49</v>
      </c>
      <c r="W896" t="s">
        <v>49</v>
      </c>
      <c r="X896" t="s">
        <v>34</v>
      </c>
      <c r="Y896" t="s">
        <v>58</v>
      </c>
      <c r="Z896" t="s">
        <v>44</v>
      </c>
      <c r="AA896" t="s">
        <v>74</v>
      </c>
      <c r="AB896" t="s">
        <v>46</v>
      </c>
      <c r="AC896">
        <f>IF(Cdacdata[[#This Row],[placement_status]]="Placed",1,0)</f>
        <v>1</v>
      </c>
      <c r="AD896" t="s">
        <v>244</v>
      </c>
      <c r="AE896" t="s">
        <v>75</v>
      </c>
      <c r="AF896" t="s">
        <v>39</v>
      </c>
      <c r="AG896">
        <v>2021</v>
      </c>
      <c r="AH896" t="s">
        <v>40</v>
      </c>
      <c r="AI896" t="str">
        <f>IF(Cdacdata[ccat_rank]&lt;=100,"Top 100",
IF(Cdacdata[ccat_rank]&lt;=500,"101–500",
IF(Cdacdata[ccat_rank]&lt;=1000,"501–1000",
"1000+")))</f>
        <v>501–1000</v>
      </c>
    </row>
    <row r="897" spans="1:35" x14ac:dyDescent="0.3">
      <c r="A897" s="1" t="s">
        <v>242</v>
      </c>
      <c r="B897">
        <v>210701195</v>
      </c>
      <c r="C897" s="2">
        <v>44454</v>
      </c>
      <c r="D897" s="2" t="s">
        <v>1135</v>
      </c>
      <c r="E897">
        <v>1413</v>
      </c>
      <c r="F897" s="2">
        <v>35247</v>
      </c>
      <c r="G897">
        <v>81</v>
      </c>
      <c r="H897">
        <v>84.15</v>
      </c>
      <c r="I897" t="s">
        <v>26</v>
      </c>
      <c r="J897">
        <v>0</v>
      </c>
      <c r="K897" s="3">
        <f t="shared" si="13"/>
        <v>55.050000000000004</v>
      </c>
      <c r="L897" t="s">
        <v>27</v>
      </c>
      <c r="M897" t="s">
        <v>27</v>
      </c>
      <c r="N897">
        <v>25</v>
      </c>
      <c r="O897" t="s">
        <v>62</v>
      </c>
      <c r="P897" t="s">
        <v>60</v>
      </c>
      <c r="Q897" t="s">
        <v>30</v>
      </c>
      <c r="R897">
        <v>594</v>
      </c>
      <c r="S897">
        <v>74.25</v>
      </c>
      <c r="T897" t="s">
        <v>49</v>
      </c>
      <c r="U897" t="s">
        <v>32</v>
      </c>
      <c r="V897" t="s">
        <v>49</v>
      </c>
      <c r="W897" t="s">
        <v>49</v>
      </c>
      <c r="X897" t="s">
        <v>34</v>
      </c>
      <c r="Y897" t="s">
        <v>58</v>
      </c>
      <c r="Z897" t="s">
        <v>44</v>
      </c>
      <c r="AA897" t="s">
        <v>78</v>
      </c>
      <c r="AB897" t="s">
        <v>46</v>
      </c>
      <c r="AC897">
        <f>IF(Cdacdata[[#This Row],[placement_status]]="Placed",1,0)</f>
        <v>1</v>
      </c>
      <c r="AD897" t="s">
        <v>244</v>
      </c>
      <c r="AE897" t="s">
        <v>47</v>
      </c>
      <c r="AF897" t="s">
        <v>39</v>
      </c>
      <c r="AG897">
        <v>2021</v>
      </c>
      <c r="AH897" t="s">
        <v>40</v>
      </c>
      <c r="AI897" t="str">
        <f>IF(Cdacdata[ccat_rank]&lt;=100,"Top 100",
IF(Cdacdata[ccat_rank]&lt;=500,"101–500",
IF(Cdacdata[ccat_rank]&lt;=1000,"501–1000",
"1000+")))</f>
        <v>1000+</v>
      </c>
    </row>
    <row r="898" spans="1:35" x14ac:dyDescent="0.3">
      <c r="A898" s="1" t="s">
        <v>242</v>
      </c>
      <c r="B898">
        <v>210701394</v>
      </c>
      <c r="C898" s="2">
        <v>44454</v>
      </c>
      <c r="D898" s="2" t="s">
        <v>1136</v>
      </c>
      <c r="E898">
        <v>1487</v>
      </c>
      <c r="F898" s="2" t="s">
        <v>273</v>
      </c>
      <c r="G898">
        <v>85.5</v>
      </c>
      <c r="H898">
        <v>66.8</v>
      </c>
      <c r="I898" t="s">
        <v>26</v>
      </c>
      <c r="J898">
        <v>77</v>
      </c>
      <c r="K898" s="3">
        <f t="shared" ref="K898:K961" si="14">AVERAGE(G898,H898,I898,J898)</f>
        <v>76.433333333333337</v>
      </c>
      <c r="L898" t="s">
        <v>27</v>
      </c>
      <c r="M898" t="s">
        <v>41</v>
      </c>
      <c r="N898">
        <v>24</v>
      </c>
      <c r="O898" t="s">
        <v>48</v>
      </c>
      <c r="P898" t="s">
        <v>26</v>
      </c>
      <c r="Q898" t="s">
        <v>43</v>
      </c>
      <c r="R898">
        <v>595</v>
      </c>
      <c r="S898">
        <v>74.375</v>
      </c>
      <c r="T898" t="s">
        <v>49</v>
      </c>
      <c r="U898" t="s">
        <v>32</v>
      </c>
      <c r="V898" t="s">
        <v>49</v>
      </c>
      <c r="W898" t="s">
        <v>49</v>
      </c>
      <c r="X898" t="s">
        <v>34</v>
      </c>
      <c r="Y898" t="s">
        <v>58</v>
      </c>
      <c r="Z898" t="s">
        <v>44</v>
      </c>
      <c r="AA898" t="s">
        <v>87</v>
      </c>
      <c r="AB898" t="s">
        <v>46</v>
      </c>
      <c r="AC898">
        <f>IF(Cdacdata[[#This Row],[placement_status]]="Placed",1,0)</f>
        <v>1</v>
      </c>
      <c r="AD898" t="s">
        <v>244</v>
      </c>
      <c r="AE898" t="s">
        <v>47</v>
      </c>
      <c r="AF898" t="s">
        <v>39</v>
      </c>
      <c r="AG898">
        <v>2021</v>
      </c>
      <c r="AH898" t="s">
        <v>40</v>
      </c>
      <c r="AI898" t="str">
        <f>IF(Cdacdata[ccat_rank]&lt;=100,"Top 100",
IF(Cdacdata[ccat_rank]&lt;=500,"101–500",
IF(Cdacdata[ccat_rank]&lt;=1000,"501–1000",
"1000+")))</f>
        <v>1000+</v>
      </c>
    </row>
    <row r="899" spans="1:35" x14ac:dyDescent="0.3">
      <c r="A899" s="1" t="s">
        <v>242</v>
      </c>
      <c r="B899">
        <v>210703198</v>
      </c>
      <c r="C899" s="2">
        <v>44454</v>
      </c>
      <c r="D899" s="2" t="s">
        <v>1137</v>
      </c>
      <c r="E899">
        <v>1475</v>
      </c>
      <c r="F899" s="2">
        <v>35855</v>
      </c>
      <c r="G899">
        <v>77.8</v>
      </c>
      <c r="H899">
        <v>65.540000000000006</v>
      </c>
      <c r="I899" t="s">
        <v>26</v>
      </c>
      <c r="J899">
        <v>76.209999999999994</v>
      </c>
      <c r="K899" s="3">
        <f t="shared" si="14"/>
        <v>73.183333333333337</v>
      </c>
      <c r="L899" t="s">
        <v>27</v>
      </c>
      <c r="M899" t="s">
        <v>41</v>
      </c>
      <c r="N899">
        <v>23</v>
      </c>
      <c r="O899" t="s">
        <v>48</v>
      </c>
      <c r="P899" t="s">
        <v>65</v>
      </c>
      <c r="Q899" t="s">
        <v>30</v>
      </c>
      <c r="R899">
        <v>545</v>
      </c>
      <c r="S899">
        <v>68.125</v>
      </c>
      <c r="T899" t="s">
        <v>31</v>
      </c>
      <c r="U899" t="s">
        <v>32</v>
      </c>
      <c r="V899" t="s">
        <v>31</v>
      </c>
      <c r="W899" t="s">
        <v>49</v>
      </c>
      <c r="X899" t="s">
        <v>34</v>
      </c>
      <c r="Y899" t="s">
        <v>50</v>
      </c>
      <c r="Z899" t="s">
        <v>44</v>
      </c>
      <c r="AA899" t="s">
        <v>112</v>
      </c>
      <c r="AB899" t="s">
        <v>46</v>
      </c>
      <c r="AC899">
        <f>IF(Cdacdata[[#This Row],[placement_status]]="Placed",1,0)</f>
        <v>1</v>
      </c>
      <c r="AD899" t="s">
        <v>244</v>
      </c>
      <c r="AE899" t="s">
        <v>47</v>
      </c>
      <c r="AF899" t="s">
        <v>39</v>
      </c>
      <c r="AG899">
        <v>2021</v>
      </c>
      <c r="AH899" t="s">
        <v>40</v>
      </c>
      <c r="AI899" t="str">
        <f>IF(Cdacdata[ccat_rank]&lt;=100,"Top 100",
IF(Cdacdata[ccat_rank]&lt;=500,"101–500",
IF(Cdacdata[ccat_rank]&lt;=1000,"501–1000",
"1000+")))</f>
        <v>1000+</v>
      </c>
    </row>
    <row r="900" spans="1:35" x14ac:dyDescent="0.3">
      <c r="A900" s="1" t="s">
        <v>242</v>
      </c>
      <c r="B900">
        <v>210701173</v>
      </c>
      <c r="C900" s="2">
        <v>44454</v>
      </c>
      <c r="D900" s="2" t="s">
        <v>1138</v>
      </c>
      <c r="E900">
        <v>1408</v>
      </c>
      <c r="F900" s="2">
        <v>36774</v>
      </c>
      <c r="G900">
        <v>79</v>
      </c>
      <c r="H900">
        <v>75.540000000000006</v>
      </c>
      <c r="I900" t="s">
        <v>26</v>
      </c>
      <c r="J900">
        <v>7.29</v>
      </c>
      <c r="K900" s="3">
        <f t="shared" si="14"/>
        <v>53.943333333333335</v>
      </c>
      <c r="L900" t="s">
        <v>27</v>
      </c>
      <c r="M900" t="s">
        <v>41</v>
      </c>
      <c r="N900">
        <v>21</v>
      </c>
      <c r="O900" t="s">
        <v>62</v>
      </c>
      <c r="P900" t="s">
        <v>60</v>
      </c>
      <c r="Q900" t="s">
        <v>30</v>
      </c>
      <c r="R900">
        <v>631</v>
      </c>
      <c r="S900">
        <v>78.875</v>
      </c>
      <c r="T900" t="s">
        <v>33</v>
      </c>
      <c r="U900" t="s">
        <v>32</v>
      </c>
      <c r="V900" t="s">
        <v>33</v>
      </c>
      <c r="W900" t="s">
        <v>33</v>
      </c>
      <c r="X900" t="s">
        <v>34</v>
      </c>
      <c r="Y900" t="s">
        <v>58</v>
      </c>
      <c r="Z900" t="s">
        <v>44</v>
      </c>
      <c r="AA900" t="s">
        <v>66</v>
      </c>
      <c r="AB900" t="s">
        <v>46</v>
      </c>
      <c r="AC900">
        <f>IF(Cdacdata[[#This Row],[placement_status]]="Placed",1,0)</f>
        <v>1</v>
      </c>
      <c r="AD900" t="s">
        <v>244</v>
      </c>
      <c r="AE900" t="s">
        <v>47</v>
      </c>
      <c r="AF900" t="s">
        <v>57</v>
      </c>
      <c r="AG900">
        <v>2021</v>
      </c>
      <c r="AH900" t="s">
        <v>40</v>
      </c>
      <c r="AI900" t="str">
        <f>IF(Cdacdata[ccat_rank]&lt;=100,"Top 100",
IF(Cdacdata[ccat_rank]&lt;=500,"101–500",
IF(Cdacdata[ccat_rank]&lt;=1000,"501–1000",
"1000+")))</f>
        <v>1000+</v>
      </c>
    </row>
    <row r="901" spans="1:35" x14ac:dyDescent="0.3">
      <c r="A901" s="1" t="s">
        <v>242</v>
      </c>
      <c r="B901">
        <v>210708598</v>
      </c>
      <c r="C901" s="2">
        <v>44453</v>
      </c>
      <c r="D901" s="2" t="s">
        <v>1139</v>
      </c>
      <c r="E901">
        <v>1072</v>
      </c>
      <c r="F901" s="2" t="s">
        <v>274</v>
      </c>
      <c r="G901">
        <v>79.27</v>
      </c>
      <c r="H901">
        <v>57.5</v>
      </c>
      <c r="I901" t="s">
        <v>26</v>
      </c>
      <c r="J901">
        <v>64.8</v>
      </c>
      <c r="K901" s="3">
        <f t="shared" si="14"/>
        <v>67.19</v>
      </c>
      <c r="L901" t="s">
        <v>27</v>
      </c>
      <c r="M901" t="s">
        <v>41</v>
      </c>
      <c r="N901">
        <v>26</v>
      </c>
      <c r="O901" t="s">
        <v>28</v>
      </c>
      <c r="P901" t="s">
        <v>65</v>
      </c>
      <c r="Q901" t="s">
        <v>30</v>
      </c>
      <c r="R901">
        <v>550</v>
      </c>
      <c r="S901">
        <v>68.75</v>
      </c>
      <c r="T901" t="s">
        <v>31</v>
      </c>
      <c r="U901" t="s">
        <v>32</v>
      </c>
      <c r="V901" t="s">
        <v>31</v>
      </c>
      <c r="W901" t="s">
        <v>33</v>
      </c>
      <c r="X901" t="s">
        <v>34</v>
      </c>
      <c r="Y901" t="s">
        <v>50</v>
      </c>
      <c r="Z901" t="s">
        <v>44</v>
      </c>
      <c r="AA901" t="s">
        <v>225</v>
      </c>
      <c r="AB901" t="s">
        <v>46</v>
      </c>
      <c r="AC901">
        <f>IF(Cdacdata[[#This Row],[placement_status]]="Placed",1,0)</f>
        <v>1</v>
      </c>
      <c r="AD901" t="s">
        <v>244</v>
      </c>
      <c r="AE901" t="s">
        <v>47</v>
      </c>
      <c r="AF901" t="s">
        <v>55</v>
      </c>
      <c r="AG901">
        <v>2021</v>
      </c>
      <c r="AH901" t="s">
        <v>40</v>
      </c>
      <c r="AI901" t="str">
        <f>IF(Cdacdata[ccat_rank]&lt;=100,"Top 100",
IF(Cdacdata[ccat_rank]&lt;=500,"101–500",
IF(Cdacdata[ccat_rank]&lt;=1000,"501–1000",
"1000+")))</f>
        <v>1000+</v>
      </c>
    </row>
    <row r="902" spans="1:35" x14ac:dyDescent="0.3">
      <c r="A902" s="1" t="s">
        <v>242</v>
      </c>
      <c r="B902">
        <v>210705930</v>
      </c>
      <c r="C902" s="2">
        <v>44454</v>
      </c>
      <c r="D902" s="2" t="s">
        <v>1140</v>
      </c>
      <c r="E902">
        <v>1434</v>
      </c>
      <c r="F902" s="2" t="s">
        <v>275</v>
      </c>
      <c r="G902">
        <v>78.599999999999994</v>
      </c>
      <c r="H902">
        <v>64.150000000000006</v>
      </c>
      <c r="I902" t="s">
        <v>26</v>
      </c>
      <c r="J902">
        <v>70.75</v>
      </c>
      <c r="K902" s="3">
        <f t="shared" si="14"/>
        <v>71.166666666666671</v>
      </c>
      <c r="L902" t="s">
        <v>27</v>
      </c>
      <c r="M902" t="s">
        <v>27</v>
      </c>
      <c r="N902">
        <v>23</v>
      </c>
      <c r="O902" t="s">
        <v>28</v>
      </c>
      <c r="P902" t="s">
        <v>60</v>
      </c>
      <c r="Q902" t="s">
        <v>30</v>
      </c>
      <c r="R902">
        <v>572</v>
      </c>
      <c r="S902">
        <v>71.5</v>
      </c>
      <c r="T902" t="s">
        <v>33</v>
      </c>
      <c r="U902" t="s">
        <v>32</v>
      </c>
      <c r="V902" t="s">
        <v>33</v>
      </c>
      <c r="W902" t="s">
        <v>33</v>
      </c>
      <c r="X902" t="s">
        <v>34</v>
      </c>
      <c r="Y902" t="s">
        <v>58</v>
      </c>
      <c r="Z902" t="s">
        <v>44</v>
      </c>
      <c r="AA902" t="s">
        <v>163</v>
      </c>
      <c r="AB902" t="s">
        <v>46</v>
      </c>
      <c r="AC902">
        <f>IF(Cdacdata[[#This Row],[placement_status]]="Placed",1,0)</f>
        <v>1</v>
      </c>
      <c r="AD902" t="s">
        <v>244</v>
      </c>
      <c r="AE902" t="s">
        <v>47</v>
      </c>
      <c r="AF902" t="s">
        <v>39</v>
      </c>
      <c r="AG902">
        <v>2021</v>
      </c>
      <c r="AH902" t="s">
        <v>40</v>
      </c>
      <c r="AI902" t="str">
        <f>IF(Cdacdata[ccat_rank]&lt;=100,"Top 100",
IF(Cdacdata[ccat_rank]&lt;=500,"101–500",
IF(Cdacdata[ccat_rank]&lt;=1000,"501–1000",
"1000+")))</f>
        <v>1000+</v>
      </c>
    </row>
    <row r="903" spans="1:35" x14ac:dyDescent="0.3">
      <c r="A903" s="1" t="s">
        <v>242</v>
      </c>
      <c r="B903">
        <v>210701049</v>
      </c>
      <c r="C903" s="2">
        <v>44454</v>
      </c>
      <c r="D903" s="2" t="s">
        <v>1141</v>
      </c>
      <c r="E903">
        <v>386</v>
      </c>
      <c r="F903" s="2">
        <v>35831</v>
      </c>
      <c r="G903">
        <v>94.6</v>
      </c>
      <c r="H903">
        <v>72.599999999999994</v>
      </c>
      <c r="I903" t="s">
        <v>26</v>
      </c>
      <c r="J903">
        <v>75.53</v>
      </c>
      <c r="K903" s="3">
        <f t="shared" si="14"/>
        <v>80.91</v>
      </c>
      <c r="L903" t="s">
        <v>27</v>
      </c>
      <c r="M903" t="s">
        <v>41</v>
      </c>
      <c r="N903">
        <v>23</v>
      </c>
      <c r="O903" t="s">
        <v>48</v>
      </c>
      <c r="P903" t="s">
        <v>60</v>
      </c>
      <c r="Q903" t="s">
        <v>30</v>
      </c>
      <c r="R903">
        <v>606</v>
      </c>
      <c r="S903">
        <v>75.75</v>
      </c>
      <c r="T903" t="s">
        <v>49</v>
      </c>
      <c r="U903" t="s">
        <v>32</v>
      </c>
      <c r="V903" t="s">
        <v>49</v>
      </c>
      <c r="W903" t="s">
        <v>31</v>
      </c>
      <c r="X903" t="s">
        <v>34</v>
      </c>
      <c r="Y903" t="s">
        <v>58</v>
      </c>
      <c r="Z903" t="s">
        <v>44</v>
      </c>
      <c r="AA903" t="s">
        <v>249</v>
      </c>
      <c r="AB903" t="s">
        <v>46</v>
      </c>
      <c r="AC903">
        <f>IF(Cdacdata[[#This Row],[placement_status]]="Placed",1,0)</f>
        <v>1</v>
      </c>
      <c r="AD903" t="s">
        <v>244</v>
      </c>
      <c r="AE903" t="s">
        <v>75</v>
      </c>
      <c r="AF903" t="s">
        <v>39</v>
      </c>
      <c r="AG903">
        <v>2021</v>
      </c>
      <c r="AH903" t="s">
        <v>40</v>
      </c>
      <c r="AI903" t="str">
        <f>IF(Cdacdata[ccat_rank]&lt;=100,"Top 100",
IF(Cdacdata[ccat_rank]&lt;=500,"101–500",
IF(Cdacdata[ccat_rank]&lt;=1000,"501–1000",
"1000+")))</f>
        <v>101–500</v>
      </c>
    </row>
    <row r="904" spans="1:35" x14ac:dyDescent="0.3">
      <c r="A904" s="1" t="s">
        <v>242</v>
      </c>
      <c r="B904">
        <v>210708897</v>
      </c>
      <c r="C904" s="2">
        <v>44455</v>
      </c>
      <c r="D904" s="2" t="s">
        <v>1142</v>
      </c>
      <c r="E904">
        <v>1475</v>
      </c>
      <c r="F904" s="2" t="s">
        <v>276</v>
      </c>
      <c r="G904">
        <v>86.91</v>
      </c>
      <c r="H904">
        <v>67</v>
      </c>
      <c r="I904" t="s">
        <v>26</v>
      </c>
      <c r="J904">
        <v>60.13</v>
      </c>
      <c r="K904" s="3">
        <f t="shared" si="14"/>
        <v>71.346666666666664</v>
      </c>
      <c r="L904" t="s">
        <v>27</v>
      </c>
      <c r="M904" t="s">
        <v>41</v>
      </c>
      <c r="N904">
        <v>27</v>
      </c>
      <c r="O904" t="s">
        <v>28</v>
      </c>
      <c r="P904" t="s">
        <v>60</v>
      </c>
      <c r="Q904" t="s">
        <v>30</v>
      </c>
      <c r="R904">
        <v>512</v>
      </c>
      <c r="S904">
        <v>64</v>
      </c>
      <c r="T904" t="s">
        <v>31</v>
      </c>
      <c r="U904" t="s">
        <v>32</v>
      </c>
      <c r="V904" t="s">
        <v>31</v>
      </c>
      <c r="W904" t="s">
        <v>33</v>
      </c>
      <c r="X904" t="s">
        <v>34</v>
      </c>
      <c r="Y904" t="s">
        <v>50</v>
      </c>
      <c r="Z904" t="s">
        <v>44</v>
      </c>
      <c r="AA904" t="s">
        <v>255</v>
      </c>
      <c r="AB904" t="s">
        <v>46</v>
      </c>
      <c r="AC904">
        <f>IF(Cdacdata[[#This Row],[placement_status]]="Placed",1,0)</f>
        <v>1</v>
      </c>
      <c r="AD904" t="s">
        <v>244</v>
      </c>
      <c r="AE904" t="s">
        <v>47</v>
      </c>
      <c r="AF904" t="s">
        <v>55</v>
      </c>
      <c r="AG904">
        <v>2021</v>
      </c>
      <c r="AH904" t="s">
        <v>40</v>
      </c>
      <c r="AI904" t="str">
        <f>IF(Cdacdata[ccat_rank]&lt;=100,"Top 100",
IF(Cdacdata[ccat_rank]&lt;=500,"101–500",
IF(Cdacdata[ccat_rank]&lt;=1000,"501–1000",
"1000+")))</f>
        <v>1000+</v>
      </c>
    </row>
    <row r="905" spans="1:35" x14ac:dyDescent="0.3">
      <c r="A905" s="1" t="s">
        <v>242</v>
      </c>
      <c r="B905">
        <v>210705472</v>
      </c>
      <c r="C905" s="2">
        <v>44454</v>
      </c>
      <c r="D905" s="2" t="s">
        <v>1143</v>
      </c>
      <c r="E905">
        <v>1412</v>
      </c>
      <c r="F905" s="2" t="s">
        <v>277</v>
      </c>
      <c r="G905">
        <v>85.2</v>
      </c>
      <c r="H905" t="s">
        <v>26</v>
      </c>
      <c r="I905">
        <v>76.53</v>
      </c>
      <c r="J905">
        <v>64.2</v>
      </c>
      <c r="K905" s="3">
        <f t="shared" si="14"/>
        <v>75.31</v>
      </c>
      <c r="L905" t="s">
        <v>27</v>
      </c>
      <c r="M905" t="s">
        <v>41</v>
      </c>
      <c r="N905">
        <v>23</v>
      </c>
      <c r="O905" t="s">
        <v>28</v>
      </c>
      <c r="P905" t="s">
        <v>26</v>
      </c>
      <c r="Q905" t="s">
        <v>30</v>
      </c>
      <c r="R905">
        <v>573</v>
      </c>
      <c r="S905">
        <v>71.625</v>
      </c>
      <c r="T905" t="s">
        <v>33</v>
      </c>
      <c r="U905" t="s">
        <v>32</v>
      </c>
      <c r="V905" t="s">
        <v>33</v>
      </c>
      <c r="W905" t="s">
        <v>33</v>
      </c>
      <c r="X905" t="s">
        <v>34</v>
      </c>
      <c r="Y905" t="s">
        <v>58</v>
      </c>
      <c r="Z905" t="s">
        <v>44</v>
      </c>
      <c r="AA905" t="s">
        <v>112</v>
      </c>
      <c r="AB905" t="s">
        <v>46</v>
      </c>
      <c r="AC905">
        <f>IF(Cdacdata[[#This Row],[placement_status]]="Placed",1,0)</f>
        <v>1</v>
      </c>
      <c r="AD905" t="s">
        <v>244</v>
      </c>
      <c r="AE905" t="s">
        <v>47</v>
      </c>
      <c r="AF905" t="s">
        <v>39</v>
      </c>
      <c r="AG905">
        <v>2021</v>
      </c>
      <c r="AH905" t="s">
        <v>40</v>
      </c>
      <c r="AI905" t="str">
        <f>IF(Cdacdata[ccat_rank]&lt;=100,"Top 100",
IF(Cdacdata[ccat_rank]&lt;=500,"101–500",
IF(Cdacdata[ccat_rank]&lt;=1000,"501–1000",
"1000+")))</f>
        <v>1000+</v>
      </c>
    </row>
    <row r="906" spans="1:35" x14ac:dyDescent="0.3">
      <c r="A906" s="1" t="s">
        <v>242</v>
      </c>
      <c r="B906">
        <v>210703580</v>
      </c>
      <c r="C906" s="2"/>
      <c r="D906" s="2"/>
      <c r="E906" t="s">
        <v>63</v>
      </c>
      <c r="G906">
        <v>0</v>
      </c>
      <c r="H906">
        <v>0</v>
      </c>
      <c r="I906">
        <v>0</v>
      </c>
      <c r="J906">
        <v>0</v>
      </c>
      <c r="K906" s="3">
        <f t="shared" si="14"/>
        <v>0</v>
      </c>
      <c r="L906" t="s">
        <v>27</v>
      </c>
      <c r="M906" t="s">
        <v>27</v>
      </c>
      <c r="N906">
        <v>23</v>
      </c>
      <c r="O906" t="s">
        <v>373</v>
      </c>
      <c r="P906" t="s">
        <v>26</v>
      </c>
      <c r="Q906" t="s">
        <v>374</v>
      </c>
      <c r="R906">
        <v>599</v>
      </c>
      <c r="S906">
        <v>74.875</v>
      </c>
      <c r="T906" t="s">
        <v>49</v>
      </c>
      <c r="U906" t="s">
        <v>32</v>
      </c>
      <c r="V906" t="s">
        <v>49</v>
      </c>
      <c r="W906" t="s">
        <v>33</v>
      </c>
      <c r="X906" t="s">
        <v>34</v>
      </c>
      <c r="Y906" t="s">
        <v>58</v>
      </c>
      <c r="Z906" t="s">
        <v>44</v>
      </c>
      <c r="AA906" t="s">
        <v>278</v>
      </c>
      <c r="AB906" t="s">
        <v>46</v>
      </c>
      <c r="AC906">
        <f>IF(Cdacdata[[#This Row],[placement_status]]="Placed",1,0)</f>
        <v>1</v>
      </c>
      <c r="AD906" t="s">
        <v>244</v>
      </c>
      <c r="AE906" t="s">
        <v>63</v>
      </c>
      <c r="AF906" t="s">
        <v>63</v>
      </c>
      <c r="AG906">
        <v>2021</v>
      </c>
      <c r="AH906" t="s">
        <v>40</v>
      </c>
      <c r="AI906" t="str">
        <f>IF(Cdacdata[ccat_rank]&lt;=100,"Top 100",
IF(Cdacdata[ccat_rank]&lt;=500,"101–500",
IF(Cdacdata[ccat_rank]&lt;=1000,"501–1000",
"1000+")))</f>
        <v>1000+</v>
      </c>
    </row>
    <row r="907" spans="1:35" x14ac:dyDescent="0.3">
      <c r="A907" s="1" t="s">
        <v>242</v>
      </c>
      <c r="B907">
        <v>210702455</v>
      </c>
      <c r="C907" s="2">
        <v>44455</v>
      </c>
      <c r="D907" s="2" t="s">
        <v>1144</v>
      </c>
      <c r="E907">
        <v>1459</v>
      </c>
      <c r="F907" s="2" t="s">
        <v>279</v>
      </c>
      <c r="G907">
        <v>74</v>
      </c>
      <c r="H907">
        <v>54</v>
      </c>
      <c r="I907" t="s">
        <v>26</v>
      </c>
      <c r="J907">
        <v>87</v>
      </c>
      <c r="K907" s="3">
        <f t="shared" si="14"/>
        <v>71.666666666666671</v>
      </c>
      <c r="L907" t="s">
        <v>27</v>
      </c>
      <c r="M907" t="s">
        <v>27</v>
      </c>
      <c r="N907">
        <v>22</v>
      </c>
      <c r="O907" t="s">
        <v>48</v>
      </c>
      <c r="P907" t="s">
        <v>29</v>
      </c>
      <c r="Q907" t="s">
        <v>43</v>
      </c>
      <c r="R907">
        <v>502</v>
      </c>
      <c r="S907">
        <v>62.75</v>
      </c>
      <c r="T907" t="s">
        <v>49</v>
      </c>
      <c r="U907" t="s">
        <v>32</v>
      </c>
      <c r="V907" t="s">
        <v>49</v>
      </c>
      <c r="W907" t="s">
        <v>31</v>
      </c>
      <c r="X907" t="s">
        <v>34</v>
      </c>
      <c r="Y907" t="s">
        <v>50</v>
      </c>
      <c r="Z907" t="s">
        <v>44</v>
      </c>
      <c r="AA907" t="s">
        <v>66</v>
      </c>
      <c r="AB907" t="s">
        <v>46</v>
      </c>
      <c r="AC907">
        <f>IF(Cdacdata[[#This Row],[placement_status]]="Placed",1,0)</f>
        <v>1</v>
      </c>
      <c r="AD907" t="s">
        <v>244</v>
      </c>
      <c r="AE907" t="s">
        <v>47</v>
      </c>
      <c r="AF907" t="s">
        <v>57</v>
      </c>
      <c r="AG907">
        <v>2021</v>
      </c>
      <c r="AH907" t="s">
        <v>40</v>
      </c>
      <c r="AI907" t="str">
        <f>IF(Cdacdata[ccat_rank]&lt;=100,"Top 100",
IF(Cdacdata[ccat_rank]&lt;=500,"101–500",
IF(Cdacdata[ccat_rank]&lt;=1000,"501–1000",
"1000+")))</f>
        <v>1000+</v>
      </c>
    </row>
    <row r="908" spans="1:35" x14ac:dyDescent="0.3">
      <c r="A908" s="1" t="s">
        <v>242</v>
      </c>
      <c r="B908">
        <v>210711602</v>
      </c>
      <c r="C908" s="2">
        <v>44454</v>
      </c>
      <c r="D908" s="2" t="s">
        <v>1145</v>
      </c>
      <c r="E908">
        <v>1402</v>
      </c>
      <c r="F908" s="2">
        <v>36047</v>
      </c>
      <c r="G908">
        <v>92.4</v>
      </c>
      <c r="H908" t="s">
        <v>26</v>
      </c>
      <c r="I908">
        <v>68.53</v>
      </c>
      <c r="J908">
        <v>71.37</v>
      </c>
      <c r="K908" s="3">
        <f t="shared" si="14"/>
        <v>77.433333333333337</v>
      </c>
      <c r="L908" t="s">
        <v>27</v>
      </c>
      <c r="M908" t="s">
        <v>27</v>
      </c>
      <c r="N908">
        <v>23</v>
      </c>
      <c r="O908" t="s">
        <v>28</v>
      </c>
      <c r="P908" t="s">
        <v>26</v>
      </c>
      <c r="Q908" t="s">
        <v>30</v>
      </c>
      <c r="R908">
        <v>638</v>
      </c>
      <c r="S908">
        <v>79.75</v>
      </c>
      <c r="T908" t="s">
        <v>49</v>
      </c>
      <c r="U908" t="s">
        <v>32</v>
      </c>
      <c r="V908" t="s">
        <v>49</v>
      </c>
      <c r="W908" t="s">
        <v>31</v>
      </c>
      <c r="X908" t="s">
        <v>34</v>
      </c>
      <c r="Y908" t="s">
        <v>58</v>
      </c>
      <c r="Z908" t="s">
        <v>44</v>
      </c>
      <c r="AA908" t="s">
        <v>249</v>
      </c>
      <c r="AB908" t="s">
        <v>46</v>
      </c>
      <c r="AC908">
        <f>IF(Cdacdata[[#This Row],[placement_status]]="Placed",1,0)</f>
        <v>1</v>
      </c>
      <c r="AD908" t="s">
        <v>244</v>
      </c>
      <c r="AE908" t="s">
        <v>47</v>
      </c>
      <c r="AF908" t="s">
        <v>39</v>
      </c>
      <c r="AG908">
        <v>2021</v>
      </c>
      <c r="AH908" t="s">
        <v>40</v>
      </c>
      <c r="AI908" t="str">
        <f>IF(Cdacdata[ccat_rank]&lt;=100,"Top 100",
IF(Cdacdata[ccat_rank]&lt;=500,"101–500",
IF(Cdacdata[ccat_rank]&lt;=1000,"501–1000",
"1000+")))</f>
        <v>1000+</v>
      </c>
    </row>
    <row r="909" spans="1:35" x14ac:dyDescent="0.3">
      <c r="A909" s="1" t="s">
        <v>242</v>
      </c>
      <c r="B909">
        <v>210703918</v>
      </c>
      <c r="C909" s="2">
        <v>44454</v>
      </c>
      <c r="D909" s="2" t="s">
        <v>1146</v>
      </c>
      <c r="E909">
        <v>1479</v>
      </c>
      <c r="F909" s="2">
        <v>34394</v>
      </c>
      <c r="G909">
        <v>79.069999999999993</v>
      </c>
      <c r="H909">
        <v>54.67</v>
      </c>
      <c r="I909" t="s">
        <v>26</v>
      </c>
      <c r="J909">
        <v>54.56</v>
      </c>
      <c r="K909" s="3">
        <f t="shared" si="14"/>
        <v>62.766666666666673</v>
      </c>
      <c r="L909" t="s">
        <v>27</v>
      </c>
      <c r="M909" t="s">
        <v>41</v>
      </c>
      <c r="N909">
        <v>27</v>
      </c>
      <c r="O909" t="s">
        <v>72</v>
      </c>
      <c r="P909" t="s">
        <v>60</v>
      </c>
      <c r="Q909" t="s">
        <v>30</v>
      </c>
      <c r="R909">
        <v>491</v>
      </c>
      <c r="S909">
        <v>61.375</v>
      </c>
      <c r="T909" t="s">
        <v>33</v>
      </c>
      <c r="U909" t="s">
        <v>32</v>
      </c>
      <c r="V909" t="s">
        <v>33</v>
      </c>
      <c r="W909" t="s">
        <v>31</v>
      </c>
      <c r="X909" t="s">
        <v>34</v>
      </c>
      <c r="Y909" t="s">
        <v>50</v>
      </c>
      <c r="Z909" t="s">
        <v>36</v>
      </c>
      <c r="AA909" t="s">
        <v>1268</v>
      </c>
      <c r="AB909" t="s">
        <v>36</v>
      </c>
      <c r="AC909">
        <f>IF(Cdacdata[[#This Row],[placement_status]]="Placed",1,0)</f>
        <v>0</v>
      </c>
      <c r="AD909" t="s">
        <v>244</v>
      </c>
      <c r="AE909" t="s">
        <v>47</v>
      </c>
      <c r="AF909" t="s">
        <v>55</v>
      </c>
      <c r="AG909">
        <v>2021</v>
      </c>
      <c r="AH909" t="s">
        <v>40</v>
      </c>
      <c r="AI909" t="str">
        <f>IF(Cdacdata[ccat_rank]&lt;=100,"Top 100",
IF(Cdacdata[ccat_rank]&lt;=500,"101–500",
IF(Cdacdata[ccat_rank]&lt;=1000,"501–1000",
"1000+")))</f>
        <v>1000+</v>
      </c>
    </row>
    <row r="910" spans="1:35" x14ac:dyDescent="0.3">
      <c r="A910" s="1" t="s">
        <v>242</v>
      </c>
      <c r="B910">
        <v>210700779</v>
      </c>
      <c r="C910" s="2">
        <v>44454</v>
      </c>
      <c r="D910" s="2" t="s">
        <v>1147</v>
      </c>
      <c r="E910">
        <v>518</v>
      </c>
      <c r="F910" s="2" t="s">
        <v>280</v>
      </c>
      <c r="G910">
        <v>93.8</v>
      </c>
      <c r="H910">
        <v>75.08</v>
      </c>
      <c r="I910" t="s">
        <v>26</v>
      </c>
      <c r="J910">
        <v>67.58</v>
      </c>
      <c r="K910" s="3">
        <f t="shared" si="14"/>
        <v>78.819999999999993</v>
      </c>
      <c r="L910" t="s">
        <v>27</v>
      </c>
      <c r="M910" t="s">
        <v>27</v>
      </c>
      <c r="N910">
        <v>22</v>
      </c>
      <c r="O910" t="s">
        <v>28</v>
      </c>
      <c r="P910" t="s">
        <v>26</v>
      </c>
      <c r="Q910" t="s">
        <v>30</v>
      </c>
      <c r="R910">
        <v>653</v>
      </c>
      <c r="S910">
        <v>81.625</v>
      </c>
      <c r="T910" t="s">
        <v>33</v>
      </c>
      <c r="U910" t="s">
        <v>32</v>
      </c>
      <c r="V910" t="s">
        <v>33</v>
      </c>
      <c r="W910" t="s">
        <v>31</v>
      </c>
      <c r="X910" t="s">
        <v>34</v>
      </c>
      <c r="Y910" t="s">
        <v>58</v>
      </c>
      <c r="Z910" t="s">
        <v>44</v>
      </c>
      <c r="AA910" t="s">
        <v>74</v>
      </c>
      <c r="AB910" t="s">
        <v>46</v>
      </c>
      <c r="AC910">
        <f>IF(Cdacdata[[#This Row],[placement_status]]="Placed",1,0)</f>
        <v>1</v>
      </c>
      <c r="AD910" t="s">
        <v>244</v>
      </c>
      <c r="AE910" t="s">
        <v>75</v>
      </c>
      <c r="AF910" t="s">
        <v>57</v>
      </c>
      <c r="AG910">
        <v>2021</v>
      </c>
      <c r="AH910" t="s">
        <v>40</v>
      </c>
      <c r="AI910" t="str">
        <f>IF(Cdacdata[ccat_rank]&lt;=100,"Top 100",
IF(Cdacdata[ccat_rank]&lt;=500,"101–500",
IF(Cdacdata[ccat_rank]&lt;=1000,"501–1000",
"1000+")))</f>
        <v>501–1000</v>
      </c>
    </row>
    <row r="911" spans="1:35" x14ac:dyDescent="0.3">
      <c r="A911" s="1" t="s">
        <v>242</v>
      </c>
      <c r="B911">
        <v>210713695</v>
      </c>
      <c r="C911" s="2">
        <v>44455</v>
      </c>
      <c r="D911" s="2" t="s">
        <v>1148</v>
      </c>
      <c r="E911">
        <v>1086</v>
      </c>
      <c r="F911" s="2" t="s">
        <v>281</v>
      </c>
      <c r="G911">
        <v>87</v>
      </c>
      <c r="H911" t="s">
        <v>26</v>
      </c>
      <c r="I911">
        <v>58.3</v>
      </c>
      <c r="J911">
        <v>0</v>
      </c>
      <c r="K911" s="3">
        <f t="shared" si="14"/>
        <v>48.433333333333337</v>
      </c>
      <c r="L911" t="s">
        <v>27</v>
      </c>
      <c r="M911" t="s">
        <v>27</v>
      </c>
      <c r="N911">
        <v>24</v>
      </c>
      <c r="O911" t="s">
        <v>62</v>
      </c>
      <c r="P911" t="s">
        <v>26</v>
      </c>
      <c r="Q911" t="s">
        <v>30</v>
      </c>
      <c r="R911">
        <v>514</v>
      </c>
      <c r="S911">
        <v>64.25</v>
      </c>
      <c r="T911" t="s">
        <v>33</v>
      </c>
      <c r="U911" t="s">
        <v>32</v>
      </c>
      <c r="V911" t="s">
        <v>33</v>
      </c>
      <c r="W911" t="s">
        <v>33</v>
      </c>
      <c r="X911" t="s">
        <v>34</v>
      </c>
      <c r="Y911" t="s">
        <v>50</v>
      </c>
      <c r="Z911" t="s">
        <v>44</v>
      </c>
      <c r="AA911" t="s">
        <v>282</v>
      </c>
      <c r="AB911" t="s">
        <v>46</v>
      </c>
      <c r="AC911">
        <f>IF(Cdacdata[[#This Row],[placement_status]]="Placed",1,0)</f>
        <v>1</v>
      </c>
      <c r="AD911" t="s">
        <v>244</v>
      </c>
      <c r="AE911" t="s">
        <v>47</v>
      </c>
      <c r="AF911" t="s">
        <v>39</v>
      </c>
      <c r="AG911">
        <v>2021</v>
      </c>
      <c r="AH911" t="s">
        <v>40</v>
      </c>
      <c r="AI911" t="str">
        <f>IF(Cdacdata[ccat_rank]&lt;=100,"Top 100",
IF(Cdacdata[ccat_rank]&lt;=500,"101–500",
IF(Cdacdata[ccat_rank]&lt;=1000,"501–1000",
"1000+")))</f>
        <v>1000+</v>
      </c>
    </row>
    <row r="912" spans="1:35" x14ac:dyDescent="0.3">
      <c r="A912" s="1" t="s">
        <v>242</v>
      </c>
      <c r="B912">
        <v>210714969</v>
      </c>
      <c r="C912" s="2">
        <v>44454</v>
      </c>
      <c r="D912" s="2" t="s">
        <v>1149</v>
      </c>
      <c r="E912">
        <v>866</v>
      </c>
      <c r="F912" s="2" t="s">
        <v>283</v>
      </c>
      <c r="G912">
        <v>84.18</v>
      </c>
      <c r="H912">
        <v>65.540000000000006</v>
      </c>
      <c r="I912" t="s">
        <v>26</v>
      </c>
      <c r="J912">
        <v>69</v>
      </c>
      <c r="K912" s="3">
        <f t="shared" si="14"/>
        <v>72.90666666666668</v>
      </c>
      <c r="L912" t="s">
        <v>27</v>
      </c>
      <c r="M912" t="s">
        <v>41</v>
      </c>
      <c r="N912">
        <v>24</v>
      </c>
      <c r="O912" t="s">
        <v>28</v>
      </c>
      <c r="P912" t="s">
        <v>52</v>
      </c>
      <c r="Q912" t="s">
        <v>26</v>
      </c>
      <c r="R912">
        <v>597</v>
      </c>
      <c r="S912">
        <v>74.625</v>
      </c>
      <c r="T912" t="s">
        <v>33</v>
      </c>
      <c r="U912" t="s">
        <v>32</v>
      </c>
      <c r="V912" t="s">
        <v>33</v>
      </c>
      <c r="W912" t="s">
        <v>31</v>
      </c>
      <c r="X912" t="s">
        <v>34</v>
      </c>
      <c r="Y912" t="s">
        <v>58</v>
      </c>
      <c r="Z912" t="s">
        <v>44</v>
      </c>
      <c r="AA912" t="s">
        <v>249</v>
      </c>
      <c r="AB912" t="s">
        <v>46</v>
      </c>
      <c r="AC912">
        <f>IF(Cdacdata[[#This Row],[placement_status]]="Placed",1,0)</f>
        <v>1</v>
      </c>
      <c r="AD912" t="s">
        <v>244</v>
      </c>
      <c r="AE912" t="s">
        <v>75</v>
      </c>
      <c r="AF912" t="s">
        <v>39</v>
      </c>
      <c r="AG912">
        <v>2021</v>
      </c>
      <c r="AH912" t="s">
        <v>40</v>
      </c>
      <c r="AI912" t="str">
        <f>IF(Cdacdata[ccat_rank]&lt;=100,"Top 100",
IF(Cdacdata[ccat_rank]&lt;=500,"101–500",
IF(Cdacdata[ccat_rank]&lt;=1000,"501–1000",
"1000+")))</f>
        <v>501–1000</v>
      </c>
    </row>
    <row r="913" spans="1:35" x14ac:dyDescent="0.3">
      <c r="A913" s="1" t="s">
        <v>242</v>
      </c>
      <c r="B913">
        <v>210712222</v>
      </c>
      <c r="C913" s="2"/>
      <c r="D913" s="2"/>
      <c r="E913" t="s">
        <v>63</v>
      </c>
      <c r="G913">
        <v>0</v>
      </c>
      <c r="H913">
        <v>0</v>
      </c>
      <c r="I913">
        <v>0</v>
      </c>
      <c r="J913">
        <v>0</v>
      </c>
      <c r="K913" s="3">
        <f t="shared" si="14"/>
        <v>0</v>
      </c>
      <c r="L913" t="s">
        <v>27</v>
      </c>
      <c r="M913" t="s">
        <v>27</v>
      </c>
      <c r="N913">
        <v>23</v>
      </c>
      <c r="O913" t="s">
        <v>373</v>
      </c>
      <c r="P913" t="s">
        <v>26</v>
      </c>
      <c r="Q913" t="s">
        <v>374</v>
      </c>
      <c r="R913">
        <v>483</v>
      </c>
      <c r="S913">
        <v>60.375</v>
      </c>
      <c r="T913" t="s">
        <v>33</v>
      </c>
      <c r="U913" t="s">
        <v>32</v>
      </c>
      <c r="V913" t="s">
        <v>33</v>
      </c>
      <c r="W913" t="s">
        <v>49</v>
      </c>
      <c r="X913" t="s">
        <v>34</v>
      </c>
      <c r="Y913" t="s">
        <v>50</v>
      </c>
      <c r="Z913" t="s">
        <v>44</v>
      </c>
      <c r="AA913" t="s">
        <v>284</v>
      </c>
      <c r="AB913" t="s">
        <v>46</v>
      </c>
      <c r="AC913">
        <f>IF(Cdacdata[[#This Row],[placement_status]]="Placed",1,0)</f>
        <v>1</v>
      </c>
      <c r="AD913" t="s">
        <v>244</v>
      </c>
      <c r="AE913" t="s">
        <v>63</v>
      </c>
      <c r="AF913" t="s">
        <v>63</v>
      </c>
      <c r="AG913">
        <v>2021</v>
      </c>
      <c r="AH913" t="s">
        <v>40</v>
      </c>
      <c r="AI913" t="str">
        <f>IF(Cdacdata[ccat_rank]&lt;=100,"Top 100",
IF(Cdacdata[ccat_rank]&lt;=500,"101–500",
IF(Cdacdata[ccat_rank]&lt;=1000,"501–1000",
"1000+")))</f>
        <v>1000+</v>
      </c>
    </row>
    <row r="914" spans="1:35" x14ac:dyDescent="0.3">
      <c r="A914" s="1" t="s">
        <v>242</v>
      </c>
      <c r="B914">
        <v>210700474</v>
      </c>
      <c r="C914" s="2">
        <v>44454</v>
      </c>
      <c r="D914" s="2" t="s">
        <v>1150</v>
      </c>
      <c r="E914">
        <v>1175</v>
      </c>
      <c r="F914" s="2" t="s">
        <v>285</v>
      </c>
      <c r="G914">
        <v>81</v>
      </c>
      <c r="H914">
        <v>79.08</v>
      </c>
      <c r="I914" t="s">
        <v>26</v>
      </c>
      <c r="J914">
        <v>68.2</v>
      </c>
      <c r="K914" s="3">
        <f t="shared" si="14"/>
        <v>76.09333333333332</v>
      </c>
      <c r="L914" t="s">
        <v>27</v>
      </c>
      <c r="M914" t="s">
        <v>41</v>
      </c>
      <c r="N914">
        <v>21</v>
      </c>
      <c r="O914" t="s">
        <v>28</v>
      </c>
      <c r="P914" t="s">
        <v>26</v>
      </c>
      <c r="Q914" t="s">
        <v>30</v>
      </c>
      <c r="R914">
        <v>662</v>
      </c>
      <c r="S914">
        <v>82.75</v>
      </c>
      <c r="T914" t="s">
        <v>49</v>
      </c>
      <c r="U914" t="s">
        <v>32</v>
      </c>
      <c r="V914" t="s">
        <v>49</v>
      </c>
      <c r="W914" t="s">
        <v>49</v>
      </c>
      <c r="X914" t="s">
        <v>34</v>
      </c>
      <c r="Y914" t="s">
        <v>58</v>
      </c>
      <c r="Z914" t="s">
        <v>44</v>
      </c>
      <c r="AA914" t="s">
        <v>143</v>
      </c>
      <c r="AB914" t="s">
        <v>46</v>
      </c>
      <c r="AC914">
        <f>IF(Cdacdata[[#This Row],[placement_status]]="Placed",1,0)</f>
        <v>1</v>
      </c>
      <c r="AD914" t="s">
        <v>244</v>
      </c>
      <c r="AE914" t="s">
        <v>47</v>
      </c>
      <c r="AF914" t="s">
        <v>57</v>
      </c>
      <c r="AG914">
        <v>2021</v>
      </c>
      <c r="AH914" t="s">
        <v>40</v>
      </c>
      <c r="AI914" t="str">
        <f>IF(Cdacdata[ccat_rank]&lt;=100,"Top 100",
IF(Cdacdata[ccat_rank]&lt;=500,"101–500",
IF(Cdacdata[ccat_rank]&lt;=1000,"501–1000",
"1000+")))</f>
        <v>1000+</v>
      </c>
    </row>
    <row r="915" spans="1:35" x14ac:dyDescent="0.3">
      <c r="A915" s="1" t="s">
        <v>242</v>
      </c>
      <c r="B915">
        <v>210706638</v>
      </c>
      <c r="C915" s="2">
        <v>44454</v>
      </c>
      <c r="D915" s="2" t="s">
        <v>1151</v>
      </c>
      <c r="E915">
        <v>1437</v>
      </c>
      <c r="F915" s="2" t="s">
        <v>286</v>
      </c>
      <c r="G915">
        <v>78.36</v>
      </c>
      <c r="H915">
        <v>62.31</v>
      </c>
      <c r="I915" t="s">
        <v>26</v>
      </c>
      <c r="J915">
        <v>71.2</v>
      </c>
      <c r="K915" s="3">
        <f t="shared" si="14"/>
        <v>70.623333333333335</v>
      </c>
      <c r="L915" t="s">
        <v>27</v>
      </c>
      <c r="M915" t="s">
        <v>27</v>
      </c>
      <c r="N915">
        <v>24</v>
      </c>
      <c r="O915" t="s">
        <v>28</v>
      </c>
      <c r="P915" t="s">
        <v>26</v>
      </c>
      <c r="Q915" t="s">
        <v>30</v>
      </c>
      <c r="R915">
        <v>638</v>
      </c>
      <c r="S915">
        <v>79.75</v>
      </c>
      <c r="T915" t="s">
        <v>49</v>
      </c>
      <c r="U915" t="s">
        <v>32</v>
      </c>
      <c r="V915" t="s">
        <v>49</v>
      </c>
      <c r="W915" t="s">
        <v>33</v>
      </c>
      <c r="X915" t="s">
        <v>34</v>
      </c>
      <c r="Y915" t="s">
        <v>58</v>
      </c>
      <c r="Z915" t="s">
        <v>44</v>
      </c>
      <c r="AA915" t="s">
        <v>249</v>
      </c>
      <c r="AB915" t="s">
        <v>46</v>
      </c>
      <c r="AC915">
        <f>IF(Cdacdata[[#This Row],[placement_status]]="Placed",1,0)</f>
        <v>1</v>
      </c>
      <c r="AD915" t="s">
        <v>244</v>
      </c>
      <c r="AE915" t="s">
        <v>47</v>
      </c>
      <c r="AF915" t="s">
        <v>39</v>
      </c>
      <c r="AG915">
        <v>2021</v>
      </c>
      <c r="AH915" t="s">
        <v>40</v>
      </c>
      <c r="AI915" t="str">
        <f>IF(Cdacdata[ccat_rank]&lt;=100,"Top 100",
IF(Cdacdata[ccat_rank]&lt;=500,"101–500",
IF(Cdacdata[ccat_rank]&lt;=1000,"501–1000",
"1000+")))</f>
        <v>1000+</v>
      </c>
    </row>
    <row r="916" spans="1:35" x14ac:dyDescent="0.3">
      <c r="A916" s="1" t="s">
        <v>242</v>
      </c>
      <c r="B916">
        <v>210708215</v>
      </c>
      <c r="C916" s="2">
        <v>44454</v>
      </c>
      <c r="D916" s="2" t="s">
        <v>1152</v>
      </c>
      <c r="E916">
        <v>470</v>
      </c>
      <c r="F916" s="2" t="s">
        <v>287</v>
      </c>
      <c r="G916">
        <v>76.61</v>
      </c>
      <c r="H916">
        <v>60.5</v>
      </c>
      <c r="I916" t="s">
        <v>26</v>
      </c>
      <c r="J916">
        <v>57.94</v>
      </c>
      <c r="K916" s="3">
        <f t="shared" si="14"/>
        <v>65.016666666666666</v>
      </c>
      <c r="L916" t="s">
        <v>27</v>
      </c>
      <c r="M916" t="s">
        <v>41</v>
      </c>
      <c r="N916">
        <v>28</v>
      </c>
      <c r="O916" t="s">
        <v>72</v>
      </c>
      <c r="P916" t="s">
        <v>60</v>
      </c>
      <c r="Q916" t="s">
        <v>26</v>
      </c>
      <c r="R916">
        <v>602</v>
      </c>
      <c r="S916">
        <v>75.25</v>
      </c>
      <c r="T916" t="s">
        <v>49</v>
      </c>
      <c r="U916" t="s">
        <v>32</v>
      </c>
      <c r="V916" t="s">
        <v>49</v>
      </c>
      <c r="W916" t="s">
        <v>49</v>
      </c>
      <c r="X916" t="s">
        <v>34</v>
      </c>
      <c r="Y916" t="s">
        <v>58</v>
      </c>
      <c r="Z916" t="s">
        <v>44</v>
      </c>
      <c r="AA916" t="s">
        <v>180</v>
      </c>
      <c r="AB916" t="s">
        <v>46</v>
      </c>
      <c r="AC916">
        <f>IF(Cdacdata[[#This Row],[placement_status]]="Placed",1,0)</f>
        <v>1</v>
      </c>
      <c r="AD916" t="s">
        <v>244</v>
      </c>
      <c r="AE916" t="s">
        <v>75</v>
      </c>
      <c r="AF916" t="s">
        <v>55</v>
      </c>
      <c r="AG916">
        <v>2021</v>
      </c>
      <c r="AH916" t="s">
        <v>40</v>
      </c>
      <c r="AI916" t="str">
        <f>IF(Cdacdata[ccat_rank]&lt;=100,"Top 100",
IF(Cdacdata[ccat_rank]&lt;=500,"101–500",
IF(Cdacdata[ccat_rank]&lt;=1000,"501–1000",
"1000+")))</f>
        <v>101–500</v>
      </c>
    </row>
    <row r="917" spans="1:35" x14ac:dyDescent="0.3">
      <c r="A917" s="1" t="s">
        <v>242</v>
      </c>
      <c r="B917">
        <v>210705485</v>
      </c>
      <c r="C917" s="2">
        <v>44454</v>
      </c>
      <c r="D917" s="2" t="s">
        <v>1153</v>
      </c>
      <c r="E917">
        <v>1242</v>
      </c>
      <c r="F917" s="2" t="s">
        <v>288</v>
      </c>
      <c r="G917">
        <v>76.55</v>
      </c>
      <c r="H917">
        <v>68.92</v>
      </c>
      <c r="I917" t="s">
        <v>26</v>
      </c>
      <c r="J917">
        <v>63.87</v>
      </c>
      <c r="K917" s="3">
        <f t="shared" si="14"/>
        <v>69.78</v>
      </c>
      <c r="L917" t="s">
        <v>27</v>
      </c>
      <c r="M917" t="s">
        <v>27</v>
      </c>
      <c r="N917">
        <v>25</v>
      </c>
      <c r="O917" t="s">
        <v>28</v>
      </c>
      <c r="P917" t="s">
        <v>60</v>
      </c>
      <c r="Q917" t="s">
        <v>30</v>
      </c>
      <c r="R917">
        <v>595</v>
      </c>
      <c r="S917">
        <v>74.375</v>
      </c>
      <c r="T917" t="s">
        <v>33</v>
      </c>
      <c r="U917" t="s">
        <v>32</v>
      </c>
      <c r="V917" t="s">
        <v>33</v>
      </c>
      <c r="W917" t="s">
        <v>49</v>
      </c>
      <c r="X917" t="s">
        <v>34</v>
      </c>
      <c r="Y917" t="s">
        <v>58</v>
      </c>
      <c r="Z917" t="s">
        <v>44</v>
      </c>
      <c r="AA917" t="s">
        <v>289</v>
      </c>
      <c r="AB917" t="s">
        <v>46</v>
      </c>
      <c r="AC917">
        <f>IF(Cdacdata[[#This Row],[placement_status]]="Placed",1,0)</f>
        <v>1</v>
      </c>
      <c r="AD917" t="s">
        <v>244</v>
      </c>
      <c r="AE917" t="s">
        <v>47</v>
      </c>
      <c r="AF917" t="s">
        <v>39</v>
      </c>
      <c r="AG917">
        <v>2021</v>
      </c>
      <c r="AH917" t="s">
        <v>40</v>
      </c>
      <c r="AI917" t="str">
        <f>IF(Cdacdata[ccat_rank]&lt;=100,"Top 100",
IF(Cdacdata[ccat_rank]&lt;=500,"101–500",
IF(Cdacdata[ccat_rank]&lt;=1000,"501–1000",
"1000+")))</f>
        <v>1000+</v>
      </c>
    </row>
    <row r="918" spans="1:35" x14ac:dyDescent="0.3">
      <c r="A918" s="1" t="s">
        <v>242</v>
      </c>
      <c r="B918">
        <v>210709616</v>
      </c>
      <c r="C918" s="2">
        <v>44454</v>
      </c>
      <c r="D918" s="2" t="s">
        <v>1154</v>
      </c>
      <c r="E918">
        <v>1525</v>
      </c>
      <c r="F918" s="2">
        <v>35676</v>
      </c>
      <c r="G918">
        <v>82.17</v>
      </c>
      <c r="H918">
        <v>67.23</v>
      </c>
      <c r="I918" t="s">
        <v>26</v>
      </c>
      <c r="J918">
        <v>64.680000000000007</v>
      </c>
      <c r="K918" s="3">
        <f t="shared" si="14"/>
        <v>71.36</v>
      </c>
      <c r="L918" t="s">
        <v>27</v>
      </c>
      <c r="M918" t="s">
        <v>27</v>
      </c>
      <c r="N918">
        <v>24</v>
      </c>
      <c r="O918" t="s">
        <v>28</v>
      </c>
      <c r="P918" t="s">
        <v>60</v>
      </c>
      <c r="Q918" t="s">
        <v>30</v>
      </c>
      <c r="R918">
        <v>625</v>
      </c>
      <c r="S918">
        <v>78.125</v>
      </c>
      <c r="T918" t="s">
        <v>49</v>
      </c>
      <c r="U918" t="s">
        <v>32</v>
      </c>
      <c r="V918" t="s">
        <v>49</v>
      </c>
      <c r="W918" t="s">
        <v>49</v>
      </c>
      <c r="X918" t="s">
        <v>34</v>
      </c>
      <c r="Y918" t="s">
        <v>58</v>
      </c>
      <c r="Z918" t="s">
        <v>44</v>
      </c>
      <c r="AA918" t="s">
        <v>186</v>
      </c>
      <c r="AB918" t="s">
        <v>46</v>
      </c>
      <c r="AC918">
        <f>IF(Cdacdata[[#This Row],[placement_status]]="Placed",1,0)</f>
        <v>1</v>
      </c>
      <c r="AD918" t="s">
        <v>244</v>
      </c>
      <c r="AE918" t="s">
        <v>47</v>
      </c>
      <c r="AF918" t="s">
        <v>39</v>
      </c>
      <c r="AG918">
        <v>2021</v>
      </c>
      <c r="AH918" t="s">
        <v>40</v>
      </c>
      <c r="AI918" t="str">
        <f>IF(Cdacdata[ccat_rank]&lt;=100,"Top 100",
IF(Cdacdata[ccat_rank]&lt;=500,"101–500",
IF(Cdacdata[ccat_rank]&lt;=1000,"501–1000",
"1000+")))</f>
        <v>1000+</v>
      </c>
    </row>
    <row r="919" spans="1:35" x14ac:dyDescent="0.3">
      <c r="A919" s="1" t="s">
        <v>242</v>
      </c>
      <c r="B919">
        <v>210709100</v>
      </c>
      <c r="C919" s="2">
        <v>44454</v>
      </c>
      <c r="D919" s="2" t="s">
        <v>1155</v>
      </c>
      <c r="E919">
        <v>1468</v>
      </c>
      <c r="F919" s="2" t="s">
        <v>290</v>
      </c>
      <c r="G919">
        <v>85.4</v>
      </c>
      <c r="H919">
        <v>57.54</v>
      </c>
      <c r="I919" t="s">
        <v>26</v>
      </c>
      <c r="J919">
        <v>67.599999999999994</v>
      </c>
      <c r="K919" s="3">
        <f t="shared" si="14"/>
        <v>70.179999999999993</v>
      </c>
      <c r="L919" t="s">
        <v>27</v>
      </c>
      <c r="M919" t="s">
        <v>27</v>
      </c>
      <c r="N919">
        <v>22</v>
      </c>
      <c r="O919" t="s">
        <v>28</v>
      </c>
      <c r="P919" t="s">
        <v>65</v>
      </c>
      <c r="Q919" t="s">
        <v>30</v>
      </c>
      <c r="R919">
        <v>626</v>
      </c>
      <c r="S919">
        <v>78.25</v>
      </c>
      <c r="T919" t="s">
        <v>49</v>
      </c>
      <c r="U919" t="s">
        <v>32</v>
      </c>
      <c r="V919" t="s">
        <v>49</v>
      </c>
      <c r="W919" t="s">
        <v>49</v>
      </c>
      <c r="X919" t="s">
        <v>34</v>
      </c>
      <c r="Y919" t="s">
        <v>58</v>
      </c>
      <c r="Z919" t="s">
        <v>44</v>
      </c>
      <c r="AA919" t="s">
        <v>171</v>
      </c>
      <c r="AB919" t="s">
        <v>46</v>
      </c>
      <c r="AC919">
        <f>IF(Cdacdata[[#This Row],[placement_status]]="Placed",1,0)</f>
        <v>1</v>
      </c>
      <c r="AD919" t="s">
        <v>244</v>
      </c>
      <c r="AE919" t="s">
        <v>47</v>
      </c>
      <c r="AF919" t="s">
        <v>57</v>
      </c>
      <c r="AG919">
        <v>2021</v>
      </c>
      <c r="AH919" t="s">
        <v>40</v>
      </c>
      <c r="AI919" t="str">
        <f>IF(Cdacdata[ccat_rank]&lt;=100,"Top 100",
IF(Cdacdata[ccat_rank]&lt;=500,"101–500",
IF(Cdacdata[ccat_rank]&lt;=1000,"501–1000",
"1000+")))</f>
        <v>1000+</v>
      </c>
    </row>
    <row r="920" spans="1:35" x14ac:dyDescent="0.3">
      <c r="A920" s="1" t="s">
        <v>242</v>
      </c>
      <c r="B920">
        <v>210705972</v>
      </c>
      <c r="C920" s="2">
        <v>44456</v>
      </c>
      <c r="D920" s="2" t="s">
        <v>1156</v>
      </c>
      <c r="E920">
        <v>1523</v>
      </c>
      <c r="F920" s="2" t="s">
        <v>291</v>
      </c>
      <c r="G920">
        <v>61.84</v>
      </c>
      <c r="H920">
        <v>73.33</v>
      </c>
      <c r="I920" t="s">
        <v>26</v>
      </c>
      <c r="J920">
        <v>62.67</v>
      </c>
      <c r="K920" s="3">
        <f t="shared" si="14"/>
        <v>65.946666666666673</v>
      </c>
      <c r="L920" t="s">
        <v>27</v>
      </c>
      <c r="M920" t="s">
        <v>41</v>
      </c>
      <c r="N920">
        <v>30</v>
      </c>
      <c r="O920" t="s">
        <v>28</v>
      </c>
      <c r="P920" t="s">
        <v>52</v>
      </c>
      <c r="Q920" t="s">
        <v>30</v>
      </c>
      <c r="R920">
        <v>537</v>
      </c>
      <c r="S920">
        <v>67.125</v>
      </c>
      <c r="T920" t="s">
        <v>33</v>
      </c>
      <c r="U920" t="s">
        <v>32</v>
      </c>
      <c r="V920" t="s">
        <v>33</v>
      </c>
      <c r="W920" t="s">
        <v>31</v>
      </c>
      <c r="X920" t="s">
        <v>34</v>
      </c>
      <c r="Y920" t="s">
        <v>50</v>
      </c>
      <c r="Z920" t="s">
        <v>44</v>
      </c>
      <c r="AA920" t="s">
        <v>168</v>
      </c>
      <c r="AB920" t="s">
        <v>46</v>
      </c>
      <c r="AC920">
        <f>IF(Cdacdata[[#This Row],[placement_status]]="Placed",1,0)</f>
        <v>1</v>
      </c>
      <c r="AD920" t="s">
        <v>244</v>
      </c>
      <c r="AE920" t="s">
        <v>47</v>
      </c>
      <c r="AF920" t="s">
        <v>69</v>
      </c>
      <c r="AG920">
        <v>2021</v>
      </c>
      <c r="AH920" t="s">
        <v>40</v>
      </c>
      <c r="AI920" t="str">
        <f>IF(Cdacdata[ccat_rank]&lt;=100,"Top 100",
IF(Cdacdata[ccat_rank]&lt;=500,"101–500",
IF(Cdacdata[ccat_rank]&lt;=1000,"501–1000",
"1000+")))</f>
        <v>1000+</v>
      </c>
    </row>
    <row r="921" spans="1:35" x14ac:dyDescent="0.3">
      <c r="A921" s="1" t="s">
        <v>242</v>
      </c>
      <c r="B921">
        <v>210711687</v>
      </c>
      <c r="C921" s="2">
        <v>44454</v>
      </c>
      <c r="D921" s="2" t="s">
        <v>1157</v>
      </c>
      <c r="E921">
        <v>846</v>
      </c>
      <c r="F921" s="2" t="s">
        <v>292</v>
      </c>
      <c r="G921">
        <v>79.8</v>
      </c>
      <c r="H921" t="s">
        <v>26</v>
      </c>
      <c r="I921">
        <v>71.88</v>
      </c>
      <c r="J921">
        <v>63.18</v>
      </c>
      <c r="K921" s="3">
        <f t="shared" si="14"/>
        <v>71.62</v>
      </c>
      <c r="L921" t="s">
        <v>27</v>
      </c>
      <c r="M921" t="s">
        <v>27</v>
      </c>
      <c r="N921">
        <v>22</v>
      </c>
      <c r="O921" t="s">
        <v>28</v>
      </c>
      <c r="P921" t="s">
        <v>26</v>
      </c>
      <c r="Q921" t="s">
        <v>30</v>
      </c>
      <c r="R921">
        <v>628</v>
      </c>
      <c r="S921">
        <v>78.5</v>
      </c>
      <c r="T921" t="s">
        <v>33</v>
      </c>
      <c r="U921" t="s">
        <v>32</v>
      </c>
      <c r="V921" t="s">
        <v>33</v>
      </c>
      <c r="W921" t="s">
        <v>49</v>
      </c>
      <c r="X921" t="s">
        <v>34</v>
      </c>
      <c r="Y921" t="s">
        <v>58</v>
      </c>
      <c r="Z921" t="s">
        <v>44</v>
      </c>
      <c r="AA921" t="s">
        <v>186</v>
      </c>
      <c r="AB921" t="s">
        <v>46</v>
      </c>
      <c r="AC921">
        <f>IF(Cdacdata[[#This Row],[placement_status]]="Placed",1,0)</f>
        <v>1</v>
      </c>
      <c r="AD921" t="s">
        <v>244</v>
      </c>
      <c r="AE921" t="s">
        <v>75</v>
      </c>
      <c r="AF921" t="s">
        <v>57</v>
      </c>
      <c r="AG921">
        <v>2021</v>
      </c>
      <c r="AH921" t="s">
        <v>40</v>
      </c>
      <c r="AI921" t="str">
        <f>IF(Cdacdata[ccat_rank]&lt;=100,"Top 100",
IF(Cdacdata[ccat_rank]&lt;=500,"101–500",
IF(Cdacdata[ccat_rank]&lt;=1000,"501–1000",
"1000+")))</f>
        <v>501–1000</v>
      </c>
    </row>
    <row r="922" spans="1:35" x14ac:dyDescent="0.3">
      <c r="A922" s="1" t="s">
        <v>242</v>
      </c>
      <c r="B922">
        <v>210700815</v>
      </c>
      <c r="C922" s="2">
        <v>44456</v>
      </c>
      <c r="D922" s="2" t="s">
        <v>1158</v>
      </c>
      <c r="E922">
        <v>1406</v>
      </c>
      <c r="F922" s="2" t="s">
        <v>293</v>
      </c>
      <c r="G922">
        <v>88.18</v>
      </c>
      <c r="H922">
        <v>62.67</v>
      </c>
      <c r="I922" t="s">
        <v>26</v>
      </c>
      <c r="J922">
        <v>5.73</v>
      </c>
      <c r="K922" s="3">
        <f t="shared" si="14"/>
        <v>52.193333333333335</v>
      </c>
      <c r="L922" t="s">
        <v>27</v>
      </c>
      <c r="M922" t="s">
        <v>41</v>
      </c>
      <c r="N922">
        <v>25</v>
      </c>
      <c r="O922" t="s">
        <v>62</v>
      </c>
      <c r="P922" t="s">
        <v>60</v>
      </c>
      <c r="Q922" t="s">
        <v>30</v>
      </c>
      <c r="R922">
        <v>507</v>
      </c>
      <c r="S922">
        <v>63.375</v>
      </c>
      <c r="T922" t="s">
        <v>33</v>
      </c>
      <c r="U922" t="s">
        <v>32</v>
      </c>
      <c r="V922" t="s">
        <v>33</v>
      </c>
      <c r="W922" t="s">
        <v>31</v>
      </c>
      <c r="X922" t="s">
        <v>34</v>
      </c>
      <c r="Y922" t="s">
        <v>50</v>
      </c>
      <c r="Z922" t="s">
        <v>44</v>
      </c>
      <c r="AA922" t="s">
        <v>115</v>
      </c>
      <c r="AB922" t="s">
        <v>46</v>
      </c>
      <c r="AC922">
        <f>IF(Cdacdata[[#This Row],[placement_status]]="Placed",1,0)</f>
        <v>1</v>
      </c>
      <c r="AD922" t="s">
        <v>244</v>
      </c>
      <c r="AE922" t="s">
        <v>47</v>
      </c>
      <c r="AF922" t="s">
        <v>39</v>
      </c>
      <c r="AG922">
        <v>2021</v>
      </c>
      <c r="AH922" t="s">
        <v>40</v>
      </c>
      <c r="AI922" t="str">
        <f>IF(Cdacdata[ccat_rank]&lt;=100,"Top 100",
IF(Cdacdata[ccat_rank]&lt;=500,"101–500",
IF(Cdacdata[ccat_rank]&lt;=1000,"501–1000",
"1000+")))</f>
        <v>1000+</v>
      </c>
    </row>
    <row r="923" spans="1:35" x14ac:dyDescent="0.3">
      <c r="A923" s="1" t="s">
        <v>242</v>
      </c>
      <c r="B923">
        <v>210703380</v>
      </c>
      <c r="C923" s="2">
        <v>44457</v>
      </c>
      <c r="D923" s="2" t="s">
        <v>1159</v>
      </c>
      <c r="E923">
        <v>1092</v>
      </c>
      <c r="F923" s="2" t="s">
        <v>294</v>
      </c>
      <c r="G923">
        <v>79</v>
      </c>
      <c r="H923">
        <v>58.17</v>
      </c>
      <c r="I923" t="s">
        <v>26</v>
      </c>
      <c r="J923">
        <v>59.55</v>
      </c>
      <c r="K923" s="3">
        <f t="shared" si="14"/>
        <v>65.573333333333338</v>
      </c>
      <c r="L923" t="s">
        <v>27</v>
      </c>
      <c r="M923" t="s">
        <v>41</v>
      </c>
      <c r="N923">
        <v>24</v>
      </c>
      <c r="O923" t="s">
        <v>62</v>
      </c>
      <c r="P923" t="s">
        <v>26</v>
      </c>
      <c r="Q923" t="s">
        <v>26</v>
      </c>
      <c r="R923">
        <v>569</v>
      </c>
      <c r="S923">
        <v>71.125</v>
      </c>
      <c r="T923" t="s">
        <v>33</v>
      </c>
      <c r="U923" t="s">
        <v>32</v>
      </c>
      <c r="V923" t="s">
        <v>33</v>
      </c>
      <c r="W923" t="s">
        <v>49</v>
      </c>
      <c r="X923" t="s">
        <v>34</v>
      </c>
      <c r="Y923" t="s">
        <v>58</v>
      </c>
      <c r="Z923" t="s">
        <v>44</v>
      </c>
      <c r="AA923" t="s">
        <v>249</v>
      </c>
      <c r="AB923" t="s">
        <v>46</v>
      </c>
      <c r="AC923">
        <f>IF(Cdacdata[[#This Row],[placement_status]]="Placed",1,0)</f>
        <v>1</v>
      </c>
      <c r="AD923" t="s">
        <v>244</v>
      </c>
      <c r="AE923" t="s">
        <v>47</v>
      </c>
      <c r="AF923" t="s">
        <v>39</v>
      </c>
      <c r="AG923">
        <v>2021</v>
      </c>
      <c r="AH923" t="s">
        <v>40</v>
      </c>
      <c r="AI923" t="str">
        <f>IF(Cdacdata[ccat_rank]&lt;=100,"Top 100",
IF(Cdacdata[ccat_rank]&lt;=500,"101–500",
IF(Cdacdata[ccat_rank]&lt;=1000,"501–1000",
"1000+")))</f>
        <v>1000+</v>
      </c>
    </row>
    <row r="924" spans="1:35" x14ac:dyDescent="0.3">
      <c r="A924" s="1" t="s">
        <v>242</v>
      </c>
      <c r="B924">
        <v>210715776</v>
      </c>
      <c r="C924" s="2">
        <v>44454</v>
      </c>
      <c r="D924" s="2" t="s">
        <v>1160</v>
      </c>
      <c r="E924">
        <v>1196</v>
      </c>
      <c r="F924" s="2" t="s">
        <v>295</v>
      </c>
      <c r="G924">
        <v>75</v>
      </c>
      <c r="H924" t="s">
        <v>26</v>
      </c>
      <c r="I924">
        <v>61</v>
      </c>
      <c r="J924">
        <v>66</v>
      </c>
      <c r="K924" s="3">
        <f t="shared" si="14"/>
        <v>67.333333333333329</v>
      </c>
      <c r="L924" t="s">
        <v>27</v>
      </c>
      <c r="M924" t="s">
        <v>27</v>
      </c>
      <c r="N924">
        <v>24</v>
      </c>
      <c r="O924" t="s">
        <v>28</v>
      </c>
      <c r="P924" t="s">
        <v>26</v>
      </c>
      <c r="Q924" t="s">
        <v>43</v>
      </c>
      <c r="R924">
        <v>522</v>
      </c>
      <c r="S924">
        <v>65.25</v>
      </c>
      <c r="T924" t="s">
        <v>33</v>
      </c>
      <c r="U924" t="s">
        <v>32</v>
      </c>
      <c r="V924" t="s">
        <v>33</v>
      </c>
      <c r="W924" t="s">
        <v>49</v>
      </c>
      <c r="X924" t="s">
        <v>34</v>
      </c>
      <c r="Y924" t="s">
        <v>50</v>
      </c>
      <c r="Z924" t="s">
        <v>44</v>
      </c>
      <c r="AA924" t="s">
        <v>296</v>
      </c>
      <c r="AB924" t="s">
        <v>46</v>
      </c>
      <c r="AC924">
        <f>IF(Cdacdata[[#This Row],[placement_status]]="Placed",1,0)</f>
        <v>1</v>
      </c>
      <c r="AD924" t="s">
        <v>244</v>
      </c>
      <c r="AE924" t="s">
        <v>47</v>
      </c>
      <c r="AF924" t="s">
        <v>39</v>
      </c>
      <c r="AG924">
        <v>2021</v>
      </c>
      <c r="AH924" t="s">
        <v>40</v>
      </c>
      <c r="AI924" t="str">
        <f>IF(Cdacdata[ccat_rank]&lt;=100,"Top 100",
IF(Cdacdata[ccat_rank]&lt;=500,"101–500",
IF(Cdacdata[ccat_rank]&lt;=1000,"501–1000",
"1000+")))</f>
        <v>1000+</v>
      </c>
    </row>
    <row r="925" spans="1:35" x14ac:dyDescent="0.3">
      <c r="A925" s="1" t="s">
        <v>242</v>
      </c>
      <c r="B925">
        <v>210710610</v>
      </c>
      <c r="C925" s="2">
        <v>44454</v>
      </c>
      <c r="D925" s="2" t="s">
        <v>1161</v>
      </c>
      <c r="E925">
        <v>1432</v>
      </c>
      <c r="F925" s="2" t="s">
        <v>297</v>
      </c>
      <c r="G925">
        <v>93.4</v>
      </c>
      <c r="H925">
        <v>73.08</v>
      </c>
      <c r="I925" t="s">
        <v>26</v>
      </c>
      <c r="J925">
        <v>74.709999999999994</v>
      </c>
      <c r="K925" s="3">
        <f t="shared" si="14"/>
        <v>80.396666666666661</v>
      </c>
      <c r="L925" t="s">
        <v>27</v>
      </c>
      <c r="M925" t="s">
        <v>41</v>
      </c>
      <c r="N925">
        <v>22</v>
      </c>
      <c r="O925" t="s">
        <v>62</v>
      </c>
      <c r="P925" t="s">
        <v>26</v>
      </c>
      <c r="Q925" t="s">
        <v>30</v>
      </c>
      <c r="R925">
        <v>654</v>
      </c>
      <c r="S925">
        <v>81.75</v>
      </c>
      <c r="T925" t="s">
        <v>33</v>
      </c>
      <c r="U925" t="s">
        <v>32</v>
      </c>
      <c r="V925" t="s">
        <v>33</v>
      </c>
      <c r="W925" t="s">
        <v>33</v>
      </c>
      <c r="X925" t="s">
        <v>34</v>
      </c>
      <c r="Y925" t="s">
        <v>58</v>
      </c>
      <c r="Z925" t="s">
        <v>44</v>
      </c>
      <c r="AA925" t="s">
        <v>196</v>
      </c>
      <c r="AB925" t="s">
        <v>46</v>
      </c>
      <c r="AC925">
        <f>IF(Cdacdata[[#This Row],[placement_status]]="Placed",1,0)</f>
        <v>1</v>
      </c>
      <c r="AD925" t="s">
        <v>244</v>
      </c>
      <c r="AE925" t="s">
        <v>47</v>
      </c>
      <c r="AF925" t="s">
        <v>57</v>
      </c>
      <c r="AG925">
        <v>2021</v>
      </c>
      <c r="AH925" t="s">
        <v>40</v>
      </c>
      <c r="AI925" t="str">
        <f>IF(Cdacdata[ccat_rank]&lt;=100,"Top 100",
IF(Cdacdata[ccat_rank]&lt;=500,"101–500",
IF(Cdacdata[ccat_rank]&lt;=1000,"501–1000",
"1000+")))</f>
        <v>1000+</v>
      </c>
    </row>
    <row r="926" spans="1:35" x14ac:dyDescent="0.3">
      <c r="A926" s="1" t="s">
        <v>242</v>
      </c>
      <c r="B926">
        <v>210712648</v>
      </c>
      <c r="C926" s="2">
        <v>44454</v>
      </c>
      <c r="D926" s="2" t="s">
        <v>1162</v>
      </c>
      <c r="E926">
        <v>525</v>
      </c>
      <c r="F926" s="2">
        <v>35738</v>
      </c>
      <c r="G926">
        <v>82.18</v>
      </c>
      <c r="H926" t="s">
        <v>26</v>
      </c>
      <c r="I926">
        <v>71.47</v>
      </c>
      <c r="J926">
        <v>70.760000000000005</v>
      </c>
      <c r="K926" s="3">
        <f t="shared" si="14"/>
        <v>74.803333333333342</v>
      </c>
      <c r="L926" t="s">
        <v>27</v>
      </c>
      <c r="M926" t="s">
        <v>41</v>
      </c>
      <c r="N926">
        <v>24</v>
      </c>
      <c r="O926" t="s">
        <v>28</v>
      </c>
      <c r="P926" t="s">
        <v>26</v>
      </c>
      <c r="Q926" t="s">
        <v>26</v>
      </c>
      <c r="R926">
        <v>600</v>
      </c>
      <c r="S926">
        <v>75</v>
      </c>
      <c r="T926" t="s">
        <v>49</v>
      </c>
      <c r="U926" t="s">
        <v>32</v>
      </c>
      <c r="V926" t="s">
        <v>49</v>
      </c>
      <c r="W926" t="s">
        <v>33</v>
      </c>
      <c r="X926" t="s">
        <v>34</v>
      </c>
      <c r="Y926" t="s">
        <v>58</v>
      </c>
      <c r="Z926" t="s">
        <v>44</v>
      </c>
      <c r="AA926" t="s">
        <v>249</v>
      </c>
      <c r="AB926" t="s">
        <v>46</v>
      </c>
      <c r="AC926">
        <f>IF(Cdacdata[[#This Row],[placement_status]]="Placed",1,0)</f>
        <v>1</v>
      </c>
      <c r="AD926" t="s">
        <v>244</v>
      </c>
      <c r="AE926" t="s">
        <v>75</v>
      </c>
      <c r="AF926" t="s">
        <v>39</v>
      </c>
      <c r="AG926">
        <v>2021</v>
      </c>
      <c r="AH926" t="s">
        <v>40</v>
      </c>
      <c r="AI926" t="str">
        <f>IF(Cdacdata[ccat_rank]&lt;=100,"Top 100",
IF(Cdacdata[ccat_rank]&lt;=500,"101–500",
IF(Cdacdata[ccat_rank]&lt;=1000,"501–1000",
"1000+")))</f>
        <v>501–1000</v>
      </c>
    </row>
    <row r="927" spans="1:35" x14ac:dyDescent="0.3">
      <c r="A927" s="1" t="s">
        <v>242</v>
      </c>
      <c r="B927">
        <v>210715749</v>
      </c>
      <c r="C927" s="2">
        <v>44454</v>
      </c>
      <c r="D927" s="2" t="s">
        <v>1163</v>
      </c>
      <c r="E927">
        <v>1485</v>
      </c>
      <c r="F927" s="2" t="s">
        <v>298</v>
      </c>
      <c r="G927">
        <v>90</v>
      </c>
      <c r="H927">
        <v>74.400000000000006</v>
      </c>
      <c r="I927" t="s">
        <v>26</v>
      </c>
      <c r="J927">
        <v>73.099999999999994</v>
      </c>
      <c r="K927" s="3">
        <f t="shared" si="14"/>
        <v>79.166666666666671</v>
      </c>
      <c r="L927" t="s">
        <v>27</v>
      </c>
      <c r="M927" t="s">
        <v>27</v>
      </c>
      <c r="N927">
        <v>25</v>
      </c>
      <c r="O927" t="s">
        <v>28</v>
      </c>
      <c r="P927" t="s">
        <v>26</v>
      </c>
      <c r="Q927" t="s">
        <v>26</v>
      </c>
      <c r="R927">
        <v>618</v>
      </c>
      <c r="S927">
        <v>77.25</v>
      </c>
      <c r="T927" t="s">
        <v>49</v>
      </c>
      <c r="U927" t="s">
        <v>32</v>
      </c>
      <c r="V927" t="s">
        <v>49</v>
      </c>
      <c r="W927" t="s">
        <v>49</v>
      </c>
      <c r="X927" t="s">
        <v>34</v>
      </c>
      <c r="Y927" t="s">
        <v>58</v>
      </c>
      <c r="Z927" t="s">
        <v>44</v>
      </c>
      <c r="AA927" t="s">
        <v>268</v>
      </c>
      <c r="AB927" t="s">
        <v>46</v>
      </c>
      <c r="AC927">
        <f>IF(Cdacdata[[#This Row],[placement_status]]="Placed",1,0)</f>
        <v>1</v>
      </c>
      <c r="AD927" t="s">
        <v>244</v>
      </c>
      <c r="AE927" t="s">
        <v>47</v>
      </c>
      <c r="AF927" t="s">
        <v>39</v>
      </c>
      <c r="AG927">
        <v>2021</v>
      </c>
      <c r="AH927" t="s">
        <v>40</v>
      </c>
      <c r="AI927" t="str">
        <f>IF(Cdacdata[ccat_rank]&lt;=100,"Top 100",
IF(Cdacdata[ccat_rank]&lt;=500,"101–500",
IF(Cdacdata[ccat_rank]&lt;=1000,"501–1000",
"1000+")))</f>
        <v>1000+</v>
      </c>
    </row>
    <row r="928" spans="1:35" x14ac:dyDescent="0.3">
      <c r="A928" s="1" t="s">
        <v>242</v>
      </c>
      <c r="B928">
        <v>210709352</v>
      </c>
      <c r="C928" s="2">
        <v>44454</v>
      </c>
      <c r="D928" s="2" t="s">
        <v>1164</v>
      </c>
      <c r="E928">
        <v>431</v>
      </c>
      <c r="F928" s="2">
        <v>35074</v>
      </c>
      <c r="G928">
        <v>70</v>
      </c>
      <c r="H928">
        <v>57</v>
      </c>
      <c r="I928" t="s">
        <v>26</v>
      </c>
      <c r="J928">
        <v>60</v>
      </c>
      <c r="K928" s="3">
        <f t="shared" si="14"/>
        <v>62.333333333333336</v>
      </c>
      <c r="L928" t="s">
        <v>27</v>
      </c>
      <c r="M928" t="s">
        <v>41</v>
      </c>
      <c r="N928">
        <v>24</v>
      </c>
      <c r="O928" t="s">
        <v>28</v>
      </c>
      <c r="P928" t="s">
        <v>26</v>
      </c>
      <c r="Q928" t="s">
        <v>30</v>
      </c>
      <c r="R928">
        <v>598</v>
      </c>
      <c r="S928">
        <v>74.75</v>
      </c>
      <c r="T928" t="s">
        <v>33</v>
      </c>
      <c r="U928" t="s">
        <v>32</v>
      </c>
      <c r="V928" t="s">
        <v>33</v>
      </c>
      <c r="W928" t="s">
        <v>31</v>
      </c>
      <c r="X928" t="s">
        <v>34</v>
      </c>
      <c r="Y928" t="s">
        <v>58</v>
      </c>
      <c r="Z928" t="s">
        <v>44</v>
      </c>
      <c r="AA928" t="s">
        <v>249</v>
      </c>
      <c r="AB928" t="s">
        <v>46</v>
      </c>
      <c r="AC928">
        <f>IF(Cdacdata[[#This Row],[placement_status]]="Placed",1,0)</f>
        <v>1</v>
      </c>
      <c r="AD928" t="s">
        <v>244</v>
      </c>
      <c r="AE928" t="s">
        <v>75</v>
      </c>
      <c r="AF928" t="s">
        <v>39</v>
      </c>
      <c r="AG928">
        <v>2021</v>
      </c>
      <c r="AH928" t="s">
        <v>40</v>
      </c>
      <c r="AI928" t="str">
        <f>IF(Cdacdata[ccat_rank]&lt;=100,"Top 100",
IF(Cdacdata[ccat_rank]&lt;=500,"101–500",
IF(Cdacdata[ccat_rank]&lt;=1000,"501–1000",
"1000+")))</f>
        <v>101–500</v>
      </c>
    </row>
    <row r="929" spans="1:35" x14ac:dyDescent="0.3">
      <c r="A929" s="1" t="s">
        <v>242</v>
      </c>
      <c r="B929">
        <v>210700473</v>
      </c>
      <c r="C929" s="2">
        <v>44455</v>
      </c>
      <c r="D929" s="2" t="s">
        <v>1165</v>
      </c>
      <c r="E929">
        <v>1542</v>
      </c>
      <c r="F929" s="2" t="s">
        <v>299</v>
      </c>
      <c r="G929">
        <v>80.760000000000005</v>
      </c>
      <c r="H929" t="s">
        <v>26</v>
      </c>
      <c r="I929">
        <v>67.540000000000006</v>
      </c>
      <c r="J929">
        <v>75.599999999999994</v>
      </c>
      <c r="K929" s="3">
        <f t="shared" si="14"/>
        <v>74.63333333333334</v>
      </c>
      <c r="L929" t="s">
        <v>27</v>
      </c>
      <c r="M929" t="s">
        <v>27</v>
      </c>
      <c r="N929">
        <v>24</v>
      </c>
      <c r="O929" t="s">
        <v>48</v>
      </c>
      <c r="P929" t="s">
        <v>60</v>
      </c>
      <c r="Q929" t="s">
        <v>26</v>
      </c>
      <c r="R929">
        <v>556</v>
      </c>
      <c r="S929">
        <v>69.5</v>
      </c>
      <c r="T929" t="s">
        <v>31</v>
      </c>
      <c r="U929" t="s">
        <v>32</v>
      </c>
      <c r="V929" t="s">
        <v>31</v>
      </c>
      <c r="W929" t="s">
        <v>49</v>
      </c>
      <c r="X929" t="s">
        <v>34</v>
      </c>
      <c r="Y929" t="s">
        <v>50</v>
      </c>
      <c r="Z929" t="s">
        <v>44</v>
      </c>
      <c r="AA929" t="s">
        <v>163</v>
      </c>
      <c r="AB929" t="s">
        <v>46</v>
      </c>
      <c r="AC929">
        <f>IF(Cdacdata[[#This Row],[placement_status]]="Placed",1,0)</f>
        <v>1</v>
      </c>
      <c r="AD929" t="s">
        <v>244</v>
      </c>
      <c r="AE929" t="s">
        <v>47</v>
      </c>
      <c r="AF929" t="s">
        <v>39</v>
      </c>
      <c r="AG929">
        <v>2021</v>
      </c>
      <c r="AH929" t="s">
        <v>40</v>
      </c>
      <c r="AI929" t="str">
        <f>IF(Cdacdata[ccat_rank]&lt;=100,"Top 100",
IF(Cdacdata[ccat_rank]&lt;=500,"101–500",
IF(Cdacdata[ccat_rank]&lt;=1000,"501–1000",
"1000+")))</f>
        <v>1000+</v>
      </c>
    </row>
    <row r="930" spans="1:35" x14ac:dyDescent="0.3">
      <c r="A930" s="1" t="s">
        <v>242</v>
      </c>
      <c r="B930">
        <v>210702230</v>
      </c>
      <c r="C930" s="2">
        <v>44454</v>
      </c>
      <c r="D930" s="2" t="s">
        <v>1166</v>
      </c>
      <c r="E930">
        <v>1179</v>
      </c>
      <c r="F930" s="2">
        <v>35774</v>
      </c>
      <c r="G930">
        <v>91.6</v>
      </c>
      <c r="H930">
        <v>75.849999999999994</v>
      </c>
      <c r="I930" t="s">
        <v>26</v>
      </c>
      <c r="J930">
        <v>56.67</v>
      </c>
      <c r="K930" s="3">
        <f t="shared" si="14"/>
        <v>74.706666666666663</v>
      </c>
      <c r="L930" t="s">
        <v>27</v>
      </c>
      <c r="M930" t="s">
        <v>41</v>
      </c>
      <c r="N930">
        <v>23</v>
      </c>
      <c r="O930" t="s">
        <v>72</v>
      </c>
      <c r="P930" t="s">
        <v>60</v>
      </c>
      <c r="Q930" t="s">
        <v>26</v>
      </c>
      <c r="R930">
        <v>568</v>
      </c>
      <c r="S930">
        <v>71</v>
      </c>
      <c r="T930" t="s">
        <v>31</v>
      </c>
      <c r="U930" t="s">
        <v>32</v>
      </c>
      <c r="V930" t="s">
        <v>31</v>
      </c>
      <c r="W930" t="s">
        <v>31</v>
      </c>
      <c r="X930" t="s">
        <v>34</v>
      </c>
      <c r="Y930" t="s">
        <v>58</v>
      </c>
      <c r="Z930" t="s">
        <v>44</v>
      </c>
      <c r="AA930" t="s">
        <v>180</v>
      </c>
      <c r="AB930" t="s">
        <v>46</v>
      </c>
      <c r="AC930">
        <f>IF(Cdacdata[[#This Row],[placement_status]]="Placed",1,0)</f>
        <v>1</v>
      </c>
      <c r="AD930" t="s">
        <v>244</v>
      </c>
      <c r="AE930" t="s">
        <v>47</v>
      </c>
      <c r="AF930" t="s">
        <v>39</v>
      </c>
      <c r="AG930">
        <v>2021</v>
      </c>
      <c r="AH930" t="s">
        <v>40</v>
      </c>
      <c r="AI930" t="str">
        <f>IF(Cdacdata[ccat_rank]&lt;=100,"Top 100",
IF(Cdacdata[ccat_rank]&lt;=500,"101–500",
IF(Cdacdata[ccat_rank]&lt;=1000,"501–1000",
"1000+")))</f>
        <v>1000+</v>
      </c>
    </row>
    <row r="931" spans="1:35" x14ac:dyDescent="0.3">
      <c r="A931" s="1" t="s">
        <v>242</v>
      </c>
      <c r="B931">
        <v>210703838</v>
      </c>
      <c r="C931" s="2">
        <v>44454</v>
      </c>
      <c r="D931" s="2" t="s">
        <v>1167</v>
      </c>
      <c r="E931">
        <v>270</v>
      </c>
      <c r="F931" s="2">
        <v>35771</v>
      </c>
      <c r="G931">
        <v>88.18</v>
      </c>
      <c r="H931">
        <v>61.85</v>
      </c>
      <c r="I931" t="s">
        <v>26</v>
      </c>
      <c r="J931">
        <v>63.7</v>
      </c>
      <c r="K931" s="3">
        <f t="shared" si="14"/>
        <v>71.243333333333339</v>
      </c>
      <c r="L931" t="s">
        <v>27</v>
      </c>
      <c r="M931" t="s">
        <v>41</v>
      </c>
      <c r="N931">
        <v>24</v>
      </c>
      <c r="O931" t="s">
        <v>28</v>
      </c>
      <c r="P931" t="s">
        <v>26</v>
      </c>
      <c r="Q931" t="s">
        <v>30</v>
      </c>
      <c r="R931">
        <v>538</v>
      </c>
      <c r="S931">
        <v>67.25</v>
      </c>
      <c r="T931" t="s">
        <v>49</v>
      </c>
      <c r="U931" t="s">
        <v>32</v>
      </c>
      <c r="V931" t="s">
        <v>49</v>
      </c>
      <c r="W931" t="s">
        <v>31</v>
      </c>
      <c r="X931" t="s">
        <v>34</v>
      </c>
      <c r="Y931" t="s">
        <v>50</v>
      </c>
      <c r="Z931" t="s">
        <v>44</v>
      </c>
      <c r="AA931" t="s">
        <v>163</v>
      </c>
      <c r="AB931" t="s">
        <v>46</v>
      </c>
      <c r="AC931">
        <f>IF(Cdacdata[[#This Row],[placement_status]]="Placed",1,0)</f>
        <v>1</v>
      </c>
      <c r="AD931" t="s">
        <v>244</v>
      </c>
      <c r="AE931" t="s">
        <v>75</v>
      </c>
      <c r="AF931" t="s">
        <v>39</v>
      </c>
      <c r="AG931">
        <v>2021</v>
      </c>
      <c r="AH931" t="s">
        <v>40</v>
      </c>
      <c r="AI931" t="str">
        <f>IF(Cdacdata[ccat_rank]&lt;=100,"Top 100",
IF(Cdacdata[ccat_rank]&lt;=500,"101–500",
IF(Cdacdata[ccat_rank]&lt;=1000,"501–1000",
"1000+")))</f>
        <v>101–500</v>
      </c>
    </row>
    <row r="932" spans="1:35" x14ac:dyDescent="0.3">
      <c r="A932" s="1" t="s">
        <v>242</v>
      </c>
      <c r="B932">
        <v>210711159</v>
      </c>
      <c r="C932" s="2">
        <v>44454</v>
      </c>
      <c r="D932" s="2" t="s">
        <v>1168</v>
      </c>
      <c r="E932">
        <v>1163</v>
      </c>
      <c r="F932" s="2" t="s">
        <v>252</v>
      </c>
      <c r="G932">
        <v>84.18</v>
      </c>
      <c r="H932">
        <v>78.77</v>
      </c>
      <c r="I932" t="s">
        <v>26</v>
      </c>
      <c r="J932">
        <v>63.8</v>
      </c>
      <c r="K932" s="3">
        <f t="shared" si="14"/>
        <v>75.583333333333329</v>
      </c>
      <c r="L932" t="s">
        <v>27</v>
      </c>
      <c r="M932" t="s">
        <v>27</v>
      </c>
      <c r="N932">
        <v>23</v>
      </c>
      <c r="O932" t="s">
        <v>28</v>
      </c>
      <c r="P932" t="s">
        <v>60</v>
      </c>
      <c r="Q932" t="s">
        <v>30</v>
      </c>
      <c r="R932">
        <v>527</v>
      </c>
      <c r="S932">
        <v>65.875</v>
      </c>
      <c r="T932" t="s">
        <v>31</v>
      </c>
      <c r="U932" t="s">
        <v>32</v>
      </c>
      <c r="V932" t="s">
        <v>31</v>
      </c>
      <c r="W932" t="s">
        <v>31</v>
      </c>
      <c r="X932" t="s">
        <v>34</v>
      </c>
      <c r="Y932" t="s">
        <v>50</v>
      </c>
      <c r="Z932" t="s">
        <v>44</v>
      </c>
      <c r="AA932" t="s">
        <v>112</v>
      </c>
      <c r="AB932" t="s">
        <v>46</v>
      </c>
      <c r="AC932">
        <f>IF(Cdacdata[[#This Row],[placement_status]]="Placed",1,0)</f>
        <v>1</v>
      </c>
      <c r="AD932" t="s">
        <v>244</v>
      </c>
      <c r="AE932" t="s">
        <v>47</v>
      </c>
      <c r="AF932" t="s">
        <v>39</v>
      </c>
      <c r="AG932">
        <v>2021</v>
      </c>
      <c r="AH932" t="s">
        <v>40</v>
      </c>
      <c r="AI932" t="str">
        <f>IF(Cdacdata[ccat_rank]&lt;=100,"Top 100",
IF(Cdacdata[ccat_rank]&lt;=500,"101–500",
IF(Cdacdata[ccat_rank]&lt;=1000,"501–1000",
"1000+")))</f>
        <v>1000+</v>
      </c>
    </row>
    <row r="933" spans="1:35" x14ac:dyDescent="0.3">
      <c r="A933" s="1" t="s">
        <v>242</v>
      </c>
      <c r="B933">
        <v>210703335</v>
      </c>
      <c r="C933" s="2">
        <v>44455</v>
      </c>
      <c r="D933" s="2" t="s">
        <v>1169</v>
      </c>
      <c r="E933">
        <v>1533</v>
      </c>
      <c r="F933" s="2" t="s">
        <v>300</v>
      </c>
      <c r="G933">
        <v>79.27</v>
      </c>
      <c r="H933">
        <v>61.23</v>
      </c>
      <c r="I933" t="s">
        <v>26</v>
      </c>
      <c r="J933">
        <v>0</v>
      </c>
      <c r="K933" s="3">
        <f t="shared" si="14"/>
        <v>46.833333333333336</v>
      </c>
      <c r="L933" t="s">
        <v>27</v>
      </c>
      <c r="M933" t="s">
        <v>27</v>
      </c>
      <c r="N933">
        <v>23</v>
      </c>
      <c r="O933" t="s">
        <v>62</v>
      </c>
      <c r="P933" t="s">
        <v>65</v>
      </c>
      <c r="Q933" t="s">
        <v>30</v>
      </c>
      <c r="R933">
        <v>579</v>
      </c>
      <c r="S933">
        <v>72.375</v>
      </c>
      <c r="T933" t="s">
        <v>33</v>
      </c>
      <c r="U933" t="s">
        <v>32</v>
      </c>
      <c r="V933" t="s">
        <v>33</v>
      </c>
      <c r="W933" t="s">
        <v>49</v>
      </c>
      <c r="X933" t="s">
        <v>34</v>
      </c>
      <c r="Y933" t="s">
        <v>58</v>
      </c>
      <c r="Z933" t="s">
        <v>44</v>
      </c>
      <c r="AA933" t="s">
        <v>163</v>
      </c>
      <c r="AB933" t="s">
        <v>46</v>
      </c>
      <c r="AC933">
        <f>IF(Cdacdata[[#This Row],[placement_status]]="Placed",1,0)</f>
        <v>1</v>
      </c>
      <c r="AD933" t="s">
        <v>244</v>
      </c>
      <c r="AE933" t="s">
        <v>47</v>
      </c>
      <c r="AF933" t="s">
        <v>39</v>
      </c>
      <c r="AG933">
        <v>2021</v>
      </c>
      <c r="AH933" t="s">
        <v>40</v>
      </c>
      <c r="AI933" t="str">
        <f>IF(Cdacdata[ccat_rank]&lt;=100,"Top 100",
IF(Cdacdata[ccat_rank]&lt;=500,"101–500",
IF(Cdacdata[ccat_rank]&lt;=1000,"501–1000",
"1000+")))</f>
        <v>1000+</v>
      </c>
    </row>
    <row r="934" spans="1:35" x14ac:dyDescent="0.3">
      <c r="A934" s="1" t="s">
        <v>242</v>
      </c>
      <c r="B934">
        <v>210700920</v>
      </c>
      <c r="C934" s="2">
        <v>44454</v>
      </c>
      <c r="D934" s="2" t="s">
        <v>1170</v>
      </c>
      <c r="E934">
        <v>1167</v>
      </c>
      <c r="F934" s="2" t="s">
        <v>301</v>
      </c>
      <c r="G934">
        <v>88.89</v>
      </c>
      <c r="H934">
        <v>74.77</v>
      </c>
      <c r="I934" t="s">
        <v>26</v>
      </c>
      <c r="J934">
        <v>60</v>
      </c>
      <c r="K934" s="3">
        <f t="shared" si="14"/>
        <v>74.553333333333327</v>
      </c>
      <c r="L934" t="s">
        <v>27</v>
      </c>
      <c r="M934" t="s">
        <v>41</v>
      </c>
      <c r="N934">
        <v>23</v>
      </c>
      <c r="O934" t="s">
        <v>28</v>
      </c>
      <c r="P934" t="s">
        <v>26</v>
      </c>
      <c r="Q934" t="s">
        <v>43</v>
      </c>
      <c r="R934">
        <v>432</v>
      </c>
      <c r="S934">
        <v>54</v>
      </c>
      <c r="T934" t="s">
        <v>31</v>
      </c>
      <c r="U934" t="s">
        <v>32</v>
      </c>
      <c r="V934" t="s">
        <v>31</v>
      </c>
      <c r="W934" t="s">
        <v>31</v>
      </c>
      <c r="X934" t="s">
        <v>34</v>
      </c>
      <c r="Y934" t="s">
        <v>35</v>
      </c>
      <c r="Z934" t="s">
        <v>44</v>
      </c>
      <c r="AA934" t="s">
        <v>302</v>
      </c>
      <c r="AB934" t="s">
        <v>46</v>
      </c>
      <c r="AC934">
        <f>IF(Cdacdata[[#This Row],[placement_status]]="Placed",1,0)</f>
        <v>1</v>
      </c>
      <c r="AD934" t="s">
        <v>244</v>
      </c>
      <c r="AE934" t="s">
        <v>47</v>
      </c>
      <c r="AF934" t="s">
        <v>39</v>
      </c>
      <c r="AG934">
        <v>2021</v>
      </c>
      <c r="AH934" t="s">
        <v>40</v>
      </c>
      <c r="AI934" t="str">
        <f>IF(Cdacdata[ccat_rank]&lt;=100,"Top 100",
IF(Cdacdata[ccat_rank]&lt;=500,"101–500",
IF(Cdacdata[ccat_rank]&lt;=1000,"501–1000",
"1000+")))</f>
        <v>1000+</v>
      </c>
    </row>
    <row r="935" spans="1:35" x14ac:dyDescent="0.3">
      <c r="A935" s="1" t="s">
        <v>242</v>
      </c>
      <c r="B935">
        <v>210700487</v>
      </c>
      <c r="C935" s="2">
        <v>44454</v>
      </c>
      <c r="D935" s="2" t="s">
        <v>1171</v>
      </c>
      <c r="E935">
        <v>82</v>
      </c>
      <c r="F935" s="2" t="s">
        <v>303</v>
      </c>
      <c r="G935">
        <v>87.82</v>
      </c>
      <c r="H935">
        <v>69.69</v>
      </c>
      <c r="I935" t="s">
        <v>26</v>
      </c>
      <c r="J935">
        <v>71.37</v>
      </c>
      <c r="K935" s="3">
        <f t="shared" si="14"/>
        <v>76.293333333333337</v>
      </c>
      <c r="L935" t="s">
        <v>27</v>
      </c>
      <c r="M935" t="s">
        <v>41</v>
      </c>
      <c r="N935">
        <v>23</v>
      </c>
      <c r="O935" t="s">
        <v>28</v>
      </c>
      <c r="P935" t="s">
        <v>60</v>
      </c>
      <c r="Q935" t="s">
        <v>26</v>
      </c>
      <c r="R935">
        <v>678</v>
      </c>
      <c r="S935">
        <v>84.75</v>
      </c>
      <c r="T935" t="s">
        <v>49</v>
      </c>
      <c r="U935" t="s">
        <v>32</v>
      </c>
      <c r="V935" t="s">
        <v>49</v>
      </c>
      <c r="W935" t="s">
        <v>49</v>
      </c>
      <c r="X935" t="s">
        <v>34</v>
      </c>
      <c r="Y935" t="s">
        <v>58</v>
      </c>
      <c r="Z935" t="s">
        <v>44</v>
      </c>
      <c r="AA935" t="s">
        <v>243</v>
      </c>
      <c r="AB935" t="s">
        <v>46</v>
      </c>
      <c r="AC935">
        <f>IF(Cdacdata[[#This Row],[placement_status]]="Placed",1,0)</f>
        <v>1</v>
      </c>
      <c r="AD935" t="s">
        <v>244</v>
      </c>
      <c r="AE935" t="s">
        <v>75</v>
      </c>
      <c r="AF935" t="s">
        <v>39</v>
      </c>
      <c r="AG935">
        <v>2021</v>
      </c>
      <c r="AH935" t="s">
        <v>40</v>
      </c>
      <c r="AI935" t="str">
        <f>IF(Cdacdata[ccat_rank]&lt;=100,"Top 100",
IF(Cdacdata[ccat_rank]&lt;=500,"101–500",
IF(Cdacdata[ccat_rank]&lt;=1000,"501–1000",
"1000+")))</f>
        <v>Top 100</v>
      </c>
    </row>
    <row r="936" spans="1:35" x14ac:dyDescent="0.3">
      <c r="A936" s="1" t="s">
        <v>242</v>
      </c>
      <c r="B936">
        <v>210704910</v>
      </c>
      <c r="C936" s="2">
        <v>44454</v>
      </c>
      <c r="D936" s="2" t="s">
        <v>1172</v>
      </c>
      <c r="E936">
        <v>1535</v>
      </c>
      <c r="F936" s="2" t="s">
        <v>304</v>
      </c>
      <c r="G936">
        <v>81.8</v>
      </c>
      <c r="H936">
        <v>60.46</v>
      </c>
      <c r="I936" t="s">
        <v>26</v>
      </c>
      <c r="J936">
        <v>60</v>
      </c>
      <c r="K936" s="3">
        <f t="shared" si="14"/>
        <v>67.42</v>
      </c>
      <c r="L936" t="s">
        <v>27</v>
      </c>
      <c r="M936" t="s">
        <v>41</v>
      </c>
      <c r="N936">
        <v>23</v>
      </c>
      <c r="O936" t="s">
        <v>28</v>
      </c>
      <c r="P936" t="s">
        <v>26</v>
      </c>
      <c r="Q936" t="s">
        <v>26</v>
      </c>
      <c r="R936">
        <v>482</v>
      </c>
      <c r="S936">
        <v>60.25</v>
      </c>
      <c r="T936" t="s">
        <v>49</v>
      </c>
      <c r="U936" t="s">
        <v>32</v>
      </c>
      <c r="V936" t="s">
        <v>49</v>
      </c>
      <c r="W936" t="s">
        <v>49</v>
      </c>
      <c r="X936" t="s">
        <v>34</v>
      </c>
      <c r="Y936" t="s">
        <v>50</v>
      </c>
      <c r="Z936" t="s">
        <v>44</v>
      </c>
      <c r="AA936" t="s">
        <v>131</v>
      </c>
      <c r="AB936" t="s">
        <v>46</v>
      </c>
      <c r="AC936">
        <f>IF(Cdacdata[[#This Row],[placement_status]]="Placed",1,0)</f>
        <v>1</v>
      </c>
      <c r="AD936" t="s">
        <v>244</v>
      </c>
      <c r="AE936" t="s">
        <v>47</v>
      </c>
      <c r="AF936" t="s">
        <v>39</v>
      </c>
      <c r="AG936">
        <v>2021</v>
      </c>
      <c r="AH936" t="s">
        <v>40</v>
      </c>
      <c r="AI936" t="str">
        <f>IF(Cdacdata[ccat_rank]&lt;=100,"Top 100",
IF(Cdacdata[ccat_rank]&lt;=500,"101–500",
IF(Cdacdata[ccat_rank]&lt;=1000,"501–1000",
"1000+")))</f>
        <v>1000+</v>
      </c>
    </row>
    <row r="937" spans="1:35" x14ac:dyDescent="0.3">
      <c r="A937" s="1" t="s">
        <v>242</v>
      </c>
      <c r="B937">
        <v>210703953</v>
      </c>
      <c r="C937" s="2">
        <v>44454</v>
      </c>
      <c r="D937" s="2" t="s">
        <v>1173</v>
      </c>
      <c r="E937">
        <v>1245</v>
      </c>
      <c r="F937" s="2" t="s">
        <v>305</v>
      </c>
      <c r="G937">
        <v>88.36</v>
      </c>
      <c r="H937">
        <v>73.5</v>
      </c>
      <c r="I937" t="s">
        <v>26</v>
      </c>
      <c r="J937">
        <v>5.7</v>
      </c>
      <c r="K937" s="3">
        <f t="shared" si="14"/>
        <v>55.853333333333332</v>
      </c>
      <c r="L937" t="s">
        <v>27</v>
      </c>
      <c r="M937" t="s">
        <v>41</v>
      </c>
      <c r="N937">
        <v>27</v>
      </c>
      <c r="O937" t="s">
        <v>62</v>
      </c>
      <c r="P937" t="s">
        <v>42</v>
      </c>
      <c r="Q937" t="s">
        <v>30</v>
      </c>
      <c r="R937">
        <v>576</v>
      </c>
      <c r="S937">
        <v>72</v>
      </c>
      <c r="T937" t="s">
        <v>31</v>
      </c>
      <c r="U937" t="s">
        <v>32</v>
      </c>
      <c r="V937" t="s">
        <v>31</v>
      </c>
      <c r="W937" t="s">
        <v>33</v>
      </c>
      <c r="X937" t="s">
        <v>34</v>
      </c>
      <c r="Y937" t="s">
        <v>58</v>
      </c>
      <c r="Z937" t="s">
        <v>44</v>
      </c>
      <c r="AA937" t="s">
        <v>88</v>
      </c>
      <c r="AB937" t="s">
        <v>46</v>
      </c>
      <c r="AC937">
        <f>IF(Cdacdata[[#This Row],[placement_status]]="Placed",1,0)</f>
        <v>1</v>
      </c>
      <c r="AD937" t="s">
        <v>244</v>
      </c>
      <c r="AE937" t="s">
        <v>47</v>
      </c>
      <c r="AF937" t="s">
        <v>55</v>
      </c>
      <c r="AG937">
        <v>2021</v>
      </c>
      <c r="AH937" t="s">
        <v>40</v>
      </c>
      <c r="AI937" t="str">
        <f>IF(Cdacdata[ccat_rank]&lt;=100,"Top 100",
IF(Cdacdata[ccat_rank]&lt;=500,"101–500",
IF(Cdacdata[ccat_rank]&lt;=1000,"501–1000",
"1000+")))</f>
        <v>1000+</v>
      </c>
    </row>
    <row r="938" spans="1:35" x14ac:dyDescent="0.3">
      <c r="A938" s="1" t="s">
        <v>242</v>
      </c>
      <c r="B938">
        <v>210703611</v>
      </c>
      <c r="C938" s="2">
        <v>44454</v>
      </c>
      <c r="D938" s="2" t="s">
        <v>1174</v>
      </c>
      <c r="E938">
        <v>502</v>
      </c>
      <c r="F938" s="2">
        <v>36468</v>
      </c>
      <c r="G938">
        <v>92.8</v>
      </c>
      <c r="H938">
        <v>71.540000000000006</v>
      </c>
      <c r="I938" t="s">
        <v>26</v>
      </c>
      <c r="J938">
        <v>64</v>
      </c>
      <c r="K938" s="3">
        <f t="shared" si="14"/>
        <v>76.11333333333333</v>
      </c>
      <c r="L938" t="s">
        <v>27</v>
      </c>
      <c r="M938" t="s">
        <v>27</v>
      </c>
      <c r="N938">
        <v>22</v>
      </c>
      <c r="O938" t="s">
        <v>28</v>
      </c>
      <c r="P938" t="s">
        <v>29</v>
      </c>
      <c r="Q938" t="s">
        <v>26</v>
      </c>
      <c r="R938">
        <v>537</v>
      </c>
      <c r="S938">
        <v>67.125</v>
      </c>
      <c r="T938" t="s">
        <v>33</v>
      </c>
      <c r="U938" t="s">
        <v>32</v>
      </c>
      <c r="V938" t="s">
        <v>33</v>
      </c>
      <c r="W938" t="s">
        <v>49</v>
      </c>
      <c r="X938" t="s">
        <v>34</v>
      </c>
      <c r="Y938" t="s">
        <v>50</v>
      </c>
      <c r="Z938" t="s">
        <v>44</v>
      </c>
      <c r="AA938" t="s">
        <v>112</v>
      </c>
      <c r="AB938" t="s">
        <v>46</v>
      </c>
      <c r="AC938">
        <f>IF(Cdacdata[[#This Row],[placement_status]]="Placed",1,0)</f>
        <v>1</v>
      </c>
      <c r="AD938" t="s">
        <v>244</v>
      </c>
      <c r="AE938" t="s">
        <v>75</v>
      </c>
      <c r="AF938" t="s">
        <v>57</v>
      </c>
      <c r="AG938">
        <v>2021</v>
      </c>
      <c r="AH938" t="s">
        <v>40</v>
      </c>
      <c r="AI938" t="str">
        <f>IF(Cdacdata[ccat_rank]&lt;=100,"Top 100",
IF(Cdacdata[ccat_rank]&lt;=500,"101–500",
IF(Cdacdata[ccat_rank]&lt;=1000,"501–1000",
"1000+")))</f>
        <v>501–1000</v>
      </c>
    </row>
    <row r="939" spans="1:35" x14ac:dyDescent="0.3">
      <c r="A939" s="1" t="s">
        <v>242</v>
      </c>
      <c r="B939">
        <v>210711171</v>
      </c>
      <c r="C939" s="2">
        <v>44454</v>
      </c>
      <c r="D939" s="2" t="s">
        <v>1175</v>
      </c>
      <c r="E939">
        <v>1155</v>
      </c>
      <c r="F939" s="2" t="s">
        <v>306</v>
      </c>
      <c r="G939">
        <v>92.91</v>
      </c>
      <c r="H939">
        <v>72.459999999999994</v>
      </c>
      <c r="I939" t="s">
        <v>26</v>
      </c>
      <c r="J939">
        <v>70</v>
      </c>
      <c r="K939" s="3">
        <f t="shared" si="14"/>
        <v>78.456666666666663</v>
      </c>
      <c r="L939" t="s">
        <v>27</v>
      </c>
      <c r="M939" t="s">
        <v>41</v>
      </c>
      <c r="N939">
        <v>25</v>
      </c>
      <c r="O939" t="s">
        <v>28</v>
      </c>
      <c r="P939" t="s">
        <v>26</v>
      </c>
      <c r="Q939" t="s">
        <v>30</v>
      </c>
      <c r="R939">
        <v>560</v>
      </c>
      <c r="S939">
        <v>70</v>
      </c>
      <c r="T939" t="s">
        <v>31</v>
      </c>
      <c r="U939" t="s">
        <v>32</v>
      </c>
      <c r="V939" t="s">
        <v>31</v>
      </c>
      <c r="W939" t="s">
        <v>33</v>
      </c>
      <c r="X939" t="s">
        <v>34</v>
      </c>
      <c r="Y939" t="s">
        <v>58</v>
      </c>
      <c r="Z939" t="s">
        <v>44</v>
      </c>
      <c r="AA939" t="s">
        <v>73</v>
      </c>
      <c r="AB939" t="s">
        <v>46</v>
      </c>
      <c r="AC939">
        <f>IF(Cdacdata[[#This Row],[placement_status]]="Placed",1,0)</f>
        <v>1</v>
      </c>
      <c r="AD939" t="s">
        <v>244</v>
      </c>
      <c r="AE939" t="s">
        <v>47</v>
      </c>
      <c r="AF939" t="s">
        <v>39</v>
      </c>
      <c r="AG939">
        <v>2021</v>
      </c>
      <c r="AH939" t="s">
        <v>40</v>
      </c>
      <c r="AI939" t="str">
        <f>IF(Cdacdata[ccat_rank]&lt;=100,"Top 100",
IF(Cdacdata[ccat_rank]&lt;=500,"101–500",
IF(Cdacdata[ccat_rank]&lt;=1000,"501–1000",
"1000+")))</f>
        <v>1000+</v>
      </c>
    </row>
    <row r="940" spans="1:35" x14ac:dyDescent="0.3">
      <c r="A940" s="1" t="s">
        <v>242</v>
      </c>
      <c r="B940">
        <v>210705748</v>
      </c>
      <c r="C940" s="2">
        <v>44454</v>
      </c>
      <c r="D940" s="2" t="s">
        <v>1176</v>
      </c>
      <c r="E940">
        <v>1139</v>
      </c>
      <c r="F940" s="2" t="s">
        <v>307</v>
      </c>
      <c r="G940">
        <v>91.2</v>
      </c>
      <c r="H940">
        <v>72</v>
      </c>
      <c r="I940" t="s">
        <v>26</v>
      </c>
      <c r="J940">
        <v>83</v>
      </c>
      <c r="K940" s="3">
        <f t="shared" si="14"/>
        <v>82.066666666666663</v>
      </c>
      <c r="L940" t="s">
        <v>27</v>
      </c>
      <c r="M940" t="s">
        <v>41</v>
      </c>
      <c r="N940">
        <v>21</v>
      </c>
      <c r="O940" t="s">
        <v>48</v>
      </c>
      <c r="P940" t="s">
        <v>26</v>
      </c>
      <c r="Q940" t="s">
        <v>43</v>
      </c>
      <c r="R940">
        <v>652</v>
      </c>
      <c r="S940">
        <v>81.5</v>
      </c>
      <c r="T940" t="s">
        <v>49</v>
      </c>
      <c r="U940" t="s">
        <v>32</v>
      </c>
      <c r="V940" t="s">
        <v>49</v>
      </c>
      <c r="W940" t="s">
        <v>49</v>
      </c>
      <c r="X940" t="s">
        <v>34</v>
      </c>
      <c r="Y940" t="s">
        <v>58</v>
      </c>
      <c r="Z940" t="s">
        <v>44</v>
      </c>
      <c r="AA940" t="s">
        <v>118</v>
      </c>
      <c r="AB940" t="s">
        <v>46</v>
      </c>
      <c r="AC940">
        <f>IF(Cdacdata[[#This Row],[placement_status]]="Placed",1,0)</f>
        <v>1</v>
      </c>
      <c r="AD940" t="s">
        <v>244</v>
      </c>
      <c r="AE940" t="s">
        <v>47</v>
      </c>
      <c r="AF940" t="s">
        <v>57</v>
      </c>
      <c r="AG940">
        <v>2021</v>
      </c>
      <c r="AH940" t="s">
        <v>40</v>
      </c>
      <c r="AI940" t="str">
        <f>IF(Cdacdata[ccat_rank]&lt;=100,"Top 100",
IF(Cdacdata[ccat_rank]&lt;=500,"101–500",
IF(Cdacdata[ccat_rank]&lt;=1000,"501–1000",
"1000+")))</f>
        <v>1000+</v>
      </c>
    </row>
    <row r="941" spans="1:35" x14ac:dyDescent="0.3">
      <c r="A941" s="1" t="s">
        <v>242</v>
      </c>
      <c r="B941">
        <v>210708776</v>
      </c>
      <c r="C941" s="2">
        <v>44454</v>
      </c>
      <c r="D941" s="2" t="s">
        <v>1177</v>
      </c>
      <c r="E941">
        <v>1074</v>
      </c>
      <c r="F941" s="2" t="s">
        <v>308</v>
      </c>
      <c r="G941">
        <v>76.459999999999994</v>
      </c>
      <c r="H941">
        <v>68.66</v>
      </c>
      <c r="I941" t="s">
        <v>26</v>
      </c>
      <c r="J941">
        <v>61.45</v>
      </c>
      <c r="K941" s="3">
        <f t="shared" si="14"/>
        <v>68.856666666666669</v>
      </c>
      <c r="L941" t="s">
        <v>27</v>
      </c>
      <c r="M941" t="s">
        <v>27</v>
      </c>
      <c r="N941">
        <v>29</v>
      </c>
      <c r="O941" t="s">
        <v>28</v>
      </c>
      <c r="P941" t="s">
        <v>26</v>
      </c>
      <c r="Q941" t="s">
        <v>26</v>
      </c>
      <c r="R941">
        <v>546</v>
      </c>
      <c r="S941">
        <v>68.25</v>
      </c>
      <c r="T941" t="s">
        <v>33</v>
      </c>
      <c r="U941" t="s">
        <v>32</v>
      </c>
      <c r="V941" t="s">
        <v>33</v>
      </c>
      <c r="W941" t="s">
        <v>33</v>
      </c>
      <c r="X941" t="s">
        <v>34</v>
      </c>
      <c r="Y941" t="s">
        <v>50</v>
      </c>
      <c r="Z941" t="s">
        <v>44</v>
      </c>
      <c r="AA941" t="s">
        <v>253</v>
      </c>
      <c r="AB941" t="s">
        <v>46</v>
      </c>
      <c r="AC941">
        <f>IF(Cdacdata[[#This Row],[placement_status]]="Placed",1,0)</f>
        <v>1</v>
      </c>
      <c r="AD941" t="s">
        <v>244</v>
      </c>
      <c r="AE941" t="s">
        <v>47</v>
      </c>
      <c r="AF941" t="s">
        <v>69</v>
      </c>
      <c r="AG941">
        <v>2021</v>
      </c>
      <c r="AH941" t="s">
        <v>40</v>
      </c>
      <c r="AI941" t="str">
        <f>IF(Cdacdata[ccat_rank]&lt;=100,"Top 100",
IF(Cdacdata[ccat_rank]&lt;=500,"101–500",
IF(Cdacdata[ccat_rank]&lt;=1000,"501–1000",
"1000+")))</f>
        <v>1000+</v>
      </c>
    </row>
    <row r="942" spans="1:35" x14ac:dyDescent="0.3">
      <c r="A942" s="1" t="s">
        <v>242</v>
      </c>
      <c r="B942">
        <v>210708752</v>
      </c>
      <c r="C942" s="2">
        <v>44454</v>
      </c>
      <c r="D942" s="2" t="s">
        <v>1178</v>
      </c>
      <c r="E942">
        <v>693</v>
      </c>
      <c r="F942" s="2">
        <v>34709</v>
      </c>
      <c r="G942">
        <v>88.18</v>
      </c>
      <c r="H942">
        <v>67.83</v>
      </c>
      <c r="I942" t="s">
        <v>26</v>
      </c>
      <c r="J942">
        <v>65.05</v>
      </c>
      <c r="K942" s="3">
        <f t="shared" si="14"/>
        <v>73.686666666666667</v>
      </c>
      <c r="L942" t="s">
        <v>27</v>
      </c>
      <c r="M942" t="s">
        <v>27</v>
      </c>
      <c r="N942">
        <v>25</v>
      </c>
      <c r="O942" t="s">
        <v>28</v>
      </c>
      <c r="P942" t="s">
        <v>60</v>
      </c>
      <c r="Q942" t="s">
        <v>30</v>
      </c>
      <c r="R942">
        <v>604</v>
      </c>
      <c r="S942">
        <v>75.5</v>
      </c>
      <c r="T942" t="s">
        <v>31</v>
      </c>
      <c r="U942" t="s">
        <v>32</v>
      </c>
      <c r="V942" t="s">
        <v>31</v>
      </c>
      <c r="W942" t="s">
        <v>49</v>
      </c>
      <c r="X942" t="s">
        <v>34</v>
      </c>
      <c r="Y942" t="s">
        <v>58</v>
      </c>
      <c r="Z942" t="s">
        <v>44</v>
      </c>
      <c r="AA942" t="s">
        <v>146</v>
      </c>
      <c r="AB942" t="s">
        <v>46</v>
      </c>
      <c r="AC942">
        <f>IF(Cdacdata[[#This Row],[placement_status]]="Placed",1,0)</f>
        <v>1</v>
      </c>
      <c r="AD942" t="s">
        <v>244</v>
      </c>
      <c r="AE942" t="s">
        <v>75</v>
      </c>
      <c r="AF942" t="s">
        <v>39</v>
      </c>
      <c r="AG942">
        <v>2021</v>
      </c>
      <c r="AH942" t="s">
        <v>40</v>
      </c>
      <c r="AI942" t="str">
        <f>IF(Cdacdata[ccat_rank]&lt;=100,"Top 100",
IF(Cdacdata[ccat_rank]&lt;=500,"101–500",
IF(Cdacdata[ccat_rank]&lt;=1000,"501–1000",
"1000+")))</f>
        <v>501–1000</v>
      </c>
    </row>
    <row r="943" spans="1:35" x14ac:dyDescent="0.3">
      <c r="A943" s="1" t="s">
        <v>242</v>
      </c>
      <c r="B943">
        <v>210700093</v>
      </c>
      <c r="C943" s="2">
        <v>44454</v>
      </c>
      <c r="D943" s="2" t="s">
        <v>1179</v>
      </c>
      <c r="E943">
        <v>856</v>
      </c>
      <c r="F943" s="2">
        <v>35648</v>
      </c>
      <c r="G943">
        <v>81</v>
      </c>
      <c r="H943" t="s">
        <v>26</v>
      </c>
      <c r="I943">
        <v>66.88</v>
      </c>
      <c r="J943">
        <v>5.16</v>
      </c>
      <c r="K943" s="3">
        <f t="shared" si="14"/>
        <v>51.013333333333328</v>
      </c>
      <c r="L943" t="s">
        <v>27</v>
      </c>
      <c r="M943" t="s">
        <v>27</v>
      </c>
      <c r="N943">
        <v>24</v>
      </c>
      <c r="O943" t="s">
        <v>62</v>
      </c>
      <c r="P943" t="s">
        <v>65</v>
      </c>
      <c r="Q943" t="s">
        <v>30</v>
      </c>
      <c r="R943">
        <v>589</v>
      </c>
      <c r="S943">
        <v>73.625</v>
      </c>
      <c r="T943" t="s">
        <v>33</v>
      </c>
      <c r="U943" t="s">
        <v>32</v>
      </c>
      <c r="V943" t="s">
        <v>33</v>
      </c>
      <c r="W943" t="s">
        <v>33</v>
      </c>
      <c r="X943" t="s">
        <v>34</v>
      </c>
      <c r="Y943" t="s">
        <v>58</v>
      </c>
      <c r="Z943" t="s">
        <v>44</v>
      </c>
      <c r="AA943" t="s">
        <v>257</v>
      </c>
      <c r="AB943" t="s">
        <v>46</v>
      </c>
      <c r="AC943">
        <f>IF(Cdacdata[[#This Row],[placement_status]]="Placed",1,0)</f>
        <v>1</v>
      </c>
      <c r="AD943" t="s">
        <v>244</v>
      </c>
      <c r="AE943" t="s">
        <v>75</v>
      </c>
      <c r="AF943" t="s">
        <v>39</v>
      </c>
      <c r="AG943">
        <v>2021</v>
      </c>
      <c r="AH943" t="s">
        <v>40</v>
      </c>
      <c r="AI943" t="str">
        <f>IF(Cdacdata[ccat_rank]&lt;=100,"Top 100",
IF(Cdacdata[ccat_rank]&lt;=500,"101–500",
IF(Cdacdata[ccat_rank]&lt;=1000,"501–1000",
"1000+")))</f>
        <v>501–1000</v>
      </c>
    </row>
    <row r="944" spans="1:35" x14ac:dyDescent="0.3">
      <c r="A944" s="1" t="s">
        <v>242</v>
      </c>
      <c r="B944">
        <v>210709756</v>
      </c>
      <c r="C944" s="2">
        <v>44455</v>
      </c>
      <c r="D944" s="2" t="s">
        <v>1180</v>
      </c>
      <c r="E944">
        <v>762</v>
      </c>
      <c r="F944" s="2" t="s">
        <v>299</v>
      </c>
      <c r="G944">
        <v>82</v>
      </c>
      <c r="H944">
        <v>57</v>
      </c>
      <c r="I944" t="s">
        <v>26</v>
      </c>
      <c r="J944">
        <v>70</v>
      </c>
      <c r="K944" s="3">
        <f t="shared" si="14"/>
        <v>69.666666666666671</v>
      </c>
      <c r="L944" t="s">
        <v>41</v>
      </c>
      <c r="M944" t="s">
        <v>41</v>
      </c>
      <c r="N944">
        <v>24</v>
      </c>
      <c r="O944" t="s">
        <v>28</v>
      </c>
      <c r="P944" t="s">
        <v>26</v>
      </c>
      <c r="Q944" t="s">
        <v>200</v>
      </c>
      <c r="R944">
        <v>661</v>
      </c>
      <c r="S944">
        <v>82.625</v>
      </c>
      <c r="T944" t="s">
        <v>33</v>
      </c>
      <c r="U944" t="s">
        <v>32</v>
      </c>
      <c r="V944" t="s">
        <v>33</v>
      </c>
      <c r="W944" t="s">
        <v>49</v>
      </c>
      <c r="X944" t="s">
        <v>34</v>
      </c>
      <c r="Y944" t="s">
        <v>58</v>
      </c>
      <c r="Z944" t="s">
        <v>44</v>
      </c>
      <c r="AA944" t="s">
        <v>309</v>
      </c>
      <c r="AB944" t="s">
        <v>46</v>
      </c>
      <c r="AC944">
        <f>IF(Cdacdata[[#This Row],[placement_status]]="Placed",1,0)</f>
        <v>1</v>
      </c>
      <c r="AD944" t="s">
        <v>244</v>
      </c>
      <c r="AE944" t="s">
        <v>75</v>
      </c>
      <c r="AF944" t="s">
        <v>39</v>
      </c>
      <c r="AG944">
        <v>2021</v>
      </c>
      <c r="AH944" t="s">
        <v>40</v>
      </c>
      <c r="AI944" t="str">
        <f>IF(Cdacdata[ccat_rank]&lt;=100,"Top 100",
IF(Cdacdata[ccat_rank]&lt;=500,"101–500",
IF(Cdacdata[ccat_rank]&lt;=1000,"501–1000",
"1000+")))</f>
        <v>501–1000</v>
      </c>
    </row>
    <row r="945" spans="1:35" x14ac:dyDescent="0.3">
      <c r="A945" s="1" t="s">
        <v>242</v>
      </c>
      <c r="B945">
        <v>210703949</v>
      </c>
      <c r="C945" s="2">
        <v>44455</v>
      </c>
      <c r="D945" s="2" t="s">
        <v>1181</v>
      </c>
      <c r="E945">
        <v>1425</v>
      </c>
      <c r="F945" s="2">
        <v>36407</v>
      </c>
      <c r="G945">
        <v>94</v>
      </c>
      <c r="H945">
        <v>70.77</v>
      </c>
      <c r="I945" t="s">
        <v>26</v>
      </c>
      <c r="J945">
        <v>68.37</v>
      </c>
      <c r="K945" s="3">
        <f t="shared" si="14"/>
        <v>77.713333333333324</v>
      </c>
      <c r="L945" t="s">
        <v>27</v>
      </c>
      <c r="M945" t="s">
        <v>27</v>
      </c>
      <c r="N945">
        <v>22</v>
      </c>
      <c r="O945" t="s">
        <v>28</v>
      </c>
      <c r="P945" t="s">
        <v>60</v>
      </c>
      <c r="Q945" t="s">
        <v>26</v>
      </c>
      <c r="R945">
        <v>492</v>
      </c>
      <c r="S945">
        <v>61.5</v>
      </c>
      <c r="T945" t="s">
        <v>31</v>
      </c>
      <c r="U945" t="s">
        <v>32</v>
      </c>
      <c r="V945" t="s">
        <v>31</v>
      </c>
      <c r="W945" t="s">
        <v>33</v>
      </c>
      <c r="X945" t="s">
        <v>34</v>
      </c>
      <c r="Y945" t="s">
        <v>50</v>
      </c>
      <c r="Z945" t="s">
        <v>44</v>
      </c>
      <c r="AA945" t="s">
        <v>255</v>
      </c>
      <c r="AB945" t="s">
        <v>46</v>
      </c>
      <c r="AC945">
        <f>IF(Cdacdata[[#This Row],[placement_status]]="Placed",1,0)</f>
        <v>1</v>
      </c>
      <c r="AD945" t="s">
        <v>244</v>
      </c>
      <c r="AE945" t="s">
        <v>47</v>
      </c>
      <c r="AF945" t="s">
        <v>57</v>
      </c>
      <c r="AG945">
        <v>2021</v>
      </c>
      <c r="AH945" t="s">
        <v>40</v>
      </c>
      <c r="AI945" t="str">
        <f>IF(Cdacdata[ccat_rank]&lt;=100,"Top 100",
IF(Cdacdata[ccat_rank]&lt;=500,"101–500",
IF(Cdacdata[ccat_rank]&lt;=1000,"501–1000",
"1000+")))</f>
        <v>1000+</v>
      </c>
    </row>
    <row r="946" spans="1:35" x14ac:dyDescent="0.3">
      <c r="A946" s="1" t="s">
        <v>242</v>
      </c>
      <c r="B946">
        <v>210715209</v>
      </c>
      <c r="C946" s="2">
        <v>44454</v>
      </c>
      <c r="D946" s="2" t="s">
        <v>1182</v>
      </c>
      <c r="E946">
        <v>504</v>
      </c>
      <c r="F946" s="2" t="s">
        <v>310</v>
      </c>
      <c r="G946">
        <v>93.09</v>
      </c>
      <c r="H946" t="s">
        <v>26</v>
      </c>
      <c r="I946">
        <v>84.48</v>
      </c>
      <c r="J946">
        <v>68.38</v>
      </c>
      <c r="K946" s="3">
        <f t="shared" si="14"/>
        <v>81.983333333333334</v>
      </c>
      <c r="L946" t="s">
        <v>27</v>
      </c>
      <c r="M946" t="s">
        <v>27</v>
      </c>
      <c r="N946">
        <v>25</v>
      </c>
      <c r="O946" t="s">
        <v>28</v>
      </c>
      <c r="P946" t="s">
        <v>65</v>
      </c>
      <c r="Q946" t="s">
        <v>26</v>
      </c>
      <c r="R946">
        <v>629</v>
      </c>
      <c r="S946">
        <v>78.625</v>
      </c>
      <c r="T946" t="s">
        <v>49</v>
      </c>
      <c r="U946" t="s">
        <v>32</v>
      </c>
      <c r="V946" t="s">
        <v>49</v>
      </c>
      <c r="W946" t="s">
        <v>49</v>
      </c>
      <c r="X946" t="s">
        <v>34</v>
      </c>
      <c r="Y946" t="s">
        <v>58</v>
      </c>
      <c r="Z946" t="s">
        <v>44</v>
      </c>
      <c r="AA946" t="s">
        <v>249</v>
      </c>
      <c r="AB946" t="s">
        <v>46</v>
      </c>
      <c r="AC946">
        <f>IF(Cdacdata[[#This Row],[placement_status]]="Placed",1,0)</f>
        <v>1</v>
      </c>
      <c r="AD946" t="s">
        <v>244</v>
      </c>
      <c r="AE946" t="s">
        <v>75</v>
      </c>
      <c r="AF946" t="s">
        <v>39</v>
      </c>
      <c r="AG946">
        <v>2021</v>
      </c>
      <c r="AH946" t="s">
        <v>40</v>
      </c>
      <c r="AI946" t="str">
        <f>IF(Cdacdata[ccat_rank]&lt;=100,"Top 100",
IF(Cdacdata[ccat_rank]&lt;=500,"101–500",
IF(Cdacdata[ccat_rank]&lt;=1000,"501–1000",
"1000+")))</f>
        <v>501–1000</v>
      </c>
    </row>
    <row r="947" spans="1:35" x14ac:dyDescent="0.3">
      <c r="A947" s="1" t="s">
        <v>242</v>
      </c>
      <c r="B947">
        <v>210700252</v>
      </c>
      <c r="C947" s="2">
        <v>44454</v>
      </c>
      <c r="D947" s="2" t="s">
        <v>1183</v>
      </c>
      <c r="E947">
        <v>1004</v>
      </c>
      <c r="F947" s="2" t="s">
        <v>311</v>
      </c>
      <c r="G947">
        <v>82</v>
      </c>
      <c r="H947">
        <v>84.8</v>
      </c>
      <c r="I947" t="s">
        <v>26</v>
      </c>
      <c r="J947">
        <v>84.8</v>
      </c>
      <c r="K947" s="3">
        <f t="shared" si="14"/>
        <v>83.866666666666674</v>
      </c>
      <c r="L947" t="s">
        <v>27</v>
      </c>
      <c r="M947" t="s">
        <v>27</v>
      </c>
      <c r="N947">
        <v>21</v>
      </c>
      <c r="O947" t="s">
        <v>48</v>
      </c>
      <c r="P947" t="s">
        <v>26</v>
      </c>
      <c r="Q947" t="s">
        <v>43</v>
      </c>
      <c r="R947">
        <v>642</v>
      </c>
      <c r="S947">
        <v>80.25</v>
      </c>
      <c r="T947" t="s">
        <v>49</v>
      </c>
      <c r="U947" t="s">
        <v>32</v>
      </c>
      <c r="V947" t="s">
        <v>49</v>
      </c>
      <c r="W947" t="s">
        <v>49</v>
      </c>
      <c r="X947" t="s">
        <v>34</v>
      </c>
      <c r="Y947" t="s">
        <v>58</v>
      </c>
      <c r="Z947" t="s">
        <v>44</v>
      </c>
      <c r="AA947" t="s">
        <v>312</v>
      </c>
      <c r="AB947" t="s">
        <v>46</v>
      </c>
      <c r="AC947">
        <f>IF(Cdacdata[[#This Row],[placement_status]]="Placed",1,0)</f>
        <v>1</v>
      </c>
      <c r="AD947" t="s">
        <v>244</v>
      </c>
      <c r="AE947" t="s">
        <v>47</v>
      </c>
      <c r="AF947" t="s">
        <v>57</v>
      </c>
      <c r="AG947">
        <v>2021</v>
      </c>
      <c r="AH947" t="s">
        <v>40</v>
      </c>
      <c r="AI947" t="str">
        <f>IF(Cdacdata[ccat_rank]&lt;=100,"Top 100",
IF(Cdacdata[ccat_rank]&lt;=500,"101–500",
IF(Cdacdata[ccat_rank]&lt;=1000,"501–1000",
"1000+")))</f>
        <v>1000+</v>
      </c>
    </row>
    <row r="948" spans="1:35" x14ac:dyDescent="0.3">
      <c r="A948" s="1" t="s">
        <v>242</v>
      </c>
      <c r="B948">
        <v>210712776</v>
      </c>
      <c r="C948" s="2">
        <v>44457</v>
      </c>
      <c r="D948" s="2" t="s">
        <v>1184</v>
      </c>
      <c r="E948">
        <v>1105</v>
      </c>
      <c r="F948" s="2" t="s">
        <v>313</v>
      </c>
      <c r="G948">
        <v>74.599999999999994</v>
      </c>
      <c r="H948" t="s">
        <v>26</v>
      </c>
      <c r="I948">
        <v>69.819999999999993</v>
      </c>
      <c r="J948">
        <v>74.900000000000006</v>
      </c>
      <c r="K948" s="3">
        <f t="shared" si="14"/>
        <v>73.106666666666669</v>
      </c>
      <c r="L948" t="s">
        <v>27</v>
      </c>
      <c r="M948" t="s">
        <v>27</v>
      </c>
      <c r="N948">
        <v>22</v>
      </c>
      <c r="O948" t="s">
        <v>62</v>
      </c>
      <c r="P948" t="s">
        <v>60</v>
      </c>
      <c r="Q948" t="s">
        <v>30</v>
      </c>
      <c r="R948">
        <v>550</v>
      </c>
      <c r="S948">
        <v>68.75</v>
      </c>
      <c r="T948" t="s">
        <v>33</v>
      </c>
      <c r="U948" t="s">
        <v>32</v>
      </c>
      <c r="V948" t="s">
        <v>33</v>
      </c>
      <c r="W948" t="s">
        <v>33</v>
      </c>
      <c r="X948" t="s">
        <v>34</v>
      </c>
      <c r="Y948" t="s">
        <v>50</v>
      </c>
      <c r="Z948" t="s">
        <v>44</v>
      </c>
      <c r="AA948" t="s">
        <v>249</v>
      </c>
      <c r="AB948" t="s">
        <v>46</v>
      </c>
      <c r="AC948">
        <f>IF(Cdacdata[[#This Row],[placement_status]]="Placed",1,0)</f>
        <v>1</v>
      </c>
      <c r="AD948" t="s">
        <v>244</v>
      </c>
      <c r="AE948" t="s">
        <v>47</v>
      </c>
      <c r="AF948" t="s">
        <v>57</v>
      </c>
      <c r="AG948">
        <v>2021</v>
      </c>
      <c r="AH948" t="s">
        <v>40</v>
      </c>
      <c r="AI948" t="str">
        <f>IF(Cdacdata[ccat_rank]&lt;=100,"Top 100",
IF(Cdacdata[ccat_rank]&lt;=500,"101–500",
IF(Cdacdata[ccat_rank]&lt;=1000,"501–1000",
"1000+")))</f>
        <v>1000+</v>
      </c>
    </row>
    <row r="949" spans="1:35" x14ac:dyDescent="0.3">
      <c r="A949" s="1" t="s">
        <v>242</v>
      </c>
      <c r="B949">
        <v>210703315</v>
      </c>
      <c r="C949" s="2">
        <v>44455</v>
      </c>
      <c r="D949" s="2" t="s">
        <v>1185</v>
      </c>
      <c r="E949">
        <v>1049</v>
      </c>
      <c r="F949" s="2">
        <v>36079</v>
      </c>
      <c r="G949">
        <v>76.2</v>
      </c>
      <c r="H949">
        <v>58.92</v>
      </c>
      <c r="I949" t="s">
        <v>26</v>
      </c>
      <c r="J949">
        <v>69</v>
      </c>
      <c r="K949" s="3">
        <f t="shared" si="14"/>
        <v>68.040000000000006</v>
      </c>
      <c r="L949" t="s">
        <v>41</v>
      </c>
      <c r="M949" t="s">
        <v>41</v>
      </c>
      <c r="N949">
        <v>22</v>
      </c>
      <c r="O949" t="s">
        <v>28</v>
      </c>
      <c r="P949" t="s">
        <v>56</v>
      </c>
      <c r="Q949" t="s">
        <v>26</v>
      </c>
      <c r="R949">
        <v>584</v>
      </c>
      <c r="S949">
        <v>73</v>
      </c>
      <c r="T949" t="s">
        <v>49</v>
      </c>
      <c r="U949" t="s">
        <v>32</v>
      </c>
      <c r="V949" t="s">
        <v>49</v>
      </c>
      <c r="W949" t="s">
        <v>33</v>
      </c>
      <c r="X949" t="s">
        <v>34</v>
      </c>
      <c r="Y949" t="s">
        <v>58</v>
      </c>
      <c r="Z949" t="s">
        <v>44</v>
      </c>
      <c r="AA949" t="s">
        <v>249</v>
      </c>
      <c r="AB949" t="s">
        <v>46</v>
      </c>
      <c r="AC949">
        <f>IF(Cdacdata[[#This Row],[placement_status]]="Placed",1,0)</f>
        <v>1</v>
      </c>
      <c r="AD949" t="s">
        <v>244</v>
      </c>
      <c r="AE949" t="s">
        <v>47</v>
      </c>
      <c r="AF949" t="s">
        <v>57</v>
      </c>
      <c r="AG949">
        <v>2021</v>
      </c>
      <c r="AH949" t="s">
        <v>40</v>
      </c>
      <c r="AI949" t="str">
        <f>IF(Cdacdata[ccat_rank]&lt;=100,"Top 100",
IF(Cdacdata[ccat_rank]&lt;=500,"101–500",
IF(Cdacdata[ccat_rank]&lt;=1000,"501–1000",
"1000+")))</f>
        <v>1000+</v>
      </c>
    </row>
    <row r="950" spans="1:35" x14ac:dyDescent="0.3">
      <c r="A950" s="1" t="s">
        <v>242</v>
      </c>
      <c r="B950">
        <v>210711506</v>
      </c>
      <c r="C950" s="2">
        <v>44459</v>
      </c>
      <c r="D950" s="2" t="s">
        <v>1186</v>
      </c>
      <c r="E950">
        <v>1081</v>
      </c>
      <c r="F950" s="2" t="s">
        <v>308</v>
      </c>
      <c r="G950">
        <v>84.76</v>
      </c>
      <c r="H950">
        <v>61.17</v>
      </c>
      <c r="I950" t="s">
        <v>26</v>
      </c>
      <c r="J950">
        <v>62.4</v>
      </c>
      <c r="K950" s="3">
        <f t="shared" si="14"/>
        <v>69.443333333333342</v>
      </c>
      <c r="L950" t="s">
        <v>27</v>
      </c>
      <c r="M950" t="s">
        <v>27</v>
      </c>
      <c r="N950">
        <v>29</v>
      </c>
      <c r="O950" t="s">
        <v>28</v>
      </c>
      <c r="P950" t="s">
        <v>56</v>
      </c>
      <c r="Q950" t="s">
        <v>30</v>
      </c>
      <c r="R950">
        <v>576</v>
      </c>
      <c r="S950">
        <v>72</v>
      </c>
      <c r="T950" t="s">
        <v>49</v>
      </c>
      <c r="U950" t="s">
        <v>32</v>
      </c>
      <c r="V950" t="s">
        <v>49</v>
      </c>
      <c r="W950" t="s">
        <v>33</v>
      </c>
      <c r="X950" t="s">
        <v>34</v>
      </c>
      <c r="Y950" t="s">
        <v>58</v>
      </c>
      <c r="Z950" t="s">
        <v>44</v>
      </c>
      <c r="AA950" t="s">
        <v>314</v>
      </c>
      <c r="AB950" t="s">
        <v>46</v>
      </c>
      <c r="AC950">
        <f>IF(Cdacdata[[#This Row],[placement_status]]="Placed",1,0)</f>
        <v>1</v>
      </c>
      <c r="AD950" t="s">
        <v>244</v>
      </c>
      <c r="AE950" t="s">
        <v>47</v>
      </c>
      <c r="AF950" t="s">
        <v>69</v>
      </c>
      <c r="AG950">
        <v>2021</v>
      </c>
      <c r="AH950" t="s">
        <v>40</v>
      </c>
      <c r="AI950" t="str">
        <f>IF(Cdacdata[ccat_rank]&lt;=100,"Top 100",
IF(Cdacdata[ccat_rank]&lt;=500,"101–500",
IF(Cdacdata[ccat_rank]&lt;=1000,"501–1000",
"1000+")))</f>
        <v>1000+</v>
      </c>
    </row>
    <row r="951" spans="1:35" x14ac:dyDescent="0.3">
      <c r="A951" s="1" t="s">
        <v>242</v>
      </c>
      <c r="B951">
        <v>210700757</v>
      </c>
      <c r="C951" s="2">
        <v>44453</v>
      </c>
      <c r="D951" s="2" t="s">
        <v>1187</v>
      </c>
      <c r="E951">
        <v>1530</v>
      </c>
      <c r="F951" s="2">
        <v>35802</v>
      </c>
      <c r="G951">
        <v>90</v>
      </c>
      <c r="H951">
        <v>67</v>
      </c>
      <c r="I951" t="s">
        <v>26</v>
      </c>
      <c r="J951">
        <v>68</v>
      </c>
      <c r="K951" s="3">
        <f t="shared" si="14"/>
        <v>75</v>
      </c>
      <c r="L951" t="s">
        <v>27</v>
      </c>
      <c r="M951" t="s">
        <v>27</v>
      </c>
      <c r="N951">
        <v>23</v>
      </c>
      <c r="O951" t="s">
        <v>28</v>
      </c>
      <c r="P951" t="s">
        <v>26</v>
      </c>
      <c r="Q951" t="s">
        <v>30</v>
      </c>
      <c r="R951">
        <v>534</v>
      </c>
      <c r="S951">
        <v>66.75</v>
      </c>
      <c r="T951" t="s">
        <v>49</v>
      </c>
      <c r="U951" t="s">
        <v>32</v>
      </c>
      <c r="V951" t="s">
        <v>49</v>
      </c>
      <c r="W951" t="s">
        <v>31</v>
      </c>
      <c r="X951" t="s">
        <v>34</v>
      </c>
      <c r="Y951" t="s">
        <v>50</v>
      </c>
      <c r="Z951" t="s">
        <v>44</v>
      </c>
      <c r="AA951" t="s">
        <v>154</v>
      </c>
      <c r="AB951" t="s">
        <v>46</v>
      </c>
      <c r="AC951">
        <f>IF(Cdacdata[[#This Row],[placement_status]]="Placed",1,0)</f>
        <v>1</v>
      </c>
      <c r="AD951" t="s">
        <v>244</v>
      </c>
      <c r="AE951" t="s">
        <v>47</v>
      </c>
      <c r="AF951" t="s">
        <v>39</v>
      </c>
      <c r="AG951">
        <v>2021</v>
      </c>
      <c r="AH951" t="s">
        <v>40</v>
      </c>
      <c r="AI951" t="str">
        <f>IF(Cdacdata[ccat_rank]&lt;=100,"Top 100",
IF(Cdacdata[ccat_rank]&lt;=500,"101–500",
IF(Cdacdata[ccat_rank]&lt;=1000,"501–1000",
"1000+")))</f>
        <v>1000+</v>
      </c>
    </row>
    <row r="952" spans="1:35" x14ac:dyDescent="0.3">
      <c r="A952" s="1" t="s">
        <v>242</v>
      </c>
      <c r="B952">
        <v>210703799</v>
      </c>
      <c r="C952" s="2">
        <v>44454</v>
      </c>
      <c r="D952" s="2" t="s">
        <v>1188</v>
      </c>
      <c r="E952">
        <v>543</v>
      </c>
      <c r="F952" s="2">
        <v>35164</v>
      </c>
      <c r="G952">
        <v>83.82</v>
      </c>
      <c r="H952">
        <v>64.459999999999994</v>
      </c>
      <c r="I952" t="s">
        <v>26</v>
      </c>
      <c r="J952">
        <v>63.69</v>
      </c>
      <c r="K952" s="3">
        <f t="shared" si="14"/>
        <v>70.656666666666652</v>
      </c>
      <c r="L952" t="s">
        <v>27</v>
      </c>
      <c r="M952" t="s">
        <v>41</v>
      </c>
      <c r="N952">
        <v>25</v>
      </c>
      <c r="O952" t="s">
        <v>28</v>
      </c>
      <c r="P952" t="s">
        <v>26</v>
      </c>
      <c r="Q952" t="s">
        <v>43</v>
      </c>
      <c r="R952">
        <v>638</v>
      </c>
      <c r="S952">
        <v>79.75</v>
      </c>
      <c r="T952" t="s">
        <v>49</v>
      </c>
      <c r="U952" t="s">
        <v>32</v>
      </c>
      <c r="V952" t="s">
        <v>49</v>
      </c>
      <c r="W952" t="s">
        <v>49</v>
      </c>
      <c r="X952" t="s">
        <v>34</v>
      </c>
      <c r="Y952" t="s">
        <v>58</v>
      </c>
      <c r="Z952" t="s">
        <v>44</v>
      </c>
      <c r="AA952" t="s">
        <v>199</v>
      </c>
      <c r="AB952" t="s">
        <v>46</v>
      </c>
      <c r="AC952">
        <f>IF(Cdacdata[[#This Row],[placement_status]]="Placed",1,0)</f>
        <v>1</v>
      </c>
      <c r="AD952" t="s">
        <v>244</v>
      </c>
      <c r="AE952" t="s">
        <v>75</v>
      </c>
      <c r="AF952" t="s">
        <v>39</v>
      </c>
      <c r="AG952">
        <v>2021</v>
      </c>
      <c r="AH952" t="s">
        <v>40</v>
      </c>
      <c r="AI952" t="str">
        <f>IF(Cdacdata[ccat_rank]&lt;=100,"Top 100",
IF(Cdacdata[ccat_rank]&lt;=500,"101–500",
IF(Cdacdata[ccat_rank]&lt;=1000,"501–1000",
"1000+")))</f>
        <v>501–1000</v>
      </c>
    </row>
    <row r="953" spans="1:35" x14ac:dyDescent="0.3">
      <c r="A953" s="1" t="s">
        <v>242</v>
      </c>
      <c r="B953">
        <v>210715853</v>
      </c>
      <c r="C953" s="2">
        <v>44454</v>
      </c>
      <c r="D953" s="2" t="s">
        <v>1189</v>
      </c>
      <c r="E953">
        <v>1193</v>
      </c>
      <c r="F953" s="2" t="s">
        <v>315</v>
      </c>
      <c r="G953">
        <v>90.6</v>
      </c>
      <c r="H953" t="s">
        <v>26</v>
      </c>
      <c r="I953">
        <v>82.06</v>
      </c>
      <c r="J953">
        <v>76.13</v>
      </c>
      <c r="K953" s="3">
        <f t="shared" si="14"/>
        <v>82.929999999999993</v>
      </c>
      <c r="L953" t="s">
        <v>27</v>
      </c>
      <c r="M953" t="s">
        <v>41</v>
      </c>
      <c r="N953">
        <v>23</v>
      </c>
      <c r="O953" t="s">
        <v>48</v>
      </c>
      <c r="P953" t="s">
        <v>26</v>
      </c>
      <c r="Q953" t="s">
        <v>30</v>
      </c>
      <c r="R953">
        <v>606</v>
      </c>
      <c r="S953">
        <v>75.75</v>
      </c>
      <c r="T953" t="s">
        <v>31</v>
      </c>
      <c r="U953" t="s">
        <v>32</v>
      </c>
      <c r="V953" t="s">
        <v>31</v>
      </c>
      <c r="W953" t="s">
        <v>33</v>
      </c>
      <c r="X953" t="s">
        <v>34</v>
      </c>
      <c r="Y953" t="s">
        <v>58</v>
      </c>
      <c r="Z953" t="s">
        <v>44</v>
      </c>
      <c r="AA953" t="s">
        <v>78</v>
      </c>
      <c r="AB953" t="s">
        <v>46</v>
      </c>
      <c r="AC953">
        <f>IF(Cdacdata[[#This Row],[placement_status]]="Placed",1,0)</f>
        <v>1</v>
      </c>
      <c r="AD953" t="s">
        <v>244</v>
      </c>
      <c r="AE953" t="s">
        <v>47</v>
      </c>
      <c r="AF953" t="s">
        <v>39</v>
      </c>
      <c r="AG953">
        <v>2021</v>
      </c>
      <c r="AH953" t="s">
        <v>40</v>
      </c>
      <c r="AI953" t="str">
        <f>IF(Cdacdata[ccat_rank]&lt;=100,"Top 100",
IF(Cdacdata[ccat_rank]&lt;=500,"101–500",
IF(Cdacdata[ccat_rank]&lt;=1000,"501–1000",
"1000+")))</f>
        <v>1000+</v>
      </c>
    </row>
    <row r="954" spans="1:35" x14ac:dyDescent="0.3">
      <c r="A954" s="1" t="s">
        <v>242</v>
      </c>
      <c r="B954">
        <v>210704131</v>
      </c>
      <c r="C954" s="2">
        <v>44454</v>
      </c>
      <c r="D954" s="2" t="s">
        <v>1190</v>
      </c>
      <c r="E954">
        <v>1229</v>
      </c>
      <c r="F954" s="2" t="s">
        <v>316</v>
      </c>
      <c r="G954">
        <v>92.91</v>
      </c>
      <c r="H954">
        <v>77.849999999999994</v>
      </c>
      <c r="I954" t="s">
        <v>26</v>
      </c>
      <c r="J954">
        <v>8.01</v>
      </c>
      <c r="K954" s="3">
        <f t="shared" si="14"/>
        <v>59.589999999999996</v>
      </c>
      <c r="L954" t="s">
        <v>41</v>
      </c>
      <c r="M954" t="s">
        <v>41</v>
      </c>
      <c r="N954">
        <v>25</v>
      </c>
      <c r="O954" t="s">
        <v>62</v>
      </c>
      <c r="P954" t="s">
        <v>26</v>
      </c>
      <c r="Q954" t="s">
        <v>30</v>
      </c>
      <c r="R954">
        <v>614</v>
      </c>
      <c r="S954">
        <v>76.75</v>
      </c>
      <c r="T954" t="s">
        <v>33</v>
      </c>
      <c r="U954" t="s">
        <v>32</v>
      </c>
      <c r="V954" t="s">
        <v>33</v>
      </c>
      <c r="W954" t="s">
        <v>49</v>
      </c>
      <c r="X954" t="s">
        <v>34</v>
      </c>
      <c r="Y954" t="s">
        <v>58</v>
      </c>
      <c r="Z954" t="s">
        <v>44</v>
      </c>
      <c r="AA954" t="s">
        <v>78</v>
      </c>
      <c r="AB954" t="s">
        <v>46</v>
      </c>
      <c r="AC954">
        <f>IF(Cdacdata[[#This Row],[placement_status]]="Placed",1,0)</f>
        <v>1</v>
      </c>
      <c r="AD954" t="s">
        <v>244</v>
      </c>
      <c r="AE954" t="s">
        <v>47</v>
      </c>
      <c r="AF954" t="s">
        <v>39</v>
      </c>
      <c r="AG954">
        <v>2021</v>
      </c>
      <c r="AH954" t="s">
        <v>40</v>
      </c>
      <c r="AI954" t="str">
        <f>IF(Cdacdata[ccat_rank]&lt;=100,"Top 100",
IF(Cdacdata[ccat_rank]&lt;=500,"101–500",
IF(Cdacdata[ccat_rank]&lt;=1000,"501–1000",
"1000+")))</f>
        <v>1000+</v>
      </c>
    </row>
    <row r="955" spans="1:35" x14ac:dyDescent="0.3">
      <c r="A955" s="1" t="s">
        <v>242</v>
      </c>
      <c r="B955">
        <v>210700649</v>
      </c>
      <c r="C955" s="2">
        <v>44454</v>
      </c>
      <c r="D955" s="2" t="s">
        <v>1191</v>
      </c>
      <c r="E955">
        <v>766</v>
      </c>
      <c r="F955" s="2">
        <v>33272</v>
      </c>
      <c r="G955">
        <v>83.07</v>
      </c>
      <c r="H955">
        <v>81.67</v>
      </c>
      <c r="I955" t="s">
        <v>26</v>
      </c>
      <c r="J955">
        <v>66.930000000000007</v>
      </c>
      <c r="K955" s="3">
        <f t="shared" si="14"/>
        <v>77.223333333333343</v>
      </c>
      <c r="L955" t="s">
        <v>41</v>
      </c>
      <c r="M955" t="s">
        <v>41</v>
      </c>
      <c r="N955">
        <v>30</v>
      </c>
      <c r="O955" t="s">
        <v>28</v>
      </c>
      <c r="P955" t="s">
        <v>26</v>
      </c>
      <c r="Q955" t="s">
        <v>30</v>
      </c>
      <c r="R955">
        <v>634</v>
      </c>
      <c r="S955">
        <v>79.25</v>
      </c>
      <c r="T955" t="s">
        <v>33</v>
      </c>
      <c r="U955" t="s">
        <v>32</v>
      </c>
      <c r="V955" t="s">
        <v>33</v>
      </c>
      <c r="W955" t="s">
        <v>49</v>
      </c>
      <c r="X955" t="s">
        <v>34</v>
      </c>
      <c r="Y955" t="s">
        <v>58</v>
      </c>
      <c r="Z955" t="s">
        <v>44</v>
      </c>
      <c r="AA955" t="s">
        <v>249</v>
      </c>
      <c r="AB955" t="s">
        <v>46</v>
      </c>
      <c r="AC955">
        <f>IF(Cdacdata[[#This Row],[placement_status]]="Placed",1,0)</f>
        <v>1</v>
      </c>
      <c r="AD955" t="s">
        <v>244</v>
      </c>
      <c r="AE955" t="s">
        <v>75</v>
      </c>
      <c r="AF955" t="s">
        <v>69</v>
      </c>
      <c r="AG955">
        <v>2021</v>
      </c>
      <c r="AH955" t="s">
        <v>40</v>
      </c>
      <c r="AI955" t="str">
        <f>IF(Cdacdata[ccat_rank]&lt;=100,"Top 100",
IF(Cdacdata[ccat_rank]&lt;=500,"101–500",
IF(Cdacdata[ccat_rank]&lt;=1000,"501–1000",
"1000+")))</f>
        <v>501–1000</v>
      </c>
    </row>
    <row r="956" spans="1:35" x14ac:dyDescent="0.3">
      <c r="A956" s="1" t="s">
        <v>242</v>
      </c>
      <c r="B956">
        <v>210702481</v>
      </c>
      <c r="C956" s="2">
        <v>44454</v>
      </c>
      <c r="D956" s="2" t="s">
        <v>1192</v>
      </c>
      <c r="E956">
        <v>1200</v>
      </c>
      <c r="F956" s="2">
        <v>35015</v>
      </c>
      <c r="G956">
        <v>73.400000000000006</v>
      </c>
      <c r="H956" t="s">
        <v>26</v>
      </c>
      <c r="I956">
        <v>75</v>
      </c>
      <c r="J956">
        <v>58</v>
      </c>
      <c r="K956" s="3">
        <f t="shared" si="14"/>
        <v>68.8</v>
      </c>
      <c r="L956" t="s">
        <v>27</v>
      </c>
      <c r="M956" t="s">
        <v>27</v>
      </c>
      <c r="N956">
        <v>25</v>
      </c>
      <c r="O956" t="s">
        <v>72</v>
      </c>
      <c r="P956" t="s">
        <v>65</v>
      </c>
      <c r="Q956" t="s">
        <v>30</v>
      </c>
      <c r="R956">
        <v>492</v>
      </c>
      <c r="S956">
        <v>61.5</v>
      </c>
      <c r="T956" t="s">
        <v>31</v>
      </c>
      <c r="U956" t="s">
        <v>32</v>
      </c>
      <c r="V956" t="s">
        <v>31</v>
      </c>
      <c r="W956" t="s">
        <v>31</v>
      </c>
      <c r="X956" t="s">
        <v>34</v>
      </c>
      <c r="Y956" t="s">
        <v>50</v>
      </c>
      <c r="Z956" t="s">
        <v>44</v>
      </c>
      <c r="AA956" t="s">
        <v>176</v>
      </c>
      <c r="AB956" t="s">
        <v>46</v>
      </c>
      <c r="AC956">
        <f>IF(Cdacdata[[#This Row],[placement_status]]="Placed",1,0)</f>
        <v>1</v>
      </c>
      <c r="AD956" t="s">
        <v>244</v>
      </c>
      <c r="AE956" t="s">
        <v>47</v>
      </c>
      <c r="AF956" t="s">
        <v>39</v>
      </c>
      <c r="AG956">
        <v>2021</v>
      </c>
      <c r="AH956" t="s">
        <v>40</v>
      </c>
      <c r="AI956" t="str">
        <f>IF(Cdacdata[ccat_rank]&lt;=100,"Top 100",
IF(Cdacdata[ccat_rank]&lt;=500,"101–500",
IF(Cdacdata[ccat_rank]&lt;=1000,"501–1000",
"1000+")))</f>
        <v>1000+</v>
      </c>
    </row>
    <row r="957" spans="1:35" x14ac:dyDescent="0.3">
      <c r="A957" s="1" t="s">
        <v>242</v>
      </c>
      <c r="B957">
        <v>210709168</v>
      </c>
      <c r="C957" s="2">
        <v>44455</v>
      </c>
      <c r="D957" s="2" t="s">
        <v>1193</v>
      </c>
      <c r="E957">
        <v>1428</v>
      </c>
      <c r="F957" s="2">
        <v>35437</v>
      </c>
      <c r="G957">
        <v>81</v>
      </c>
      <c r="H957">
        <v>70</v>
      </c>
      <c r="I957" t="s">
        <v>26</v>
      </c>
      <c r="J957">
        <v>69</v>
      </c>
      <c r="K957" s="3">
        <f t="shared" si="14"/>
        <v>73.333333333333329</v>
      </c>
      <c r="L957" t="s">
        <v>41</v>
      </c>
      <c r="M957" t="s">
        <v>27</v>
      </c>
      <c r="N957">
        <v>24</v>
      </c>
      <c r="O957" t="s">
        <v>28</v>
      </c>
      <c r="P957" t="s">
        <v>26</v>
      </c>
      <c r="Q957" t="s">
        <v>200</v>
      </c>
      <c r="R957">
        <v>602</v>
      </c>
      <c r="S957">
        <v>75.25</v>
      </c>
      <c r="T957" t="s">
        <v>49</v>
      </c>
      <c r="U957" t="s">
        <v>32</v>
      </c>
      <c r="V957" t="s">
        <v>49</v>
      </c>
      <c r="W957" t="s">
        <v>49</v>
      </c>
      <c r="X957" t="s">
        <v>34</v>
      </c>
      <c r="Y957" t="s">
        <v>58</v>
      </c>
      <c r="Z957" t="s">
        <v>44</v>
      </c>
      <c r="AA957" t="s">
        <v>78</v>
      </c>
      <c r="AB957" t="s">
        <v>46</v>
      </c>
      <c r="AC957">
        <f>IF(Cdacdata[[#This Row],[placement_status]]="Placed",1,0)</f>
        <v>1</v>
      </c>
      <c r="AD957" t="s">
        <v>244</v>
      </c>
      <c r="AE957" t="s">
        <v>47</v>
      </c>
      <c r="AF957" t="s">
        <v>39</v>
      </c>
      <c r="AG957">
        <v>2021</v>
      </c>
      <c r="AH957" t="s">
        <v>40</v>
      </c>
      <c r="AI957" t="str">
        <f>IF(Cdacdata[ccat_rank]&lt;=100,"Top 100",
IF(Cdacdata[ccat_rank]&lt;=500,"101–500",
IF(Cdacdata[ccat_rank]&lt;=1000,"501–1000",
"1000+")))</f>
        <v>1000+</v>
      </c>
    </row>
    <row r="958" spans="1:35" x14ac:dyDescent="0.3">
      <c r="A958" s="1" t="s">
        <v>242</v>
      </c>
      <c r="B958">
        <v>210704453</v>
      </c>
      <c r="C958" s="2">
        <v>44454</v>
      </c>
      <c r="D958" s="2" t="s">
        <v>1194</v>
      </c>
      <c r="E958">
        <v>1410</v>
      </c>
      <c r="F958" s="2">
        <v>35465</v>
      </c>
      <c r="G958">
        <v>76.36</v>
      </c>
      <c r="H958" t="s">
        <v>26</v>
      </c>
      <c r="I958">
        <v>66</v>
      </c>
      <c r="J958">
        <v>68</v>
      </c>
      <c r="K958" s="3">
        <f t="shared" si="14"/>
        <v>70.12</v>
      </c>
      <c r="L958" t="s">
        <v>27</v>
      </c>
      <c r="M958" t="s">
        <v>27</v>
      </c>
      <c r="N958">
        <v>24</v>
      </c>
      <c r="O958" t="s">
        <v>28</v>
      </c>
      <c r="P958" t="s">
        <v>42</v>
      </c>
      <c r="Q958" t="s">
        <v>30</v>
      </c>
      <c r="R958">
        <v>554</v>
      </c>
      <c r="S958">
        <v>69.25</v>
      </c>
      <c r="T958" t="s">
        <v>49</v>
      </c>
      <c r="U958" t="s">
        <v>32</v>
      </c>
      <c r="V958" t="s">
        <v>49</v>
      </c>
      <c r="W958" t="s">
        <v>33</v>
      </c>
      <c r="X958" t="s">
        <v>34</v>
      </c>
      <c r="Y958" t="s">
        <v>50</v>
      </c>
      <c r="Z958" t="s">
        <v>44</v>
      </c>
      <c r="AA958" t="s">
        <v>317</v>
      </c>
      <c r="AB958" t="s">
        <v>46</v>
      </c>
      <c r="AC958">
        <f>IF(Cdacdata[[#This Row],[placement_status]]="Placed",1,0)</f>
        <v>1</v>
      </c>
      <c r="AD958" t="s">
        <v>244</v>
      </c>
      <c r="AE958" t="s">
        <v>47</v>
      </c>
      <c r="AF958" t="s">
        <v>39</v>
      </c>
      <c r="AG958">
        <v>2021</v>
      </c>
      <c r="AH958" t="s">
        <v>40</v>
      </c>
      <c r="AI958" t="str">
        <f>IF(Cdacdata[ccat_rank]&lt;=100,"Top 100",
IF(Cdacdata[ccat_rank]&lt;=500,"101–500",
IF(Cdacdata[ccat_rank]&lt;=1000,"501–1000",
"1000+")))</f>
        <v>1000+</v>
      </c>
    </row>
    <row r="959" spans="1:35" x14ac:dyDescent="0.3">
      <c r="A959" s="1" t="s">
        <v>242</v>
      </c>
      <c r="B959">
        <v>210703577</v>
      </c>
      <c r="C959" s="2">
        <v>44455</v>
      </c>
      <c r="D959" s="2" t="s">
        <v>1195</v>
      </c>
      <c r="E959">
        <v>1291</v>
      </c>
      <c r="F959" s="2">
        <v>36166</v>
      </c>
      <c r="G959">
        <v>87.8</v>
      </c>
      <c r="H959">
        <v>65.38</v>
      </c>
      <c r="I959" t="s">
        <v>26</v>
      </c>
      <c r="J959">
        <v>5.73</v>
      </c>
      <c r="K959" s="3">
        <f t="shared" si="14"/>
        <v>52.97</v>
      </c>
      <c r="L959" t="s">
        <v>27</v>
      </c>
      <c r="M959" t="s">
        <v>27</v>
      </c>
      <c r="N959">
        <v>22</v>
      </c>
      <c r="O959" t="s">
        <v>62</v>
      </c>
      <c r="P959" t="s">
        <v>26</v>
      </c>
      <c r="Q959" t="s">
        <v>30</v>
      </c>
      <c r="R959">
        <v>510</v>
      </c>
      <c r="S959">
        <v>63.75</v>
      </c>
      <c r="T959" t="s">
        <v>33</v>
      </c>
      <c r="U959" t="s">
        <v>32</v>
      </c>
      <c r="V959" t="s">
        <v>33</v>
      </c>
      <c r="W959" t="s">
        <v>33</v>
      </c>
      <c r="X959" t="s">
        <v>34</v>
      </c>
      <c r="Y959" t="s">
        <v>50</v>
      </c>
      <c r="Z959" t="s">
        <v>44</v>
      </c>
      <c r="AA959" t="s">
        <v>166</v>
      </c>
      <c r="AB959" t="s">
        <v>46</v>
      </c>
      <c r="AC959">
        <f>IF(Cdacdata[[#This Row],[placement_status]]="Placed",1,0)</f>
        <v>1</v>
      </c>
      <c r="AD959" t="s">
        <v>244</v>
      </c>
      <c r="AE959" t="s">
        <v>47</v>
      </c>
      <c r="AF959" t="s">
        <v>57</v>
      </c>
      <c r="AG959">
        <v>2021</v>
      </c>
      <c r="AH959" t="s">
        <v>40</v>
      </c>
      <c r="AI959" t="str">
        <f>IF(Cdacdata[ccat_rank]&lt;=100,"Top 100",
IF(Cdacdata[ccat_rank]&lt;=500,"101–500",
IF(Cdacdata[ccat_rank]&lt;=1000,"501–1000",
"1000+")))</f>
        <v>1000+</v>
      </c>
    </row>
    <row r="960" spans="1:35" x14ac:dyDescent="0.3">
      <c r="A960" s="1" t="s">
        <v>242</v>
      </c>
      <c r="B960">
        <v>210700512</v>
      </c>
      <c r="C960" s="2">
        <v>44454</v>
      </c>
      <c r="D960" s="2" t="s">
        <v>1196</v>
      </c>
      <c r="E960">
        <v>1528</v>
      </c>
      <c r="F960" s="2">
        <v>34071</v>
      </c>
      <c r="G960">
        <v>87.53</v>
      </c>
      <c r="H960" t="s">
        <v>26</v>
      </c>
      <c r="I960">
        <v>65.91</v>
      </c>
      <c r="J960">
        <v>65.819999999999993</v>
      </c>
      <c r="K960" s="3">
        <f t="shared" si="14"/>
        <v>73.086666666666659</v>
      </c>
      <c r="L960" t="s">
        <v>27</v>
      </c>
      <c r="M960" t="s">
        <v>41</v>
      </c>
      <c r="N960">
        <v>27</v>
      </c>
      <c r="O960" t="s">
        <v>28</v>
      </c>
      <c r="P960" t="s">
        <v>60</v>
      </c>
      <c r="Q960" t="s">
        <v>30</v>
      </c>
      <c r="R960">
        <v>553</v>
      </c>
      <c r="S960">
        <v>69.125</v>
      </c>
      <c r="T960" t="s">
        <v>49</v>
      </c>
      <c r="U960" t="s">
        <v>32</v>
      </c>
      <c r="V960" t="s">
        <v>49</v>
      </c>
      <c r="W960" t="s">
        <v>33</v>
      </c>
      <c r="X960" t="s">
        <v>34</v>
      </c>
      <c r="Y960" t="s">
        <v>50</v>
      </c>
      <c r="Z960" t="s">
        <v>44</v>
      </c>
      <c r="AA960" t="s">
        <v>186</v>
      </c>
      <c r="AB960" t="s">
        <v>46</v>
      </c>
      <c r="AC960">
        <f>IF(Cdacdata[[#This Row],[placement_status]]="Placed",1,0)</f>
        <v>1</v>
      </c>
      <c r="AD960" t="s">
        <v>244</v>
      </c>
      <c r="AE960" t="s">
        <v>47</v>
      </c>
      <c r="AF960" t="s">
        <v>55</v>
      </c>
      <c r="AG960">
        <v>2021</v>
      </c>
      <c r="AH960" t="s">
        <v>40</v>
      </c>
      <c r="AI960" t="str">
        <f>IF(Cdacdata[ccat_rank]&lt;=100,"Top 100",
IF(Cdacdata[ccat_rank]&lt;=500,"101–500",
IF(Cdacdata[ccat_rank]&lt;=1000,"501–1000",
"1000+")))</f>
        <v>1000+</v>
      </c>
    </row>
    <row r="961" spans="1:35" x14ac:dyDescent="0.3">
      <c r="A961" s="1" t="s">
        <v>242</v>
      </c>
      <c r="B961">
        <v>210703006</v>
      </c>
      <c r="C961" s="2">
        <v>44454</v>
      </c>
      <c r="D961" s="2" t="s">
        <v>1197</v>
      </c>
      <c r="E961">
        <v>1472</v>
      </c>
      <c r="F961" s="2" t="s">
        <v>318</v>
      </c>
      <c r="G961">
        <v>91.45</v>
      </c>
      <c r="H961">
        <v>77.540000000000006</v>
      </c>
      <c r="I961" t="s">
        <v>26</v>
      </c>
      <c r="J961">
        <v>6.27</v>
      </c>
      <c r="K961" s="3">
        <f t="shared" si="14"/>
        <v>58.420000000000009</v>
      </c>
      <c r="L961" t="s">
        <v>27</v>
      </c>
      <c r="M961" t="s">
        <v>41</v>
      </c>
      <c r="N961">
        <v>24</v>
      </c>
      <c r="O961" t="s">
        <v>62</v>
      </c>
      <c r="P961" t="s">
        <v>60</v>
      </c>
      <c r="Q961" t="s">
        <v>30</v>
      </c>
      <c r="R961">
        <v>546</v>
      </c>
      <c r="S961">
        <v>68.25</v>
      </c>
      <c r="T961" t="s">
        <v>31</v>
      </c>
      <c r="U961" t="s">
        <v>32</v>
      </c>
      <c r="V961" t="s">
        <v>31</v>
      </c>
      <c r="W961" t="s">
        <v>31</v>
      </c>
      <c r="X961" t="s">
        <v>34</v>
      </c>
      <c r="Y961" t="s">
        <v>50</v>
      </c>
      <c r="Z961" t="s">
        <v>44</v>
      </c>
      <c r="AA961" t="s">
        <v>168</v>
      </c>
      <c r="AB961" t="s">
        <v>46</v>
      </c>
      <c r="AC961">
        <f>IF(Cdacdata[[#This Row],[placement_status]]="Placed",1,0)</f>
        <v>1</v>
      </c>
      <c r="AD961" t="s">
        <v>244</v>
      </c>
      <c r="AE961" t="s">
        <v>47</v>
      </c>
      <c r="AF961" t="s">
        <v>39</v>
      </c>
      <c r="AG961">
        <v>2021</v>
      </c>
      <c r="AH961" t="s">
        <v>40</v>
      </c>
      <c r="AI961" t="str">
        <f>IF(Cdacdata[ccat_rank]&lt;=100,"Top 100",
IF(Cdacdata[ccat_rank]&lt;=500,"101–500",
IF(Cdacdata[ccat_rank]&lt;=1000,"501–1000",
"1000+")))</f>
        <v>1000+</v>
      </c>
    </row>
    <row r="962" spans="1:35" x14ac:dyDescent="0.3">
      <c r="A962" s="1" t="s">
        <v>242</v>
      </c>
      <c r="B962">
        <v>210707109</v>
      </c>
      <c r="C962" s="2">
        <v>44454</v>
      </c>
      <c r="D962" s="2" t="s">
        <v>1198</v>
      </c>
      <c r="E962">
        <v>1448</v>
      </c>
      <c r="F962" s="2">
        <v>35012</v>
      </c>
      <c r="G962">
        <v>84.55</v>
      </c>
      <c r="H962">
        <v>74</v>
      </c>
      <c r="I962" t="s">
        <v>26</v>
      </c>
      <c r="J962">
        <v>62.64</v>
      </c>
      <c r="K962" s="3">
        <f t="shared" ref="K962:K1025" si="15">AVERAGE(G962,H962,I962,J962)</f>
        <v>73.73</v>
      </c>
      <c r="L962" t="s">
        <v>27</v>
      </c>
      <c r="M962" t="s">
        <v>41</v>
      </c>
      <c r="N962">
        <v>26</v>
      </c>
      <c r="O962" t="s">
        <v>28</v>
      </c>
      <c r="P962" t="s">
        <v>65</v>
      </c>
      <c r="Q962" t="s">
        <v>43</v>
      </c>
      <c r="R962">
        <v>611</v>
      </c>
      <c r="S962">
        <v>76.375</v>
      </c>
      <c r="T962" t="s">
        <v>33</v>
      </c>
      <c r="U962" t="s">
        <v>32</v>
      </c>
      <c r="V962" t="s">
        <v>33</v>
      </c>
      <c r="W962" t="s">
        <v>33</v>
      </c>
      <c r="X962" t="s">
        <v>34</v>
      </c>
      <c r="Y962" t="s">
        <v>58</v>
      </c>
      <c r="Z962" t="s">
        <v>44</v>
      </c>
      <c r="AA962" t="s">
        <v>78</v>
      </c>
      <c r="AB962" t="s">
        <v>46</v>
      </c>
      <c r="AC962">
        <f>IF(Cdacdata[[#This Row],[placement_status]]="Placed",1,0)</f>
        <v>1</v>
      </c>
      <c r="AD962" t="s">
        <v>244</v>
      </c>
      <c r="AE962" t="s">
        <v>47</v>
      </c>
      <c r="AF962" t="s">
        <v>55</v>
      </c>
      <c r="AG962">
        <v>2021</v>
      </c>
      <c r="AH962" t="s">
        <v>40</v>
      </c>
      <c r="AI962" t="str">
        <f>IF(Cdacdata[ccat_rank]&lt;=100,"Top 100",
IF(Cdacdata[ccat_rank]&lt;=500,"101–500",
IF(Cdacdata[ccat_rank]&lt;=1000,"501–1000",
"1000+")))</f>
        <v>1000+</v>
      </c>
    </row>
    <row r="963" spans="1:35" x14ac:dyDescent="0.3">
      <c r="A963" s="1" t="s">
        <v>242</v>
      </c>
      <c r="B963">
        <v>210700851</v>
      </c>
      <c r="C963" s="2">
        <v>44456</v>
      </c>
      <c r="D963" s="2" t="s">
        <v>1199</v>
      </c>
      <c r="E963">
        <v>1225</v>
      </c>
      <c r="F963" s="2" t="s">
        <v>319</v>
      </c>
      <c r="G963">
        <v>93</v>
      </c>
      <c r="H963">
        <v>69.849999999999994</v>
      </c>
      <c r="I963" t="s">
        <v>26</v>
      </c>
      <c r="J963">
        <v>75.7</v>
      </c>
      <c r="K963" s="3">
        <f t="shared" si="15"/>
        <v>79.516666666666666</v>
      </c>
      <c r="L963" t="s">
        <v>27</v>
      </c>
      <c r="M963" t="s">
        <v>27</v>
      </c>
      <c r="N963">
        <v>23</v>
      </c>
      <c r="O963" t="s">
        <v>48</v>
      </c>
      <c r="P963" t="s">
        <v>65</v>
      </c>
      <c r="Q963" t="s">
        <v>30</v>
      </c>
      <c r="R963">
        <v>635</v>
      </c>
      <c r="S963">
        <v>79.375</v>
      </c>
      <c r="T963" t="s">
        <v>49</v>
      </c>
      <c r="U963" t="s">
        <v>32</v>
      </c>
      <c r="V963" t="s">
        <v>49</v>
      </c>
      <c r="W963" t="s">
        <v>49</v>
      </c>
      <c r="X963" t="s">
        <v>34</v>
      </c>
      <c r="Y963" t="s">
        <v>58</v>
      </c>
      <c r="Z963" t="s">
        <v>44</v>
      </c>
      <c r="AA963" t="s">
        <v>257</v>
      </c>
      <c r="AB963" t="s">
        <v>46</v>
      </c>
      <c r="AC963">
        <f>IF(Cdacdata[[#This Row],[placement_status]]="Placed",1,0)</f>
        <v>1</v>
      </c>
      <c r="AD963" t="s">
        <v>244</v>
      </c>
      <c r="AE963" t="s">
        <v>47</v>
      </c>
      <c r="AF963" t="s">
        <v>39</v>
      </c>
      <c r="AG963">
        <v>2021</v>
      </c>
      <c r="AH963" t="s">
        <v>40</v>
      </c>
      <c r="AI963" t="str">
        <f>IF(Cdacdata[ccat_rank]&lt;=100,"Top 100",
IF(Cdacdata[ccat_rank]&lt;=500,"101–500",
IF(Cdacdata[ccat_rank]&lt;=1000,"501–1000",
"1000+")))</f>
        <v>1000+</v>
      </c>
    </row>
    <row r="964" spans="1:35" x14ac:dyDescent="0.3">
      <c r="A964" s="1" t="s">
        <v>242</v>
      </c>
      <c r="B964">
        <v>210713969</v>
      </c>
      <c r="C964" s="2">
        <v>44457</v>
      </c>
      <c r="D964" s="2" t="s">
        <v>1200</v>
      </c>
      <c r="E964">
        <v>1164</v>
      </c>
      <c r="F964" s="2">
        <v>34831</v>
      </c>
      <c r="G964">
        <v>71</v>
      </c>
      <c r="H964">
        <v>83.2</v>
      </c>
      <c r="I964" t="s">
        <v>26</v>
      </c>
      <c r="J964">
        <v>69.7</v>
      </c>
      <c r="K964" s="3">
        <f t="shared" si="15"/>
        <v>74.633333333333326</v>
      </c>
      <c r="L964" t="s">
        <v>27</v>
      </c>
      <c r="M964" t="s">
        <v>27</v>
      </c>
      <c r="N964">
        <v>25</v>
      </c>
      <c r="O964" t="s">
        <v>28</v>
      </c>
      <c r="P964" t="s">
        <v>52</v>
      </c>
      <c r="Q964" t="s">
        <v>30</v>
      </c>
      <c r="R964">
        <v>627</v>
      </c>
      <c r="S964">
        <v>78.375</v>
      </c>
      <c r="T964" t="s">
        <v>33</v>
      </c>
      <c r="U964" t="s">
        <v>32</v>
      </c>
      <c r="V964" t="s">
        <v>33</v>
      </c>
      <c r="W964" t="s">
        <v>49</v>
      </c>
      <c r="X964" t="s">
        <v>34</v>
      </c>
      <c r="Y964" t="s">
        <v>58</v>
      </c>
      <c r="Z964" t="s">
        <v>44</v>
      </c>
      <c r="AA964" t="s">
        <v>199</v>
      </c>
      <c r="AB964" t="s">
        <v>46</v>
      </c>
      <c r="AC964">
        <f>IF(Cdacdata[[#This Row],[placement_status]]="Placed",1,0)</f>
        <v>1</v>
      </c>
      <c r="AD964" t="s">
        <v>244</v>
      </c>
      <c r="AE964" t="s">
        <v>47</v>
      </c>
      <c r="AF964" t="s">
        <v>39</v>
      </c>
      <c r="AG964">
        <v>2021</v>
      </c>
      <c r="AH964" t="s">
        <v>40</v>
      </c>
      <c r="AI964" t="str">
        <f>IF(Cdacdata[ccat_rank]&lt;=100,"Top 100",
IF(Cdacdata[ccat_rank]&lt;=500,"101–500",
IF(Cdacdata[ccat_rank]&lt;=1000,"501–1000",
"1000+")))</f>
        <v>1000+</v>
      </c>
    </row>
    <row r="965" spans="1:35" x14ac:dyDescent="0.3">
      <c r="A965" s="1" t="s">
        <v>242</v>
      </c>
      <c r="B965">
        <v>210705536</v>
      </c>
      <c r="C965" s="2">
        <v>44455</v>
      </c>
      <c r="D965" s="2" t="s">
        <v>1201</v>
      </c>
      <c r="E965">
        <v>897</v>
      </c>
      <c r="F965" s="2">
        <v>35593</v>
      </c>
      <c r="G965">
        <v>83.4</v>
      </c>
      <c r="H965" t="s">
        <v>26</v>
      </c>
      <c r="I965">
        <v>84.82</v>
      </c>
      <c r="J965">
        <v>74.599999999999994</v>
      </c>
      <c r="K965" s="3">
        <f t="shared" si="15"/>
        <v>80.94</v>
      </c>
      <c r="L965" t="s">
        <v>27</v>
      </c>
      <c r="M965" t="s">
        <v>27</v>
      </c>
      <c r="N965">
        <v>23</v>
      </c>
      <c r="O965" t="s">
        <v>62</v>
      </c>
      <c r="P965" t="s">
        <v>26</v>
      </c>
      <c r="Q965" t="s">
        <v>30</v>
      </c>
      <c r="R965">
        <v>644</v>
      </c>
      <c r="S965">
        <v>80.5</v>
      </c>
      <c r="T965" t="s">
        <v>49</v>
      </c>
      <c r="U965" t="s">
        <v>32</v>
      </c>
      <c r="V965" t="s">
        <v>49</v>
      </c>
      <c r="W965" t="s">
        <v>33</v>
      </c>
      <c r="X965" t="s">
        <v>34</v>
      </c>
      <c r="Y965" t="s">
        <v>58</v>
      </c>
      <c r="Z965" t="s">
        <v>44</v>
      </c>
      <c r="AA965" t="s">
        <v>257</v>
      </c>
      <c r="AB965" t="s">
        <v>46</v>
      </c>
      <c r="AC965">
        <f>IF(Cdacdata[[#This Row],[placement_status]]="Placed",1,0)</f>
        <v>1</v>
      </c>
      <c r="AD965" t="s">
        <v>244</v>
      </c>
      <c r="AE965" t="s">
        <v>75</v>
      </c>
      <c r="AF965" t="s">
        <v>39</v>
      </c>
      <c r="AG965">
        <v>2021</v>
      </c>
      <c r="AH965" t="s">
        <v>40</v>
      </c>
      <c r="AI965" t="str">
        <f>IF(Cdacdata[ccat_rank]&lt;=100,"Top 100",
IF(Cdacdata[ccat_rank]&lt;=500,"101–500",
IF(Cdacdata[ccat_rank]&lt;=1000,"501–1000",
"1000+")))</f>
        <v>501–1000</v>
      </c>
    </row>
    <row r="966" spans="1:35" x14ac:dyDescent="0.3">
      <c r="A966" s="1" t="s">
        <v>242</v>
      </c>
      <c r="B966">
        <v>210712922</v>
      </c>
      <c r="C966" s="2">
        <v>44454</v>
      </c>
      <c r="D966" s="2" t="s">
        <v>1202</v>
      </c>
      <c r="E966">
        <v>1399</v>
      </c>
      <c r="F966" s="2" t="s">
        <v>320</v>
      </c>
      <c r="G966">
        <v>85.8</v>
      </c>
      <c r="H966">
        <v>78.180000000000007</v>
      </c>
      <c r="I966" t="s">
        <v>26</v>
      </c>
      <c r="J966">
        <v>69.599999999999994</v>
      </c>
      <c r="K966" s="3">
        <f t="shared" si="15"/>
        <v>77.86</v>
      </c>
      <c r="L966" t="s">
        <v>27</v>
      </c>
      <c r="M966" t="s">
        <v>41</v>
      </c>
      <c r="N966">
        <v>24</v>
      </c>
      <c r="O966" t="s">
        <v>28</v>
      </c>
      <c r="P966" t="s">
        <v>26</v>
      </c>
      <c r="Q966" t="s">
        <v>43</v>
      </c>
      <c r="R966">
        <v>580</v>
      </c>
      <c r="S966">
        <v>72.5</v>
      </c>
      <c r="T966" t="s">
        <v>33</v>
      </c>
      <c r="U966" t="s">
        <v>32</v>
      </c>
      <c r="V966" t="s">
        <v>33</v>
      </c>
      <c r="W966" t="s">
        <v>33</v>
      </c>
      <c r="X966" t="s">
        <v>34</v>
      </c>
      <c r="Y966" t="s">
        <v>58</v>
      </c>
      <c r="Z966" t="s">
        <v>44</v>
      </c>
      <c r="AA966" t="s">
        <v>289</v>
      </c>
      <c r="AB966" t="s">
        <v>46</v>
      </c>
      <c r="AC966">
        <f>IF(Cdacdata[[#This Row],[placement_status]]="Placed",1,0)</f>
        <v>1</v>
      </c>
      <c r="AD966" t="s">
        <v>244</v>
      </c>
      <c r="AE966" t="s">
        <v>47</v>
      </c>
      <c r="AF966" t="s">
        <v>39</v>
      </c>
      <c r="AG966">
        <v>2021</v>
      </c>
      <c r="AH966" t="s">
        <v>40</v>
      </c>
      <c r="AI966" t="str">
        <f>IF(Cdacdata[ccat_rank]&lt;=100,"Top 100",
IF(Cdacdata[ccat_rank]&lt;=500,"101–500",
IF(Cdacdata[ccat_rank]&lt;=1000,"501–1000",
"1000+")))</f>
        <v>1000+</v>
      </c>
    </row>
    <row r="967" spans="1:35" x14ac:dyDescent="0.3">
      <c r="A967" s="1" t="s">
        <v>242</v>
      </c>
      <c r="B967">
        <v>210701549</v>
      </c>
      <c r="C967" s="2">
        <v>44454</v>
      </c>
      <c r="D967" s="2" t="s">
        <v>1203</v>
      </c>
      <c r="E967">
        <v>1241</v>
      </c>
      <c r="F967" s="2" t="s">
        <v>321</v>
      </c>
      <c r="G967">
        <v>75.2</v>
      </c>
      <c r="H967">
        <v>68.459999999999994</v>
      </c>
      <c r="I967" t="s">
        <v>26</v>
      </c>
      <c r="J967">
        <v>71.650000000000006</v>
      </c>
      <c r="K967" s="3">
        <f t="shared" si="15"/>
        <v>71.77</v>
      </c>
      <c r="L967" t="s">
        <v>27</v>
      </c>
      <c r="M967" t="s">
        <v>27</v>
      </c>
      <c r="N967">
        <v>22</v>
      </c>
      <c r="O967" t="s">
        <v>28</v>
      </c>
      <c r="P967" t="s">
        <v>26</v>
      </c>
      <c r="Q967" t="s">
        <v>30</v>
      </c>
      <c r="R967">
        <v>535</v>
      </c>
      <c r="S967">
        <v>66.875</v>
      </c>
      <c r="T967" t="s">
        <v>33</v>
      </c>
      <c r="U967" t="s">
        <v>32</v>
      </c>
      <c r="V967" t="s">
        <v>33</v>
      </c>
      <c r="W967" t="s">
        <v>33</v>
      </c>
      <c r="X967" t="s">
        <v>34</v>
      </c>
      <c r="Y967" t="s">
        <v>50</v>
      </c>
      <c r="Z967" t="s">
        <v>44</v>
      </c>
      <c r="AA967" t="s">
        <v>322</v>
      </c>
      <c r="AB967" t="s">
        <v>46</v>
      </c>
      <c r="AC967">
        <f>IF(Cdacdata[[#This Row],[placement_status]]="Placed",1,0)</f>
        <v>1</v>
      </c>
      <c r="AD967" t="s">
        <v>244</v>
      </c>
      <c r="AE967" t="s">
        <v>47</v>
      </c>
      <c r="AF967" t="s">
        <v>57</v>
      </c>
      <c r="AG967">
        <v>2021</v>
      </c>
      <c r="AH967" t="s">
        <v>40</v>
      </c>
      <c r="AI967" t="str">
        <f>IF(Cdacdata[ccat_rank]&lt;=100,"Top 100",
IF(Cdacdata[ccat_rank]&lt;=500,"101–500",
IF(Cdacdata[ccat_rank]&lt;=1000,"501–1000",
"1000+")))</f>
        <v>1000+</v>
      </c>
    </row>
    <row r="968" spans="1:35" x14ac:dyDescent="0.3">
      <c r="A968" s="1" t="s">
        <v>242</v>
      </c>
      <c r="B968">
        <v>210714064</v>
      </c>
      <c r="C968" s="2">
        <v>44455</v>
      </c>
      <c r="D968" s="2" t="s">
        <v>1204</v>
      </c>
      <c r="E968">
        <v>753</v>
      </c>
      <c r="F968" s="2" t="s">
        <v>323</v>
      </c>
      <c r="G968">
        <v>86.3</v>
      </c>
      <c r="H968" t="s">
        <v>26</v>
      </c>
      <c r="I968">
        <v>55</v>
      </c>
      <c r="J968">
        <v>64.06</v>
      </c>
      <c r="K968" s="3">
        <f t="shared" si="15"/>
        <v>68.453333333333333</v>
      </c>
      <c r="L968" t="s">
        <v>27</v>
      </c>
      <c r="M968" t="s">
        <v>41</v>
      </c>
      <c r="N968">
        <v>28</v>
      </c>
      <c r="O968" t="s">
        <v>28</v>
      </c>
      <c r="P968" t="s">
        <v>52</v>
      </c>
      <c r="Q968" t="s">
        <v>30</v>
      </c>
      <c r="R968">
        <v>593</v>
      </c>
      <c r="S968">
        <v>74.125</v>
      </c>
      <c r="T968" t="s">
        <v>49</v>
      </c>
      <c r="U968" t="s">
        <v>32</v>
      </c>
      <c r="V968" t="s">
        <v>49</v>
      </c>
      <c r="W968" t="s">
        <v>49</v>
      </c>
      <c r="X968" t="s">
        <v>34</v>
      </c>
      <c r="Y968" t="s">
        <v>58</v>
      </c>
      <c r="Z968" t="s">
        <v>44</v>
      </c>
      <c r="AA968" t="s">
        <v>180</v>
      </c>
      <c r="AB968" t="s">
        <v>46</v>
      </c>
      <c r="AC968">
        <f>IF(Cdacdata[[#This Row],[placement_status]]="Placed",1,0)</f>
        <v>1</v>
      </c>
      <c r="AD968" t="s">
        <v>244</v>
      </c>
      <c r="AE968" t="s">
        <v>75</v>
      </c>
      <c r="AF968" t="s">
        <v>55</v>
      </c>
      <c r="AG968">
        <v>2021</v>
      </c>
      <c r="AH968" t="s">
        <v>40</v>
      </c>
      <c r="AI968" t="str">
        <f>IF(Cdacdata[ccat_rank]&lt;=100,"Top 100",
IF(Cdacdata[ccat_rank]&lt;=500,"101–500",
IF(Cdacdata[ccat_rank]&lt;=1000,"501–1000",
"1000+")))</f>
        <v>501–1000</v>
      </c>
    </row>
    <row r="969" spans="1:35" x14ac:dyDescent="0.3">
      <c r="A969" s="1" t="s">
        <v>242</v>
      </c>
      <c r="B969">
        <v>210701427</v>
      </c>
      <c r="C969" s="2">
        <v>44455</v>
      </c>
      <c r="D969" s="2" t="s">
        <v>1205</v>
      </c>
      <c r="E969">
        <v>1061</v>
      </c>
      <c r="F969" s="2" t="s">
        <v>324</v>
      </c>
      <c r="G969">
        <v>76.400000000000006</v>
      </c>
      <c r="H969">
        <v>60</v>
      </c>
      <c r="I969" t="s">
        <v>26</v>
      </c>
      <c r="J969">
        <v>57.29</v>
      </c>
      <c r="K969" s="3">
        <f t="shared" si="15"/>
        <v>64.563333333333333</v>
      </c>
      <c r="L969" t="s">
        <v>27</v>
      </c>
      <c r="M969" t="s">
        <v>41</v>
      </c>
      <c r="N969">
        <v>24</v>
      </c>
      <c r="O969" t="s">
        <v>72</v>
      </c>
      <c r="P969" t="s">
        <v>60</v>
      </c>
      <c r="Q969" t="s">
        <v>30</v>
      </c>
      <c r="R969">
        <v>474</v>
      </c>
      <c r="S969">
        <v>59.25</v>
      </c>
      <c r="T969" t="s">
        <v>49</v>
      </c>
      <c r="U969" t="s">
        <v>32</v>
      </c>
      <c r="V969" t="s">
        <v>49</v>
      </c>
      <c r="W969" t="s">
        <v>31</v>
      </c>
      <c r="X969" t="s">
        <v>34</v>
      </c>
      <c r="Y969" t="s">
        <v>35</v>
      </c>
      <c r="Z969" t="s">
        <v>44</v>
      </c>
      <c r="AA969" t="s">
        <v>302</v>
      </c>
      <c r="AB969" t="s">
        <v>46</v>
      </c>
      <c r="AC969">
        <f>IF(Cdacdata[[#This Row],[placement_status]]="Placed",1,0)</f>
        <v>1</v>
      </c>
      <c r="AD969" t="s">
        <v>244</v>
      </c>
      <c r="AE969" t="s">
        <v>47</v>
      </c>
      <c r="AF969" t="s">
        <v>39</v>
      </c>
      <c r="AG969">
        <v>2021</v>
      </c>
      <c r="AH969" t="s">
        <v>40</v>
      </c>
      <c r="AI969" t="str">
        <f>IF(Cdacdata[ccat_rank]&lt;=100,"Top 100",
IF(Cdacdata[ccat_rank]&lt;=500,"101–500",
IF(Cdacdata[ccat_rank]&lt;=1000,"501–1000",
"1000+")))</f>
        <v>1000+</v>
      </c>
    </row>
    <row r="970" spans="1:35" x14ac:dyDescent="0.3">
      <c r="A970" s="1" t="s">
        <v>242</v>
      </c>
      <c r="B970">
        <v>210712686</v>
      </c>
      <c r="C970" s="2">
        <v>44455</v>
      </c>
      <c r="D970" s="2" t="s">
        <v>1206</v>
      </c>
      <c r="E970">
        <v>1510</v>
      </c>
      <c r="F970" s="2" t="s">
        <v>325</v>
      </c>
      <c r="G970">
        <v>80.55</v>
      </c>
      <c r="H970" t="s">
        <v>26</v>
      </c>
      <c r="I970" t="s">
        <v>26</v>
      </c>
      <c r="J970">
        <v>63.96</v>
      </c>
      <c r="K970" s="3">
        <f t="shared" si="15"/>
        <v>72.254999999999995</v>
      </c>
      <c r="L970" t="s">
        <v>27</v>
      </c>
      <c r="M970" t="s">
        <v>41</v>
      </c>
      <c r="N970">
        <v>23</v>
      </c>
      <c r="O970" t="s">
        <v>28</v>
      </c>
      <c r="P970" t="s">
        <v>26</v>
      </c>
      <c r="Q970" t="s">
        <v>26</v>
      </c>
      <c r="R970">
        <v>563</v>
      </c>
      <c r="S970">
        <v>70.375</v>
      </c>
      <c r="T970" t="s">
        <v>33</v>
      </c>
      <c r="U970" t="s">
        <v>32</v>
      </c>
      <c r="V970" t="s">
        <v>33</v>
      </c>
      <c r="W970" t="s">
        <v>49</v>
      </c>
      <c r="X970" t="s">
        <v>34</v>
      </c>
      <c r="Y970" t="s">
        <v>58</v>
      </c>
      <c r="Z970" t="s">
        <v>44</v>
      </c>
      <c r="AA970" t="s">
        <v>131</v>
      </c>
      <c r="AB970" t="s">
        <v>46</v>
      </c>
      <c r="AC970">
        <f>IF(Cdacdata[[#This Row],[placement_status]]="Placed",1,0)</f>
        <v>1</v>
      </c>
      <c r="AD970" t="s">
        <v>244</v>
      </c>
      <c r="AE970" t="s">
        <v>47</v>
      </c>
      <c r="AF970" t="s">
        <v>39</v>
      </c>
      <c r="AG970">
        <v>2021</v>
      </c>
      <c r="AH970" t="s">
        <v>40</v>
      </c>
      <c r="AI970" t="str">
        <f>IF(Cdacdata[ccat_rank]&lt;=100,"Top 100",
IF(Cdacdata[ccat_rank]&lt;=500,"101–500",
IF(Cdacdata[ccat_rank]&lt;=1000,"501–1000",
"1000+")))</f>
        <v>1000+</v>
      </c>
    </row>
    <row r="971" spans="1:35" x14ac:dyDescent="0.3">
      <c r="A971" s="1" t="s">
        <v>242</v>
      </c>
      <c r="B971">
        <v>210704799</v>
      </c>
      <c r="C971" s="2">
        <v>44454</v>
      </c>
      <c r="D971" s="2" t="s">
        <v>1207</v>
      </c>
      <c r="E971">
        <v>1431</v>
      </c>
      <c r="F971" s="2" t="s">
        <v>326</v>
      </c>
      <c r="G971">
        <v>83.6</v>
      </c>
      <c r="H971">
        <v>65</v>
      </c>
      <c r="I971" t="s">
        <v>26</v>
      </c>
      <c r="J971">
        <v>58.9</v>
      </c>
      <c r="K971" s="3">
        <f t="shared" si="15"/>
        <v>69.166666666666671</v>
      </c>
      <c r="L971" t="s">
        <v>27</v>
      </c>
      <c r="M971" t="s">
        <v>41</v>
      </c>
      <c r="N971">
        <v>23</v>
      </c>
      <c r="O971" t="s">
        <v>72</v>
      </c>
      <c r="P971" t="s">
        <v>65</v>
      </c>
      <c r="Q971" t="s">
        <v>30</v>
      </c>
      <c r="R971">
        <v>530</v>
      </c>
      <c r="S971">
        <v>66.25</v>
      </c>
      <c r="T971" t="s">
        <v>49</v>
      </c>
      <c r="U971" t="s">
        <v>32</v>
      </c>
      <c r="V971" t="s">
        <v>49</v>
      </c>
      <c r="W971" t="s">
        <v>31</v>
      </c>
      <c r="X971" t="s">
        <v>34</v>
      </c>
      <c r="Y971" t="s">
        <v>50</v>
      </c>
      <c r="Z971" t="s">
        <v>44</v>
      </c>
      <c r="AA971" t="s">
        <v>164</v>
      </c>
      <c r="AB971" t="s">
        <v>46</v>
      </c>
      <c r="AC971">
        <f>IF(Cdacdata[[#This Row],[placement_status]]="Placed",1,0)</f>
        <v>1</v>
      </c>
      <c r="AD971" t="s">
        <v>244</v>
      </c>
      <c r="AE971" t="s">
        <v>47</v>
      </c>
      <c r="AF971" t="s">
        <v>39</v>
      </c>
      <c r="AG971">
        <v>2021</v>
      </c>
      <c r="AH971" t="s">
        <v>40</v>
      </c>
      <c r="AI971" t="str">
        <f>IF(Cdacdata[ccat_rank]&lt;=100,"Top 100",
IF(Cdacdata[ccat_rank]&lt;=500,"101–500",
IF(Cdacdata[ccat_rank]&lt;=1000,"501–1000",
"1000+")))</f>
        <v>1000+</v>
      </c>
    </row>
    <row r="972" spans="1:35" x14ac:dyDescent="0.3">
      <c r="A972" s="1" t="s">
        <v>242</v>
      </c>
      <c r="B972">
        <v>210715398</v>
      </c>
      <c r="C972" s="2">
        <v>44454</v>
      </c>
      <c r="D972" s="2" t="s">
        <v>1208</v>
      </c>
      <c r="E972">
        <v>1529</v>
      </c>
      <c r="F972" s="2">
        <v>36504</v>
      </c>
      <c r="G972">
        <v>83.6</v>
      </c>
      <c r="H972">
        <v>70.62</v>
      </c>
      <c r="I972" t="s">
        <v>26</v>
      </c>
      <c r="J972">
        <v>79.2</v>
      </c>
      <c r="K972" s="3">
        <f t="shared" si="15"/>
        <v>77.806666666666672</v>
      </c>
      <c r="L972" t="s">
        <v>27</v>
      </c>
      <c r="M972" t="s">
        <v>27</v>
      </c>
      <c r="N972">
        <v>21</v>
      </c>
      <c r="O972" t="s">
        <v>48</v>
      </c>
      <c r="P972" t="s">
        <v>42</v>
      </c>
      <c r="Q972" t="s">
        <v>43</v>
      </c>
      <c r="R972">
        <v>593</v>
      </c>
      <c r="S972">
        <v>74.125</v>
      </c>
      <c r="T972" t="s">
        <v>33</v>
      </c>
      <c r="U972" t="s">
        <v>32</v>
      </c>
      <c r="V972" t="s">
        <v>33</v>
      </c>
      <c r="W972" t="s">
        <v>33</v>
      </c>
      <c r="X972" t="s">
        <v>34</v>
      </c>
      <c r="Y972" t="s">
        <v>58</v>
      </c>
      <c r="Z972" t="s">
        <v>53</v>
      </c>
      <c r="AA972" t="s">
        <v>54</v>
      </c>
      <c r="AB972" t="s">
        <v>46</v>
      </c>
      <c r="AC972">
        <f>IF(Cdacdata[[#This Row],[placement_status]]="Placed",1,0)</f>
        <v>1</v>
      </c>
      <c r="AD972" t="s">
        <v>244</v>
      </c>
      <c r="AE972" t="s">
        <v>47</v>
      </c>
      <c r="AF972" t="s">
        <v>57</v>
      </c>
      <c r="AG972">
        <v>2021</v>
      </c>
      <c r="AH972" t="s">
        <v>40</v>
      </c>
      <c r="AI972" t="str">
        <f>IF(Cdacdata[ccat_rank]&lt;=100,"Top 100",
IF(Cdacdata[ccat_rank]&lt;=500,"101–500",
IF(Cdacdata[ccat_rank]&lt;=1000,"501–1000",
"1000+")))</f>
        <v>1000+</v>
      </c>
    </row>
    <row r="973" spans="1:35" x14ac:dyDescent="0.3">
      <c r="A973" s="1" t="s">
        <v>242</v>
      </c>
      <c r="B973">
        <v>210707826</v>
      </c>
      <c r="C973" s="2">
        <v>44454</v>
      </c>
      <c r="D973" s="2" t="s">
        <v>1209</v>
      </c>
      <c r="E973">
        <v>1348</v>
      </c>
      <c r="F973" s="2">
        <v>35683</v>
      </c>
      <c r="G973">
        <v>78.599999999999994</v>
      </c>
      <c r="H973" t="s">
        <v>26</v>
      </c>
      <c r="I973">
        <v>75.209999999999994</v>
      </c>
      <c r="J973">
        <v>70.010000000000005</v>
      </c>
      <c r="K973" s="3">
        <f t="shared" si="15"/>
        <v>74.606666666666669</v>
      </c>
      <c r="L973" t="s">
        <v>27</v>
      </c>
      <c r="M973" t="s">
        <v>41</v>
      </c>
      <c r="N973">
        <v>23</v>
      </c>
      <c r="O973" t="s">
        <v>28</v>
      </c>
      <c r="P973" t="s">
        <v>26</v>
      </c>
      <c r="Q973" t="s">
        <v>30</v>
      </c>
      <c r="R973">
        <v>549</v>
      </c>
      <c r="S973">
        <v>68.625</v>
      </c>
      <c r="T973" t="s">
        <v>33</v>
      </c>
      <c r="U973" t="s">
        <v>32</v>
      </c>
      <c r="V973" t="s">
        <v>33</v>
      </c>
      <c r="W973" t="s">
        <v>49</v>
      </c>
      <c r="X973" t="s">
        <v>34</v>
      </c>
      <c r="Y973" t="s">
        <v>50</v>
      </c>
      <c r="Z973" t="s">
        <v>44</v>
      </c>
      <c r="AA973" t="s">
        <v>289</v>
      </c>
      <c r="AB973" t="s">
        <v>46</v>
      </c>
      <c r="AC973">
        <f>IF(Cdacdata[[#This Row],[placement_status]]="Placed",1,0)</f>
        <v>1</v>
      </c>
      <c r="AD973" t="s">
        <v>244</v>
      </c>
      <c r="AE973" t="s">
        <v>47</v>
      </c>
      <c r="AF973" t="s">
        <v>39</v>
      </c>
      <c r="AG973">
        <v>2021</v>
      </c>
      <c r="AH973" t="s">
        <v>40</v>
      </c>
      <c r="AI973" t="str">
        <f>IF(Cdacdata[ccat_rank]&lt;=100,"Top 100",
IF(Cdacdata[ccat_rank]&lt;=500,"101–500",
IF(Cdacdata[ccat_rank]&lt;=1000,"501–1000",
"1000+")))</f>
        <v>1000+</v>
      </c>
    </row>
    <row r="974" spans="1:35" x14ac:dyDescent="0.3">
      <c r="A974" s="1" t="s">
        <v>242</v>
      </c>
      <c r="B974">
        <v>210703503</v>
      </c>
      <c r="C974" s="2">
        <v>44458</v>
      </c>
      <c r="D974" s="2" t="s">
        <v>1210</v>
      </c>
      <c r="E974">
        <v>1922</v>
      </c>
      <c r="F974" s="2" t="s">
        <v>279</v>
      </c>
      <c r="G974">
        <v>89.2</v>
      </c>
      <c r="H974" t="s">
        <v>26</v>
      </c>
      <c r="I974">
        <v>77.239999999999995</v>
      </c>
      <c r="J974">
        <v>68.7</v>
      </c>
      <c r="K974" s="3">
        <f t="shared" si="15"/>
        <v>78.38</v>
      </c>
      <c r="L974" t="s">
        <v>27</v>
      </c>
      <c r="M974" t="s">
        <v>41</v>
      </c>
      <c r="N974">
        <v>22</v>
      </c>
      <c r="O974" t="s">
        <v>28</v>
      </c>
      <c r="P974" t="s">
        <v>60</v>
      </c>
      <c r="Q974" t="s">
        <v>43</v>
      </c>
      <c r="R974">
        <v>577</v>
      </c>
      <c r="S974">
        <v>72.125</v>
      </c>
      <c r="T974" t="s">
        <v>31</v>
      </c>
      <c r="U974" t="s">
        <v>32</v>
      </c>
      <c r="V974" t="s">
        <v>31</v>
      </c>
      <c r="W974" t="s">
        <v>49</v>
      </c>
      <c r="X974" t="s">
        <v>96</v>
      </c>
      <c r="Y974" t="s">
        <v>58</v>
      </c>
      <c r="Z974" t="s">
        <v>44</v>
      </c>
      <c r="AA974" t="s">
        <v>327</v>
      </c>
      <c r="AB974" t="s">
        <v>46</v>
      </c>
      <c r="AC974">
        <f>IF(Cdacdata[[#This Row],[placement_status]]="Placed",1,0)</f>
        <v>1</v>
      </c>
      <c r="AD974" t="s">
        <v>244</v>
      </c>
      <c r="AE974" t="s">
        <v>47</v>
      </c>
      <c r="AF974" t="s">
        <v>57</v>
      </c>
      <c r="AG974">
        <v>2021</v>
      </c>
      <c r="AH974" t="s">
        <v>40</v>
      </c>
      <c r="AI974" t="str">
        <f>IF(Cdacdata[ccat_rank]&lt;=100,"Top 100",
IF(Cdacdata[ccat_rank]&lt;=500,"101–500",
IF(Cdacdata[ccat_rank]&lt;=1000,"501–1000",
"1000+")))</f>
        <v>1000+</v>
      </c>
    </row>
    <row r="975" spans="1:35" x14ac:dyDescent="0.3">
      <c r="A975" s="1" t="s">
        <v>242</v>
      </c>
      <c r="B975">
        <v>210708625</v>
      </c>
      <c r="C975" s="2">
        <v>44454</v>
      </c>
      <c r="D975" s="2" t="s">
        <v>1211</v>
      </c>
      <c r="E975">
        <v>3151</v>
      </c>
      <c r="F975" s="2" t="s">
        <v>328</v>
      </c>
      <c r="G975">
        <v>71.09</v>
      </c>
      <c r="H975" t="s">
        <v>26</v>
      </c>
      <c r="I975">
        <v>75.709999999999994</v>
      </c>
      <c r="J975">
        <v>65.260000000000005</v>
      </c>
      <c r="K975" s="3">
        <f t="shared" si="15"/>
        <v>70.686666666666667</v>
      </c>
      <c r="L975" t="s">
        <v>27</v>
      </c>
      <c r="M975" t="s">
        <v>41</v>
      </c>
      <c r="N975">
        <v>23</v>
      </c>
      <c r="O975" t="s">
        <v>28</v>
      </c>
      <c r="P975" t="s">
        <v>60</v>
      </c>
      <c r="Q975" t="s">
        <v>30</v>
      </c>
      <c r="R975">
        <v>551</v>
      </c>
      <c r="S975">
        <v>68.875</v>
      </c>
      <c r="T975" t="s">
        <v>31</v>
      </c>
      <c r="U975" t="s">
        <v>32</v>
      </c>
      <c r="V975" t="s">
        <v>31</v>
      </c>
      <c r="W975" t="s">
        <v>103</v>
      </c>
      <c r="X975" t="s">
        <v>96</v>
      </c>
      <c r="Y975" t="s">
        <v>50</v>
      </c>
      <c r="Z975" t="s">
        <v>44</v>
      </c>
      <c r="AA975" t="s">
        <v>154</v>
      </c>
      <c r="AB975" t="s">
        <v>46</v>
      </c>
      <c r="AC975">
        <f>IF(Cdacdata[[#This Row],[placement_status]]="Placed",1,0)</f>
        <v>1</v>
      </c>
      <c r="AD975" t="s">
        <v>244</v>
      </c>
      <c r="AE975" t="s">
        <v>98</v>
      </c>
      <c r="AF975" t="s">
        <v>39</v>
      </c>
      <c r="AG975">
        <v>2021</v>
      </c>
      <c r="AH975" t="s">
        <v>40</v>
      </c>
      <c r="AI975" t="str">
        <f>IF(Cdacdata[ccat_rank]&lt;=100,"Top 100",
IF(Cdacdata[ccat_rank]&lt;=500,"101–500",
IF(Cdacdata[ccat_rank]&lt;=1000,"501–1000",
"1000+")))</f>
        <v>1000+</v>
      </c>
    </row>
    <row r="976" spans="1:35" x14ac:dyDescent="0.3">
      <c r="A976" s="1" t="s">
        <v>242</v>
      </c>
      <c r="B976">
        <v>210707890</v>
      </c>
      <c r="C976" s="2">
        <v>44454</v>
      </c>
      <c r="D976" s="2" t="s">
        <v>1212</v>
      </c>
      <c r="E976">
        <v>2708</v>
      </c>
      <c r="F976" s="2" t="s">
        <v>329</v>
      </c>
      <c r="G976">
        <v>85.4</v>
      </c>
      <c r="H976" t="s">
        <v>26</v>
      </c>
      <c r="I976">
        <v>71.27</v>
      </c>
      <c r="J976">
        <v>74.900000000000006</v>
      </c>
      <c r="K976" s="3">
        <f t="shared" si="15"/>
        <v>77.190000000000012</v>
      </c>
      <c r="L976" t="s">
        <v>27</v>
      </c>
      <c r="M976" t="s">
        <v>41</v>
      </c>
      <c r="N976">
        <v>22</v>
      </c>
      <c r="O976" t="s">
        <v>62</v>
      </c>
      <c r="P976" t="s">
        <v>42</v>
      </c>
      <c r="Q976" t="s">
        <v>26</v>
      </c>
      <c r="R976">
        <v>579</v>
      </c>
      <c r="S976">
        <v>72.375</v>
      </c>
      <c r="T976" t="s">
        <v>33</v>
      </c>
      <c r="U976" t="s">
        <v>32</v>
      </c>
      <c r="V976" t="s">
        <v>33</v>
      </c>
      <c r="W976" t="s">
        <v>31</v>
      </c>
      <c r="X976" t="s">
        <v>96</v>
      </c>
      <c r="Y976" t="s">
        <v>58</v>
      </c>
      <c r="Z976" t="s">
        <v>44</v>
      </c>
      <c r="AA976" t="s">
        <v>156</v>
      </c>
      <c r="AB976" t="s">
        <v>46</v>
      </c>
      <c r="AC976">
        <f>IF(Cdacdata[[#This Row],[placement_status]]="Placed",1,0)</f>
        <v>1</v>
      </c>
      <c r="AD976" t="s">
        <v>244</v>
      </c>
      <c r="AE976" t="s">
        <v>38</v>
      </c>
      <c r="AF976" t="s">
        <v>57</v>
      </c>
      <c r="AG976">
        <v>2021</v>
      </c>
      <c r="AH976" t="s">
        <v>40</v>
      </c>
      <c r="AI976" t="str">
        <f>IF(Cdacdata[ccat_rank]&lt;=100,"Top 100",
IF(Cdacdata[ccat_rank]&lt;=500,"101–500",
IF(Cdacdata[ccat_rank]&lt;=1000,"501–1000",
"1000+")))</f>
        <v>1000+</v>
      </c>
    </row>
    <row r="977" spans="1:35" x14ac:dyDescent="0.3">
      <c r="A977" s="1" t="s">
        <v>242</v>
      </c>
      <c r="B977">
        <v>210712762</v>
      </c>
      <c r="C977" s="2">
        <v>44455</v>
      </c>
      <c r="D977" s="2" t="s">
        <v>1213</v>
      </c>
      <c r="E977">
        <v>2392</v>
      </c>
      <c r="F977" s="2" t="s">
        <v>330</v>
      </c>
      <c r="G977">
        <v>78</v>
      </c>
      <c r="H977">
        <v>71.5</v>
      </c>
      <c r="I977" t="s">
        <v>26</v>
      </c>
      <c r="J977">
        <v>78.290000000000006</v>
      </c>
      <c r="K977" s="3">
        <f t="shared" si="15"/>
        <v>75.930000000000007</v>
      </c>
      <c r="L977" t="s">
        <v>27</v>
      </c>
      <c r="M977" t="s">
        <v>27</v>
      </c>
      <c r="N977">
        <v>24</v>
      </c>
      <c r="O977" t="s">
        <v>48</v>
      </c>
      <c r="P977" t="s">
        <v>26</v>
      </c>
      <c r="Q977" t="s">
        <v>43</v>
      </c>
      <c r="R977">
        <v>560</v>
      </c>
      <c r="S977">
        <v>70</v>
      </c>
      <c r="T977" t="s">
        <v>49</v>
      </c>
      <c r="U977" t="s">
        <v>32</v>
      </c>
      <c r="V977" t="s">
        <v>49</v>
      </c>
      <c r="W977" t="s">
        <v>49</v>
      </c>
      <c r="X977" t="s">
        <v>96</v>
      </c>
      <c r="Y977" t="s">
        <v>58</v>
      </c>
      <c r="Z977" t="s">
        <v>44</v>
      </c>
      <c r="AA977" t="s">
        <v>176</v>
      </c>
      <c r="AB977" t="s">
        <v>46</v>
      </c>
      <c r="AC977">
        <f>IF(Cdacdata[[#This Row],[placement_status]]="Placed",1,0)</f>
        <v>1</v>
      </c>
      <c r="AD977" t="s">
        <v>244</v>
      </c>
      <c r="AE977" t="s">
        <v>38</v>
      </c>
      <c r="AF977" t="s">
        <v>39</v>
      </c>
      <c r="AG977">
        <v>2021</v>
      </c>
      <c r="AH977" t="s">
        <v>40</v>
      </c>
      <c r="AI977" t="str">
        <f>IF(Cdacdata[ccat_rank]&lt;=100,"Top 100",
IF(Cdacdata[ccat_rank]&lt;=500,"101–500",
IF(Cdacdata[ccat_rank]&lt;=1000,"501–1000",
"1000+")))</f>
        <v>1000+</v>
      </c>
    </row>
    <row r="978" spans="1:35" x14ac:dyDescent="0.3">
      <c r="A978" s="1" t="s">
        <v>242</v>
      </c>
      <c r="B978">
        <v>210706127</v>
      </c>
      <c r="C978" s="2">
        <v>44455</v>
      </c>
      <c r="D978" s="2" t="s">
        <v>1214</v>
      </c>
      <c r="E978">
        <v>2682</v>
      </c>
      <c r="F978" s="2">
        <v>36445</v>
      </c>
      <c r="G978">
        <v>93</v>
      </c>
      <c r="H978">
        <v>75.540000000000006</v>
      </c>
      <c r="I978" t="s">
        <v>26</v>
      </c>
      <c r="J978">
        <v>78.06</v>
      </c>
      <c r="K978" s="3">
        <f t="shared" si="15"/>
        <v>82.2</v>
      </c>
      <c r="L978" t="s">
        <v>27</v>
      </c>
      <c r="M978" t="s">
        <v>41</v>
      </c>
      <c r="N978">
        <v>21</v>
      </c>
      <c r="O978" t="s">
        <v>48</v>
      </c>
      <c r="P978" t="s">
        <v>26</v>
      </c>
      <c r="Q978" t="s">
        <v>30</v>
      </c>
      <c r="R978">
        <v>636</v>
      </c>
      <c r="S978">
        <v>79.5</v>
      </c>
      <c r="T978" t="s">
        <v>33</v>
      </c>
      <c r="U978" t="s">
        <v>32</v>
      </c>
      <c r="V978" t="s">
        <v>33</v>
      </c>
      <c r="W978" t="s">
        <v>49</v>
      </c>
      <c r="X978" t="s">
        <v>96</v>
      </c>
      <c r="Y978" t="s">
        <v>58</v>
      </c>
      <c r="Z978" t="s">
        <v>44</v>
      </c>
      <c r="AA978" t="s">
        <v>249</v>
      </c>
      <c r="AB978" t="s">
        <v>46</v>
      </c>
      <c r="AC978">
        <f>IF(Cdacdata[[#This Row],[placement_status]]="Placed",1,0)</f>
        <v>1</v>
      </c>
      <c r="AD978" t="s">
        <v>244</v>
      </c>
      <c r="AE978" t="s">
        <v>38</v>
      </c>
      <c r="AF978" t="s">
        <v>57</v>
      </c>
      <c r="AG978">
        <v>2021</v>
      </c>
      <c r="AH978" t="s">
        <v>40</v>
      </c>
      <c r="AI978" t="str">
        <f>IF(Cdacdata[ccat_rank]&lt;=100,"Top 100",
IF(Cdacdata[ccat_rank]&lt;=500,"101–500",
IF(Cdacdata[ccat_rank]&lt;=1000,"501–1000",
"1000+")))</f>
        <v>1000+</v>
      </c>
    </row>
    <row r="979" spans="1:35" x14ac:dyDescent="0.3">
      <c r="A979" s="1" t="s">
        <v>242</v>
      </c>
      <c r="B979">
        <v>210708235</v>
      </c>
      <c r="C979" s="2">
        <v>44455</v>
      </c>
      <c r="D979" s="2" t="s">
        <v>1215</v>
      </c>
      <c r="E979">
        <v>1788</v>
      </c>
      <c r="F979" s="2" t="s">
        <v>331</v>
      </c>
      <c r="G979">
        <v>82.61</v>
      </c>
      <c r="H979">
        <v>70.17</v>
      </c>
      <c r="I979" t="s">
        <v>26</v>
      </c>
      <c r="J979">
        <v>74</v>
      </c>
      <c r="K979" s="3">
        <f t="shared" si="15"/>
        <v>75.593333333333334</v>
      </c>
      <c r="L979" t="s">
        <v>27</v>
      </c>
      <c r="M979" t="s">
        <v>41</v>
      </c>
      <c r="N979">
        <v>27</v>
      </c>
      <c r="O979" t="s">
        <v>28</v>
      </c>
      <c r="P979" t="s">
        <v>26</v>
      </c>
      <c r="Q979" t="s">
        <v>30</v>
      </c>
      <c r="R979">
        <v>591</v>
      </c>
      <c r="S979">
        <v>73.875</v>
      </c>
      <c r="T979" t="s">
        <v>49</v>
      </c>
      <c r="U979" t="s">
        <v>32</v>
      </c>
      <c r="V979" t="s">
        <v>49</v>
      </c>
      <c r="W979" t="s">
        <v>49</v>
      </c>
      <c r="X979" t="s">
        <v>96</v>
      </c>
      <c r="Y979" t="s">
        <v>58</v>
      </c>
      <c r="Z979" t="s">
        <v>44</v>
      </c>
      <c r="AA979" t="s">
        <v>249</v>
      </c>
      <c r="AB979" t="s">
        <v>46</v>
      </c>
      <c r="AC979">
        <f>IF(Cdacdata[[#This Row],[placement_status]]="Placed",1,0)</f>
        <v>1</v>
      </c>
      <c r="AD979" t="s">
        <v>244</v>
      </c>
      <c r="AE979" t="s">
        <v>47</v>
      </c>
      <c r="AF979" t="s">
        <v>55</v>
      </c>
      <c r="AG979">
        <v>2021</v>
      </c>
      <c r="AH979" t="s">
        <v>40</v>
      </c>
      <c r="AI979" t="str">
        <f>IF(Cdacdata[ccat_rank]&lt;=100,"Top 100",
IF(Cdacdata[ccat_rank]&lt;=500,"101–500",
IF(Cdacdata[ccat_rank]&lt;=1000,"501–1000",
"1000+")))</f>
        <v>1000+</v>
      </c>
    </row>
    <row r="980" spans="1:35" x14ac:dyDescent="0.3">
      <c r="A980" s="1" t="s">
        <v>242</v>
      </c>
      <c r="B980">
        <v>210714996</v>
      </c>
      <c r="C980" s="2">
        <v>44457</v>
      </c>
      <c r="D980" s="2" t="s">
        <v>1216</v>
      </c>
      <c r="E980">
        <v>2601</v>
      </c>
      <c r="F980" s="2" t="s">
        <v>332</v>
      </c>
      <c r="G980">
        <v>68</v>
      </c>
      <c r="H980">
        <v>65</v>
      </c>
      <c r="I980" t="s">
        <v>26</v>
      </c>
      <c r="J980">
        <v>60.86</v>
      </c>
      <c r="K980" s="3">
        <f t="shared" si="15"/>
        <v>64.62</v>
      </c>
      <c r="L980" t="s">
        <v>27</v>
      </c>
      <c r="M980" t="s">
        <v>41</v>
      </c>
      <c r="N980">
        <v>36</v>
      </c>
      <c r="O980" t="s">
        <v>28</v>
      </c>
      <c r="P980" t="s">
        <v>56</v>
      </c>
      <c r="Q980" t="s">
        <v>30</v>
      </c>
      <c r="R980">
        <v>628</v>
      </c>
      <c r="S980">
        <v>78.5</v>
      </c>
      <c r="T980" t="s">
        <v>49</v>
      </c>
      <c r="U980" t="s">
        <v>32</v>
      </c>
      <c r="V980" t="s">
        <v>49</v>
      </c>
      <c r="W980" t="s">
        <v>49</v>
      </c>
      <c r="X980" t="s">
        <v>96</v>
      </c>
      <c r="Y980" t="s">
        <v>58</v>
      </c>
      <c r="Z980" t="s">
        <v>44</v>
      </c>
      <c r="AA980" t="s">
        <v>333</v>
      </c>
      <c r="AB980" t="s">
        <v>46</v>
      </c>
      <c r="AC980">
        <f>IF(Cdacdata[[#This Row],[placement_status]]="Placed",1,0)</f>
        <v>1</v>
      </c>
      <c r="AD980" t="s">
        <v>244</v>
      </c>
      <c r="AE980" t="s">
        <v>38</v>
      </c>
      <c r="AF980" t="s">
        <v>69</v>
      </c>
      <c r="AG980">
        <v>2021</v>
      </c>
      <c r="AH980" t="s">
        <v>40</v>
      </c>
      <c r="AI980" t="str">
        <f>IF(Cdacdata[ccat_rank]&lt;=100,"Top 100",
IF(Cdacdata[ccat_rank]&lt;=500,"101–500",
IF(Cdacdata[ccat_rank]&lt;=1000,"501–1000",
"1000+")))</f>
        <v>1000+</v>
      </c>
    </row>
    <row r="981" spans="1:35" x14ac:dyDescent="0.3">
      <c r="A981" s="1" t="s">
        <v>242</v>
      </c>
      <c r="B981">
        <v>210702164</v>
      </c>
      <c r="C981" s="2">
        <v>44454</v>
      </c>
      <c r="D981" s="2" t="s">
        <v>1217</v>
      </c>
      <c r="E981">
        <v>2742</v>
      </c>
      <c r="F981" s="2">
        <v>35282</v>
      </c>
      <c r="G981">
        <v>85.5</v>
      </c>
      <c r="H981">
        <v>67.599999999999994</v>
      </c>
      <c r="I981" t="s">
        <v>26</v>
      </c>
      <c r="J981">
        <v>66.2</v>
      </c>
      <c r="K981" s="3">
        <f t="shared" si="15"/>
        <v>73.100000000000009</v>
      </c>
      <c r="L981" t="s">
        <v>27</v>
      </c>
      <c r="M981" t="s">
        <v>27</v>
      </c>
      <c r="N981">
        <v>25</v>
      </c>
      <c r="O981" t="s">
        <v>28</v>
      </c>
      <c r="P981" t="s">
        <v>56</v>
      </c>
      <c r="Q981" t="s">
        <v>43</v>
      </c>
      <c r="R981">
        <v>616</v>
      </c>
      <c r="S981">
        <v>77</v>
      </c>
      <c r="T981" t="s">
        <v>49</v>
      </c>
      <c r="U981" t="s">
        <v>32</v>
      </c>
      <c r="V981" t="s">
        <v>49</v>
      </c>
      <c r="W981" t="s">
        <v>49</v>
      </c>
      <c r="X981" t="s">
        <v>96</v>
      </c>
      <c r="Y981" t="s">
        <v>58</v>
      </c>
      <c r="Z981" t="s">
        <v>44</v>
      </c>
      <c r="AA981" t="s">
        <v>128</v>
      </c>
      <c r="AB981" t="s">
        <v>46</v>
      </c>
      <c r="AC981">
        <f>IF(Cdacdata[[#This Row],[placement_status]]="Placed",1,0)</f>
        <v>1</v>
      </c>
      <c r="AD981" t="s">
        <v>244</v>
      </c>
      <c r="AE981" t="s">
        <v>38</v>
      </c>
      <c r="AF981" t="s">
        <v>39</v>
      </c>
      <c r="AG981">
        <v>2021</v>
      </c>
      <c r="AH981" t="s">
        <v>40</v>
      </c>
      <c r="AI981" t="str">
        <f>IF(Cdacdata[ccat_rank]&lt;=100,"Top 100",
IF(Cdacdata[ccat_rank]&lt;=500,"101–500",
IF(Cdacdata[ccat_rank]&lt;=1000,"501–1000",
"1000+")))</f>
        <v>1000+</v>
      </c>
    </row>
    <row r="982" spans="1:35" x14ac:dyDescent="0.3">
      <c r="A982" s="1" t="s">
        <v>242</v>
      </c>
      <c r="B982">
        <v>210707938</v>
      </c>
      <c r="C982" s="2">
        <v>44454</v>
      </c>
      <c r="D982" s="2" t="s">
        <v>1218</v>
      </c>
      <c r="E982">
        <v>2881</v>
      </c>
      <c r="F982" s="2">
        <v>35950</v>
      </c>
      <c r="G982">
        <v>85.4</v>
      </c>
      <c r="H982" t="s">
        <v>26</v>
      </c>
      <c r="I982">
        <v>79.38</v>
      </c>
      <c r="J982">
        <v>65.47</v>
      </c>
      <c r="K982" s="3">
        <f t="shared" si="15"/>
        <v>76.75</v>
      </c>
      <c r="L982" t="s">
        <v>27</v>
      </c>
      <c r="M982" t="s">
        <v>41</v>
      </c>
      <c r="N982">
        <v>23</v>
      </c>
      <c r="O982" t="s">
        <v>28</v>
      </c>
      <c r="P982" t="s">
        <v>60</v>
      </c>
      <c r="Q982" t="s">
        <v>26</v>
      </c>
      <c r="R982">
        <v>682</v>
      </c>
      <c r="S982">
        <v>85.25</v>
      </c>
      <c r="T982" t="s">
        <v>33</v>
      </c>
      <c r="U982" t="s">
        <v>32</v>
      </c>
      <c r="V982" t="s">
        <v>33</v>
      </c>
      <c r="W982" t="s">
        <v>49</v>
      </c>
      <c r="X982" t="s">
        <v>96</v>
      </c>
      <c r="Y982" t="s">
        <v>94</v>
      </c>
      <c r="Z982" t="s">
        <v>44</v>
      </c>
      <c r="AA982" t="s">
        <v>243</v>
      </c>
      <c r="AB982" t="s">
        <v>46</v>
      </c>
      <c r="AC982">
        <f>IF(Cdacdata[[#This Row],[placement_status]]="Placed",1,0)</f>
        <v>1</v>
      </c>
      <c r="AD982" t="s">
        <v>244</v>
      </c>
      <c r="AE982" t="s">
        <v>38</v>
      </c>
      <c r="AF982" t="s">
        <v>39</v>
      </c>
      <c r="AG982">
        <v>2021</v>
      </c>
      <c r="AH982" t="s">
        <v>40</v>
      </c>
      <c r="AI982" t="str">
        <f>IF(Cdacdata[ccat_rank]&lt;=100,"Top 100",
IF(Cdacdata[ccat_rank]&lt;=500,"101–500",
IF(Cdacdata[ccat_rank]&lt;=1000,"501–1000",
"1000+")))</f>
        <v>1000+</v>
      </c>
    </row>
    <row r="983" spans="1:35" x14ac:dyDescent="0.3">
      <c r="A983" s="1" t="s">
        <v>242</v>
      </c>
      <c r="B983">
        <v>210700575</v>
      </c>
      <c r="C983" s="2">
        <v>44455</v>
      </c>
      <c r="D983" s="2" t="s">
        <v>1219</v>
      </c>
      <c r="E983">
        <v>3256</v>
      </c>
      <c r="F983" s="2" t="s">
        <v>334</v>
      </c>
      <c r="G983">
        <v>80.2</v>
      </c>
      <c r="H983">
        <v>52.62</v>
      </c>
      <c r="I983">
        <v>69.349999999999994</v>
      </c>
      <c r="J983">
        <v>72.400000000000006</v>
      </c>
      <c r="K983" s="3">
        <f t="shared" si="15"/>
        <v>68.642499999999998</v>
      </c>
      <c r="L983" t="s">
        <v>27</v>
      </c>
      <c r="M983" t="s">
        <v>27</v>
      </c>
      <c r="N983">
        <v>24</v>
      </c>
      <c r="O983" t="s">
        <v>28</v>
      </c>
      <c r="P983" t="s">
        <v>26</v>
      </c>
      <c r="Q983" t="s">
        <v>30</v>
      </c>
      <c r="R983">
        <v>473</v>
      </c>
      <c r="S983">
        <v>59.125</v>
      </c>
      <c r="T983" t="s">
        <v>33</v>
      </c>
      <c r="U983" t="s">
        <v>32</v>
      </c>
      <c r="V983" t="s">
        <v>33</v>
      </c>
      <c r="W983" t="s">
        <v>31</v>
      </c>
      <c r="X983" t="s">
        <v>96</v>
      </c>
      <c r="Y983" t="s">
        <v>35</v>
      </c>
      <c r="Z983" t="s">
        <v>36</v>
      </c>
      <c r="AA983" t="s">
        <v>1268</v>
      </c>
      <c r="AB983" t="s">
        <v>36</v>
      </c>
      <c r="AC983">
        <f>IF(Cdacdata[[#This Row],[placement_status]]="Placed",1,0)</f>
        <v>0</v>
      </c>
      <c r="AD983" t="s">
        <v>244</v>
      </c>
      <c r="AE983" t="s">
        <v>98</v>
      </c>
      <c r="AF983" t="s">
        <v>39</v>
      </c>
      <c r="AG983">
        <v>2021</v>
      </c>
      <c r="AH983" t="s">
        <v>40</v>
      </c>
      <c r="AI983" t="str">
        <f>IF(Cdacdata[ccat_rank]&lt;=100,"Top 100",
IF(Cdacdata[ccat_rank]&lt;=500,"101–500",
IF(Cdacdata[ccat_rank]&lt;=1000,"501–1000",
"1000+")))</f>
        <v>1000+</v>
      </c>
    </row>
    <row r="984" spans="1:35" x14ac:dyDescent="0.3">
      <c r="A984" s="1" t="s">
        <v>242</v>
      </c>
      <c r="B984">
        <v>210714433</v>
      </c>
      <c r="C984" s="2">
        <v>44454</v>
      </c>
      <c r="D984" s="2" t="s">
        <v>1220</v>
      </c>
      <c r="E984">
        <v>2201</v>
      </c>
      <c r="F984" s="2" t="s">
        <v>335</v>
      </c>
      <c r="G984">
        <v>78.8</v>
      </c>
      <c r="H984" t="s">
        <v>26</v>
      </c>
      <c r="I984">
        <v>56.46</v>
      </c>
      <c r="J984">
        <v>78.69</v>
      </c>
      <c r="K984" s="3">
        <f t="shared" si="15"/>
        <v>71.316666666666663</v>
      </c>
      <c r="L984" t="s">
        <v>27</v>
      </c>
      <c r="M984" t="s">
        <v>41</v>
      </c>
      <c r="N984">
        <v>25</v>
      </c>
      <c r="O984" t="s">
        <v>48</v>
      </c>
      <c r="P984" t="s">
        <v>26</v>
      </c>
      <c r="Q984" t="s">
        <v>30</v>
      </c>
      <c r="R984">
        <v>561</v>
      </c>
      <c r="S984">
        <v>70.125</v>
      </c>
      <c r="T984" t="s">
        <v>31</v>
      </c>
      <c r="U984" t="s">
        <v>32</v>
      </c>
      <c r="V984" t="s">
        <v>31</v>
      </c>
      <c r="W984" t="s">
        <v>33</v>
      </c>
      <c r="X984" t="s">
        <v>96</v>
      </c>
      <c r="Y984" t="s">
        <v>58</v>
      </c>
      <c r="Z984" t="s">
        <v>36</v>
      </c>
      <c r="AA984" t="s">
        <v>1268</v>
      </c>
      <c r="AB984" t="s">
        <v>36</v>
      </c>
      <c r="AC984">
        <f>IF(Cdacdata[[#This Row],[placement_status]]="Placed",1,0)</f>
        <v>0</v>
      </c>
      <c r="AD984" t="s">
        <v>244</v>
      </c>
      <c r="AE984" t="s">
        <v>38</v>
      </c>
      <c r="AF984" t="s">
        <v>39</v>
      </c>
      <c r="AG984">
        <v>2021</v>
      </c>
      <c r="AH984" t="s">
        <v>40</v>
      </c>
      <c r="AI984" t="str">
        <f>IF(Cdacdata[ccat_rank]&lt;=100,"Top 100",
IF(Cdacdata[ccat_rank]&lt;=500,"101–500",
IF(Cdacdata[ccat_rank]&lt;=1000,"501–1000",
"1000+")))</f>
        <v>1000+</v>
      </c>
    </row>
    <row r="985" spans="1:35" x14ac:dyDescent="0.3">
      <c r="A985" s="1" t="s">
        <v>242</v>
      </c>
      <c r="B985">
        <v>210707624</v>
      </c>
      <c r="C985" s="2">
        <v>44455</v>
      </c>
      <c r="D985" s="2" t="s">
        <v>1221</v>
      </c>
      <c r="E985">
        <v>834</v>
      </c>
      <c r="F985" s="2" t="s">
        <v>336</v>
      </c>
      <c r="G985">
        <v>86.6</v>
      </c>
      <c r="H985">
        <v>64.459999999999994</v>
      </c>
      <c r="I985" t="s">
        <v>26</v>
      </c>
      <c r="J985">
        <v>71.41</v>
      </c>
      <c r="K985" s="3">
        <f t="shared" si="15"/>
        <v>74.156666666666666</v>
      </c>
      <c r="L985" t="s">
        <v>27</v>
      </c>
      <c r="M985" t="s">
        <v>41</v>
      </c>
      <c r="N985">
        <v>22</v>
      </c>
      <c r="O985" t="s">
        <v>28</v>
      </c>
      <c r="P985" t="s">
        <v>26</v>
      </c>
      <c r="Q985" t="s">
        <v>30</v>
      </c>
      <c r="R985">
        <v>648</v>
      </c>
      <c r="S985">
        <v>81</v>
      </c>
      <c r="T985" t="s">
        <v>33</v>
      </c>
      <c r="U985" t="s">
        <v>32</v>
      </c>
      <c r="V985" t="s">
        <v>33</v>
      </c>
      <c r="W985" t="s">
        <v>49</v>
      </c>
      <c r="X985" t="s">
        <v>96</v>
      </c>
      <c r="Y985" t="s">
        <v>58</v>
      </c>
      <c r="Z985" t="s">
        <v>44</v>
      </c>
      <c r="AA985" t="s">
        <v>337</v>
      </c>
      <c r="AB985" t="s">
        <v>46</v>
      </c>
      <c r="AC985">
        <f>IF(Cdacdata[[#This Row],[placement_status]]="Placed",1,0)</f>
        <v>1</v>
      </c>
      <c r="AD985" t="s">
        <v>244</v>
      </c>
      <c r="AE985" t="s">
        <v>75</v>
      </c>
      <c r="AF985" t="s">
        <v>57</v>
      </c>
      <c r="AG985">
        <v>2021</v>
      </c>
      <c r="AH985" t="s">
        <v>40</v>
      </c>
      <c r="AI985" t="str">
        <f>IF(Cdacdata[ccat_rank]&lt;=100,"Top 100",
IF(Cdacdata[ccat_rank]&lt;=500,"101–500",
IF(Cdacdata[ccat_rank]&lt;=1000,"501–1000",
"1000+")))</f>
        <v>501–1000</v>
      </c>
    </row>
    <row r="986" spans="1:35" x14ac:dyDescent="0.3">
      <c r="A986" s="1" t="s">
        <v>242</v>
      </c>
      <c r="B986">
        <v>210700108</v>
      </c>
      <c r="C986" s="2">
        <v>44455</v>
      </c>
      <c r="D986" s="2" t="s">
        <v>1222</v>
      </c>
      <c r="E986">
        <v>2726</v>
      </c>
      <c r="F986" s="2">
        <v>35226</v>
      </c>
      <c r="G986">
        <v>85.64</v>
      </c>
      <c r="H986" t="s">
        <v>26</v>
      </c>
      <c r="I986">
        <v>75</v>
      </c>
      <c r="J986">
        <v>88.1</v>
      </c>
      <c r="K986" s="3">
        <f t="shared" si="15"/>
        <v>82.913333333333327</v>
      </c>
      <c r="L986" t="s">
        <v>27</v>
      </c>
      <c r="M986" t="s">
        <v>41</v>
      </c>
      <c r="N986">
        <v>24</v>
      </c>
      <c r="O986" t="s">
        <v>48</v>
      </c>
      <c r="P986" t="s">
        <v>42</v>
      </c>
      <c r="Q986" t="s">
        <v>43</v>
      </c>
      <c r="R986">
        <v>588</v>
      </c>
      <c r="S986">
        <v>73.5</v>
      </c>
      <c r="T986" t="s">
        <v>33</v>
      </c>
      <c r="U986" t="s">
        <v>32</v>
      </c>
      <c r="V986" t="s">
        <v>33</v>
      </c>
      <c r="W986" t="s">
        <v>49</v>
      </c>
      <c r="X986" t="s">
        <v>96</v>
      </c>
      <c r="Y986" t="s">
        <v>58</v>
      </c>
      <c r="Z986" t="s">
        <v>44</v>
      </c>
      <c r="AA986" t="s">
        <v>154</v>
      </c>
      <c r="AB986" t="s">
        <v>46</v>
      </c>
      <c r="AC986">
        <f>IF(Cdacdata[[#This Row],[placement_status]]="Placed",1,0)</f>
        <v>1</v>
      </c>
      <c r="AD986" t="s">
        <v>244</v>
      </c>
      <c r="AE986" t="s">
        <v>38</v>
      </c>
      <c r="AF986" t="s">
        <v>39</v>
      </c>
      <c r="AG986">
        <v>2021</v>
      </c>
      <c r="AH986" t="s">
        <v>40</v>
      </c>
      <c r="AI986" t="str">
        <f>IF(Cdacdata[ccat_rank]&lt;=100,"Top 100",
IF(Cdacdata[ccat_rank]&lt;=500,"101–500",
IF(Cdacdata[ccat_rank]&lt;=1000,"501–1000",
"1000+")))</f>
        <v>1000+</v>
      </c>
    </row>
    <row r="987" spans="1:35" x14ac:dyDescent="0.3">
      <c r="A987" s="1" t="s">
        <v>242</v>
      </c>
      <c r="B987">
        <v>210701599</v>
      </c>
      <c r="C987" s="2">
        <v>44454</v>
      </c>
      <c r="D987" s="2" t="s">
        <v>1223</v>
      </c>
      <c r="E987">
        <v>2770</v>
      </c>
      <c r="F987" s="2">
        <v>35318</v>
      </c>
      <c r="G987">
        <v>81.45</v>
      </c>
      <c r="H987" t="s">
        <v>26</v>
      </c>
      <c r="I987">
        <v>78.88</v>
      </c>
      <c r="J987">
        <v>74.900000000000006</v>
      </c>
      <c r="K987" s="3">
        <f t="shared" si="15"/>
        <v>78.41</v>
      </c>
      <c r="L987" t="s">
        <v>27</v>
      </c>
      <c r="M987" t="s">
        <v>41</v>
      </c>
      <c r="N987">
        <v>24</v>
      </c>
      <c r="O987" t="s">
        <v>62</v>
      </c>
      <c r="P987" t="s">
        <v>26</v>
      </c>
      <c r="Q987" t="s">
        <v>30</v>
      </c>
      <c r="R987">
        <v>563</v>
      </c>
      <c r="S987">
        <v>70.375</v>
      </c>
      <c r="T987" t="s">
        <v>49</v>
      </c>
      <c r="U987" t="s">
        <v>32</v>
      </c>
      <c r="V987" t="s">
        <v>49</v>
      </c>
      <c r="W987" t="s">
        <v>33</v>
      </c>
      <c r="X987" t="s">
        <v>96</v>
      </c>
      <c r="Y987" t="s">
        <v>58</v>
      </c>
      <c r="Z987" t="s">
        <v>44</v>
      </c>
      <c r="AA987" t="s">
        <v>176</v>
      </c>
      <c r="AB987" t="s">
        <v>46</v>
      </c>
      <c r="AC987">
        <f>IF(Cdacdata[[#This Row],[placement_status]]="Placed",1,0)</f>
        <v>1</v>
      </c>
      <c r="AD987" t="s">
        <v>244</v>
      </c>
      <c r="AE987" t="s">
        <v>38</v>
      </c>
      <c r="AF987" t="s">
        <v>39</v>
      </c>
      <c r="AG987">
        <v>2021</v>
      </c>
      <c r="AH987" t="s">
        <v>40</v>
      </c>
      <c r="AI987" t="str">
        <f>IF(Cdacdata[ccat_rank]&lt;=100,"Top 100",
IF(Cdacdata[ccat_rank]&lt;=500,"101–500",
IF(Cdacdata[ccat_rank]&lt;=1000,"501–1000",
"1000+")))</f>
        <v>1000+</v>
      </c>
    </row>
    <row r="988" spans="1:35" x14ac:dyDescent="0.3">
      <c r="A988" s="1" t="s">
        <v>242</v>
      </c>
      <c r="B988">
        <v>210709200</v>
      </c>
      <c r="C988" s="2"/>
      <c r="D988" s="2"/>
      <c r="E988" t="s">
        <v>63</v>
      </c>
      <c r="G988">
        <v>0</v>
      </c>
      <c r="H988">
        <v>0</v>
      </c>
      <c r="I988">
        <v>0</v>
      </c>
      <c r="J988">
        <v>0</v>
      </c>
      <c r="K988" s="3">
        <f t="shared" si="15"/>
        <v>0</v>
      </c>
      <c r="L988" t="s">
        <v>27</v>
      </c>
      <c r="M988" t="s">
        <v>27</v>
      </c>
      <c r="N988">
        <v>23</v>
      </c>
      <c r="O988" t="s">
        <v>373</v>
      </c>
      <c r="P988" t="s">
        <v>26</v>
      </c>
      <c r="Q988" t="s">
        <v>374</v>
      </c>
      <c r="R988">
        <v>569</v>
      </c>
      <c r="S988">
        <v>71.125</v>
      </c>
      <c r="T988" t="s">
        <v>33</v>
      </c>
      <c r="U988" t="s">
        <v>32</v>
      </c>
      <c r="V988" t="s">
        <v>33</v>
      </c>
      <c r="W988" t="s">
        <v>33</v>
      </c>
      <c r="X988" t="s">
        <v>96</v>
      </c>
      <c r="Y988" t="s">
        <v>58</v>
      </c>
      <c r="Z988" t="s">
        <v>44</v>
      </c>
      <c r="AA988" t="s">
        <v>249</v>
      </c>
      <c r="AB988" t="s">
        <v>46</v>
      </c>
      <c r="AC988">
        <f>IF(Cdacdata[[#This Row],[placement_status]]="Placed",1,0)</f>
        <v>1</v>
      </c>
      <c r="AD988" t="s">
        <v>244</v>
      </c>
      <c r="AE988" t="s">
        <v>63</v>
      </c>
      <c r="AF988" t="s">
        <v>63</v>
      </c>
      <c r="AG988">
        <v>2021</v>
      </c>
      <c r="AH988" t="s">
        <v>40</v>
      </c>
      <c r="AI988" t="str">
        <f>IF(Cdacdata[ccat_rank]&lt;=100,"Top 100",
IF(Cdacdata[ccat_rank]&lt;=500,"101–500",
IF(Cdacdata[ccat_rank]&lt;=1000,"501–1000",
"1000+")))</f>
        <v>1000+</v>
      </c>
    </row>
    <row r="989" spans="1:35" x14ac:dyDescent="0.3">
      <c r="A989" s="1" t="s">
        <v>242</v>
      </c>
      <c r="B989">
        <v>210701686</v>
      </c>
      <c r="C989" s="2">
        <v>44455</v>
      </c>
      <c r="D989" s="2" t="s">
        <v>1224</v>
      </c>
      <c r="E989">
        <v>2669</v>
      </c>
      <c r="F989" s="2" t="s">
        <v>338</v>
      </c>
      <c r="G989">
        <v>88</v>
      </c>
      <c r="H989">
        <v>68</v>
      </c>
      <c r="I989" t="s">
        <v>26</v>
      </c>
      <c r="J989">
        <v>58</v>
      </c>
      <c r="K989" s="3">
        <f t="shared" si="15"/>
        <v>71.333333333333329</v>
      </c>
      <c r="L989" t="s">
        <v>27</v>
      </c>
      <c r="M989" t="s">
        <v>41</v>
      </c>
      <c r="N989">
        <v>24</v>
      </c>
      <c r="O989" t="s">
        <v>72</v>
      </c>
      <c r="P989" t="s">
        <v>26</v>
      </c>
      <c r="Q989" t="s">
        <v>43</v>
      </c>
      <c r="R989">
        <v>568</v>
      </c>
      <c r="S989">
        <v>71</v>
      </c>
      <c r="T989" t="s">
        <v>49</v>
      </c>
      <c r="U989" t="s">
        <v>32</v>
      </c>
      <c r="V989" t="s">
        <v>49</v>
      </c>
      <c r="W989" t="s">
        <v>49</v>
      </c>
      <c r="X989" t="s">
        <v>96</v>
      </c>
      <c r="Y989" t="s">
        <v>58</v>
      </c>
      <c r="Z989" t="s">
        <v>44</v>
      </c>
      <c r="AA989" t="s">
        <v>156</v>
      </c>
      <c r="AB989" t="s">
        <v>46</v>
      </c>
      <c r="AC989">
        <f>IF(Cdacdata[[#This Row],[placement_status]]="Placed",1,0)</f>
        <v>1</v>
      </c>
      <c r="AD989" t="s">
        <v>244</v>
      </c>
      <c r="AE989" t="s">
        <v>38</v>
      </c>
      <c r="AF989" t="s">
        <v>39</v>
      </c>
      <c r="AG989">
        <v>2021</v>
      </c>
      <c r="AH989" t="s">
        <v>40</v>
      </c>
      <c r="AI989" t="str">
        <f>IF(Cdacdata[ccat_rank]&lt;=100,"Top 100",
IF(Cdacdata[ccat_rank]&lt;=500,"101–500",
IF(Cdacdata[ccat_rank]&lt;=1000,"501–1000",
"1000+")))</f>
        <v>1000+</v>
      </c>
    </row>
    <row r="990" spans="1:35" x14ac:dyDescent="0.3">
      <c r="A990" s="1" t="s">
        <v>242</v>
      </c>
      <c r="B990">
        <v>210700634</v>
      </c>
      <c r="C990" s="2">
        <v>44454</v>
      </c>
      <c r="D990" s="2" t="s">
        <v>1225</v>
      </c>
      <c r="E990">
        <v>3300</v>
      </c>
      <c r="F990" s="2" t="s">
        <v>339</v>
      </c>
      <c r="G990">
        <v>82.5</v>
      </c>
      <c r="H990" t="s">
        <v>26</v>
      </c>
      <c r="I990" t="s">
        <v>26</v>
      </c>
      <c r="J990">
        <v>63.3</v>
      </c>
      <c r="K990" s="3">
        <f t="shared" si="15"/>
        <v>72.900000000000006</v>
      </c>
      <c r="L990" t="s">
        <v>27</v>
      </c>
      <c r="M990" t="s">
        <v>27</v>
      </c>
      <c r="N990">
        <v>24</v>
      </c>
      <c r="O990" t="s">
        <v>28</v>
      </c>
      <c r="P990" t="s">
        <v>26</v>
      </c>
      <c r="Q990" t="s">
        <v>26</v>
      </c>
      <c r="R990">
        <v>577</v>
      </c>
      <c r="S990">
        <v>72.125</v>
      </c>
      <c r="T990" t="s">
        <v>33</v>
      </c>
      <c r="U990" t="s">
        <v>32</v>
      </c>
      <c r="V990" t="s">
        <v>33</v>
      </c>
      <c r="W990" t="s">
        <v>49</v>
      </c>
      <c r="X990" t="s">
        <v>96</v>
      </c>
      <c r="Y990" t="s">
        <v>58</v>
      </c>
      <c r="Z990" t="s">
        <v>44</v>
      </c>
      <c r="AA990" t="s">
        <v>337</v>
      </c>
      <c r="AB990" t="s">
        <v>46</v>
      </c>
      <c r="AC990">
        <f>IF(Cdacdata[[#This Row],[placement_status]]="Placed",1,0)</f>
        <v>1</v>
      </c>
      <c r="AD990" t="s">
        <v>244</v>
      </c>
      <c r="AE990" t="s">
        <v>98</v>
      </c>
      <c r="AF990" t="s">
        <v>39</v>
      </c>
      <c r="AG990">
        <v>2021</v>
      </c>
      <c r="AH990" t="s">
        <v>40</v>
      </c>
      <c r="AI990" t="str">
        <f>IF(Cdacdata[ccat_rank]&lt;=100,"Top 100",
IF(Cdacdata[ccat_rank]&lt;=500,"101–500",
IF(Cdacdata[ccat_rank]&lt;=1000,"501–1000",
"1000+")))</f>
        <v>1000+</v>
      </c>
    </row>
    <row r="991" spans="1:35" x14ac:dyDescent="0.3">
      <c r="A991" s="1" t="s">
        <v>242</v>
      </c>
      <c r="B991">
        <v>210713845</v>
      </c>
      <c r="C991" s="2">
        <v>44454</v>
      </c>
      <c r="D991" s="2" t="s">
        <v>1226</v>
      </c>
      <c r="E991">
        <v>2263</v>
      </c>
      <c r="F991" s="2" t="s">
        <v>340</v>
      </c>
      <c r="G991">
        <v>72.2</v>
      </c>
      <c r="H991" t="s">
        <v>26</v>
      </c>
      <c r="I991">
        <v>67.760000000000005</v>
      </c>
      <c r="J991">
        <v>60.14</v>
      </c>
      <c r="K991" s="3">
        <f t="shared" si="15"/>
        <v>66.7</v>
      </c>
      <c r="L991" t="s">
        <v>27</v>
      </c>
      <c r="M991" t="s">
        <v>41</v>
      </c>
      <c r="N991">
        <v>24</v>
      </c>
      <c r="O991" t="s">
        <v>28</v>
      </c>
      <c r="P991" t="s">
        <v>26</v>
      </c>
      <c r="Q991" t="s">
        <v>26</v>
      </c>
      <c r="R991">
        <v>555</v>
      </c>
      <c r="S991">
        <v>69.375</v>
      </c>
      <c r="T991" t="s">
        <v>49</v>
      </c>
      <c r="U991" t="s">
        <v>32</v>
      </c>
      <c r="V991" t="s">
        <v>49</v>
      </c>
      <c r="W991" t="s">
        <v>33</v>
      </c>
      <c r="X991" t="s">
        <v>96</v>
      </c>
      <c r="Y991" t="s">
        <v>50</v>
      </c>
      <c r="Z991" t="s">
        <v>44</v>
      </c>
      <c r="AA991" t="s">
        <v>154</v>
      </c>
      <c r="AB991" t="s">
        <v>46</v>
      </c>
      <c r="AC991">
        <f>IF(Cdacdata[[#This Row],[placement_status]]="Placed",1,0)</f>
        <v>1</v>
      </c>
      <c r="AD991" t="s">
        <v>244</v>
      </c>
      <c r="AE991" t="s">
        <v>38</v>
      </c>
      <c r="AF991" t="s">
        <v>39</v>
      </c>
      <c r="AG991">
        <v>2021</v>
      </c>
      <c r="AH991" t="s">
        <v>40</v>
      </c>
      <c r="AI991" t="str">
        <f>IF(Cdacdata[ccat_rank]&lt;=100,"Top 100",
IF(Cdacdata[ccat_rank]&lt;=500,"101–500",
IF(Cdacdata[ccat_rank]&lt;=1000,"501–1000",
"1000+")))</f>
        <v>1000+</v>
      </c>
    </row>
    <row r="992" spans="1:35" x14ac:dyDescent="0.3">
      <c r="A992" s="1" t="s">
        <v>242</v>
      </c>
      <c r="B992">
        <v>210700320</v>
      </c>
      <c r="C992" s="2">
        <v>44455</v>
      </c>
      <c r="D992" s="2" t="s">
        <v>1227</v>
      </c>
      <c r="E992">
        <v>2580</v>
      </c>
      <c r="F992" s="2" t="s">
        <v>341</v>
      </c>
      <c r="G992">
        <v>75.27</v>
      </c>
      <c r="H992">
        <v>60.77</v>
      </c>
      <c r="I992" t="s">
        <v>26</v>
      </c>
      <c r="J992">
        <v>55.51</v>
      </c>
      <c r="K992" s="3">
        <f t="shared" si="15"/>
        <v>63.849999999999994</v>
      </c>
      <c r="L992" t="s">
        <v>27</v>
      </c>
      <c r="M992" t="s">
        <v>41</v>
      </c>
      <c r="N992">
        <v>24</v>
      </c>
      <c r="O992" t="s">
        <v>72</v>
      </c>
      <c r="P992" t="s">
        <v>26</v>
      </c>
      <c r="Q992" t="s">
        <v>26</v>
      </c>
      <c r="R992">
        <v>598</v>
      </c>
      <c r="S992">
        <v>74.75</v>
      </c>
      <c r="T992" t="s">
        <v>33</v>
      </c>
      <c r="U992" t="s">
        <v>32</v>
      </c>
      <c r="V992" t="s">
        <v>33</v>
      </c>
      <c r="W992" t="s">
        <v>49</v>
      </c>
      <c r="X992" t="s">
        <v>96</v>
      </c>
      <c r="Y992" t="s">
        <v>58</v>
      </c>
      <c r="Z992" t="s">
        <v>44</v>
      </c>
      <c r="AA992" t="s">
        <v>175</v>
      </c>
      <c r="AB992" t="s">
        <v>46</v>
      </c>
      <c r="AC992">
        <f>IF(Cdacdata[[#This Row],[placement_status]]="Placed",1,0)</f>
        <v>1</v>
      </c>
      <c r="AD992" t="s">
        <v>244</v>
      </c>
      <c r="AE992" t="s">
        <v>38</v>
      </c>
      <c r="AF992" t="s">
        <v>39</v>
      </c>
      <c r="AG992">
        <v>2021</v>
      </c>
      <c r="AH992" t="s">
        <v>40</v>
      </c>
      <c r="AI992" t="str">
        <f>IF(Cdacdata[ccat_rank]&lt;=100,"Top 100",
IF(Cdacdata[ccat_rank]&lt;=500,"101–500",
IF(Cdacdata[ccat_rank]&lt;=1000,"501–1000",
"1000+")))</f>
        <v>1000+</v>
      </c>
    </row>
    <row r="993" spans="1:35" x14ac:dyDescent="0.3">
      <c r="A993" s="1" t="s">
        <v>242</v>
      </c>
      <c r="B993">
        <v>210700868</v>
      </c>
      <c r="C993" s="2">
        <v>44454</v>
      </c>
      <c r="D993" s="2" t="s">
        <v>1228</v>
      </c>
      <c r="E993">
        <v>2908</v>
      </c>
      <c r="F993" s="2">
        <v>36351</v>
      </c>
      <c r="G993">
        <v>75</v>
      </c>
      <c r="H993">
        <v>70.77</v>
      </c>
      <c r="I993" t="s">
        <v>26</v>
      </c>
      <c r="J993">
        <v>75.94</v>
      </c>
      <c r="K993" s="3">
        <f t="shared" si="15"/>
        <v>73.903333333333322</v>
      </c>
      <c r="L993" t="s">
        <v>27</v>
      </c>
      <c r="M993" t="s">
        <v>27</v>
      </c>
      <c r="N993">
        <v>21</v>
      </c>
      <c r="O993" t="s">
        <v>48</v>
      </c>
      <c r="P993" t="s">
        <v>26</v>
      </c>
      <c r="Q993" t="s">
        <v>26</v>
      </c>
      <c r="R993">
        <v>663</v>
      </c>
      <c r="S993">
        <v>82.875</v>
      </c>
      <c r="T993" t="s">
        <v>33</v>
      </c>
      <c r="U993" t="s">
        <v>32</v>
      </c>
      <c r="V993" t="s">
        <v>33</v>
      </c>
      <c r="W993" t="s">
        <v>49</v>
      </c>
      <c r="X993" t="s">
        <v>96</v>
      </c>
      <c r="Y993" t="s">
        <v>58</v>
      </c>
      <c r="Z993" t="s">
        <v>44</v>
      </c>
      <c r="AA993" t="s">
        <v>257</v>
      </c>
      <c r="AB993" t="s">
        <v>46</v>
      </c>
      <c r="AC993">
        <f>IF(Cdacdata[[#This Row],[placement_status]]="Placed",1,0)</f>
        <v>1</v>
      </c>
      <c r="AD993" t="s">
        <v>244</v>
      </c>
      <c r="AE993" t="s">
        <v>38</v>
      </c>
      <c r="AF993" t="s">
        <v>57</v>
      </c>
      <c r="AG993">
        <v>2021</v>
      </c>
      <c r="AH993" t="s">
        <v>40</v>
      </c>
      <c r="AI993" t="str">
        <f>IF(Cdacdata[ccat_rank]&lt;=100,"Top 100",
IF(Cdacdata[ccat_rank]&lt;=500,"101–500",
IF(Cdacdata[ccat_rank]&lt;=1000,"501–1000",
"1000+")))</f>
        <v>1000+</v>
      </c>
    </row>
    <row r="994" spans="1:35" x14ac:dyDescent="0.3">
      <c r="A994" s="1" t="s">
        <v>242</v>
      </c>
      <c r="B994">
        <v>210701637</v>
      </c>
      <c r="C994" s="2">
        <v>44455</v>
      </c>
      <c r="D994" s="2" t="s">
        <v>1229</v>
      </c>
      <c r="E994">
        <v>2815</v>
      </c>
      <c r="F994" s="2">
        <v>35128</v>
      </c>
      <c r="G994">
        <v>71.2</v>
      </c>
      <c r="H994">
        <v>57.23</v>
      </c>
      <c r="I994" t="s">
        <v>26</v>
      </c>
      <c r="J994">
        <v>55.07</v>
      </c>
      <c r="K994" s="3">
        <f t="shared" si="15"/>
        <v>61.166666666666664</v>
      </c>
      <c r="L994" t="s">
        <v>27</v>
      </c>
      <c r="M994" t="s">
        <v>27</v>
      </c>
      <c r="N994">
        <v>25</v>
      </c>
      <c r="O994" t="s">
        <v>72</v>
      </c>
      <c r="P994" t="s">
        <v>65</v>
      </c>
      <c r="Q994" t="s">
        <v>30</v>
      </c>
      <c r="R994">
        <v>528</v>
      </c>
      <c r="S994">
        <v>66</v>
      </c>
      <c r="T994" t="s">
        <v>31</v>
      </c>
      <c r="U994" t="s">
        <v>32</v>
      </c>
      <c r="V994" t="s">
        <v>31</v>
      </c>
      <c r="W994" t="s">
        <v>33</v>
      </c>
      <c r="X994" t="s">
        <v>96</v>
      </c>
      <c r="Y994" t="s">
        <v>50</v>
      </c>
      <c r="Z994" t="s">
        <v>44</v>
      </c>
      <c r="AA994" t="s">
        <v>249</v>
      </c>
      <c r="AB994" t="s">
        <v>46</v>
      </c>
      <c r="AC994">
        <f>IF(Cdacdata[[#This Row],[placement_status]]="Placed",1,0)</f>
        <v>1</v>
      </c>
      <c r="AD994" t="s">
        <v>244</v>
      </c>
      <c r="AE994" t="s">
        <v>38</v>
      </c>
      <c r="AF994" t="s">
        <v>39</v>
      </c>
      <c r="AG994">
        <v>2021</v>
      </c>
      <c r="AH994" t="s">
        <v>40</v>
      </c>
      <c r="AI994" t="str">
        <f>IF(Cdacdata[ccat_rank]&lt;=100,"Top 100",
IF(Cdacdata[ccat_rank]&lt;=500,"101–500",
IF(Cdacdata[ccat_rank]&lt;=1000,"501–1000",
"1000+")))</f>
        <v>1000+</v>
      </c>
    </row>
    <row r="995" spans="1:35" x14ac:dyDescent="0.3">
      <c r="A995" s="1" t="s">
        <v>242</v>
      </c>
      <c r="B995">
        <v>210716432</v>
      </c>
      <c r="C995" s="2">
        <v>44454</v>
      </c>
      <c r="D995" s="2" t="s">
        <v>1230</v>
      </c>
      <c r="E995">
        <v>2394</v>
      </c>
      <c r="F995" s="2">
        <v>35096</v>
      </c>
      <c r="G995">
        <v>80.36</v>
      </c>
      <c r="H995">
        <v>64.31</v>
      </c>
      <c r="I995" t="s">
        <v>26</v>
      </c>
      <c r="J995">
        <v>0</v>
      </c>
      <c r="K995" s="3">
        <f t="shared" si="15"/>
        <v>48.223333333333336</v>
      </c>
      <c r="L995" t="s">
        <v>27</v>
      </c>
      <c r="M995" t="s">
        <v>27</v>
      </c>
      <c r="N995">
        <v>25</v>
      </c>
      <c r="O995" t="s">
        <v>62</v>
      </c>
      <c r="P995" t="s">
        <v>26</v>
      </c>
      <c r="Q995" t="s">
        <v>30</v>
      </c>
      <c r="R995">
        <v>583</v>
      </c>
      <c r="S995">
        <v>72.875</v>
      </c>
      <c r="T995" t="s">
        <v>33</v>
      </c>
      <c r="U995" t="s">
        <v>32</v>
      </c>
      <c r="V995" t="s">
        <v>33</v>
      </c>
      <c r="W995" t="s">
        <v>49</v>
      </c>
      <c r="X995" t="s">
        <v>96</v>
      </c>
      <c r="Y995" t="s">
        <v>58</v>
      </c>
      <c r="Z995" t="s">
        <v>44</v>
      </c>
      <c r="AA995" t="s">
        <v>154</v>
      </c>
      <c r="AB995" t="s">
        <v>46</v>
      </c>
      <c r="AC995">
        <f>IF(Cdacdata[[#This Row],[placement_status]]="Placed",1,0)</f>
        <v>1</v>
      </c>
      <c r="AD995" t="s">
        <v>244</v>
      </c>
      <c r="AE995" t="s">
        <v>38</v>
      </c>
      <c r="AF995" t="s">
        <v>39</v>
      </c>
      <c r="AG995">
        <v>2021</v>
      </c>
      <c r="AH995" t="s">
        <v>40</v>
      </c>
      <c r="AI995" t="str">
        <f>IF(Cdacdata[ccat_rank]&lt;=100,"Top 100",
IF(Cdacdata[ccat_rank]&lt;=500,"101–500",
IF(Cdacdata[ccat_rank]&lt;=1000,"501–1000",
"1000+")))</f>
        <v>1000+</v>
      </c>
    </row>
    <row r="996" spans="1:35" x14ac:dyDescent="0.3">
      <c r="A996" s="1" t="s">
        <v>242</v>
      </c>
      <c r="B996">
        <v>210709129</v>
      </c>
      <c r="C996" s="2">
        <v>44454</v>
      </c>
      <c r="D996" s="2" t="s">
        <v>1231</v>
      </c>
      <c r="E996">
        <v>2912</v>
      </c>
      <c r="F996" s="2" t="s">
        <v>342</v>
      </c>
      <c r="G996">
        <v>89.6</v>
      </c>
      <c r="H996">
        <v>64</v>
      </c>
      <c r="I996" t="s">
        <v>26</v>
      </c>
      <c r="J996">
        <v>71</v>
      </c>
      <c r="K996" s="3">
        <f t="shared" si="15"/>
        <v>74.86666666666666</v>
      </c>
      <c r="L996" t="s">
        <v>27</v>
      </c>
      <c r="M996" t="s">
        <v>41</v>
      </c>
      <c r="N996">
        <v>22</v>
      </c>
      <c r="O996" t="s">
        <v>28</v>
      </c>
      <c r="P996" t="s">
        <v>26</v>
      </c>
      <c r="Q996" t="s">
        <v>30</v>
      </c>
      <c r="R996">
        <v>620</v>
      </c>
      <c r="S996">
        <v>77.5</v>
      </c>
      <c r="T996" t="s">
        <v>49</v>
      </c>
      <c r="U996" t="s">
        <v>32</v>
      </c>
      <c r="V996" t="s">
        <v>49</v>
      </c>
      <c r="W996" t="s">
        <v>49</v>
      </c>
      <c r="X996" t="s">
        <v>96</v>
      </c>
      <c r="Y996" t="s">
        <v>58</v>
      </c>
      <c r="Z996" t="s">
        <v>44</v>
      </c>
      <c r="AA996" t="s">
        <v>154</v>
      </c>
      <c r="AB996" t="s">
        <v>46</v>
      </c>
      <c r="AC996">
        <f>IF(Cdacdata[[#This Row],[placement_status]]="Placed",1,0)</f>
        <v>1</v>
      </c>
      <c r="AD996" t="s">
        <v>244</v>
      </c>
      <c r="AE996" t="s">
        <v>38</v>
      </c>
      <c r="AF996" t="s">
        <v>57</v>
      </c>
      <c r="AG996">
        <v>2021</v>
      </c>
      <c r="AH996" t="s">
        <v>40</v>
      </c>
      <c r="AI996" t="str">
        <f>IF(Cdacdata[ccat_rank]&lt;=100,"Top 100",
IF(Cdacdata[ccat_rank]&lt;=500,"101–500",
IF(Cdacdata[ccat_rank]&lt;=1000,"501–1000",
"1000+")))</f>
        <v>1000+</v>
      </c>
    </row>
    <row r="997" spans="1:35" x14ac:dyDescent="0.3">
      <c r="A997" s="1" t="s">
        <v>242</v>
      </c>
      <c r="B997">
        <v>210709455</v>
      </c>
      <c r="C997" s="2">
        <v>44454</v>
      </c>
      <c r="D997" s="2" t="s">
        <v>1232</v>
      </c>
      <c r="E997">
        <v>2697</v>
      </c>
      <c r="F997" s="2" t="s">
        <v>343</v>
      </c>
      <c r="G997">
        <v>83.6</v>
      </c>
      <c r="H997" t="s">
        <v>26</v>
      </c>
      <c r="I997" t="s">
        <v>26</v>
      </c>
      <c r="J997">
        <v>74.040000000000006</v>
      </c>
      <c r="K997" s="3">
        <f t="shared" si="15"/>
        <v>78.819999999999993</v>
      </c>
      <c r="L997" t="s">
        <v>27</v>
      </c>
      <c r="M997" t="s">
        <v>27</v>
      </c>
      <c r="N997">
        <v>25</v>
      </c>
      <c r="O997" t="s">
        <v>62</v>
      </c>
      <c r="P997" t="s">
        <v>26</v>
      </c>
      <c r="Q997" t="s">
        <v>26</v>
      </c>
      <c r="R997">
        <v>597</v>
      </c>
      <c r="S997">
        <v>74.625</v>
      </c>
      <c r="T997" t="s">
        <v>33</v>
      </c>
      <c r="U997" t="s">
        <v>32</v>
      </c>
      <c r="V997" t="s">
        <v>33</v>
      </c>
      <c r="W997" t="s">
        <v>49</v>
      </c>
      <c r="X997" t="s">
        <v>96</v>
      </c>
      <c r="Y997" t="s">
        <v>58</v>
      </c>
      <c r="Z997" t="s">
        <v>44</v>
      </c>
      <c r="AA997" t="s">
        <v>337</v>
      </c>
      <c r="AB997" t="s">
        <v>46</v>
      </c>
      <c r="AC997">
        <f>IF(Cdacdata[[#This Row],[placement_status]]="Placed",1,0)</f>
        <v>1</v>
      </c>
      <c r="AD997" t="s">
        <v>244</v>
      </c>
      <c r="AE997" t="s">
        <v>38</v>
      </c>
      <c r="AF997" t="s">
        <v>39</v>
      </c>
      <c r="AG997">
        <v>2021</v>
      </c>
      <c r="AH997" t="s">
        <v>40</v>
      </c>
      <c r="AI997" t="str">
        <f>IF(Cdacdata[ccat_rank]&lt;=100,"Top 100",
IF(Cdacdata[ccat_rank]&lt;=500,"101–500",
IF(Cdacdata[ccat_rank]&lt;=1000,"501–1000",
"1000+")))</f>
        <v>1000+</v>
      </c>
    </row>
    <row r="998" spans="1:35" x14ac:dyDescent="0.3">
      <c r="A998" s="1" t="s">
        <v>242</v>
      </c>
      <c r="B998">
        <v>210704457</v>
      </c>
      <c r="C998" s="2">
        <v>44454</v>
      </c>
      <c r="D998" s="2" t="s">
        <v>1233</v>
      </c>
      <c r="E998">
        <v>2524</v>
      </c>
      <c r="F998" s="2" t="s">
        <v>344</v>
      </c>
      <c r="G998">
        <v>81.27</v>
      </c>
      <c r="H998">
        <v>70.77</v>
      </c>
      <c r="I998" t="s">
        <v>26</v>
      </c>
      <c r="J998">
        <v>78.47</v>
      </c>
      <c r="K998" s="3">
        <f t="shared" si="15"/>
        <v>76.836666666666659</v>
      </c>
      <c r="L998" t="s">
        <v>41</v>
      </c>
      <c r="M998" t="s">
        <v>27</v>
      </c>
      <c r="N998">
        <v>23</v>
      </c>
      <c r="O998" t="s">
        <v>48</v>
      </c>
      <c r="P998" t="s">
        <v>26</v>
      </c>
      <c r="Q998" t="s">
        <v>67</v>
      </c>
      <c r="R998">
        <v>550</v>
      </c>
      <c r="S998">
        <v>68.75</v>
      </c>
      <c r="T998" t="s">
        <v>33</v>
      </c>
      <c r="U998" t="s">
        <v>32</v>
      </c>
      <c r="V998" t="s">
        <v>33</v>
      </c>
      <c r="W998" t="s">
        <v>49</v>
      </c>
      <c r="X998" t="s">
        <v>96</v>
      </c>
      <c r="Y998" t="s">
        <v>50</v>
      </c>
      <c r="Z998" t="s">
        <v>44</v>
      </c>
      <c r="AA998" t="s">
        <v>345</v>
      </c>
      <c r="AB998" t="s">
        <v>46</v>
      </c>
      <c r="AC998">
        <f>IF(Cdacdata[[#This Row],[placement_status]]="Placed",1,0)</f>
        <v>1</v>
      </c>
      <c r="AD998" t="s">
        <v>244</v>
      </c>
      <c r="AE998" t="s">
        <v>38</v>
      </c>
      <c r="AF998" t="s">
        <v>39</v>
      </c>
      <c r="AG998">
        <v>2021</v>
      </c>
      <c r="AH998" t="s">
        <v>40</v>
      </c>
      <c r="AI998" t="str">
        <f>IF(Cdacdata[ccat_rank]&lt;=100,"Top 100",
IF(Cdacdata[ccat_rank]&lt;=500,"101–500",
IF(Cdacdata[ccat_rank]&lt;=1000,"501–1000",
"1000+")))</f>
        <v>1000+</v>
      </c>
    </row>
    <row r="999" spans="1:35" x14ac:dyDescent="0.3">
      <c r="A999" s="1" t="s">
        <v>242</v>
      </c>
      <c r="B999">
        <v>210704884</v>
      </c>
      <c r="C999" s="2">
        <v>44454</v>
      </c>
      <c r="D999" s="2" t="s">
        <v>1234</v>
      </c>
      <c r="E999">
        <v>3375</v>
      </c>
      <c r="F999" s="2">
        <v>36044</v>
      </c>
      <c r="G999">
        <v>88.8</v>
      </c>
      <c r="H999" t="s">
        <v>26</v>
      </c>
      <c r="I999" t="s">
        <v>26</v>
      </c>
      <c r="J999">
        <v>63.71</v>
      </c>
      <c r="K999" s="3">
        <f t="shared" si="15"/>
        <v>76.254999999999995</v>
      </c>
      <c r="L999" t="s">
        <v>27</v>
      </c>
      <c r="M999" t="s">
        <v>41</v>
      </c>
      <c r="N999">
        <v>23</v>
      </c>
      <c r="O999" t="s">
        <v>28</v>
      </c>
      <c r="P999" t="s">
        <v>26</v>
      </c>
      <c r="Q999" t="s">
        <v>26</v>
      </c>
      <c r="R999">
        <v>623</v>
      </c>
      <c r="S999">
        <v>77.875</v>
      </c>
      <c r="T999" t="s">
        <v>33</v>
      </c>
      <c r="U999" t="s">
        <v>32</v>
      </c>
      <c r="V999" t="s">
        <v>33</v>
      </c>
      <c r="W999" t="s">
        <v>49</v>
      </c>
      <c r="X999" t="s">
        <v>96</v>
      </c>
      <c r="Y999" t="s">
        <v>58</v>
      </c>
      <c r="Z999" t="s">
        <v>44</v>
      </c>
      <c r="AA999" t="s">
        <v>337</v>
      </c>
      <c r="AB999" t="s">
        <v>46</v>
      </c>
      <c r="AC999">
        <f>IF(Cdacdata[[#This Row],[placement_status]]="Placed",1,0)</f>
        <v>1</v>
      </c>
      <c r="AD999" t="s">
        <v>244</v>
      </c>
      <c r="AE999" t="s">
        <v>98</v>
      </c>
      <c r="AF999" t="s">
        <v>39</v>
      </c>
      <c r="AG999">
        <v>2021</v>
      </c>
      <c r="AH999" t="s">
        <v>40</v>
      </c>
      <c r="AI999" t="str">
        <f>IF(Cdacdata[ccat_rank]&lt;=100,"Top 100",
IF(Cdacdata[ccat_rank]&lt;=500,"101–500",
IF(Cdacdata[ccat_rank]&lt;=1000,"501–1000",
"1000+")))</f>
        <v>1000+</v>
      </c>
    </row>
    <row r="1000" spans="1:35" x14ac:dyDescent="0.3">
      <c r="A1000" s="1" t="s">
        <v>242</v>
      </c>
      <c r="B1000">
        <v>210706358</v>
      </c>
      <c r="C1000" s="2">
        <v>44454</v>
      </c>
      <c r="D1000" s="2" t="s">
        <v>1235</v>
      </c>
      <c r="E1000">
        <v>3079</v>
      </c>
      <c r="F1000" s="2" t="s">
        <v>346</v>
      </c>
      <c r="G1000">
        <v>84.8</v>
      </c>
      <c r="H1000">
        <v>64.150000000000006</v>
      </c>
      <c r="I1000" t="s">
        <v>26</v>
      </c>
      <c r="J1000">
        <v>76.8</v>
      </c>
      <c r="K1000" s="3">
        <f t="shared" si="15"/>
        <v>75.25</v>
      </c>
      <c r="L1000" t="s">
        <v>27</v>
      </c>
      <c r="M1000" t="s">
        <v>41</v>
      </c>
      <c r="N1000">
        <v>25</v>
      </c>
      <c r="O1000" t="s">
        <v>48</v>
      </c>
      <c r="P1000" t="s">
        <v>42</v>
      </c>
      <c r="Q1000" t="s">
        <v>43</v>
      </c>
      <c r="R1000">
        <v>555</v>
      </c>
      <c r="S1000">
        <v>69.375</v>
      </c>
      <c r="T1000" t="s">
        <v>49</v>
      </c>
      <c r="U1000" t="s">
        <v>32</v>
      </c>
      <c r="V1000" t="s">
        <v>49</v>
      </c>
      <c r="W1000" t="s">
        <v>49</v>
      </c>
      <c r="X1000" t="s">
        <v>96</v>
      </c>
      <c r="Y1000" t="s">
        <v>50</v>
      </c>
      <c r="Z1000" t="s">
        <v>44</v>
      </c>
      <c r="AA1000" t="s">
        <v>347</v>
      </c>
      <c r="AB1000" t="s">
        <v>46</v>
      </c>
      <c r="AC1000">
        <f>IF(Cdacdata[[#This Row],[placement_status]]="Placed",1,0)</f>
        <v>1</v>
      </c>
      <c r="AD1000" t="s">
        <v>244</v>
      </c>
      <c r="AE1000" t="s">
        <v>98</v>
      </c>
      <c r="AF1000" t="s">
        <v>39</v>
      </c>
      <c r="AG1000">
        <v>2021</v>
      </c>
      <c r="AH1000" t="s">
        <v>40</v>
      </c>
      <c r="AI1000" t="str">
        <f>IF(Cdacdata[ccat_rank]&lt;=100,"Top 100",
IF(Cdacdata[ccat_rank]&lt;=500,"101–500",
IF(Cdacdata[ccat_rank]&lt;=1000,"501–1000",
"1000+")))</f>
        <v>1000+</v>
      </c>
    </row>
    <row r="1001" spans="1:35" x14ac:dyDescent="0.3">
      <c r="A1001" s="1" t="s">
        <v>242</v>
      </c>
      <c r="B1001">
        <v>210715936</v>
      </c>
      <c r="C1001" s="2">
        <v>44455</v>
      </c>
      <c r="D1001" s="2" t="s">
        <v>1236</v>
      </c>
      <c r="E1001">
        <v>3057</v>
      </c>
      <c r="F1001" s="2">
        <v>36226</v>
      </c>
      <c r="G1001">
        <v>67</v>
      </c>
      <c r="H1001">
        <v>66</v>
      </c>
      <c r="I1001" t="s">
        <v>26</v>
      </c>
      <c r="J1001">
        <v>72.62</v>
      </c>
      <c r="K1001" s="3">
        <f t="shared" si="15"/>
        <v>68.540000000000006</v>
      </c>
      <c r="L1001" t="s">
        <v>27</v>
      </c>
      <c r="M1001" t="s">
        <v>27</v>
      </c>
      <c r="N1001">
        <v>22</v>
      </c>
      <c r="O1001" t="s">
        <v>28</v>
      </c>
      <c r="P1001" t="s">
        <v>26</v>
      </c>
      <c r="Q1001" t="s">
        <v>43</v>
      </c>
      <c r="R1001">
        <v>519</v>
      </c>
      <c r="S1001">
        <v>64.875</v>
      </c>
      <c r="T1001" t="s">
        <v>33</v>
      </c>
      <c r="U1001" t="s">
        <v>32</v>
      </c>
      <c r="V1001" t="s">
        <v>33</v>
      </c>
      <c r="W1001" t="s">
        <v>49</v>
      </c>
      <c r="X1001" t="s">
        <v>96</v>
      </c>
      <c r="Y1001" t="s">
        <v>50</v>
      </c>
      <c r="Z1001" t="s">
        <v>44</v>
      </c>
      <c r="AA1001" t="s">
        <v>348</v>
      </c>
      <c r="AB1001" t="s">
        <v>46</v>
      </c>
      <c r="AC1001">
        <f>IF(Cdacdata[[#This Row],[placement_status]]="Placed",1,0)</f>
        <v>1</v>
      </c>
      <c r="AD1001" t="s">
        <v>244</v>
      </c>
      <c r="AE1001" t="s">
        <v>98</v>
      </c>
      <c r="AF1001" t="s">
        <v>57</v>
      </c>
      <c r="AG1001">
        <v>2021</v>
      </c>
      <c r="AH1001" t="s">
        <v>40</v>
      </c>
      <c r="AI1001" t="str">
        <f>IF(Cdacdata[ccat_rank]&lt;=100,"Top 100",
IF(Cdacdata[ccat_rank]&lt;=500,"101–500",
IF(Cdacdata[ccat_rank]&lt;=1000,"501–1000",
"1000+")))</f>
        <v>1000+</v>
      </c>
    </row>
    <row r="1002" spans="1:35" x14ac:dyDescent="0.3">
      <c r="A1002" s="1" t="s">
        <v>242</v>
      </c>
      <c r="B1002">
        <v>210706682</v>
      </c>
      <c r="C1002" s="2">
        <v>44454</v>
      </c>
      <c r="D1002" s="2" t="s">
        <v>1237</v>
      </c>
      <c r="E1002">
        <v>2435</v>
      </c>
      <c r="F1002" s="2">
        <v>36260</v>
      </c>
      <c r="G1002">
        <v>94.8</v>
      </c>
      <c r="H1002">
        <v>83.07</v>
      </c>
      <c r="I1002" t="s">
        <v>26</v>
      </c>
      <c r="J1002">
        <v>88.6</v>
      </c>
      <c r="K1002" s="3">
        <f t="shared" si="15"/>
        <v>88.823333333333338</v>
      </c>
      <c r="L1002" t="s">
        <v>27</v>
      </c>
      <c r="M1002" t="s">
        <v>41</v>
      </c>
      <c r="N1002">
        <v>21</v>
      </c>
      <c r="O1002" t="s">
        <v>48</v>
      </c>
      <c r="P1002" t="s">
        <v>26</v>
      </c>
      <c r="Q1002" t="s">
        <v>43</v>
      </c>
      <c r="R1002">
        <v>604</v>
      </c>
      <c r="S1002">
        <v>75.5</v>
      </c>
      <c r="T1002" t="s">
        <v>49</v>
      </c>
      <c r="U1002" t="s">
        <v>32</v>
      </c>
      <c r="V1002" t="s">
        <v>49</v>
      </c>
      <c r="W1002" t="s">
        <v>33</v>
      </c>
      <c r="X1002" t="s">
        <v>96</v>
      </c>
      <c r="Y1002" t="s">
        <v>58</v>
      </c>
      <c r="Z1002" t="s">
        <v>44</v>
      </c>
      <c r="AA1002" t="s">
        <v>154</v>
      </c>
      <c r="AB1002" t="s">
        <v>46</v>
      </c>
      <c r="AC1002">
        <f>IF(Cdacdata[[#This Row],[placement_status]]="Placed",1,0)</f>
        <v>1</v>
      </c>
      <c r="AD1002" t="s">
        <v>244</v>
      </c>
      <c r="AE1002" t="s">
        <v>38</v>
      </c>
      <c r="AF1002" t="s">
        <v>57</v>
      </c>
      <c r="AG1002">
        <v>2021</v>
      </c>
      <c r="AH1002" t="s">
        <v>40</v>
      </c>
      <c r="AI1002" t="str">
        <f>IF(Cdacdata[ccat_rank]&lt;=100,"Top 100",
IF(Cdacdata[ccat_rank]&lt;=500,"101–500",
IF(Cdacdata[ccat_rank]&lt;=1000,"501–1000",
"1000+")))</f>
        <v>1000+</v>
      </c>
    </row>
    <row r="1003" spans="1:35" x14ac:dyDescent="0.3">
      <c r="A1003" s="1" t="s">
        <v>242</v>
      </c>
      <c r="B1003">
        <v>210706589</v>
      </c>
      <c r="C1003" s="2">
        <v>44454</v>
      </c>
      <c r="D1003" s="2" t="s">
        <v>1238</v>
      </c>
      <c r="E1003">
        <v>2494</v>
      </c>
      <c r="F1003" s="2">
        <v>35674</v>
      </c>
      <c r="G1003">
        <v>83.24</v>
      </c>
      <c r="H1003" t="s">
        <v>26</v>
      </c>
      <c r="I1003">
        <v>79.540000000000006</v>
      </c>
      <c r="J1003">
        <v>64</v>
      </c>
      <c r="K1003" s="3">
        <f t="shared" si="15"/>
        <v>75.593333333333334</v>
      </c>
      <c r="L1003" t="s">
        <v>27</v>
      </c>
      <c r="M1003" t="s">
        <v>27</v>
      </c>
      <c r="N1003">
        <v>24</v>
      </c>
      <c r="O1003" t="s">
        <v>28</v>
      </c>
      <c r="P1003" t="s">
        <v>65</v>
      </c>
      <c r="Q1003" t="s">
        <v>30</v>
      </c>
      <c r="R1003">
        <v>547</v>
      </c>
      <c r="S1003">
        <v>68.375</v>
      </c>
      <c r="T1003" t="s">
        <v>33</v>
      </c>
      <c r="U1003" t="s">
        <v>32</v>
      </c>
      <c r="V1003" t="s">
        <v>33</v>
      </c>
      <c r="W1003" t="s">
        <v>31</v>
      </c>
      <c r="X1003" t="s">
        <v>96</v>
      </c>
      <c r="Y1003" t="s">
        <v>50</v>
      </c>
      <c r="Z1003" t="s">
        <v>44</v>
      </c>
      <c r="AA1003" t="s">
        <v>146</v>
      </c>
      <c r="AB1003" t="s">
        <v>46</v>
      </c>
      <c r="AC1003">
        <f>IF(Cdacdata[[#This Row],[placement_status]]="Placed",1,0)</f>
        <v>1</v>
      </c>
      <c r="AD1003" t="s">
        <v>244</v>
      </c>
      <c r="AE1003" t="s">
        <v>38</v>
      </c>
      <c r="AF1003" t="s">
        <v>39</v>
      </c>
      <c r="AG1003">
        <v>2021</v>
      </c>
      <c r="AH1003" t="s">
        <v>40</v>
      </c>
      <c r="AI1003" t="str">
        <f>IF(Cdacdata[ccat_rank]&lt;=100,"Top 100",
IF(Cdacdata[ccat_rank]&lt;=500,"101–500",
IF(Cdacdata[ccat_rank]&lt;=1000,"501–1000",
"1000+")))</f>
        <v>1000+</v>
      </c>
    </row>
    <row r="1004" spans="1:35" x14ac:dyDescent="0.3">
      <c r="A1004" s="1" t="s">
        <v>242</v>
      </c>
      <c r="B1004">
        <v>210712662</v>
      </c>
      <c r="C1004" s="2">
        <v>44454</v>
      </c>
      <c r="D1004" s="2" t="s">
        <v>1239</v>
      </c>
      <c r="E1004">
        <v>3288</v>
      </c>
      <c r="F1004" s="2" t="s">
        <v>349</v>
      </c>
      <c r="G1004">
        <v>60.53</v>
      </c>
      <c r="H1004">
        <v>55.33</v>
      </c>
      <c r="I1004" t="s">
        <v>26</v>
      </c>
      <c r="J1004">
        <v>56.58</v>
      </c>
      <c r="K1004" s="3">
        <f t="shared" si="15"/>
        <v>57.48</v>
      </c>
      <c r="L1004" t="s">
        <v>27</v>
      </c>
      <c r="M1004" t="s">
        <v>27</v>
      </c>
      <c r="N1004">
        <v>30</v>
      </c>
      <c r="O1004" t="s">
        <v>72</v>
      </c>
      <c r="P1004" t="s">
        <v>26</v>
      </c>
      <c r="Q1004" t="s">
        <v>26</v>
      </c>
      <c r="R1004">
        <v>533</v>
      </c>
      <c r="S1004">
        <v>66.625</v>
      </c>
      <c r="T1004" t="s">
        <v>33</v>
      </c>
      <c r="U1004" t="s">
        <v>32</v>
      </c>
      <c r="V1004" t="s">
        <v>33</v>
      </c>
      <c r="W1004" t="s">
        <v>49</v>
      </c>
      <c r="X1004" t="s">
        <v>96</v>
      </c>
      <c r="Y1004" t="s">
        <v>50</v>
      </c>
      <c r="Z1004" t="s">
        <v>44</v>
      </c>
      <c r="AA1004" t="s">
        <v>182</v>
      </c>
      <c r="AB1004" t="s">
        <v>46</v>
      </c>
      <c r="AC1004">
        <f>IF(Cdacdata[[#This Row],[placement_status]]="Placed",1,0)</f>
        <v>1</v>
      </c>
      <c r="AD1004" t="s">
        <v>244</v>
      </c>
      <c r="AE1004" t="s">
        <v>98</v>
      </c>
      <c r="AF1004" t="s">
        <v>69</v>
      </c>
      <c r="AG1004">
        <v>2021</v>
      </c>
      <c r="AH1004" t="s">
        <v>40</v>
      </c>
      <c r="AI1004" t="str">
        <f>IF(Cdacdata[ccat_rank]&lt;=100,"Top 100",
IF(Cdacdata[ccat_rank]&lt;=500,"101–500",
IF(Cdacdata[ccat_rank]&lt;=1000,"501–1000",
"1000+")))</f>
        <v>1000+</v>
      </c>
    </row>
    <row r="1005" spans="1:35" x14ac:dyDescent="0.3">
      <c r="A1005" s="1" t="s">
        <v>242</v>
      </c>
      <c r="B1005">
        <v>210704922</v>
      </c>
      <c r="C1005" s="2">
        <v>44454</v>
      </c>
      <c r="D1005" s="2" t="s">
        <v>1240</v>
      </c>
      <c r="E1005">
        <v>2306</v>
      </c>
      <c r="F1005" s="2">
        <v>35984</v>
      </c>
      <c r="G1005">
        <v>87</v>
      </c>
      <c r="H1005" t="s">
        <v>26</v>
      </c>
      <c r="I1005">
        <v>75</v>
      </c>
      <c r="J1005">
        <v>66.53</v>
      </c>
      <c r="K1005" s="3">
        <f t="shared" si="15"/>
        <v>76.176666666666662</v>
      </c>
      <c r="L1005" t="s">
        <v>27</v>
      </c>
      <c r="M1005" t="s">
        <v>27</v>
      </c>
      <c r="N1005">
        <v>23</v>
      </c>
      <c r="O1005" t="s">
        <v>28</v>
      </c>
      <c r="P1005" t="s">
        <v>60</v>
      </c>
      <c r="Q1005" t="s">
        <v>26</v>
      </c>
      <c r="R1005">
        <v>594</v>
      </c>
      <c r="S1005">
        <v>74.25</v>
      </c>
      <c r="T1005" t="s">
        <v>49</v>
      </c>
      <c r="U1005" t="s">
        <v>32</v>
      </c>
      <c r="V1005" t="s">
        <v>49</v>
      </c>
      <c r="W1005" t="s">
        <v>49</v>
      </c>
      <c r="X1005" t="s">
        <v>96</v>
      </c>
      <c r="Y1005" t="s">
        <v>58</v>
      </c>
      <c r="Z1005" t="s">
        <v>44</v>
      </c>
      <c r="AA1005" t="s">
        <v>249</v>
      </c>
      <c r="AB1005" t="s">
        <v>46</v>
      </c>
      <c r="AC1005">
        <f>IF(Cdacdata[[#This Row],[placement_status]]="Placed",1,0)</f>
        <v>1</v>
      </c>
      <c r="AD1005" t="s">
        <v>244</v>
      </c>
      <c r="AE1005" t="s">
        <v>38</v>
      </c>
      <c r="AF1005" t="s">
        <v>39</v>
      </c>
      <c r="AG1005">
        <v>2021</v>
      </c>
      <c r="AH1005" t="s">
        <v>40</v>
      </c>
      <c r="AI1005" t="str">
        <f>IF(Cdacdata[ccat_rank]&lt;=100,"Top 100",
IF(Cdacdata[ccat_rank]&lt;=500,"101–500",
IF(Cdacdata[ccat_rank]&lt;=1000,"501–1000",
"1000+")))</f>
        <v>1000+</v>
      </c>
    </row>
    <row r="1006" spans="1:35" x14ac:dyDescent="0.3">
      <c r="A1006" s="1" t="s">
        <v>242</v>
      </c>
      <c r="B1006">
        <v>210713843</v>
      </c>
      <c r="C1006" s="2">
        <v>44454</v>
      </c>
      <c r="D1006" s="2" t="s">
        <v>1241</v>
      </c>
      <c r="E1006">
        <v>3251</v>
      </c>
      <c r="F1006" s="2" t="s">
        <v>350</v>
      </c>
      <c r="G1006">
        <v>67.2</v>
      </c>
      <c r="H1006" t="s">
        <v>26</v>
      </c>
      <c r="I1006">
        <v>76.06</v>
      </c>
      <c r="J1006">
        <v>62.86</v>
      </c>
      <c r="K1006" s="3">
        <f t="shared" si="15"/>
        <v>68.706666666666663</v>
      </c>
      <c r="L1006" t="s">
        <v>27</v>
      </c>
      <c r="M1006" t="s">
        <v>41</v>
      </c>
      <c r="N1006">
        <v>25</v>
      </c>
      <c r="O1006" t="s">
        <v>28</v>
      </c>
      <c r="P1006" t="s">
        <v>26</v>
      </c>
      <c r="Q1006" t="s">
        <v>26</v>
      </c>
      <c r="R1006">
        <v>501</v>
      </c>
      <c r="S1006">
        <v>62.625</v>
      </c>
      <c r="T1006" t="s">
        <v>49</v>
      </c>
      <c r="U1006" t="s">
        <v>32</v>
      </c>
      <c r="V1006" t="s">
        <v>49</v>
      </c>
      <c r="W1006" t="s">
        <v>33</v>
      </c>
      <c r="X1006" t="s">
        <v>96</v>
      </c>
      <c r="Y1006" t="s">
        <v>50</v>
      </c>
      <c r="Z1006" t="s">
        <v>44</v>
      </c>
      <c r="AA1006" t="s">
        <v>351</v>
      </c>
      <c r="AB1006" t="s">
        <v>46</v>
      </c>
      <c r="AC1006">
        <f>IF(Cdacdata[[#This Row],[placement_status]]="Placed",1,0)</f>
        <v>1</v>
      </c>
      <c r="AD1006" t="s">
        <v>244</v>
      </c>
      <c r="AE1006" t="s">
        <v>98</v>
      </c>
      <c r="AF1006" t="s">
        <v>39</v>
      </c>
      <c r="AG1006">
        <v>2021</v>
      </c>
      <c r="AH1006" t="s">
        <v>40</v>
      </c>
      <c r="AI1006" t="str">
        <f>IF(Cdacdata[ccat_rank]&lt;=100,"Top 100",
IF(Cdacdata[ccat_rank]&lt;=500,"101–500",
IF(Cdacdata[ccat_rank]&lt;=1000,"501–1000",
"1000+")))</f>
        <v>1000+</v>
      </c>
    </row>
    <row r="1007" spans="1:35" x14ac:dyDescent="0.3">
      <c r="A1007" s="1" t="s">
        <v>242</v>
      </c>
      <c r="B1007">
        <v>210700904</v>
      </c>
      <c r="C1007" s="2">
        <v>44454</v>
      </c>
      <c r="D1007" s="2" t="s">
        <v>1242</v>
      </c>
      <c r="E1007">
        <v>2967</v>
      </c>
      <c r="F1007" s="2" t="s">
        <v>352</v>
      </c>
      <c r="G1007">
        <v>91.09</v>
      </c>
      <c r="H1007">
        <v>60</v>
      </c>
      <c r="I1007" t="s">
        <v>26</v>
      </c>
      <c r="J1007">
        <v>68</v>
      </c>
      <c r="K1007" s="3">
        <f t="shared" si="15"/>
        <v>73.03</v>
      </c>
      <c r="L1007" t="s">
        <v>27</v>
      </c>
      <c r="M1007" t="s">
        <v>41</v>
      </c>
      <c r="N1007">
        <v>24</v>
      </c>
      <c r="O1007" t="s">
        <v>28</v>
      </c>
      <c r="P1007" t="s">
        <v>26</v>
      </c>
      <c r="Q1007" t="s">
        <v>30</v>
      </c>
      <c r="R1007">
        <v>536</v>
      </c>
      <c r="S1007">
        <v>67</v>
      </c>
      <c r="T1007" t="s">
        <v>49</v>
      </c>
      <c r="U1007" t="s">
        <v>32</v>
      </c>
      <c r="V1007" t="s">
        <v>49</v>
      </c>
      <c r="W1007" t="s">
        <v>49</v>
      </c>
      <c r="X1007" t="s">
        <v>96</v>
      </c>
      <c r="Y1007" t="s">
        <v>50</v>
      </c>
      <c r="Z1007" t="s">
        <v>44</v>
      </c>
      <c r="AA1007" t="s">
        <v>156</v>
      </c>
      <c r="AB1007" t="s">
        <v>46</v>
      </c>
      <c r="AC1007">
        <f>IF(Cdacdata[[#This Row],[placement_status]]="Placed",1,0)</f>
        <v>1</v>
      </c>
      <c r="AD1007" t="s">
        <v>244</v>
      </c>
      <c r="AE1007" t="s">
        <v>38</v>
      </c>
      <c r="AF1007" t="s">
        <v>39</v>
      </c>
      <c r="AG1007">
        <v>2021</v>
      </c>
      <c r="AH1007" t="s">
        <v>40</v>
      </c>
      <c r="AI1007" t="str">
        <f>IF(Cdacdata[ccat_rank]&lt;=100,"Top 100",
IF(Cdacdata[ccat_rank]&lt;=500,"101–500",
IF(Cdacdata[ccat_rank]&lt;=1000,"501–1000",
"1000+")))</f>
        <v>1000+</v>
      </c>
    </row>
    <row r="1008" spans="1:35" x14ac:dyDescent="0.3">
      <c r="A1008" s="1" t="s">
        <v>242</v>
      </c>
      <c r="B1008">
        <v>210709927</v>
      </c>
      <c r="C1008" s="2">
        <v>44454</v>
      </c>
      <c r="D1008" s="2" t="s">
        <v>1243</v>
      </c>
      <c r="E1008">
        <v>2444</v>
      </c>
      <c r="F1008" s="2">
        <v>36281</v>
      </c>
      <c r="G1008">
        <v>79.2</v>
      </c>
      <c r="H1008">
        <v>73.08</v>
      </c>
      <c r="I1008" t="s">
        <v>26</v>
      </c>
      <c r="J1008">
        <v>0</v>
      </c>
      <c r="K1008" s="3">
        <f t="shared" si="15"/>
        <v>50.76</v>
      </c>
      <c r="L1008" t="s">
        <v>27</v>
      </c>
      <c r="M1008" t="s">
        <v>41</v>
      </c>
      <c r="N1008">
        <v>22</v>
      </c>
      <c r="O1008" t="s">
        <v>62</v>
      </c>
      <c r="P1008" t="s">
        <v>60</v>
      </c>
      <c r="Q1008" t="s">
        <v>30</v>
      </c>
      <c r="R1008">
        <v>628</v>
      </c>
      <c r="S1008">
        <v>78.5</v>
      </c>
      <c r="T1008" t="s">
        <v>49</v>
      </c>
      <c r="U1008" t="s">
        <v>32</v>
      </c>
      <c r="V1008" t="s">
        <v>49</v>
      </c>
      <c r="W1008" t="s">
        <v>49</v>
      </c>
      <c r="X1008" t="s">
        <v>96</v>
      </c>
      <c r="Y1008" t="s">
        <v>58</v>
      </c>
      <c r="Z1008" t="s">
        <v>44</v>
      </c>
      <c r="AA1008" t="s">
        <v>353</v>
      </c>
      <c r="AB1008" t="s">
        <v>46</v>
      </c>
      <c r="AC1008">
        <f>IF(Cdacdata[[#This Row],[placement_status]]="Placed",1,0)</f>
        <v>1</v>
      </c>
      <c r="AD1008" t="s">
        <v>244</v>
      </c>
      <c r="AE1008" t="s">
        <v>38</v>
      </c>
      <c r="AF1008" t="s">
        <v>57</v>
      </c>
      <c r="AG1008">
        <v>2021</v>
      </c>
      <c r="AH1008" t="s">
        <v>40</v>
      </c>
      <c r="AI1008" t="str">
        <f>IF(Cdacdata[ccat_rank]&lt;=100,"Top 100",
IF(Cdacdata[ccat_rank]&lt;=500,"101–500",
IF(Cdacdata[ccat_rank]&lt;=1000,"501–1000",
"1000+")))</f>
        <v>1000+</v>
      </c>
    </row>
    <row r="1009" spans="1:35" x14ac:dyDescent="0.3">
      <c r="A1009" s="1" t="s">
        <v>242</v>
      </c>
      <c r="B1009">
        <v>210711095</v>
      </c>
      <c r="C1009" s="2">
        <v>44455</v>
      </c>
      <c r="D1009" s="2" t="s">
        <v>1244</v>
      </c>
      <c r="E1009">
        <v>2885</v>
      </c>
      <c r="F1009" s="2">
        <v>35370</v>
      </c>
      <c r="G1009">
        <v>80.73</v>
      </c>
      <c r="H1009">
        <v>60.17</v>
      </c>
      <c r="I1009" t="s">
        <v>26</v>
      </c>
      <c r="J1009">
        <v>71.86</v>
      </c>
      <c r="K1009" s="3">
        <f t="shared" si="15"/>
        <v>70.92</v>
      </c>
      <c r="L1009" t="s">
        <v>27</v>
      </c>
      <c r="M1009" t="s">
        <v>27</v>
      </c>
      <c r="N1009">
        <v>25</v>
      </c>
      <c r="O1009" t="s">
        <v>28</v>
      </c>
      <c r="P1009" t="s">
        <v>65</v>
      </c>
      <c r="Q1009" t="s">
        <v>30</v>
      </c>
      <c r="R1009">
        <v>624</v>
      </c>
      <c r="S1009">
        <v>78</v>
      </c>
      <c r="T1009" t="s">
        <v>31</v>
      </c>
      <c r="U1009" t="s">
        <v>32</v>
      </c>
      <c r="V1009" t="s">
        <v>31</v>
      </c>
      <c r="W1009" t="s">
        <v>49</v>
      </c>
      <c r="X1009" t="s">
        <v>96</v>
      </c>
      <c r="Y1009" t="s">
        <v>58</v>
      </c>
      <c r="Z1009" t="s">
        <v>44</v>
      </c>
      <c r="AA1009" t="s">
        <v>145</v>
      </c>
      <c r="AB1009" t="s">
        <v>46</v>
      </c>
      <c r="AC1009">
        <f>IF(Cdacdata[[#This Row],[placement_status]]="Placed",1,0)</f>
        <v>1</v>
      </c>
      <c r="AD1009" t="s">
        <v>244</v>
      </c>
      <c r="AE1009" t="s">
        <v>38</v>
      </c>
      <c r="AF1009" t="s">
        <v>39</v>
      </c>
      <c r="AG1009">
        <v>2021</v>
      </c>
      <c r="AH1009" t="s">
        <v>40</v>
      </c>
      <c r="AI1009" t="str">
        <f>IF(Cdacdata[ccat_rank]&lt;=100,"Top 100",
IF(Cdacdata[ccat_rank]&lt;=500,"101–500",
IF(Cdacdata[ccat_rank]&lt;=1000,"501–1000",
"1000+")))</f>
        <v>1000+</v>
      </c>
    </row>
    <row r="1010" spans="1:35" x14ac:dyDescent="0.3">
      <c r="A1010" s="1" t="s">
        <v>242</v>
      </c>
      <c r="B1010">
        <v>210707253</v>
      </c>
      <c r="C1010" s="2">
        <v>44454</v>
      </c>
      <c r="D1010" s="2" t="s">
        <v>1245</v>
      </c>
      <c r="E1010">
        <v>1852</v>
      </c>
      <c r="F1010" s="2">
        <v>34953</v>
      </c>
      <c r="G1010">
        <v>88.91</v>
      </c>
      <c r="H1010">
        <v>59.33</v>
      </c>
      <c r="I1010" t="s">
        <v>26</v>
      </c>
      <c r="J1010">
        <v>60</v>
      </c>
      <c r="K1010" s="3">
        <f t="shared" si="15"/>
        <v>69.413333333333341</v>
      </c>
      <c r="L1010" t="s">
        <v>27</v>
      </c>
      <c r="M1010" t="s">
        <v>27</v>
      </c>
      <c r="N1010">
        <v>25</v>
      </c>
      <c r="O1010" t="s">
        <v>28</v>
      </c>
      <c r="P1010" t="s">
        <v>26</v>
      </c>
      <c r="Q1010" t="s">
        <v>30</v>
      </c>
      <c r="R1010">
        <v>614</v>
      </c>
      <c r="S1010">
        <v>76.75</v>
      </c>
      <c r="T1010" t="s">
        <v>49</v>
      </c>
      <c r="U1010" t="s">
        <v>32</v>
      </c>
      <c r="V1010" t="s">
        <v>49</v>
      </c>
      <c r="W1010" t="s">
        <v>33</v>
      </c>
      <c r="X1010" t="s">
        <v>96</v>
      </c>
      <c r="Y1010" t="s">
        <v>58</v>
      </c>
      <c r="Z1010" t="s">
        <v>44</v>
      </c>
      <c r="AA1010" t="s">
        <v>128</v>
      </c>
      <c r="AB1010" t="s">
        <v>46</v>
      </c>
      <c r="AC1010">
        <f>IF(Cdacdata[[#This Row],[placement_status]]="Placed",1,0)</f>
        <v>1</v>
      </c>
      <c r="AD1010" t="s">
        <v>244</v>
      </c>
      <c r="AE1010" t="s">
        <v>47</v>
      </c>
      <c r="AF1010" t="s">
        <v>39</v>
      </c>
      <c r="AG1010">
        <v>2021</v>
      </c>
      <c r="AH1010" t="s">
        <v>40</v>
      </c>
      <c r="AI1010" t="str">
        <f>IF(Cdacdata[ccat_rank]&lt;=100,"Top 100",
IF(Cdacdata[ccat_rank]&lt;=500,"101–500",
IF(Cdacdata[ccat_rank]&lt;=1000,"501–1000",
"1000+")))</f>
        <v>1000+</v>
      </c>
    </row>
    <row r="1011" spans="1:35" x14ac:dyDescent="0.3">
      <c r="A1011" s="1" t="s">
        <v>242</v>
      </c>
      <c r="B1011">
        <v>210709365</v>
      </c>
      <c r="C1011" s="2">
        <v>44454</v>
      </c>
      <c r="D1011" s="2" t="s">
        <v>1246</v>
      </c>
      <c r="E1011">
        <v>2617</v>
      </c>
      <c r="F1011" s="2" t="s">
        <v>354</v>
      </c>
      <c r="G1011">
        <v>83.4</v>
      </c>
      <c r="H1011" t="s">
        <v>26</v>
      </c>
      <c r="I1011" t="s">
        <v>26</v>
      </c>
      <c r="J1011">
        <v>69</v>
      </c>
      <c r="K1011" s="3">
        <f t="shared" si="15"/>
        <v>76.2</v>
      </c>
      <c r="L1011" t="s">
        <v>27</v>
      </c>
      <c r="M1011" t="s">
        <v>27</v>
      </c>
      <c r="N1011">
        <v>25</v>
      </c>
      <c r="O1011" t="s">
        <v>28</v>
      </c>
      <c r="P1011" t="s">
        <v>26</v>
      </c>
      <c r="Q1011" t="s">
        <v>26</v>
      </c>
      <c r="R1011">
        <v>396</v>
      </c>
      <c r="S1011">
        <v>49.5</v>
      </c>
      <c r="T1011" t="s">
        <v>31</v>
      </c>
      <c r="U1011" t="s">
        <v>32</v>
      </c>
      <c r="V1011" t="s">
        <v>31</v>
      </c>
      <c r="W1011" t="s">
        <v>31</v>
      </c>
      <c r="X1011" t="s">
        <v>96</v>
      </c>
      <c r="Y1011" t="s">
        <v>80</v>
      </c>
      <c r="Z1011" t="s">
        <v>44</v>
      </c>
      <c r="AA1011" t="s">
        <v>351</v>
      </c>
      <c r="AB1011" t="s">
        <v>46</v>
      </c>
      <c r="AC1011">
        <f>IF(Cdacdata[[#This Row],[placement_status]]="Placed",1,0)</f>
        <v>1</v>
      </c>
      <c r="AD1011" t="s">
        <v>244</v>
      </c>
      <c r="AE1011" t="s">
        <v>38</v>
      </c>
      <c r="AF1011" t="s">
        <v>39</v>
      </c>
      <c r="AG1011">
        <v>2021</v>
      </c>
      <c r="AH1011" t="s">
        <v>40</v>
      </c>
      <c r="AI1011" t="str">
        <f>IF(Cdacdata[ccat_rank]&lt;=100,"Top 100",
IF(Cdacdata[ccat_rank]&lt;=500,"101–500",
IF(Cdacdata[ccat_rank]&lt;=1000,"501–1000",
"1000+")))</f>
        <v>1000+</v>
      </c>
    </row>
    <row r="1012" spans="1:35" x14ac:dyDescent="0.3">
      <c r="A1012" s="1" t="s">
        <v>242</v>
      </c>
      <c r="B1012">
        <v>210713661</v>
      </c>
      <c r="C1012" s="2">
        <v>44454</v>
      </c>
      <c r="D1012" s="2" t="s">
        <v>1247</v>
      </c>
      <c r="E1012">
        <v>2792</v>
      </c>
      <c r="F1012" s="2" t="s">
        <v>355</v>
      </c>
      <c r="G1012">
        <v>83.64</v>
      </c>
      <c r="H1012" t="s">
        <v>26</v>
      </c>
      <c r="I1012">
        <v>58</v>
      </c>
      <c r="J1012">
        <v>61</v>
      </c>
      <c r="K1012" s="3">
        <f t="shared" si="15"/>
        <v>67.546666666666667</v>
      </c>
      <c r="L1012" t="s">
        <v>27</v>
      </c>
      <c r="M1012" t="s">
        <v>41</v>
      </c>
      <c r="N1012">
        <v>24</v>
      </c>
      <c r="O1012" t="s">
        <v>28</v>
      </c>
      <c r="P1012" t="s">
        <v>26</v>
      </c>
      <c r="Q1012" t="s">
        <v>30</v>
      </c>
      <c r="R1012">
        <v>607</v>
      </c>
      <c r="S1012">
        <v>75.875</v>
      </c>
      <c r="T1012" t="s">
        <v>49</v>
      </c>
      <c r="U1012" t="s">
        <v>32</v>
      </c>
      <c r="V1012" t="s">
        <v>49</v>
      </c>
      <c r="W1012" t="s">
        <v>33</v>
      </c>
      <c r="X1012" t="s">
        <v>96</v>
      </c>
      <c r="Y1012" t="s">
        <v>58</v>
      </c>
      <c r="Z1012" t="s">
        <v>44</v>
      </c>
      <c r="AA1012" t="s">
        <v>356</v>
      </c>
      <c r="AB1012" t="s">
        <v>46</v>
      </c>
      <c r="AC1012">
        <f>IF(Cdacdata[[#This Row],[placement_status]]="Placed",1,0)</f>
        <v>1</v>
      </c>
      <c r="AD1012" t="s">
        <v>244</v>
      </c>
      <c r="AE1012" t="s">
        <v>38</v>
      </c>
      <c r="AF1012" t="s">
        <v>39</v>
      </c>
      <c r="AG1012">
        <v>2021</v>
      </c>
      <c r="AH1012" t="s">
        <v>40</v>
      </c>
      <c r="AI1012" t="str">
        <f>IF(Cdacdata[ccat_rank]&lt;=100,"Top 100",
IF(Cdacdata[ccat_rank]&lt;=500,"101–500",
IF(Cdacdata[ccat_rank]&lt;=1000,"501–1000",
"1000+")))</f>
        <v>1000+</v>
      </c>
    </row>
    <row r="1013" spans="1:35" x14ac:dyDescent="0.3">
      <c r="A1013" s="1" t="s">
        <v>242</v>
      </c>
      <c r="B1013">
        <v>210711491</v>
      </c>
      <c r="C1013" s="2">
        <v>44455</v>
      </c>
      <c r="D1013" s="2" t="s">
        <v>1248</v>
      </c>
      <c r="E1013">
        <v>3080</v>
      </c>
      <c r="F1013" s="2">
        <v>35039</v>
      </c>
      <c r="G1013">
        <v>90</v>
      </c>
      <c r="H1013">
        <v>72.5</v>
      </c>
      <c r="I1013" t="s">
        <v>26</v>
      </c>
      <c r="J1013">
        <v>69.349999999999994</v>
      </c>
      <c r="K1013" s="3">
        <f t="shared" si="15"/>
        <v>77.283333333333331</v>
      </c>
      <c r="L1013" t="s">
        <v>27</v>
      </c>
      <c r="M1013" t="s">
        <v>27</v>
      </c>
      <c r="N1013">
        <v>26</v>
      </c>
      <c r="O1013" t="s">
        <v>28</v>
      </c>
      <c r="P1013" t="s">
        <v>65</v>
      </c>
      <c r="Q1013" t="s">
        <v>30</v>
      </c>
      <c r="R1013">
        <v>510</v>
      </c>
      <c r="S1013">
        <v>63.75</v>
      </c>
      <c r="T1013" t="s">
        <v>33</v>
      </c>
      <c r="U1013" t="s">
        <v>32</v>
      </c>
      <c r="V1013" t="s">
        <v>33</v>
      </c>
      <c r="W1013" t="s">
        <v>33</v>
      </c>
      <c r="X1013" t="s">
        <v>96</v>
      </c>
      <c r="Y1013" t="s">
        <v>50</v>
      </c>
      <c r="Z1013" t="s">
        <v>36</v>
      </c>
      <c r="AA1013" t="s">
        <v>1268</v>
      </c>
      <c r="AB1013" t="s">
        <v>36</v>
      </c>
      <c r="AC1013">
        <f>IF(Cdacdata[[#This Row],[placement_status]]="Placed",1,0)</f>
        <v>0</v>
      </c>
      <c r="AD1013" t="s">
        <v>244</v>
      </c>
      <c r="AE1013" t="s">
        <v>98</v>
      </c>
      <c r="AF1013" t="s">
        <v>55</v>
      </c>
      <c r="AG1013">
        <v>2021</v>
      </c>
      <c r="AH1013" t="s">
        <v>40</v>
      </c>
      <c r="AI1013" t="str">
        <f>IF(Cdacdata[ccat_rank]&lt;=100,"Top 100",
IF(Cdacdata[ccat_rank]&lt;=500,"101–500",
IF(Cdacdata[ccat_rank]&lt;=1000,"501–1000",
"1000+")))</f>
        <v>1000+</v>
      </c>
    </row>
    <row r="1014" spans="1:35" x14ac:dyDescent="0.3">
      <c r="A1014" s="1" t="s">
        <v>242</v>
      </c>
      <c r="B1014">
        <v>210714041</v>
      </c>
      <c r="C1014" s="2">
        <v>44454</v>
      </c>
      <c r="D1014" s="2" t="s">
        <v>1249</v>
      </c>
      <c r="E1014">
        <v>2802</v>
      </c>
      <c r="F1014" s="2" t="s">
        <v>357</v>
      </c>
      <c r="G1014">
        <v>83.8</v>
      </c>
      <c r="H1014">
        <v>69.540000000000006</v>
      </c>
      <c r="I1014" t="s">
        <v>26</v>
      </c>
      <c r="J1014">
        <v>57.2</v>
      </c>
      <c r="K1014" s="3">
        <f t="shared" si="15"/>
        <v>70.180000000000007</v>
      </c>
      <c r="L1014" t="s">
        <v>27</v>
      </c>
      <c r="M1014" t="s">
        <v>27</v>
      </c>
      <c r="N1014">
        <v>23</v>
      </c>
      <c r="O1014" t="s">
        <v>72</v>
      </c>
      <c r="P1014" t="s">
        <v>26</v>
      </c>
      <c r="Q1014" t="s">
        <v>30</v>
      </c>
      <c r="R1014">
        <v>633</v>
      </c>
      <c r="S1014">
        <v>79.125</v>
      </c>
      <c r="T1014" t="s">
        <v>33</v>
      </c>
      <c r="U1014" t="s">
        <v>32</v>
      </c>
      <c r="V1014" t="s">
        <v>33</v>
      </c>
      <c r="W1014" t="s">
        <v>49</v>
      </c>
      <c r="X1014" t="s">
        <v>96</v>
      </c>
      <c r="Y1014" t="s">
        <v>58</v>
      </c>
      <c r="Z1014" t="s">
        <v>44</v>
      </c>
      <c r="AA1014" t="s">
        <v>163</v>
      </c>
      <c r="AB1014" t="s">
        <v>46</v>
      </c>
      <c r="AC1014">
        <f>IF(Cdacdata[[#This Row],[placement_status]]="Placed",1,0)</f>
        <v>1</v>
      </c>
      <c r="AD1014" t="s">
        <v>244</v>
      </c>
      <c r="AE1014" t="s">
        <v>38</v>
      </c>
      <c r="AF1014" t="s">
        <v>39</v>
      </c>
      <c r="AG1014">
        <v>2021</v>
      </c>
      <c r="AH1014" t="s">
        <v>40</v>
      </c>
      <c r="AI1014" t="str">
        <f>IF(Cdacdata[ccat_rank]&lt;=100,"Top 100",
IF(Cdacdata[ccat_rank]&lt;=500,"101–500",
IF(Cdacdata[ccat_rank]&lt;=1000,"501–1000",
"1000+")))</f>
        <v>1000+</v>
      </c>
    </row>
    <row r="1015" spans="1:35" x14ac:dyDescent="0.3">
      <c r="A1015" s="1" t="s">
        <v>242</v>
      </c>
      <c r="B1015">
        <v>210703803</v>
      </c>
      <c r="C1015" s="2">
        <v>44454</v>
      </c>
      <c r="D1015" s="2" t="s">
        <v>1250</v>
      </c>
      <c r="E1015">
        <v>3138</v>
      </c>
      <c r="F1015" s="2">
        <v>35615</v>
      </c>
      <c r="G1015">
        <v>75.400000000000006</v>
      </c>
      <c r="H1015">
        <v>68.62</v>
      </c>
      <c r="I1015" t="s">
        <v>26</v>
      </c>
      <c r="J1015">
        <v>59.28</v>
      </c>
      <c r="K1015" s="3">
        <f t="shared" si="15"/>
        <v>67.766666666666666</v>
      </c>
      <c r="L1015" t="s">
        <v>27</v>
      </c>
      <c r="M1015" t="s">
        <v>41</v>
      </c>
      <c r="N1015">
        <v>24</v>
      </c>
      <c r="O1015" t="s">
        <v>62</v>
      </c>
      <c r="P1015" t="s">
        <v>60</v>
      </c>
      <c r="Q1015" t="s">
        <v>30</v>
      </c>
      <c r="R1015">
        <v>552</v>
      </c>
      <c r="S1015">
        <v>69</v>
      </c>
      <c r="T1015" t="s">
        <v>31</v>
      </c>
      <c r="U1015" t="s">
        <v>32</v>
      </c>
      <c r="V1015" t="s">
        <v>31</v>
      </c>
      <c r="W1015" t="s">
        <v>49</v>
      </c>
      <c r="X1015" t="s">
        <v>96</v>
      </c>
      <c r="Y1015" t="s">
        <v>50</v>
      </c>
      <c r="Z1015" t="s">
        <v>44</v>
      </c>
      <c r="AA1015" t="s">
        <v>163</v>
      </c>
      <c r="AB1015" t="s">
        <v>46</v>
      </c>
      <c r="AC1015">
        <f>IF(Cdacdata[[#This Row],[placement_status]]="Placed",1,0)</f>
        <v>1</v>
      </c>
      <c r="AD1015" t="s">
        <v>244</v>
      </c>
      <c r="AE1015" t="s">
        <v>98</v>
      </c>
      <c r="AF1015" t="s">
        <v>39</v>
      </c>
      <c r="AG1015">
        <v>2021</v>
      </c>
      <c r="AH1015" t="s">
        <v>40</v>
      </c>
      <c r="AI1015" t="str">
        <f>IF(Cdacdata[ccat_rank]&lt;=100,"Top 100",
IF(Cdacdata[ccat_rank]&lt;=500,"101–500",
IF(Cdacdata[ccat_rank]&lt;=1000,"501–1000",
"1000+")))</f>
        <v>1000+</v>
      </c>
    </row>
    <row r="1016" spans="1:35" x14ac:dyDescent="0.3">
      <c r="A1016" s="1" t="s">
        <v>242</v>
      </c>
      <c r="B1016">
        <v>210706867</v>
      </c>
      <c r="C1016" s="2">
        <v>44455</v>
      </c>
      <c r="D1016" s="2" t="s">
        <v>1251</v>
      </c>
      <c r="E1016">
        <v>3062</v>
      </c>
      <c r="F1016" s="2" t="s">
        <v>355</v>
      </c>
      <c r="G1016">
        <v>79.09</v>
      </c>
      <c r="H1016">
        <v>68</v>
      </c>
      <c r="I1016" t="s">
        <v>26</v>
      </c>
      <c r="J1016">
        <v>55.3</v>
      </c>
      <c r="K1016" s="3">
        <f t="shared" si="15"/>
        <v>67.463333333333324</v>
      </c>
      <c r="L1016" t="s">
        <v>41</v>
      </c>
      <c r="M1016" t="s">
        <v>27</v>
      </c>
      <c r="N1016">
        <v>24</v>
      </c>
      <c r="O1016" t="s">
        <v>72</v>
      </c>
      <c r="P1016" t="s">
        <v>42</v>
      </c>
      <c r="Q1016" t="s">
        <v>30</v>
      </c>
      <c r="R1016">
        <v>582</v>
      </c>
      <c r="S1016">
        <v>72.75</v>
      </c>
      <c r="T1016" t="s">
        <v>33</v>
      </c>
      <c r="U1016" t="s">
        <v>32</v>
      </c>
      <c r="V1016" t="s">
        <v>33</v>
      </c>
      <c r="W1016" t="s">
        <v>49</v>
      </c>
      <c r="X1016" t="s">
        <v>96</v>
      </c>
      <c r="Y1016" t="s">
        <v>58</v>
      </c>
      <c r="Z1016" t="s">
        <v>44</v>
      </c>
      <c r="AA1016" t="s">
        <v>327</v>
      </c>
      <c r="AB1016" t="s">
        <v>46</v>
      </c>
      <c r="AC1016">
        <f>IF(Cdacdata[[#This Row],[placement_status]]="Placed",1,0)</f>
        <v>1</v>
      </c>
      <c r="AD1016" t="s">
        <v>244</v>
      </c>
      <c r="AE1016" t="s">
        <v>98</v>
      </c>
      <c r="AF1016" t="s">
        <v>39</v>
      </c>
      <c r="AG1016">
        <v>2021</v>
      </c>
      <c r="AH1016" t="s">
        <v>40</v>
      </c>
      <c r="AI1016" t="str">
        <f>IF(Cdacdata[ccat_rank]&lt;=100,"Top 100",
IF(Cdacdata[ccat_rank]&lt;=500,"101–500",
IF(Cdacdata[ccat_rank]&lt;=1000,"501–1000",
"1000+")))</f>
        <v>1000+</v>
      </c>
    </row>
    <row r="1017" spans="1:35" x14ac:dyDescent="0.3">
      <c r="A1017" s="1" t="s">
        <v>242</v>
      </c>
      <c r="B1017">
        <v>210710288</v>
      </c>
      <c r="C1017" s="2">
        <v>44454</v>
      </c>
      <c r="D1017" s="2" t="s">
        <v>1252</v>
      </c>
      <c r="E1017">
        <v>3339</v>
      </c>
      <c r="F1017" s="2">
        <v>35282</v>
      </c>
      <c r="G1017">
        <v>69.489999999999995</v>
      </c>
      <c r="H1017" t="s">
        <v>26</v>
      </c>
      <c r="I1017">
        <v>61</v>
      </c>
      <c r="J1017">
        <v>72</v>
      </c>
      <c r="K1017" s="3">
        <f t="shared" si="15"/>
        <v>67.49666666666667</v>
      </c>
      <c r="L1017" t="s">
        <v>27</v>
      </c>
      <c r="M1017" t="s">
        <v>41</v>
      </c>
      <c r="N1017">
        <v>25</v>
      </c>
      <c r="O1017" t="s">
        <v>28</v>
      </c>
      <c r="P1017" t="s">
        <v>29</v>
      </c>
      <c r="Q1017" t="s">
        <v>30</v>
      </c>
      <c r="R1017">
        <v>541</v>
      </c>
      <c r="S1017">
        <v>67.625</v>
      </c>
      <c r="T1017" t="s">
        <v>49</v>
      </c>
      <c r="U1017" t="s">
        <v>32</v>
      </c>
      <c r="V1017" t="s">
        <v>49</v>
      </c>
      <c r="W1017" t="s">
        <v>33</v>
      </c>
      <c r="X1017" t="s">
        <v>96</v>
      </c>
      <c r="Y1017" t="s">
        <v>50</v>
      </c>
      <c r="Z1017" t="s">
        <v>44</v>
      </c>
      <c r="AA1017" t="s">
        <v>337</v>
      </c>
      <c r="AB1017" t="s">
        <v>46</v>
      </c>
      <c r="AC1017">
        <f>IF(Cdacdata[[#This Row],[placement_status]]="Placed",1,0)</f>
        <v>1</v>
      </c>
      <c r="AD1017" t="s">
        <v>244</v>
      </c>
      <c r="AE1017" t="s">
        <v>98</v>
      </c>
      <c r="AF1017" t="s">
        <v>39</v>
      </c>
      <c r="AG1017">
        <v>2021</v>
      </c>
      <c r="AH1017" t="s">
        <v>40</v>
      </c>
      <c r="AI1017" t="str">
        <f>IF(Cdacdata[ccat_rank]&lt;=100,"Top 100",
IF(Cdacdata[ccat_rank]&lt;=500,"101–500",
IF(Cdacdata[ccat_rank]&lt;=1000,"501–1000",
"1000+")))</f>
        <v>1000+</v>
      </c>
    </row>
    <row r="1018" spans="1:35" x14ac:dyDescent="0.3">
      <c r="A1018" s="1" t="s">
        <v>242</v>
      </c>
      <c r="B1018">
        <v>210708589</v>
      </c>
      <c r="C1018" s="2">
        <v>44457</v>
      </c>
      <c r="D1018" s="2" t="s">
        <v>1253</v>
      </c>
      <c r="E1018">
        <v>1958</v>
      </c>
      <c r="F1018" s="2" t="s">
        <v>358</v>
      </c>
      <c r="G1018">
        <v>73.400000000000006</v>
      </c>
      <c r="H1018">
        <v>64.83</v>
      </c>
      <c r="I1018" t="s">
        <v>26</v>
      </c>
      <c r="J1018">
        <v>66.66</v>
      </c>
      <c r="K1018" s="3">
        <f t="shared" si="15"/>
        <v>68.296666666666667</v>
      </c>
      <c r="L1018" t="s">
        <v>27</v>
      </c>
      <c r="M1018" t="s">
        <v>27</v>
      </c>
      <c r="N1018">
        <v>25</v>
      </c>
      <c r="O1018" t="s">
        <v>28</v>
      </c>
      <c r="P1018" t="s">
        <v>65</v>
      </c>
      <c r="Q1018" t="s">
        <v>30</v>
      </c>
      <c r="R1018">
        <v>619</v>
      </c>
      <c r="S1018">
        <v>77.375</v>
      </c>
      <c r="T1018" t="s">
        <v>33</v>
      </c>
      <c r="U1018" t="s">
        <v>32</v>
      </c>
      <c r="V1018" t="s">
        <v>33</v>
      </c>
      <c r="W1018" t="s">
        <v>49</v>
      </c>
      <c r="X1018" t="s">
        <v>96</v>
      </c>
      <c r="Y1018" t="s">
        <v>58</v>
      </c>
      <c r="Z1018" t="s">
        <v>53</v>
      </c>
      <c r="AA1018" t="s">
        <v>54</v>
      </c>
      <c r="AB1018" t="s">
        <v>46</v>
      </c>
      <c r="AC1018">
        <f>IF(Cdacdata[[#This Row],[placement_status]]="Placed",1,0)</f>
        <v>1</v>
      </c>
      <c r="AD1018" t="s">
        <v>244</v>
      </c>
      <c r="AE1018" t="s">
        <v>47</v>
      </c>
      <c r="AF1018" t="s">
        <v>39</v>
      </c>
      <c r="AG1018">
        <v>2021</v>
      </c>
      <c r="AH1018" t="s">
        <v>40</v>
      </c>
      <c r="AI1018" t="str">
        <f>IF(Cdacdata[ccat_rank]&lt;=100,"Top 100",
IF(Cdacdata[ccat_rank]&lt;=500,"101–500",
IF(Cdacdata[ccat_rank]&lt;=1000,"501–1000",
"1000+")))</f>
        <v>1000+</v>
      </c>
    </row>
    <row r="1019" spans="1:35" x14ac:dyDescent="0.3">
      <c r="A1019" s="1" t="s">
        <v>242</v>
      </c>
      <c r="B1019">
        <v>210716402</v>
      </c>
      <c r="C1019" s="2">
        <v>44455</v>
      </c>
      <c r="D1019" s="2" t="s">
        <v>1254</v>
      </c>
      <c r="E1019">
        <v>2812</v>
      </c>
      <c r="F1019" s="2" t="s">
        <v>359</v>
      </c>
      <c r="G1019">
        <v>93.45</v>
      </c>
      <c r="H1019">
        <v>64.17</v>
      </c>
      <c r="I1019" t="s">
        <v>26</v>
      </c>
      <c r="J1019">
        <v>68.930000000000007</v>
      </c>
      <c r="K1019" s="3">
        <f t="shared" si="15"/>
        <v>75.516666666666666</v>
      </c>
      <c r="L1019" t="s">
        <v>27</v>
      </c>
      <c r="M1019" t="s">
        <v>41</v>
      </c>
      <c r="N1019">
        <v>26</v>
      </c>
      <c r="O1019" t="s">
        <v>28</v>
      </c>
      <c r="P1019" t="s">
        <v>52</v>
      </c>
      <c r="Q1019" t="s">
        <v>30</v>
      </c>
      <c r="R1019">
        <v>421</v>
      </c>
      <c r="S1019">
        <v>52.625</v>
      </c>
      <c r="T1019" t="s">
        <v>49</v>
      </c>
      <c r="U1019" t="s">
        <v>32</v>
      </c>
      <c r="V1019" t="s">
        <v>49</v>
      </c>
      <c r="W1019" t="s">
        <v>31</v>
      </c>
      <c r="X1019" t="s">
        <v>96</v>
      </c>
      <c r="Y1019" t="s">
        <v>35</v>
      </c>
      <c r="Z1019" t="s">
        <v>36</v>
      </c>
      <c r="AA1019" t="s">
        <v>1268</v>
      </c>
      <c r="AB1019" t="s">
        <v>36</v>
      </c>
      <c r="AC1019">
        <f>IF(Cdacdata[[#This Row],[placement_status]]="Placed",1,0)</f>
        <v>0</v>
      </c>
      <c r="AD1019" t="s">
        <v>244</v>
      </c>
      <c r="AE1019" t="s">
        <v>38</v>
      </c>
      <c r="AF1019" t="s">
        <v>55</v>
      </c>
      <c r="AG1019">
        <v>2021</v>
      </c>
      <c r="AH1019" t="s">
        <v>40</v>
      </c>
      <c r="AI1019" t="str">
        <f>IF(Cdacdata[ccat_rank]&lt;=100,"Top 100",
IF(Cdacdata[ccat_rank]&lt;=500,"101–500",
IF(Cdacdata[ccat_rank]&lt;=1000,"501–1000",
"1000+")))</f>
        <v>1000+</v>
      </c>
    </row>
    <row r="1020" spans="1:35" x14ac:dyDescent="0.3">
      <c r="A1020" s="1" t="s">
        <v>242</v>
      </c>
      <c r="B1020">
        <v>210707894</v>
      </c>
      <c r="C1020" s="2">
        <v>44454</v>
      </c>
      <c r="D1020" s="2" t="s">
        <v>1255</v>
      </c>
      <c r="E1020">
        <v>3309</v>
      </c>
      <c r="F1020" s="2">
        <v>36617</v>
      </c>
      <c r="G1020">
        <v>76.8</v>
      </c>
      <c r="H1020" t="s">
        <v>26</v>
      </c>
      <c r="I1020">
        <v>75.19</v>
      </c>
      <c r="J1020">
        <v>69.569999999999993</v>
      </c>
      <c r="K1020" s="3">
        <f t="shared" si="15"/>
        <v>73.853333333333339</v>
      </c>
      <c r="L1020" t="s">
        <v>27</v>
      </c>
      <c r="M1020" t="s">
        <v>27</v>
      </c>
      <c r="N1020">
        <v>21</v>
      </c>
      <c r="O1020" t="s">
        <v>28</v>
      </c>
      <c r="P1020" t="s">
        <v>56</v>
      </c>
      <c r="Q1020" t="s">
        <v>26</v>
      </c>
      <c r="R1020">
        <v>575</v>
      </c>
      <c r="S1020">
        <v>71.875</v>
      </c>
      <c r="T1020" t="s">
        <v>31</v>
      </c>
      <c r="U1020" t="s">
        <v>32</v>
      </c>
      <c r="V1020" t="s">
        <v>31</v>
      </c>
      <c r="W1020" t="s">
        <v>33</v>
      </c>
      <c r="X1020" t="s">
        <v>96</v>
      </c>
      <c r="Y1020" t="s">
        <v>58</v>
      </c>
      <c r="Z1020" t="s">
        <v>44</v>
      </c>
      <c r="AA1020" t="s">
        <v>145</v>
      </c>
      <c r="AB1020" t="s">
        <v>46</v>
      </c>
      <c r="AC1020">
        <f>IF(Cdacdata[[#This Row],[placement_status]]="Placed",1,0)</f>
        <v>1</v>
      </c>
      <c r="AD1020" t="s">
        <v>244</v>
      </c>
      <c r="AE1020" t="s">
        <v>98</v>
      </c>
      <c r="AF1020" t="s">
        <v>57</v>
      </c>
      <c r="AG1020">
        <v>2021</v>
      </c>
      <c r="AH1020" t="s">
        <v>40</v>
      </c>
      <c r="AI1020" t="str">
        <f>IF(Cdacdata[ccat_rank]&lt;=100,"Top 100",
IF(Cdacdata[ccat_rank]&lt;=500,"101–500",
IF(Cdacdata[ccat_rank]&lt;=1000,"501–1000",
"1000+")))</f>
        <v>1000+</v>
      </c>
    </row>
    <row r="1021" spans="1:35" x14ac:dyDescent="0.3">
      <c r="A1021" s="1" t="s">
        <v>242</v>
      </c>
      <c r="B1021">
        <v>210707815</v>
      </c>
      <c r="C1021" s="2">
        <v>44454</v>
      </c>
      <c r="D1021" s="2" t="s">
        <v>1256</v>
      </c>
      <c r="E1021">
        <v>2690</v>
      </c>
      <c r="F1021" s="2" t="s">
        <v>360</v>
      </c>
      <c r="G1021">
        <v>93.64</v>
      </c>
      <c r="H1021">
        <v>68</v>
      </c>
      <c r="I1021" t="s">
        <v>26</v>
      </c>
      <c r="J1021">
        <v>61</v>
      </c>
      <c r="K1021" s="3">
        <f t="shared" si="15"/>
        <v>74.213333333333324</v>
      </c>
      <c r="L1021" t="s">
        <v>27</v>
      </c>
      <c r="M1021" t="s">
        <v>27</v>
      </c>
      <c r="N1021">
        <v>26</v>
      </c>
      <c r="O1021" t="s">
        <v>28</v>
      </c>
      <c r="P1021" t="s">
        <v>60</v>
      </c>
      <c r="Q1021" t="s">
        <v>30</v>
      </c>
      <c r="R1021">
        <v>537</v>
      </c>
      <c r="S1021">
        <v>67.125</v>
      </c>
      <c r="T1021" t="s">
        <v>33</v>
      </c>
      <c r="U1021" t="s">
        <v>32</v>
      </c>
      <c r="V1021" t="s">
        <v>33</v>
      </c>
      <c r="W1021" t="s">
        <v>49</v>
      </c>
      <c r="X1021" t="s">
        <v>96</v>
      </c>
      <c r="Y1021" t="s">
        <v>50</v>
      </c>
      <c r="Z1021" t="s">
        <v>44</v>
      </c>
      <c r="AA1021" t="s">
        <v>249</v>
      </c>
      <c r="AB1021" t="s">
        <v>46</v>
      </c>
      <c r="AC1021">
        <f>IF(Cdacdata[[#This Row],[placement_status]]="Placed",1,0)</f>
        <v>1</v>
      </c>
      <c r="AD1021" t="s">
        <v>244</v>
      </c>
      <c r="AE1021" t="s">
        <v>38</v>
      </c>
      <c r="AF1021" t="s">
        <v>55</v>
      </c>
      <c r="AG1021">
        <v>2021</v>
      </c>
      <c r="AH1021" t="s">
        <v>40</v>
      </c>
      <c r="AI1021" t="str">
        <f>IF(Cdacdata[ccat_rank]&lt;=100,"Top 100",
IF(Cdacdata[ccat_rank]&lt;=500,"101–500",
IF(Cdacdata[ccat_rank]&lt;=1000,"501–1000",
"1000+")))</f>
        <v>1000+</v>
      </c>
    </row>
    <row r="1022" spans="1:35" x14ac:dyDescent="0.3">
      <c r="A1022" s="1" t="s">
        <v>242</v>
      </c>
      <c r="B1022">
        <v>210716276</v>
      </c>
      <c r="C1022" s="2">
        <v>44454</v>
      </c>
      <c r="D1022" s="2" t="s">
        <v>1257</v>
      </c>
      <c r="E1022">
        <v>3081</v>
      </c>
      <c r="F1022" s="2" t="s">
        <v>361</v>
      </c>
      <c r="G1022">
        <v>80.55</v>
      </c>
      <c r="H1022">
        <v>64.33</v>
      </c>
      <c r="I1022" t="s">
        <v>26</v>
      </c>
      <c r="J1022">
        <v>59</v>
      </c>
      <c r="K1022" s="3">
        <f t="shared" si="15"/>
        <v>67.959999999999994</v>
      </c>
      <c r="L1022" t="s">
        <v>27</v>
      </c>
      <c r="M1022" t="s">
        <v>41</v>
      </c>
      <c r="N1022">
        <v>26</v>
      </c>
      <c r="O1022" t="s">
        <v>72</v>
      </c>
      <c r="P1022" t="s">
        <v>26</v>
      </c>
      <c r="Q1022" t="s">
        <v>26</v>
      </c>
      <c r="R1022">
        <v>579</v>
      </c>
      <c r="S1022">
        <v>72.375</v>
      </c>
      <c r="T1022" t="s">
        <v>49</v>
      </c>
      <c r="U1022" t="s">
        <v>32</v>
      </c>
      <c r="V1022" t="s">
        <v>49</v>
      </c>
      <c r="W1022" t="s">
        <v>49</v>
      </c>
      <c r="X1022" t="s">
        <v>96</v>
      </c>
      <c r="Y1022" t="s">
        <v>58</v>
      </c>
      <c r="Z1022" t="s">
        <v>44</v>
      </c>
      <c r="AA1022" t="s">
        <v>282</v>
      </c>
      <c r="AB1022" t="s">
        <v>46</v>
      </c>
      <c r="AC1022">
        <f>IF(Cdacdata[[#This Row],[placement_status]]="Placed",1,0)</f>
        <v>1</v>
      </c>
      <c r="AD1022" t="s">
        <v>244</v>
      </c>
      <c r="AE1022" t="s">
        <v>98</v>
      </c>
      <c r="AF1022" t="s">
        <v>55</v>
      </c>
      <c r="AG1022">
        <v>2021</v>
      </c>
      <c r="AH1022" t="s">
        <v>40</v>
      </c>
      <c r="AI1022" t="str">
        <f>IF(Cdacdata[ccat_rank]&lt;=100,"Top 100",
IF(Cdacdata[ccat_rank]&lt;=500,"101–500",
IF(Cdacdata[ccat_rank]&lt;=1000,"501–1000",
"1000+")))</f>
        <v>1000+</v>
      </c>
    </row>
    <row r="1023" spans="1:35" x14ac:dyDescent="0.3">
      <c r="A1023" s="1" t="s">
        <v>242</v>
      </c>
      <c r="B1023">
        <v>210708156</v>
      </c>
      <c r="C1023" s="2">
        <v>44454</v>
      </c>
      <c r="D1023" s="2" t="s">
        <v>1258</v>
      </c>
      <c r="E1023">
        <v>2860</v>
      </c>
      <c r="F1023" s="2" t="s">
        <v>362</v>
      </c>
      <c r="G1023">
        <v>80.55</v>
      </c>
      <c r="H1023" t="s">
        <v>26</v>
      </c>
      <c r="I1023">
        <v>63.58</v>
      </c>
      <c r="J1023">
        <v>6.46</v>
      </c>
      <c r="K1023" s="3">
        <f t="shared" si="15"/>
        <v>50.196666666666665</v>
      </c>
      <c r="L1023" t="s">
        <v>27</v>
      </c>
      <c r="M1023" t="s">
        <v>27</v>
      </c>
      <c r="N1023">
        <v>23</v>
      </c>
      <c r="O1023" t="s">
        <v>62</v>
      </c>
      <c r="P1023" t="s">
        <v>52</v>
      </c>
      <c r="Q1023" t="s">
        <v>30</v>
      </c>
      <c r="R1023">
        <v>397</v>
      </c>
      <c r="S1023">
        <v>49.625</v>
      </c>
      <c r="T1023" t="s">
        <v>103</v>
      </c>
      <c r="U1023" t="s">
        <v>32</v>
      </c>
      <c r="V1023" t="s">
        <v>103</v>
      </c>
      <c r="W1023" t="s">
        <v>31</v>
      </c>
      <c r="X1023" t="s">
        <v>96</v>
      </c>
      <c r="Y1023" t="s">
        <v>80</v>
      </c>
      <c r="Z1023" t="s">
        <v>36</v>
      </c>
      <c r="AA1023" t="s">
        <v>1268</v>
      </c>
      <c r="AB1023" t="s">
        <v>36</v>
      </c>
      <c r="AC1023">
        <f>IF(Cdacdata[[#This Row],[placement_status]]="Placed",1,0)</f>
        <v>0</v>
      </c>
      <c r="AD1023" t="s">
        <v>244</v>
      </c>
      <c r="AE1023" t="s">
        <v>38</v>
      </c>
      <c r="AF1023" t="s">
        <v>39</v>
      </c>
      <c r="AG1023">
        <v>2021</v>
      </c>
      <c r="AH1023" t="s">
        <v>40</v>
      </c>
      <c r="AI1023" t="str">
        <f>IF(Cdacdata[ccat_rank]&lt;=100,"Top 100",
IF(Cdacdata[ccat_rank]&lt;=500,"101–500",
IF(Cdacdata[ccat_rank]&lt;=1000,"501–1000",
"1000+")))</f>
        <v>1000+</v>
      </c>
    </row>
    <row r="1024" spans="1:35" x14ac:dyDescent="0.3">
      <c r="A1024" s="1" t="s">
        <v>242</v>
      </c>
      <c r="B1024">
        <v>210700952</v>
      </c>
      <c r="C1024" s="2">
        <v>44453</v>
      </c>
      <c r="D1024" s="2" t="s">
        <v>1259</v>
      </c>
      <c r="E1024">
        <v>2793</v>
      </c>
      <c r="F1024" s="2">
        <v>34770</v>
      </c>
      <c r="G1024">
        <v>69.569999999999993</v>
      </c>
      <c r="H1024">
        <v>80</v>
      </c>
      <c r="I1024" t="s">
        <v>26</v>
      </c>
      <c r="J1024">
        <v>74.67</v>
      </c>
      <c r="K1024" s="3">
        <f t="shared" si="15"/>
        <v>74.74666666666667</v>
      </c>
      <c r="L1024" t="s">
        <v>27</v>
      </c>
      <c r="M1024" t="s">
        <v>27</v>
      </c>
      <c r="N1024">
        <v>25</v>
      </c>
      <c r="O1024" t="s">
        <v>62</v>
      </c>
      <c r="P1024" t="s">
        <v>26</v>
      </c>
      <c r="Q1024" t="s">
        <v>30</v>
      </c>
      <c r="R1024">
        <v>618</v>
      </c>
      <c r="S1024">
        <v>77.25</v>
      </c>
      <c r="T1024" t="s">
        <v>49</v>
      </c>
      <c r="U1024" t="s">
        <v>32</v>
      </c>
      <c r="V1024" t="s">
        <v>49</v>
      </c>
      <c r="W1024" t="s">
        <v>49</v>
      </c>
      <c r="X1024" t="s">
        <v>96</v>
      </c>
      <c r="Y1024" t="s">
        <v>58</v>
      </c>
      <c r="Z1024" t="s">
        <v>44</v>
      </c>
      <c r="AA1024" t="s">
        <v>156</v>
      </c>
      <c r="AB1024" t="s">
        <v>46</v>
      </c>
      <c r="AC1024">
        <f>IF(Cdacdata[[#This Row],[placement_status]]="Placed",1,0)</f>
        <v>1</v>
      </c>
      <c r="AD1024" t="s">
        <v>244</v>
      </c>
      <c r="AE1024" t="s">
        <v>38</v>
      </c>
      <c r="AF1024" t="s">
        <v>39</v>
      </c>
      <c r="AG1024">
        <v>2021</v>
      </c>
      <c r="AH1024" t="s">
        <v>40</v>
      </c>
      <c r="AI1024" t="str">
        <f>IF(Cdacdata[ccat_rank]&lt;=100,"Top 100",
IF(Cdacdata[ccat_rank]&lt;=500,"101–500",
IF(Cdacdata[ccat_rank]&lt;=1000,"501–1000",
"1000+")))</f>
        <v>1000+</v>
      </c>
    </row>
    <row r="1025" spans="1:35" x14ac:dyDescent="0.3">
      <c r="A1025" s="1" t="s">
        <v>242</v>
      </c>
      <c r="B1025">
        <v>210706972</v>
      </c>
      <c r="C1025" s="2">
        <v>44454</v>
      </c>
      <c r="D1025" s="2" t="s">
        <v>1260</v>
      </c>
      <c r="E1025">
        <v>2392</v>
      </c>
      <c r="F1025" s="2" t="s">
        <v>363</v>
      </c>
      <c r="G1025">
        <v>82.61</v>
      </c>
      <c r="H1025" t="s">
        <v>26</v>
      </c>
      <c r="I1025">
        <v>66.81</v>
      </c>
      <c r="J1025">
        <v>58.87</v>
      </c>
      <c r="K1025" s="3">
        <f t="shared" si="15"/>
        <v>69.430000000000007</v>
      </c>
      <c r="L1025" t="s">
        <v>27</v>
      </c>
      <c r="M1025" t="s">
        <v>27</v>
      </c>
      <c r="N1025">
        <v>27</v>
      </c>
      <c r="O1025" t="s">
        <v>72</v>
      </c>
      <c r="P1025" t="s">
        <v>60</v>
      </c>
      <c r="Q1025" t="s">
        <v>26</v>
      </c>
      <c r="R1025">
        <v>572</v>
      </c>
      <c r="S1025">
        <v>71.5</v>
      </c>
      <c r="T1025" t="s">
        <v>31</v>
      </c>
      <c r="U1025" t="s">
        <v>32</v>
      </c>
      <c r="V1025" t="s">
        <v>31</v>
      </c>
      <c r="W1025" t="s">
        <v>49</v>
      </c>
      <c r="X1025" t="s">
        <v>96</v>
      </c>
      <c r="Y1025" t="s">
        <v>58</v>
      </c>
      <c r="Z1025" t="s">
        <v>44</v>
      </c>
      <c r="AA1025" t="s">
        <v>176</v>
      </c>
      <c r="AB1025" t="s">
        <v>46</v>
      </c>
      <c r="AC1025">
        <f>IF(Cdacdata[[#This Row],[placement_status]]="Placed",1,0)</f>
        <v>1</v>
      </c>
      <c r="AD1025" t="s">
        <v>244</v>
      </c>
      <c r="AE1025" t="s">
        <v>38</v>
      </c>
      <c r="AF1025" t="s">
        <v>55</v>
      </c>
      <c r="AG1025">
        <v>2021</v>
      </c>
      <c r="AH1025" t="s">
        <v>40</v>
      </c>
      <c r="AI1025" t="str">
        <f>IF(Cdacdata[ccat_rank]&lt;=100,"Top 100",
IF(Cdacdata[ccat_rank]&lt;=500,"101–500",
IF(Cdacdata[ccat_rank]&lt;=1000,"501–1000",
"1000+")))</f>
        <v>1000+</v>
      </c>
    </row>
    <row r="1026" spans="1:35" x14ac:dyDescent="0.3">
      <c r="A1026" s="1" t="s">
        <v>242</v>
      </c>
      <c r="B1026">
        <v>210711013</v>
      </c>
      <c r="C1026" s="2">
        <v>44454</v>
      </c>
      <c r="D1026" s="2" t="s">
        <v>1261</v>
      </c>
      <c r="E1026">
        <v>3370</v>
      </c>
      <c r="F1026" s="2" t="s">
        <v>364</v>
      </c>
      <c r="G1026">
        <v>82.91</v>
      </c>
      <c r="H1026">
        <v>51.83</v>
      </c>
      <c r="I1026" t="s">
        <v>26</v>
      </c>
      <c r="J1026">
        <v>60.41</v>
      </c>
      <c r="K1026" s="3">
        <f t="shared" ref="K1026:K1031" si="16">AVERAGE(G1026,H1026,I1026,J1026)</f>
        <v>65.05</v>
      </c>
      <c r="L1026" t="s">
        <v>27</v>
      </c>
      <c r="M1026" t="s">
        <v>41</v>
      </c>
      <c r="N1026">
        <v>25</v>
      </c>
      <c r="O1026" t="s">
        <v>28</v>
      </c>
      <c r="P1026" t="s">
        <v>65</v>
      </c>
      <c r="Q1026" t="s">
        <v>30</v>
      </c>
      <c r="R1026">
        <v>497</v>
      </c>
      <c r="S1026">
        <v>62.125</v>
      </c>
      <c r="T1026" t="s">
        <v>31</v>
      </c>
      <c r="U1026" t="s">
        <v>32</v>
      </c>
      <c r="V1026" t="s">
        <v>31</v>
      </c>
      <c r="W1026" t="s">
        <v>33</v>
      </c>
      <c r="X1026" t="s">
        <v>96</v>
      </c>
      <c r="Y1026" t="s">
        <v>50</v>
      </c>
      <c r="Z1026" t="s">
        <v>44</v>
      </c>
      <c r="AA1026" t="s">
        <v>348</v>
      </c>
      <c r="AB1026" t="s">
        <v>46</v>
      </c>
      <c r="AC1026">
        <f>IF(Cdacdata[[#This Row],[placement_status]]="Placed",1,0)</f>
        <v>1</v>
      </c>
      <c r="AD1026" t="s">
        <v>244</v>
      </c>
      <c r="AE1026" t="s">
        <v>98</v>
      </c>
      <c r="AF1026" t="s">
        <v>39</v>
      </c>
      <c r="AG1026">
        <v>2021</v>
      </c>
      <c r="AH1026" t="s">
        <v>40</v>
      </c>
      <c r="AI1026" t="str">
        <f>IF(Cdacdata[ccat_rank]&lt;=100,"Top 100",
IF(Cdacdata[ccat_rank]&lt;=500,"101–500",
IF(Cdacdata[ccat_rank]&lt;=1000,"501–1000",
"1000+")))</f>
        <v>1000+</v>
      </c>
    </row>
    <row r="1027" spans="1:35" x14ac:dyDescent="0.3">
      <c r="A1027" s="1" t="s">
        <v>242</v>
      </c>
      <c r="B1027">
        <v>210704347</v>
      </c>
      <c r="C1027" s="2">
        <v>44454</v>
      </c>
      <c r="D1027" s="2" t="s">
        <v>1262</v>
      </c>
      <c r="E1027">
        <v>3107</v>
      </c>
      <c r="F1027" s="2">
        <v>35648</v>
      </c>
      <c r="G1027">
        <v>91.09</v>
      </c>
      <c r="H1027">
        <v>69</v>
      </c>
      <c r="I1027" t="s">
        <v>26</v>
      </c>
      <c r="J1027">
        <v>64.400000000000006</v>
      </c>
      <c r="K1027" s="3">
        <f t="shared" si="16"/>
        <v>74.83</v>
      </c>
      <c r="L1027" t="s">
        <v>27</v>
      </c>
      <c r="M1027" t="s">
        <v>41</v>
      </c>
      <c r="N1027">
        <v>24</v>
      </c>
      <c r="O1027" t="s">
        <v>28</v>
      </c>
      <c r="P1027" t="s">
        <v>60</v>
      </c>
      <c r="Q1027" t="s">
        <v>30</v>
      </c>
      <c r="R1027">
        <v>551</v>
      </c>
      <c r="S1027">
        <v>68.875</v>
      </c>
      <c r="T1027" t="s">
        <v>31</v>
      </c>
      <c r="U1027" t="s">
        <v>32</v>
      </c>
      <c r="V1027" t="s">
        <v>31</v>
      </c>
      <c r="W1027" t="s">
        <v>33</v>
      </c>
      <c r="X1027" t="s">
        <v>96</v>
      </c>
      <c r="Y1027" t="s">
        <v>50</v>
      </c>
      <c r="Z1027" t="s">
        <v>44</v>
      </c>
      <c r="AA1027" t="s">
        <v>365</v>
      </c>
      <c r="AB1027" t="s">
        <v>46</v>
      </c>
      <c r="AC1027">
        <f>IF(Cdacdata[[#This Row],[placement_status]]="Placed",1,0)</f>
        <v>1</v>
      </c>
      <c r="AD1027" t="s">
        <v>244</v>
      </c>
      <c r="AE1027" t="s">
        <v>98</v>
      </c>
      <c r="AF1027" t="s">
        <v>39</v>
      </c>
      <c r="AG1027">
        <v>2021</v>
      </c>
      <c r="AH1027" t="s">
        <v>40</v>
      </c>
      <c r="AI1027" t="str">
        <f>IF(Cdacdata[ccat_rank]&lt;=100,"Top 100",
IF(Cdacdata[ccat_rank]&lt;=500,"101–500",
IF(Cdacdata[ccat_rank]&lt;=1000,"501–1000",
"1000+")))</f>
        <v>1000+</v>
      </c>
    </row>
    <row r="1028" spans="1:35" x14ac:dyDescent="0.3">
      <c r="A1028" s="1" t="s">
        <v>242</v>
      </c>
      <c r="B1028">
        <v>210705366</v>
      </c>
      <c r="C1028" s="2">
        <v>44457</v>
      </c>
      <c r="D1028" s="2" t="s">
        <v>1263</v>
      </c>
      <c r="E1028">
        <v>2352</v>
      </c>
      <c r="F1028" s="2">
        <v>35559</v>
      </c>
      <c r="G1028">
        <v>82.91</v>
      </c>
      <c r="H1028">
        <v>59.08</v>
      </c>
      <c r="I1028" t="s">
        <v>26</v>
      </c>
      <c r="J1028">
        <v>72.959999999999994</v>
      </c>
      <c r="K1028" s="3">
        <f t="shared" si="16"/>
        <v>71.649999999999991</v>
      </c>
      <c r="L1028" t="s">
        <v>41</v>
      </c>
      <c r="M1028" t="s">
        <v>41</v>
      </c>
      <c r="N1028">
        <v>24</v>
      </c>
      <c r="O1028" t="s">
        <v>28</v>
      </c>
      <c r="P1028" t="s">
        <v>29</v>
      </c>
      <c r="Q1028" t="s">
        <v>67</v>
      </c>
      <c r="R1028">
        <v>615</v>
      </c>
      <c r="S1028">
        <v>76.875</v>
      </c>
      <c r="T1028" t="s">
        <v>33</v>
      </c>
      <c r="U1028" t="s">
        <v>32</v>
      </c>
      <c r="V1028" t="s">
        <v>33</v>
      </c>
      <c r="W1028" t="s">
        <v>49</v>
      </c>
      <c r="X1028" t="s">
        <v>96</v>
      </c>
      <c r="Y1028" t="s">
        <v>58</v>
      </c>
      <c r="Z1028" t="s">
        <v>44</v>
      </c>
      <c r="AA1028" t="s">
        <v>249</v>
      </c>
      <c r="AB1028" t="s">
        <v>46</v>
      </c>
      <c r="AC1028">
        <f>IF(Cdacdata[[#This Row],[placement_status]]="Placed",1,0)</f>
        <v>1</v>
      </c>
      <c r="AD1028" t="s">
        <v>244</v>
      </c>
      <c r="AE1028" t="s">
        <v>38</v>
      </c>
      <c r="AF1028" t="s">
        <v>39</v>
      </c>
      <c r="AG1028">
        <v>2021</v>
      </c>
      <c r="AH1028" t="s">
        <v>40</v>
      </c>
      <c r="AI1028" t="str">
        <f>IF(Cdacdata[ccat_rank]&lt;=100,"Top 100",
IF(Cdacdata[ccat_rank]&lt;=500,"101–500",
IF(Cdacdata[ccat_rank]&lt;=1000,"501–1000",
"1000+")))</f>
        <v>1000+</v>
      </c>
    </row>
    <row r="1029" spans="1:35" x14ac:dyDescent="0.3">
      <c r="A1029" s="1" t="s">
        <v>242</v>
      </c>
      <c r="B1029">
        <v>210714211</v>
      </c>
      <c r="C1029" s="2">
        <v>44457</v>
      </c>
      <c r="D1029" s="2" t="s">
        <v>1264</v>
      </c>
      <c r="E1029">
        <v>2327</v>
      </c>
      <c r="F1029" s="2" t="s">
        <v>366</v>
      </c>
      <c r="G1029">
        <v>93.2</v>
      </c>
      <c r="H1029">
        <v>78.150000000000006</v>
      </c>
      <c r="I1029" t="s">
        <v>26</v>
      </c>
      <c r="J1029">
        <v>64.900000000000006</v>
      </c>
      <c r="K1029" s="3">
        <f t="shared" si="16"/>
        <v>78.750000000000014</v>
      </c>
      <c r="L1029" t="s">
        <v>27</v>
      </c>
      <c r="M1029" t="s">
        <v>27</v>
      </c>
      <c r="N1029">
        <v>0</v>
      </c>
      <c r="O1029" t="s">
        <v>28</v>
      </c>
      <c r="P1029" t="s">
        <v>26</v>
      </c>
      <c r="Q1029" t="s">
        <v>26</v>
      </c>
      <c r="R1029">
        <v>467</v>
      </c>
      <c r="S1029">
        <v>58.375</v>
      </c>
      <c r="T1029" t="s">
        <v>49</v>
      </c>
      <c r="U1029" t="s">
        <v>32</v>
      </c>
      <c r="V1029" t="s">
        <v>49</v>
      </c>
      <c r="W1029" t="s">
        <v>31</v>
      </c>
      <c r="X1029" t="s">
        <v>96</v>
      </c>
      <c r="Y1029" t="s">
        <v>35</v>
      </c>
      <c r="Z1029" t="s">
        <v>44</v>
      </c>
      <c r="AA1029" t="s">
        <v>348</v>
      </c>
      <c r="AB1029" t="s">
        <v>46</v>
      </c>
      <c r="AC1029">
        <f>IF(Cdacdata[[#This Row],[placement_status]]="Placed",1,0)</f>
        <v>1</v>
      </c>
      <c r="AD1029" t="s">
        <v>244</v>
      </c>
      <c r="AE1029" t="s">
        <v>38</v>
      </c>
      <c r="AF1029" t="s">
        <v>69</v>
      </c>
      <c r="AG1029">
        <v>2021</v>
      </c>
      <c r="AH1029" t="s">
        <v>40</v>
      </c>
      <c r="AI1029" t="str">
        <f>IF(Cdacdata[ccat_rank]&lt;=100,"Top 100",
IF(Cdacdata[ccat_rank]&lt;=500,"101–500",
IF(Cdacdata[ccat_rank]&lt;=1000,"501–1000",
"1000+")))</f>
        <v>1000+</v>
      </c>
    </row>
    <row r="1030" spans="1:35" x14ac:dyDescent="0.3">
      <c r="A1030" s="1" t="s">
        <v>242</v>
      </c>
      <c r="B1030">
        <v>210701265</v>
      </c>
      <c r="C1030" s="2">
        <v>44454</v>
      </c>
      <c r="D1030" s="2" t="s">
        <v>1265</v>
      </c>
      <c r="E1030">
        <v>3019</v>
      </c>
      <c r="F1030" s="2">
        <v>35499</v>
      </c>
      <c r="G1030">
        <v>84</v>
      </c>
      <c r="H1030">
        <v>77.540000000000006</v>
      </c>
      <c r="I1030" t="s">
        <v>26</v>
      </c>
      <c r="J1030">
        <v>66.31</v>
      </c>
      <c r="K1030" s="3">
        <f t="shared" si="16"/>
        <v>75.95</v>
      </c>
      <c r="L1030" t="s">
        <v>27</v>
      </c>
      <c r="M1030" t="s">
        <v>27</v>
      </c>
      <c r="N1030">
        <v>23</v>
      </c>
      <c r="O1030" t="s">
        <v>28</v>
      </c>
      <c r="P1030" t="s">
        <v>26</v>
      </c>
      <c r="Q1030" t="s">
        <v>26</v>
      </c>
      <c r="R1030">
        <v>623</v>
      </c>
      <c r="S1030">
        <v>77.875</v>
      </c>
      <c r="T1030" t="s">
        <v>49</v>
      </c>
      <c r="U1030" t="s">
        <v>32</v>
      </c>
      <c r="V1030" t="s">
        <v>49</v>
      </c>
      <c r="W1030" t="s">
        <v>49</v>
      </c>
      <c r="X1030" t="s">
        <v>96</v>
      </c>
      <c r="Y1030" t="s">
        <v>58</v>
      </c>
      <c r="Z1030" t="s">
        <v>44</v>
      </c>
      <c r="AA1030" t="s">
        <v>163</v>
      </c>
      <c r="AB1030" t="s">
        <v>46</v>
      </c>
      <c r="AC1030">
        <f>IF(Cdacdata[[#This Row],[placement_status]]="Placed",1,0)</f>
        <v>1</v>
      </c>
      <c r="AD1030" t="s">
        <v>244</v>
      </c>
      <c r="AE1030" t="s">
        <v>98</v>
      </c>
      <c r="AF1030" t="s">
        <v>39</v>
      </c>
      <c r="AG1030">
        <v>2021</v>
      </c>
      <c r="AH1030" t="s">
        <v>40</v>
      </c>
      <c r="AI1030" t="str">
        <f>IF(Cdacdata[ccat_rank]&lt;=100,"Top 100",
IF(Cdacdata[ccat_rank]&lt;=500,"101–500",
IF(Cdacdata[ccat_rank]&lt;=1000,"501–1000",
"1000+")))</f>
        <v>1000+</v>
      </c>
    </row>
    <row r="1031" spans="1:35" x14ac:dyDescent="0.3">
      <c r="A1031" s="1" t="s">
        <v>242</v>
      </c>
      <c r="B1031">
        <v>210714273</v>
      </c>
      <c r="C1031" s="2">
        <v>44454</v>
      </c>
      <c r="D1031" s="2" t="s">
        <v>1266</v>
      </c>
      <c r="E1031">
        <v>3089</v>
      </c>
      <c r="F1031" s="2" t="s">
        <v>367</v>
      </c>
      <c r="G1031">
        <v>78.2</v>
      </c>
      <c r="H1031">
        <v>59.6</v>
      </c>
      <c r="I1031" t="s">
        <v>26</v>
      </c>
      <c r="J1031">
        <v>64.42</v>
      </c>
      <c r="K1031" s="3">
        <f t="shared" si="16"/>
        <v>67.40666666666668</v>
      </c>
      <c r="L1031" t="s">
        <v>27</v>
      </c>
      <c r="M1031" t="s">
        <v>27</v>
      </c>
      <c r="N1031">
        <v>22</v>
      </c>
      <c r="O1031" t="s">
        <v>28</v>
      </c>
      <c r="P1031" t="s">
        <v>65</v>
      </c>
      <c r="Q1031" t="s">
        <v>30</v>
      </c>
      <c r="R1031">
        <v>595</v>
      </c>
      <c r="S1031">
        <v>74.375</v>
      </c>
      <c r="T1031" t="s">
        <v>49</v>
      </c>
      <c r="U1031" t="s">
        <v>32</v>
      </c>
      <c r="V1031" t="s">
        <v>49</v>
      </c>
      <c r="W1031" t="s">
        <v>49</v>
      </c>
      <c r="X1031" t="s">
        <v>96</v>
      </c>
      <c r="Y1031" t="s">
        <v>58</v>
      </c>
      <c r="Z1031" t="s">
        <v>44</v>
      </c>
      <c r="AA1031" t="s">
        <v>175</v>
      </c>
      <c r="AB1031" t="s">
        <v>46</v>
      </c>
      <c r="AC1031">
        <f>IF(Cdacdata[[#This Row],[placement_status]]="Placed",1,0)</f>
        <v>1</v>
      </c>
      <c r="AD1031" t="s">
        <v>244</v>
      </c>
      <c r="AE1031" t="s">
        <v>98</v>
      </c>
      <c r="AF1031" t="s">
        <v>57</v>
      </c>
      <c r="AG1031">
        <v>2021</v>
      </c>
      <c r="AH1031" t="s">
        <v>40</v>
      </c>
      <c r="AI1031" t="str">
        <f>IF(Cdacdata[ccat_rank]&lt;=100,"Top 100",
IF(Cdacdata[ccat_rank]&lt;=500,"101–500",
IF(Cdacdata[ccat_rank]&lt;=1000,"501–1000",
"1000+")))</f>
        <v>1000+</v>
      </c>
    </row>
    <row r="1032" spans="1:35" x14ac:dyDescent="0.3">
      <c r="F1032"/>
    </row>
    <row r="1033" spans="1:35" x14ac:dyDescent="0.3">
      <c r="F1033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0478-9EF2-46E5-A722-872A7CC6C7C9}">
  <sheetPr codeName="Sheet2"/>
  <dimension ref="A3:K10"/>
  <sheetViews>
    <sheetView workbookViewId="0">
      <selection activeCell="E3" sqref="E3"/>
    </sheetView>
  </sheetViews>
  <sheetFormatPr defaultRowHeight="14.4" x14ac:dyDescent="0.3"/>
  <cols>
    <col min="1" max="1" width="12.5546875" bestFit="1" customWidth="1"/>
    <col min="2" max="2" width="11.6640625" bestFit="1" customWidth="1"/>
    <col min="4" max="4" width="11.88671875" bestFit="1" customWidth="1"/>
    <col min="5" max="5" width="14" bestFit="1" customWidth="1"/>
    <col min="7" max="7" width="12.5546875" bestFit="1" customWidth="1"/>
    <col min="8" max="8" width="15.88671875" bestFit="1" customWidth="1"/>
    <col min="10" max="10" width="12.5546875" bestFit="1" customWidth="1"/>
    <col min="11" max="11" width="11.6640625" bestFit="1" customWidth="1"/>
  </cols>
  <sheetData>
    <row r="3" spans="1:11" x14ac:dyDescent="0.3">
      <c r="A3" s="4" t="s">
        <v>1291</v>
      </c>
      <c r="B3" t="s">
        <v>1274</v>
      </c>
      <c r="D3" s="4" t="s">
        <v>1292</v>
      </c>
      <c r="E3" t="s">
        <v>1293</v>
      </c>
      <c r="G3" s="4" t="s">
        <v>1272</v>
      </c>
      <c r="H3" t="s">
        <v>1275</v>
      </c>
      <c r="J3" s="4" t="s">
        <v>1272</v>
      </c>
      <c r="K3" t="s">
        <v>1274</v>
      </c>
    </row>
    <row r="4" spans="1:11" x14ac:dyDescent="0.3">
      <c r="A4" s="5" t="s">
        <v>160</v>
      </c>
      <c r="B4">
        <v>185</v>
      </c>
      <c r="D4" s="5" t="s">
        <v>57</v>
      </c>
      <c r="E4">
        <v>191</v>
      </c>
      <c r="G4" s="5" t="s">
        <v>75</v>
      </c>
      <c r="H4">
        <v>147</v>
      </c>
      <c r="J4" s="5">
        <v>2021</v>
      </c>
      <c r="K4">
        <v>357</v>
      </c>
    </row>
    <row r="5" spans="1:11" x14ac:dyDescent="0.3">
      <c r="A5" s="5" t="s">
        <v>244</v>
      </c>
      <c r="B5">
        <v>172</v>
      </c>
      <c r="D5" s="5" t="s">
        <v>39</v>
      </c>
      <c r="E5">
        <v>513</v>
      </c>
      <c r="G5" s="5" t="s">
        <v>47</v>
      </c>
      <c r="H5">
        <v>494</v>
      </c>
      <c r="J5" s="5">
        <v>2022</v>
      </c>
      <c r="K5">
        <v>352</v>
      </c>
    </row>
    <row r="6" spans="1:11" x14ac:dyDescent="0.3">
      <c r="A6" s="5" t="s">
        <v>110</v>
      </c>
      <c r="B6">
        <v>174</v>
      </c>
      <c r="D6" s="5" t="s">
        <v>55</v>
      </c>
      <c r="E6">
        <v>149</v>
      </c>
      <c r="G6" s="5" t="s">
        <v>38</v>
      </c>
      <c r="H6">
        <v>182</v>
      </c>
      <c r="J6" s="5">
        <v>2023</v>
      </c>
      <c r="K6">
        <v>321</v>
      </c>
    </row>
    <row r="7" spans="1:11" x14ac:dyDescent="0.3">
      <c r="A7" s="5" t="s">
        <v>213</v>
      </c>
      <c r="B7">
        <v>178</v>
      </c>
      <c r="D7" s="5" t="s">
        <v>69</v>
      </c>
      <c r="E7">
        <v>39</v>
      </c>
      <c r="G7" s="5" t="s">
        <v>98</v>
      </c>
      <c r="H7">
        <v>58</v>
      </c>
      <c r="J7" s="5" t="s">
        <v>1273</v>
      </c>
      <c r="K7">
        <v>1030</v>
      </c>
    </row>
    <row r="8" spans="1:11" x14ac:dyDescent="0.3">
      <c r="A8" s="5" t="s">
        <v>193</v>
      </c>
      <c r="B8">
        <v>166</v>
      </c>
      <c r="D8" s="5" t="s">
        <v>63</v>
      </c>
      <c r="E8">
        <v>138</v>
      </c>
      <c r="G8" s="5" t="s">
        <v>184</v>
      </c>
      <c r="H8">
        <v>11</v>
      </c>
    </row>
    <row r="9" spans="1:11" x14ac:dyDescent="0.3">
      <c r="A9" s="5" t="s">
        <v>37</v>
      </c>
      <c r="B9">
        <v>155</v>
      </c>
      <c r="D9" s="5" t="s">
        <v>1273</v>
      </c>
      <c r="E9">
        <v>1030</v>
      </c>
      <c r="G9" s="5" t="s">
        <v>63</v>
      </c>
      <c r="H9">
        <v>138</v>
      </c>
    </row>
    <row r="10" spans="1:11" x14ac:dyDescent="0.3">
      <c r="A10" s="5" t="s">
        <v>1273</v>
      </c>
      <c r="B10">
        <v>1030</v>
      </c>
      <c r="G10" s="5" t="s">
        <v>1273</v>
      </c>
      <c r="H10">
        <v>1030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A2EF-2C14-44B5-8F2F-08F19A77E435}">
  <sheetPr codeName="Sheet3"/>
  <dimension ref="A3:K11"/>
  <sheetViews>
    <sheetView workbookViewId="0">
      <selection activeCell="H20" sqref="H20"/>
    </sheetView>
  </sheetViews>
  <sheetFormatPr defaultRowHeight="14.4" x14ac:dyDescent="0.3"/>
  <cols>
    <col min="1" max="1" width="10.77734375" bestFit="1" customWidth="1"/>
    <col min="2" max="3" width="10.33203125" bestFit="1" customWidth="1"/>
    <col min="4" max="4" width="12.33203125" bestFit="1" customWidth="1"/>
    <col min="5" max="5" width="10.33203125" customWidth="1"/>
    <col min="6" max="6" width="19" bestFit="1" customWidth="1"/>
    <col min="7" max="7" width="14.21875" bestFit="1" customWidth="1"/>
    <col min="8" max="8" width="10.6640625" bestFit="1" customWidth="1"/>
    <col min="9" max="9" width="11.77734375" customWidth="1"/>
    <col min="10" max="10" width="10.109375" customWidth="1"/>
    <col min="11" max="11" width="24" customWidth="1"/>
    <col min="12" max="12" width="11.6640625" bestFit="1" customWidth="1"/>
    <col min="13" max="13" width="11.5546875" customWidth="1"/>
    <col min="14" max="14" width="15.44140625" customWidth="1"/>
    <col min="15" max="15" width="12.5546875" bestFit="1" customWidth="1"/>
    <col min="16" max="16" width="25.21875" bestFit="1" customWidth="1"/>
    <col min="18" max="18" width="12.5546875" bestFit="1" customWidth="1"/>
    <col min="19" max="19" width="22.109375" bestFit="1" customWidth="1"/>
    <col min="20" max="20" width="12" bestFit="1" customWidth="1"/>
    <col min="21" max="21" width="3" bestFit="1" customWidth="1"/>
    <col min="22" max="23" width="7" bestFit="1" customWidth="1"/>
    <col min="24" max="24" width="6" bestFit="1" customWidth="1"/>
    <col min="25" max="25" width="7" bestFit="1" customWidth="1"/>
    <col min="26" max="26" width="5" bestFit="1" customWidth="1"/>
    <col min="27" max="29" width="6" bestFit="1" customWidth="1"/>
    <col min="30" max="30" width="3" bestFit="1" customWidth="1"/>
    <col min="31" max="31" width="6" bestFit="1" customWidth="1"/>
    <col min="32" max="32" width="12" bestFit="1" customWidth="1"/>
    <col min="33" max="33" width="7" bestFit="1" customWidth="1"/>
    <col min="34" max="34" width="5" bestFit="1" customWidth="1"/>
    <col min="35" max="35" width="12" bestFit="1" customWidth="1"/>
    <col min="36" max="36" width="7" bestFit="1" customWidth="1"/>
    <col min="37" max="37" width="5" bestFit="1" customWidth="1"/>
    <col min="38" max="38" width="7" bestFit="1" customWidth="1"/>
    <col min="39" max="39" width="12" bestFit="1" customWidth="1"/>
    <col min="40" max="40" width="6" bestFit="1" customWidth="1"/>
    <col min="41" max="41" width="7" bestFit="1" customWidth="1"/>
    <col min="42" max="42" width="12" bestFit="1" customWidth="1"/>
    <col min="43" max="43" width="3" bestFit="1" customWidth="1"/>
    <col min="44" max="44" width="12" bestFit="1" customWidth="1"/>
    <col min="45" max="45" width="7" bestFit="1" customWidth="1"/>
    <col min="46" max="46" width="6" bestFit="1" customWidth="1"/>
    <col min="47" max="47" width="5" bestFit="1" customWidth="1"/>
    <col min="48" max="48" width="7" bestFit="1" customWidth="1"/>
    <col min="49" max="50" width="12" bestFit="1" customWidth="1"/>
    <col min="51" max="51" width="3" bestFit="1" customWidth="1"/>
    <col min="52" max="52" width="6" bestFit="1" customWidth="1"/>
    <col min="53" max="56" width="7" bestFit="1" customWidth="1"/>
    <col min="57" max="57" width="12" bestFit="1" customWidth="1"/>
    <col min="58" max="58" width="6" bestFit="1" customWidth="1"/>
    <col min="59" max="59" width="3" bestFit="1" customWidth="1"/>
    <col min="60" max="60" width="7" bestFit="1" customWidth="1"/>
    <col min="61" max="61" width="12" bestFit="1" customWidth="1"/>
    <col min="62" max="62" width="7" bestFit="1" customWidth="1"/>
    <col min="63" max="63" width="5" bestFit="1" customWidth="1"/>
    <col min="64" max="65" width="7" bestFit="1" customWidth="1"/>
    <col min="66" max="66" width="6" bestFit="1" customWidth="1"/>
    <col min="67" max="67" width="7" bestFit="1" customWidth="1"/>
    <col min="68" max="68" width="5" bestFit="1" customWidth="1"/>
    <col min="69" max="69" width="7" bestFit="1" customWidth="1"/>
    <col min="70" max="70" width="6" bestFit="1" customWidth="1"/>
    <col min="71" max="71" width="7" bestFit="1" customWidth="1"/>
    <col min="72" max="72" width="3" bestFit="1" customWidth="1"/>
    <col min="73" max="74" width="7" bestFit="1" customWidth="1"/>
    <col min="75" max="75" width="6" bestFit="1" customWidth="1"/>
    <col min="76" max="76" width="7" bestFit="1" customWidth="1"/>
    <col min="77" max="77" width="3" bestFit="1" customWidth="1"/>
    <col min="78" max="78" width="6" bestFit="1" customWidth="1"/>
    <col min="79" max="80" width="7" bestFit="1" customWidth="1"/>
    <col min="81" max="81" width="6" bestFit="1" customWidth="1"/>
    <col min="82" max="82" width="3" bestFit="1" customWidth="1"/>
    <col min="83" max="83" width="7" bestFit="1" customWidth="1"/>
    <col min="84" max="84" width="5" bestFit="1" customWidth="1"/>
    <col min="85" max="85" width="7" bestFit="1" customWidth="1"/>
    <col min="86" max="86" width="6" bestFit="1" customWidth="1"/>
    <col min="87" max="87" width="7" bestFit="1" customWidth="1"/>
    <col min="88" max="88" width="3" bestFit="1" customWidth="1"/>
    <col min="89" max="89" width="12" bestFit="1" customWidth="1"/>
    <col min="90" max="90" width="6" bestFit="1" customWidth="1"/>
    <col min="91" max="91" width="7" bestFit="1" customWidth="1"/>
    <col min="92" max="92" width="5" bestFit="1" customWidth="1"/>
    <col min="93" max="93" width="7" bestFit="1" customWidth="1"/>
    <col min="94" max="94" width="12" bestFit="1" customWidth="1"/>
    <col min="95" max="95" width="6" bestFit="1" customWidth="1"/>
    <col min="96" max="96" width="12" bestFit="1" customWidth="1"/>
    <col min="97" max="97" width="3" bestFit="1" customWidth="1"/>
    <col min="98" max="98" width="6" bestFit="1" customWidth="1"/>
    <col min="99" max="99" width="12" bestFit="1" customWidth="1"/>
    <col min="100" max="100" width="7" bestFit="1" customWidth="1"/>
    <col min="101" max="101" width="5" bestFit="1" customWidth="1"/>
    <col min="102" max="102" width="6" bestFit="1" customWidth="1"/>
    <col min="103" max="103" width="7" bestFit="1" customWidth="1"/>
    <col min="104" max="104" width="12" bestFit="1" customWidth="1"/>
    <col min="105" max="105" width="6" bestFit="1" customWidth="1"/>
    <col min="106" max="106" width="7" bestFit="1" customWidth="1"/>
    <col min="107" max="107" width="5" bestFit="1" customWidth="1"/>
    <col min="108" max="108" width="7" bestFit="1" customWidth="1"/>
    <col min="109" max="109" width="6" bestFit="1" customWidth="1"/>
    <col min="110" max="110" width="7" bestFit="1" customWidth="1"/>
    <col min="111" max="111" width="3" bestFit="1" customWidth="1"/>
    <col min="112" max="112" width="6" bestFit="1" customWidth="1"/>
    <col min="113" max="113" width="12" bestFit="1" customWidth="1"/>
    <col min="114" max="114" width="7" bestFit="1" customWidth="1"/>
    <col min="115" max="115" width="5" bestFit="1" customWidth="1"/>
    <col min="116" max="116" width="7" bestFit="1" customWidth="1"/>
    <col min="117" max="117" width="12" bestFit="1" customWidth="1"/>
    <col min="118" max="118" width="6" bestFit="1" customWidth="1"/>
    <col min="119" max="119" width="7" bestFit="1" customWidth="1"/>
    <col min="120" max="120" width="3" bestFit="1" customWidth="1"/>
    <col min="121" max="121" width="7" bestFit="1" customWidth="1"/>
    <col min="122" max="122" width="6" bestFit="1" customWidth="1"/>
    <col min="123" max="123" width="12" bestFit="1" customWidth="1"/>
    <col min="124" max="124" width="7" bestFit="1" customWidth="1"/>
    <col min="125" max="125" width="5" bestFit="1" customWidth="1"/>
    <col min="126" max="126" width="7" bestFit="1" customWidth="1"/>
    <col min="127" max="127" width="6" bestFit="1" customWidth="1"/>
    <col min="128" max="128" width="7" bestFit="1" customWidth="1"/>
    <col min="129" max="129" width="3" bestFit="1" customWidth="1"/>
    <col min="130" max="130" width="7" bestFit="1" customWidth="1"/>
    <col min="131" max="131" width="12" bestFit="1" customWidth="1"/>
    <col min="132" max="132" width="6" bestFit="1" customWidth="1"/>
    <col min="133" max="133" width="12" bestFit="1" customWidth="1"/>
    <col min="134" max="134" width="7" bestFit="1" customWidth="1"/>
    <col min="135" max="135" width="5" bestFit="1" customWidth="1"/>
    <col min="136" max="136" width="7" bestFit="1" customWidth="1"/>
    <col min="137" max="137" width="12" bestFit="1" customWidth="1"/>
    <col min="138" max="138" width="6" bestFit="1" customWidth="1"/>
    <col min="139" max="140" width="7" bestFit="1" customWidth="1"/>
    <col min="141" max="141" width="12" bestFit="1" customWidth="1"/>
    <col min="142" max="142" width="6" bestFit="1" customWidth="1"/>
    <col min="143" max="143" width="12" bestFit="1" customWidth="1"/>
    <col min="144" max="144" width="7" bestFit="1" customWidth="1"/>
    <col min="145" max="145" width="5" bestFit="1" customWidth="1"/>
    <col min="146" max="146" width="7" bestFit="1" customWidth="1"/>
    <col min="147" max="147" width="12" bestFit="1" customWidth="1"/>
    <col min="148" max="148" width="6" bestFit="1" customWidth="1"/>
    <col min="149" max="149" width="12" bestFit="1" customWidth="1"/>
    <col min="150" max="150" width="7" bestFit="1" customWidth="1"/>
    <col min="151" max="151" width="3" bestFit="1" customWidth="1"/>
    <col min="152" max="152" width="7" bestFit="1" customWidth="1"/>
    <col min="153" max="153" width="6" bestFit="1" customWidth="1"/>
    <col min="154" max="154" width="12" bestFit="1" customWidth="1"/>
    <col min="155" max="155" width="7" bestFit="1" customWidth="1"/>
    <col min="156" max="156" width="5" bestFit="1" customWidth="1"/>
    <col min="157" max="157" width="7" bestFit="1" customWidth="1"/>
    <col min="158" max="158" width="12" bestFit="1" customWidth="1"/>
    <col min="159" max="159" width="6" bestFit="1" customWidth="1"/>
    <col min="160" max="160" width="12" bestFit="1" customWidth="1"/>
    <col min="161" max="161" width="7" bestFit="1" customWidth="1"/>
    <col min="162" max="162" width="3" bestFit="1" customWidth="1"/>
    <col min="163" max="163" width="7" bestFit="1" customWidth="1"/>
    <col min="164" max="164" width="6" bestFit="1" customWidth="1"/>
    <col min="165" max="165" width="12" bestFit="1" customWidth="1"/>
    <col min="166" max="166" width="7" bestFit="1" customWidth="1"/>
    <col min="167" max="167" width="5" bestFit="1" customWidth="1"/>
    <col min="168" max="168" width="7" bestFit="1" customWidth="1"/>
    <col min="169" max="169" width="12" bestFit="1" customWidth="1"/>
    <col min="170" max="170" width="6" bestFit="1" customWidth="1"/>
    <col min="171" max="171" width="12" bestFit="1" customWidth="1"/>
    <col min="172" max="172" width="7" bestFit="1" customWidth="1"/>
    <col min="173" max="173" width="3" bestFit="1" customWidth="1"/>
    <col min="174" max="174" width="7" bestFit="1" customWidth="1"/>
    <col min="175" max="175" width="6" bestFit="1" customWidth="1"/>
    <col min="176" max="176" width="12" bestFit="1" customWidth="1"/>
    <col min="177" max="177" width="7" bestFit="1" customWidth="1"/>
    <col min="178" max="178" width="5" bestFit="1" customWidth="1"/>
    <col min="179" max="179" width="7" bestFit="1" customWidth="1"/>
    <col min="180" max="180" width="12" bestFit="1" customWidth="1"/>
    <col min="181" max="181" width="6" bestFit="1" customWidth="1"/>
    <col min="182" max="182" width="7" bestFit="1" customWidth="1"/>
    <col min="183" max="183" width="3" bestFit="1" customWidth="1"/>
    <col min="184" max="184" width="7" bestFit="1" customWidth="1"/>
    <col min="185" max="185" width="12" bestFit="1" customWidth="1"/>
    <col min="186" max="186" width="6" bestFit="1" customWidth="1"/>
    <col min="187" max="187" width="12" bestFit="1" customWidth="1"/>
    <col min="188" max="188" width="7" bestFit="1" customWidth="1"/>
    <col min="189" max="189" width="5" bestFit="1" customWidth="1"/>
    <col min="190" max="190" width="7" bestFit="1" customWidth="1"/>
    <col min="191" max="191" width="6" bestFit="1" customWidth="1"/>
    <col min="192" max="192" width="12" bestFit="1" customWidth="1"/>
    <col min="193" max="193" width="7" bestFit="1" customWidth="1"/>
    <col min="194" max="194" width="3" bestFit="1" customWidth="1"/>
    <col min="195" max="195" width="7" bestFit="1" customWidth="1"/>
    <col min="196" max="196" width="12" bestFit="1" customWidth="1"/>
    <col min="197" max="197" width="6" bestFit="1" customWidth="1"/>
    <col min="198" max="198" width="7" bestFit="1" customWidth="1"/>
    <col min="199" max="199" width="5" bestFit="1" customWidth="1"/>
    <col min="200" max="200" width="7" bestFit="1" customWidth="1"/>
    <col min="201" max="201" width="12" bestFit="1" customWidth="1"/>
    <col min="202" max="202" width="6" bestFit="1" customWidth="1"/>
    <col min="203" max="203" width="12" bestFit="1" customWidth="1"/>
    <col min="204" max="204" width="7" bestFit="1" customWidth="1"/>
    <col min="205" max="205" width="3" bestFit="1" customWidth="1"/>
    <col min="206" max="206" width="7" bestFit="1" customWidth="1"/>
    <col min="207" max="207" width="6" bestFit="1" customWidth="1"/>
    <col min="208" max="208" width="12" bestFit="1" customWidth="1"/>
    <col min="209" max="209" width="7" bestFit="1" customWidth="1"/>
    <col min="210" max="210" width="5" bestFit="1" customWidth="1"/>
    <col min="211" max="211" width="7" bestFit="1" customWidth="1"/>
    <col min="212" max="212" width="12" bestFit="1" customWidth="1"/>
    <col min="213" max="213" width="6" bestFit="1" customWidth="1"/>
    <col min="214" max="214" width="12" bestFit="1" customWidth="1"/>
    <col min="215" max="215" width="7" bestFit="1" customWidth="1"/>
    <col min="216" max="216" width="3" bestFit="1" customWidth="1"/>
    <col min="217" max="217" width="7" bestFit="1" customWidth="1"/>
    <col min="218" max="218" width="12" bestFit="1" customWidth="1"/>
    <col min="219" max="219" width="6" bestFit="1" customWidth="1"/>
    <col min="220" max="220" width="12" bestFit="1" customWidth="1"/>
    <col min="221" max="221" width="7" bestFit="1" customWidth="1"/>
    <col min="222" max="222" width="5" bestFit="1" customWidth="1"/>
    <col min="223" max="223" width="7" bestFit="1" customWidth="1"/>
    <col min="224" max="224" width="12" bestFit="1" customWidth="1"/>
    <col min="225" max="225" width="6" bestFit="1" customWidth="1"/>
    <col min="226" max="226" width="12" bestFit="1" customWidth="1"/>
    <col min="227" max="227" width="7" bestFit="1" customWidth="1"/>
    <col min="228" max="228" width="3" bestFit="1" customWidth="1"/>
    <col min="229" max="229" width="7" bestFit="1" customWidth="1"/>
    <col min="230" max="230" width="12" bestFit="1" customWidth="1"/>
    <col min="231" max="231" width="6" bestFit="1" customWidth="1"/>
    <col min="232" max="232" width="12" bestFit="1" customWidth="1"/>
    <col min="233" max="233" width="7" bestFit="1" customWidth="1"/>
    <col min="234" max="234" width="5" bestFit="1" customWidth="1"/>
    <col min="235" max="235" width="7" bestFit="1" customWidth="1"/>
    <col min="236" max="236" width="6" bestFit="1" customWidth="1"/>
    <col min="237" max="237" width="7" bestFit="1" customWidth="1"/>
    <col min="238" max="238" width="3" bestFit="1" customWidth="1"/>
    <col min="239" max="239" width="7" bestFit="1" customWidth="1"/>
    <col min="240" max="240" width="12" bestFit="1" customWidth="1"/>
    <col min="241" max="241" width="6" bestFit="1" customWidth="1"/>
    <col min="242" max="242" width="12" bestFit="1" customWidth="1"/>
    <col min="243" max="243" width="7" bestFit="1" customWidth="1"/>
    <col min="244" max="244" width="5" bestFit="1" customWidth="1"/>
    <col min="245" max="245" width="7" bestFit="1" customWidth="1"/>
    <col min="246" max="246" width="12" bestFit="1" customWidth="1"/>
    <col min="247" max="247" width="6" bestFit="1" customWidth="1"/>
    <col min="248" max="248" width="7" bestFit="1" customWidth="1"/>
    <col min="249" max="249" width="3" bestFit="1" customWidth="1"/>
    <col min="250" max="250" width="7" bestFit="1" customWidth="1"/>
    <col min="251" max="251" width="12" bestFit="1" customWidth="1"/>
    <col min="252" max="252" width="6" bestFit="1" customWidth="1"/>
    <col min="253" max="253" width="12" bestFit="1" customWidth="1"/>
    <col min="254" max="254" width="7" bestFit="1" customWidth="1"/>
    <col min="255" max="255" width="5" bestFit="1" customWidth="1"/>
    <col min="256" max="256" width="7" bestFit="1" customWidth="1"/>
    <col min="257" max="257" width="6" bestFit="1" customWidth="1"/>
    <col min="258" max="258" width="12" bestFit="1" customWidth="1"/>
    <col min="259" max="259" width="7" bestFit="1" customWidth="1"/>
    <col min="260" max="260" width="3" bestFit="1" customWidth="1"/>
    <col min="261" max="261" width="7" bestFit="1" customWidth="1"/>
    <col min="262" max="262" width="12" bestFit="1" customWidth="1"/>
    <col min="263" max="263" width="6" bestFit="1" customWidth="1"/>
    <col min="264" max="264" width="12" bestFit="1" customWidth="1"/>
    <col min="265" max="265" width="7" bestFit="1" customWidth="1"/>
    <col min="266" max="266" width="5" bestFit="1" customWidth="1"/>
    <col min="267" max="267" width="7" bestFit="1" customWidth="1"/>
    <col min="268" max="268" width="12" bestFit="1" customWidth="1"/>
    <col min="269" max="269" width="6" bestFit="1" customWidth="1"/>
    <col min="270" max="270" width="12" bestFit="1" customWidth="1"/>
    <col min="271" max="271" width="7" bestFit="1" customWidth="1"/>
    <col min="272" max="272" width="3" bestFit="1" customWidth="1"/>
    <col min="273" max="273" width="7" bestFit="1" customWidth="1"/>
    <col min="274" max="274" width="6" bestFit="1" customWidth="1"/>
    <col min="275" max="275" width="12" bestFit="1" customWidth="1"/>
    <col min="276" max="276" width="7" bestFit="1" customWidth="1"/>
    <col min="277" max="277" width="5" bestFit="1" customWidth="1"/>
    <col min="278" max="278" width="7" bestFit="1" customWidth="1"/>
    <col min="279" max="279" width="12" bestFit="1" customWidth="1"/>
    <col min="280" max="280" width="6" bestFit="1" customWidth="1"/>
    <col min="281" max="281" width="12" bestFit="1" customWidth="1"/>
    <col min="282" max="282" width="7" bestFit="1" customWidth="1"/>
    <col min="283" max="283" width="3" bestFit="1" customWidth="1"/>
    <col min="284" max="284" width="7" bestFit="1" customWidth="1"/>
    <col min="285" max="285" width="12" bestFit="1" customWidth="1"/>
    <col min="286" max="286" width="6" bestFit="1" customWidth="1"/>
    <col min="287" max="287" width="12" bestFit="1" customWidth="1"/>
    <col min="288" max="288" width="7" bestFit="1" customWidth="1"/>
    <col min="289" max="289" width="5" bestFit="1" customWidth="1"/>
    <col min="290" max="290" width="7" bestFit="1" customWidth="1"/>
    <col min="291" max="291" width="12" bestFit="1" customWidth="1"/>
    <col min="292" max="292" width="6" bestFit="1" customWidth="1"/>
    <col min="293" max="293" width="7" bestFit="1" customWidth="1"/>
    <col min="294" max="294" width="3" bestFit="1" customWidth="1"/>
    <col min="295" max="295" width="7" bestFit="1" customWidth="1"/>
    <col min="296" max="296" width="6" bestFit="1" customWidth="1"/>
    <col min="297" max="297" width="12" bestFit="1" customWidth="1"/>
    <col min="298" max="298" width="7" bestFit="1" customWidth="1"/>
    <col min="299" max="299" width="5" bestFit="1" customWidth="1"/>
    <col min="300" max="300" width="7" bestFit="1" customWidth="1"/>
    <col min="301" max="301" width="12" bestFit="1" customWidth="1"/>
    <col min="302" max="302" width="6" bestFit="1" customWidth="1"/>
    <col min="303" max="303" width="7" bestFit="1" customWidth="1"/>
    <col min="304" max="304" width="3" bestFit="1" customWidth="1"/>
    <col min="305" max="305" width="7" bestFit="1" customWidth="1"/>
    <col min="306" max="306" width="12" bestFit="1" customWidth="1"/>
    <col min="307" max="307" width="6" bestFit="1" customWidth="1"/>
    <col min="308" max="308" width="7" bestFit="1" customWidth="1"/>
    <col min="309" max="309" width="5" bestFit="1" customWidth="1"/>
    <col min="310" max="310" width="7" bestFit="1" customWidth="1"/>
    <col min="311" max="311" width="12" bestFit="1" customWidth="1"/>
    <col min="312" max="312" width="6" bestFit="1" customWidth="1"/>
    <col min="313" max="313" width="12" bestFit="1" customWidth="1"/>
    <col min="314" max="314" width="7" bestFit="1" customWidth="1"/>
    <col min="315" max="315" width="3" bestFit="1" customWidth="1"/>
    <col min="316" max="316" width="7" bestFit="1" customWidth="1"/>
    <col min="317" max="317" width="12" bestFit="1" customWidth="1"/>
    <col min="318" max="318" width="6" bestFit="1" customWidth="1"/>
    <col min="319" max="319" width="12" bestFit="1" customWidth="1"/>
    <col min="320" max="320" width="7" bestFit="1" customWidth="1"/>
    <col min="321" max="321" width="5" bestFit="1" customWidth="1"/>
    <col min="322" max="322" width="7" bestFit="1" customWidth="1"/>
    <col min="323" max="323" width="12" bestFit="1" customWidth="1"/>
    <col min="324" max="324" width="6" bestFit="1" customWidth="1"/>
    <col min="325" max="325" width="7" bestFit="1" customWidth="1"/>
    <col min="326" max="326" width="3" bestFit="1" customWidth="1"/>
    <col min="327" max="327" width="7" bestFit="1" customWidth="1"/>
    <col min="328" max="328" width="12" bestFit="1" customWidth="1"/>
    <col min="329" max="329" width="6" bestFit="1" customWidth="1"/>
    <col min="330" max="330" width="12" bestFit="1" customWidth="1"/>
    <col min="331" max="331" width="7" bestFit="1" customWidth="1"/>
    <col min="332" max="332" width="5" bestFit="1" customWidth="1"/>
    <col min="333" max="333" width="7" bestFit="1" customWidth="1"/>
    <col min="334" max="334" width="12" bestFit="1" customWidth="1"/>
    <col min="335" max="335" width="6" bestFit="1" customWidth="1"/>
    <col min="336" max="336" width="12" bestFit="1" customWidth="1"/>
    <col min="337" max="337" width="7" bestFit="1" customWidth="1"/>
    <col min="338" max="338" width="3" bestFit="1" customWidth="1"/>
    <col min="339" max="339" width="7" bestFit="1" customWidth="1"/>
    <col min="340" max="340" width="6" bestFit="1" customWidth="1"/>
    <col min="341" max="341" width="7" bestFit="1" customWidth="1"/>
    <col min="342" max="342" width="5" bestFit="1" customWidth="1"/>
    <col min="343" max="343" width="7" bestFit="1" customWidth="1"/>
    <col min="344" max="344" width="12" bestFit="1" customWidth="1"/>
    <col min="345" max="345" width="6" bestFit="1" customWidth="1"/>
    <col min="346" max="346" width="12" bestFit="1" customWidth="1"/>
    <col min="347" max="347" width="7" bestFit="1" customWidth="1"/>
    <col min="348" max="348" width="3" bestFit="1" customWidth="1"/>
    <col min="349" max="349" width="7" bestFit="1" customWidth="1"/>
    <col min="350" max="350" width="12" bestFit="1" customWidth="1"/>
    <col min="351" max="351" width="6" bestFit="1" customWidth="1"/>
    <col min="352" max="352" width="12" bestFit="1" customWidth="1"/>
    <col min="353" max="353" width="7" bestFit="1" customWidth="1"/>
    <col min="354" max="354" width="5" bestFit="1" customWidth="1"/>
    <col min="355" max="356" width="7" bestFit="1" customWidth="1"/>
    <col min="357" max="357" width="3" bestFit="1" customWidth="1"/>
    <col min="358" max="358" width="7" bestFit="1" customWidth="1"/>
    <col min="359" max="359" width="12" bestFit="1" customWidth="1"/>
    <col min="360" max="360" width="6" bestFit="1" customWidth="1"/>
    <col min="361" max="361" width="12" bestFit="1" customWidth="1"/>
    <col min="362" max="362" width="7" bestFit="1" customWidth="1"/>
    <col min="363" max="363" width="5" bestFit="1" customWidth="1"/>
    <col min="364" max="364" width="7" bestFit="1" customWidth="1"/>
    <col min="365" max="365" width="12" bestFit="1" customWidth="1"/>
    <col min="366" max="366" width="6" bestFit="1" customWidth="1"/>
    <col min="367" max="367" width="7" bestFit="1" customWidth="1"/>
    <col min="368" max="368" width="6" bestFit="1" customWidth="1"/>
    <col min="369" max="369" width="7" bestFit="1" customWidth="1"/>
    <col min="370" max="370" width="5" bestFit="1" customWidth="1"/>
    <col min="371" max="371" width="7" bestFit="1" customWidth="1"/>
    <col min="372" max="372" width="12" bestFit="1" customWidth="1"/>
    <col min="373" max="373" width="3" bestFit="1" customWidth="1"/>
    <col min="374" max="374" width="7" bestFit="1" customWidth="1"/>
    <col min="375" max="375" width="12" bestFit="1" customWidth="1"/>
    <col min="376" max="376" width="5" bestFit="1" customWidth="1"/>
    <col min="377" max="377" width="7" bestFit="1" customWidth="1"/>
    <col min="378" max="378" width="12" bestFit="1" customWidth="1"/>
    <col min="379" max="379" width="6" bestFit="1" customWidth="1"/>
    <col min="380" max="380" width="7" bestFit="1" customWidth="1"/>
    <col min="381" max="381" width="3" bestFit="1" customWidth="1"/>
    <col min="382" max="383" width="7" bestFit="1" customWidth="1"/>
    <col min="384" max="384" width="5" bestFit="1" customWidth="1"/>
    <col min="385" max="385" width="7" bestFit="1" customWidth="1"/>
    <col min="386" max="386" width="6" bestFit="1" customWidth="1"/>
    <col min="387" max="387" width="7" bestFit="1" customWidth="1"/>
    <col min="388" max="388" width="3" bestFit="1" customWidth="1"/>
    <col min="389" max="389" width="12" bestFit="1" customWidth="1"/>
    <col min="390" max="390" width="5" bestFit="1" customWidth="1"/>
    <col min="391" max="391" width="7" bestFit="1" customWidth="1"/>
    <col min="392" max="392" width="5" bestFit="1" customWidth="1"/>
    <col min="393" max="393" width="12" bestFit="1" customWidth="1"/>
    <col min="394" max="395" width="6" bestFit="1" customWidth="1"/>
    <col min="396" max="397" width="7" bestFit="1" customWidth="1"/>
    <col min="398" max="398" width="12" bestFit="1" customWidth="1"/>
    <col min="399" max="399" width="10.77734375" bestFit="1" customWidth="1"/>
  </cols>
  <sheetData>
    <row r="3" spans="1:11" x14ac:dyDescent="0.3">
      <c r="A3" s="4" t="s">
        <v>16</v>
      </c>
      <c r="B3" t="s">
        <v>1284</v>
      </c>
      <c r="C3" t="s">
        <v>1285</v>
      </c>
      <c r="D3" t="s">
        <v>1286</v>
      </c>
      <c r="F3" s="4" t="s">
        <v>1287</v>
      </c>
      <c r="G3" t="s">
        <v>1288</v>
      </c>
      <c r="H3" t="s">
        <v>1289</v>
      </c>
      <c r="J3" s="4" t="s">
        <v>1290</v>
      </c>
      <c r="K3" t="s">
        <v>1276</v>
      </c>
    </row>
    <row r="4" spans="1:11" x14ac:dyDescent="0.3">
      <c r="A4" s="5" t="s">
        <v>34</v>
      </c>
      <c r="B4" s="3">
        <v>71.862227074235889</v>
      </c>
      <c r="C4" s="3">
        <v>56.602344322344315</v>
      </c>
      <c r="D4" s="3">
        <v>54.881324599708861</v>
      </c>
      <c r="F4" s="5" t="s">
        <v>200</v>
      </c>
      <c r="G4" s="3">
        <v>4</v>
      </c>
      <c r="H4" s="3">
        <v>70.875</v>
      </c>
      <c r="J4" s="5" t="s">
        <v>52</v>
      </c>
      <c r="K4" s="3">
        <v>64.156944444333334</v>
      </c>
    </row>
    <row r="5" spans="1:11" x14ac:dyDescent="0.3">
      <c r="A5" s="5" t="s">
        <v>96</v>
      </c>
      <c r="B5" s="3">
        <v>69.399241982507291</v>
      </c>
      <c r="C5" s="3">
        <v>54.317833935018058</v>
      </c>
      <c r="D5" s="3">
        <v>78.343061224489801</v>
      </c>
      <c r="F5" s="5" t="s">
        <v>30</v>
      </c>
      <c r="G5" s="3">
        <v>599</v>
      </c>
      <c r="H5" s="3">
        <v>65.810239287707844</v>
      </c>
      <c r="J5" s="5" t="s">
        <v>56</v>
      </c>
      <c r="K5" s="3">
        <v>64.856707316910573</v>
      </c>
    </row>
    <row r="6" spans="1:11" x14ac:dyDescent="0.3">
      <c r="A6" s="5" t="s">
        <v>1273</v>
      </c>
      <c r="B6" s="3">
        <v>71.042029126213663</v>
      </c>
      <c r="C6" s="3">
        <v>55.833438639125205</v>
      </c>
      <c r="D6" s="3">
        <v>62.694310679611696</v>
      </c>
      <c r="F6" s="5" t="s">
        <v>67</v>
      </c>
      <c r="G6" s="3">
        <v>26</v>
      </c>
      <c r="H6" s="3">
        <v>65.262820513076932</v>
      </c>
      <c r="J6" s="5" t="s">
        <v>42</v>
      </c>
      <c r="K6" s="3">
        <v>64.241898148333334</v>
      </c>
    </row>
    <row r="7" spans="1:11" x14ac:dyDescent="0.3">
      <c r="F7" s="5" t="s">
        <v>43</v>
      </c>
      <c r="G7" s="3">
        <v>171</v>
      </c>
      <c r="H7" s="3">
        <v>64.680068226081872</v>
      </c>
      <c r="J7" s="5" t="s">
        <v>65</v>
      </c>
      <c r="K7" s="3">
        <v>66.444704049719633</v>
      </c>
    </row>
    <row r="8" spans="1:11" x14ac:dyDescent="0.3">
      <c r="F8" s="5" t="s">
        <v>374</v>
      </c>
      <c r="G8" s="3">
        <v>141</v>
      </c>
      <c r="H8" s="3">
        <v>65.282801418439718</v>
      </c>
      <c r="J8" s="5" t="s">
        <v>29</v>
      </c>
      <c r="K8" s="3">
        <v>64.559959349756099</v>
      </c>
    </row>
    <row r="9" spans="1:11" x14ac:dyDescent="0.3">
      <c r="F9" s="5" t="s">
        <v>26</v>
      </c>
      <c r="G9" s="3">
        <v>82</v>
      </c>
      <c r="H9" s="3">
        <v>66.955792682804883</v>
      </c>
      <c r="J9" s="5" t="s">
        <v>60</v>
      </c>
      <c r="K9" s="3">
        <v>65.705650252499993</v>
      </c>
    </row>
    <row r="10" spans="1:11" x14ac:dyDescent="0.3">
      <c r="F10" s="5" t="s">
        <v>71</v>
      </c>
      <c r="G10" s="3">
        <v>7</v>
      </c>
      <c r="H10" s="3">
        <v>58.375</v>
      </c>
      <c r="J10" s="5" t="s">
        <v>26</v>
      </c>
      <c r="K10" s="3">
        <v>66.14267676773278</v>
      </c>
    </row>
    <row r="11" spans="1:11" x14ac:dyDescent="0.3">
      <c r="F11" s="5" t="s">
        <v>1273</v>
      </c>
      <c r="G11" s="3">
        <v>1030</v>
      </c>
      <c r="H11" s="3">
        <v>65.596925566336893</v>
      </c>
      <c r="J11" s="5" t="s">
        <v>1273</v>
      </c>
      <c r="K11" s="3">
        <v>65.596925566336864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981A-FDE7-41C5-8A96-9E234E6078A0}">
  <sheetPr codeName="Sheet4"/>
  <dimension ref="A3:K10"/>
  <sheetViews>
    <sheetView topLeftCell="AZ1" workbookViewId="0">
      <selection activeCell="K6" sqref="K6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25.21875" bestFit="1" customWidth="1"/>
    <col min="4" max="4" width="23.88671875" bestFit="1" customWidth="1"/>
    <col min="6" max="6" width="12.5546875" bestFit="1" customWidth="1"/>
    <col min="7" max="7" width="19" bestFit="1" customWidth="1"/>
    <col min="9" max="9" width="12.5546875" bestFit="1" customWidth="1"/>
    <col min="10" max="10" width="25.21875" bestFit="1" customWidth="1"/>
    <col min="11" max="11" width="23.88671875" bestFit="1" customWidth="1"/>
  </cols>
  <sheetData>
    <row r="3" spans="1:11" x14ac:dyDescent="0.3">
      <c r="A3" s="4" t="s">
        <v>1272</v>
      </c>
      <c r="B3" t="s">
        <v>1274</v>
      </c>
      <c r="C3" t="s">
        <v>1276</v>
      </c>
      <c r="D3" t="s">
        <v>1277</v>
      </c>
      <c r="F3" s="4" t="s">
        <v>1272</v>
      </c>
      <c r="G3" t="s">
        <v>1283</v>
      </c>
      <c r="I3" s="4" t="s">
        <v>1272</v>
      </c>
      <c r="J3" t="s">
        <v>1276</v>
      </c>
      <c r="K3" t="s">
        <v>1277</v>
      </c>
    </row>
    <row r="4" spans="1:11" x14ac:dyDescent="0.3">
      <c r="A4" s="5" t="s">
        <v>1279</v>
      </c>
      <c r="B4">
        <v>883</v>
      </c>
      <c r="C4" s="3">
        <v>64.743110607754247</v>
      </c>
      <c r="D4" s="3">
        <v>0.75537938844847108</v>
      </c>
      <c r="F4" s="5" t="s">
        <v>46</v>
      </c>
      <c r="G4" s="3">
        <v>1643.9824304538799</v>
      </c>
      <c r="I4" s="5" t="s">
        <v>49</v>
      </c>
      <c r="J4" s="3">
        <v>69.862361769383895</v>
      </c>
      <c r="K4" s="3">
        <v>0.88625592417061616</v>
      </c>
    </row>
    <row r="5" spans="1:11" x14ac:dyDescent="0.3">
      <c r="A5" s="5" t="s">
        <v>1280</v>
      </c>
      <c r="B5">
        <v>48</v>
      </c>
      <c r="C5" s="3">
        <v>71.330729166666671</v>
      </c>
      <c r="D5" s="3">
        <v>0.83333333333333337</v>
      </c>
      <c r="F5" s="5" t="s">
        <v>36</v>
      </c>
      <c r="G5" s="3">
        <v>1867.8947368421052</v>
      </c>
      <c r="I5" s="5" t="s">
        <v>68</v>
      </c>
      <c r="J5" s="3">
        <v>26.125</v>
      </c>
      <c r="K5" s="3">
        <v>0</v>
      </c>
    </row>
    <row r="6" spans="1:11" x14ac:dyDescent="0.3">
      <c r="A6" s="5" t="s">
        <v>1281</v>
      </c>
      <c r="B6">
        <v>93</v>
      </c>
      <c r="C6" s="3">
        <v>69.848566308387092</v>
      </c>
      <c r="D6" s="3">
        <v>0.87096774193548387</v>
      </c>
      <c r="F6" s="5" t="s">
        <v>1273</v>
      </c>
      <c r="G6" s="3">
        <v>1696.4461883408071</v>
      </c>
      <c r="I6" s="5" t="s">
        <v>33</v>
      </c>
      <c r="J6" s="3">
        <v>65.021559428016076</v>
      </c>
      <c r="K6" s="3">
        <v>0.78552278820375332</v>
      </c>
    </row>
    <row r="7" spans="1:11" x14ac:dyDescent="0.3">
      <c r="A7" s="5" t="s">
        <v>1282</v>
      </c>
      <c r="B7">
        <v>6</v>
      </c>
      <c r="C7" s="3">
        <v>79.479166666666671</v>
      </c>
      <c r="D7" s="3">
        <v>1</v>
      </c>
      <c r="I7" s="5" t="s">
        <v>31</v>
      </c>
      <c r="J7" s="3">
        <v>59.368663594456216</v>
      </c>
      <c r="K7" s="3">
        <v>0.52995391705069128</v>
      </c>
    </row>
    <row r="8" spans="1:11" x14ac:dyDescent="0.3">
      <c r="A8" s="5" t="s">
        <v>1273</v>
      </c>
      <c r="B8">
        <v>1030</v>
      </c>
      <c r="C8" s="3">
        <v>65.596925566336893</v>
      </c>
      <c r="D8" s="3">
        <v>0.77087378640776694</v>
      </c>
      <c r="I8" s="5" t="s">
        <v>103</v>
      </c>
      <c r="J8" s="3">
        <v>57.0859375</v>
      </c>
      <c r="K8" s="3">
        <v>0.75</v>
      </c>
    </row>
    <row r="9" spans="1:11" x14ac:dyDescent="0.3">
      <c r="I9" s="5" t="s">
        <v>64</v>
      </c>
      <c r="J9" s="3">
        <v>7.375</v>
      </c>
      <c r="K9" s="3">
        <v>0</v>
      </c>
    </row>
    <row r="10" spans="1:11" x14ac:dyDescent="0.3">
      <c r="I10" s="5" t="s">
        <v>1273</v>
      </c>
      <c r="J10" s="3">
        <v>65.596925566336921</v>
      </c>
      <c r="K10" s="3">
        <v>0.77087378640776694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0023-B4D4-4C01-9772-4C27740F879C}">
  <sheetPr codeName="Sheet5"/>
  <dimension ref="A3:N13"/>
  <sheetViews>
    <sheetView topLeftCell="F1" workbookViewId="0">
      <selection activeCell="N4" sqref="N4"/>
    </sheetView>
  </sheetViews>
  <sheetFormatPr defaultRowHeight="14.4" x14ac:dyDescent="0.3"/>
  <cols>
    <col min="1" max="1" width="22.77734375" bestFit="1" customWidth="1"/>
    <col min="2" max="2" width="11.6640625" bestFit="1" customWidth="1"/>
    <col min="4" max="4" width="12.5546875" bestFit="1" customWidth="1"/>
    <col min="5" max="5" width="25.21875" bestFit="1" customWidth="1"/>
    <col min="6" max="6" width="11.6640625" bestFit="1" customWidth="1"/>
    <col min="7" max="7" width="15.21875" bestFit="1" customWidth="1"/>
    <col min="8" max="8" width="25.21875" bestFit="1" customWidth="1"/>
    <col min="10" max="10" width="12.5546875" bestFit="1" customWidth="1"/>
    <col min="11" max="11" width="25.21875" bestFit="1" customWidth="1"/>
    <col min="13" max="13" width="12.5546875" bestFit="1" customWidth="1"/>
    <col min="14" max="14" width="11.6640625" bestFit="1" customWidth="1"/>
  </cols>
  <sheetData>
    <row r="3" spans="1:14" x14ac:dyDescent="0.3">
      <c r="A3" t="s">
        <v>1296</v>
      </c>
      <c r="B3" t="s">
        <v>1274</v>
      </c>
      <c r="D3" s="4" t="s">
        <v>1272</v>
      </c>
      <c r="E3" t="s">
        <v>1276</v>
      </c>
      <c r="G3" s="4" t="s">
        <v>1272</v>
      </c>
      <c r="H3" t="s">
        <v>1276</v>
      </c>
      <c r="J3" s="4" t="s">
        <v>1297</v>
      </c>
      <c r="K3" t="s">
        <v>1276</v>
      </c>
      <c r="M3" s="4" t="s">
        <v>1272</v>
      </c>
      <c r="N3" t="s">
        <v>1274</v>
      </c>
    </row>
    <row r="4" spans="1:14" x14ac:dyDescent="0.3">
      <c r="A4" s="3">
        <v>65.596925566336893</v>
      </c>
      <c r="B4">
        <v>1030</v>
      </c>
      <c r="D4" s="5" t="s">
        <v>34</v>
      </c>
      <c r="E4" s="3">
        <v>66.157933042197968</v>
      </c>
      <c r="G4" s="5">
        <v>2021</v>
      </c>
      <c r="H4" s="3">
        <v>68.209967320243692</v>
      </c>
      <c r="J4" s="5" t="s">
        <v>75</v>
      </c>
      <c r="K4" s="3">
        <v>70.725623582857139</v>
      </c>
      <c r="M4" s="5" t="s">
        <v>49</v>
      </c>
      <c r="N4" s="3">
        <v>422</v>
      </c>
    </row>
    <row r="5" spans="1:14" x14ac:dyDescent="0.3">
      <c r="D5" s="5" t="s">
        <v>96</v>
      </c>
      <c r="E5" s="3">
        <v>64.473275024306133</v>
      </c>
      <c r="G5" s="6" t="s">
        <v>160</v>
      </c>
      <c r="H5" s="3">
        <v>65.082882882848651</v>
      </c>
      <c r="J5" s="5" t="s">
        <v>47</v>
      </c>
      <c r="K5" s="3">
        <v>64.924679487125502</v>
      </c>
      <c r="M5" s="5" t="s">
        <v>33</v>
      </c>
      <c r="N5" s="3">
        <v>373</v>
      </c>
    </row>
    <row r="6" spans="1:14" x14ac:dyDescent="0.3">
      <c r="D6" s="5" t="s">
        <v>1273</v>
      </c>
      <c r="E6" s="3">
        <v>65.596925566336893</v>
      </c>
      <c r="G6" s="6" t="s">
        <v>244</v>
      </c>
      <c r="H6" s="3">
        <v>71.573401162790702</v>
      </c>
      <c r="J6" s="5" t="s">
        <v>38</v>
      </c>
      <c r="K6" s="3">
        <v>64.873626373609881</v>
      </c>
      <c r="M6" s="5" t="s">
        <v>31</v>
      </c>
      <c r="N6" s="3">
        <v>217</v>
      </c>
    </row>
    <row r="7" spans="1:14" x14ac:dyDescent="0.3">
      <c r="G7" s="5">
        <v>2022</v>
      </c>
      <c r="H7" s="3">
        <v>65.813920454545453</v>
      </c>
      <c r="J7" s="5" t="s">
        <v>98</v>
      </c>
      <c r="K7" s="3">
        <v>62.825431034655168</v>
      </c>
      <c r="M7" s="5" t="s">
        <v>103</v>
      </c>
      <c r="N7" s="3">
        <v>16</v>
      </c>
    </row>
    <row r="8" spans="1:14" x14ac:dyDescent="0.3">
      <c r="G8" s="6" t="s">
        <v>110</v>
      </c>
      <c r="H8" s="3">
        <v>65.443247126436788</v>
      </c>
      <c r="J8" s="5" t="s">
        <v>184</v>
      </c>
      <c r="K8" s="3">
        <v>57.045454545454554</v>
      </c>
      <c r="M8" s="5" t="s">
        <v>64</v>
      </c>
      <c r="N8" s="3">
        <v>1</v>
      </c>
    </row>
    <row r="9" spans="1:14" x14ac:dyDescent="0.3">
      <c r="G9" s="6" t="s">
        <v>213</v>
      </c>
      <c r="H9" s="3">
        <v>66.176264044943821</v>
      </c>
      <c r="J9" s="5" t="s">
        <v>63</v>
      </c>
      <c r="K9" s="3">
        <v>65.340579710144922</v>
      </c>
      <c r="M9" s="5" t="s">
        <v>68</v>
      </c>
      <c r="N9" s="3">
        <v>1</v>
      </c>
    </row>
    <row r="10" spans="1:14" x14ac:dyDescent="0.3">
      <c r="G10" s="5">
        <v>2023</v>
      </c>
      <c r="H10" s="3">
        <v>62.452881619937692</v>
      </c>
      <c r="J10" s="5" t="s">
        <v>1273</v>
      </c>
      <c r="K10" s="3">
        <v>65.596925566336893</v>
      </c>
      <c r="M10" s="5" t="s">
        <v>1273</v>
      </c>
      <c r="N10" s="3">
        <v>1030</v>
      </c>
    </row>
    <row r="11" spans="1:14" x14ac:dyDescent="0.3">
      <c r="G11" s="6" t="s">
        <v>193</v>
      </c>
      <c r="H11" s="3">
        <v>62.799698795180724</v>
      </c>
    </row>
    <row r="12" spans="1:14" x14ac:dyDescent="0.3">
      <c r="G12" s="6" t="s">
        <v>37</v>
      </c>
      <c r="H12" s="3">
        <v>62.081451612903223</v>
      </c>
    </row>
    <row r="13" spans="1:14" x14ac:dyDescent="0.3">
      <c r="G13" s="5" t="s">
        <v>1273</v>
      </c>
      <c r="H13" s="3">
        <v>65.596925566336893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49E9-ACCB-4EE2-AB1C-968F928818E2}">
  <sheetPr codeName="Sheet6"/>
  <dimension ref="A3:AD30"/>
  <sheetViews>
    <sheetView topLeftCell="B1" workbookViewId="0">
      <selection activeCell="E19" sqref="E19"/>
    </sheetView>
  </sheetViews>
  <sheetFormatPr defaultRowHeight="14.4" x14ac:dyDescent="0.3"/>
  <cols>
    <col min="1" max="1" width="23.88671875" bestFit="1" customWidth="1"/>
    <col min="3" max="3" width="12.6640625" bestFit="1" customWidth="1"/>
    <col min="4" max="4" width="11.6640625" bestFit="1" customWidth="1"/>
    <col min="5" max="5" width="23.88671875" bestFit="1" customWidth="1"/>
    <col min="6" max="6" width="15.5546875" bestFit="1" customWidth="1"/>
    <col min="7" max="7" width="5.77734375" bestFit="1" customWidth="1"/>
    <col min="8" max="8" width="10.77734375" bestFit="1" customWidth="1"/>
    <col min="9" max="9" width="6.5546875" bestFit="1" customWidth="1"/>
    <col min="10" max="10" width="28.6640625" bestFit="1" customWidth="1"/>
    <col min="11" max="11" width="16.44140625" bestFit="1" customWidth="1"/>
    <col min="13" max="13" width="10.77734375" bestFit="1" customWidth="1"/>
    <col min="14" max="14" width="11.6640625" bestFit="1" customWidth="1"/>
    <col min="15" max="15" width="12.6640625" bestFit="1" customWidth="1"/>
    <col min="16" max="16" width="15.77734375" bestFit="1" customWidth="1"/>
    <col min="17" max="17" width="11.6640625" bestFit="1" customWidth="1"/>
    <col min="19" max="19" width="12.5546875" bestFit="1" customWidth="1"/>
    <col min="20" max="20" width="15.5546875" bestFit="1" customWidth="1"/>
    <col min="21" max="21" width="10.109375" bestFit="1" customWidth="1"/>
    <col min="22" max="22" width="9" bestFit="1" customWidth="1"/>
    <col min="23" max="23" width="10.77734375" bestFit="1" customWidth="1"/>
    <col min="24" max="24" width="14.44140625" bestFit="1" customWidth="1"/>
    <col min="25" max="25" width="11.6640625" bestFit="1" customWidth="1"/>
    <col min="26" max="26" width="14.44140625" bestFit="1" customWidth="1"/>
    <col min="27" max="27" width="11.6640625" bestFit="1" customWidth="1"/>
    <col min="28" max="28" width="23.88671875" bestFit="1" customWidth="1"/>
    <col min="29" max="29" width="13.33203125" bestFit="1" customWidth="1"/>
    <col min="30" max="30" width="23.88671875" bestFit="1" customWidth="1"/>
  </cols>
  <sheetData>
    <row r="3" spans="1:30" x14ac:dyDescent="0.3">
      <c r="A3" t="s">
        <v>1277</v>
      </c>
      <c r="C3" s="4" t="s">
        <v>1272</v>
      </c>
      <c r="D3" t="s">
        <v>1274</v>
      </c>
      <c r="F3" s="4" t="s">
        <v>1272</v>
      </c>
      <c r="G3" t="s">
        <v>1277</v>
      </c>
      <c r="H3" t="s">
        <v>1274</v>
      </c>
      <c r="J3" s="4" t="s">
        <v>1272</v>
      </c>
      <c r="K3" t="s">
        <v>1277</v>
      </c>
      <c r="M3" s="4" t="s">
        <v>1272</v>
      </c>
      <c r="N3" t="s">
        <v>1274</v>
      </c>
      <c r="P3" s="4" t="s">
        <v>1272</v>
      </c>
      <c r="Q3" t="s">
        <v>1274</v>
      </c>
      <c r="S3" s="4" t="s">
        <v>1274</v>
      </c>
      <c r="T3" s="4" t="s">
        <v>1298</v>
      </c>
    </row>
    <row r="4" spans="1:30" x14ac:dyDescent="0.3">
      <c r="A4" s="3">
        <v>0.77087378640776694</v>
      </c>
      <c r="C4" s="5">
        <v>2021</v>
      </c>
      <c r="D4" s="3">
        <v>357</v>
      </c>
      <c r="F4" s="5" t="s">
        <v>34</v>
      </c>
      <c r="G4" s="3">
        <v>0.80640465793304217</v>
      </c>
      <c r="H4" s="3">
        <v>687</v>
      </c>
      <c r="J4" s="5">
        <v>2021</v>
      </c>
      <c r="K4" s="8">
        <v>0.9327731092436975</v>
      </c>
      <c r="M4" s="5" t="s">
        <v>44</v>
      </c>
      <c r="N4" s="3">
        <v>726</v>
      </c>
      <c r="P4" s="5">
        <v>2021</v>
      </c>
      <c r="Q4" s="3">
        <v>357</v>
      </c>
      <c r="S4" s="4" t="s">
        <v>1272</v>
      </c>
      <c r="T4" t="s">
        <v>44</v>
      </c>
      <c r="U4" t="s">
        <v>53</v>
      </c>
      <c r="V4" t="s">
        <v>36</v>
      </c>
      <c r="W4" t="s">
        <v>1273</v>
      </c>
      <c r="Z4" s="4" t="s">
        <v>1294</v>
      </c>
      <c r="AA4" t="s">
        <v>1274</v>
      </c>
      <c r="AC4" s="4" t="s">
        <v>1295</v>
      </c>
      <c r="AD4" t="s">
        <v>1277</v>
      </c>
    </row>
    <row r="5" spans="1:30" x14ac:dyDescent="0.3">
      <c r="C5" s="6" t="s">
        <v>46</v>
      </c>
      <c r="D5" s="3">
        <v>333</v>
      </c>
      <c r="F5" s="5" t="s">
        <v>96</v>
      </c>
      <c r="G5" s="3">
        <v>0.69970845481049559</v>
      </c>
      <c r="H5" s="3">
        <v>343</v>
      </c>
      <c r="J5" s="6" t="s">
        <v>160</v>
      </c>
      <c r="K5" s="8">
        <v>0.90810810810810816</v>
      </c>
      <c r="M5" s="5" t="s">
        <v>53</v>
      </c>
      <c r="N5" s="3">
        <v>68</v>
      </c>
      <c r="P5" s="6" t="s">
        <v>160</v>
      </c>
      <c r="Q5" s="3">
        <v>185</v>
      </c>
      <c r="S5" s="5" t="s">
        <v>160</v>
      </c>
      <c r="T5" s="3">
        <v>168</v>
      </c>
      <c r="U5" s="3"/>
      <c r="V5" s="3">
        <v>17</v>
      </c>
      <c r="W5" s="3">
        <v>185</v>
      </c>
      <c r="Z5" s="5" t="s">
        <v>54</v>
      </c>
      <c r="AA5" s="3">
        <v>68</v>
      </c>
      <c r="AC5" s="5" t="s">
        <v>49</v>
      </c>
      <c r="AD5" s="3">
        <v>0.88625592417061616</v>
      </c>
    </row>
    <row r="6" spans="1:30" x14ac:dyDescent="0.3">
      <c r="C6" s="6" t="s">
        <v>36</v>
      </c>
      <c r="D6" s="3">
        <v>24</v>
      </c>
      <c r="F6" s="5" t="s">
        <v>1273</v>
      </c>
      <c r="G6" s="3">
        <v>0.77087378640776694</v>
      </c>
      <c r="H6" s="3">
        <v>1030</v>
      </c>
      <c r="J6" s="6" t="s">
        <v>244</v>
      </c>
      <c r="K6" s="8">
        <v>0.95930232558139539</v>
      </c>
      <c r="M6" s="5" t="s">
        <v>36</v>
      </c>
      <c r="N6" s="3">
        <v>236</v>
      </c>
      <c r="P6" s="9" t="s">
        <v>44</v>
      </c>
      <c r="Q6" s="3">
        <v>168</v>
      </c>
      <c r="S6" s="5" t="s">
        <v>244</v>
      </c>
      <c r="T6" s="3">
        <v>163</v>
      </c>
      <c r="U6" s="3">
        <v>2</v>
      </c>
      <c r="V6" s="3">
        <v>7</v>
      </c>
      <c r="W6" s="3">
        <v>172</v>
      </c>
      <c r="Z6" s="5" t="s">
        <v>74</v>
      </c>
      <c r="AA6" s="3">
        <v>38</v>
      </c>
      <c r="AC6" s="5" t="s">
        <v>33</v>
      </c>
      <c r="AD6" s="3">
        <v>0.78552278820375332</v>
      </c>
    </row>
    <row r="7" spans="1:30" x14ac:dyDescent="0.3">
      <c r="C7" s="5">
        <v>2022</v>
      </c>
      <c r="D7" s="3">
        <v>352</v>
      </c>
      <c r="J7" s="5">
        <v>2022</v>
      </c>
      <c r="K7" s="8">
        <v>0.73579545454545459</v>
      </c>
      <c r="M7" s="5" t="s">
        <v>1273</v>
      </c>
      <c r="N7" s="3">
        <v>1030</v>
      </c>
      <c r="P7" s="9" t="s">
        <v>36</v>
      </c>
      <c r="Q7" s="3">
        <v>17</v>
      </c>
      <c r="S7" s="5" t="s">
        <v>110</v>
      </c>
      <c r="T7" s="3">
        <v>132</v>
      </c>
      <c r="U7" s="3">
        <v>10</v>
      </c>
      <c r="V7" s="3">
        <v>32</v>
      </c>
      <c r="W7" s="3">
        <v>174</v>
      </c>
      <c r="Z7" s="5" t="s">
        <v>91</v>
      </c>
      <c r="AA7" s="3">
        <v>36</v>
      </c>
      <c r="AC7" s="5" t="s">
        <v>103</v>
      </c>
      <c r="AD7" s="3">
        <v>0.75</v>
      </c>
    </row>
    <row r="8" spans="1:30" x14ac:dyDescent="0.3">
      <c r="C8" s="6" t="s">
        <v>46</v>
      </c>
      <c r="D8" s="3">
        <v>259</v>
      </c>
      <c r="J8" s="6" t="s">
        <v>110</v>
      </c>
      <c r="K8" s="8">
        <v>0.81609195402298851</v>
      </c>
      <c r="P8" s="6" t="s">
        <v>244</v>
      </c>
      <c r="Q8" s="3">
        <v>172</v>
      </c>
      <c r="S8" s="5" t="s">
        <v>213</v>
      </c>
      <c r="T8" s="3">
        <v>83</v>
      </c>
      <c r="U8" s="3">
        <v>34</v>
      </c>
      <c r="V8" s="3">
        <v>61</v>
      </c>
      <c r="W8" s="3">
        <v>178</v>
      </c>
      <c r="Z8" s="5" t="s">
        <v>163</v>
      </c>
      <c r="AA8" s="3">
        <v>24</v>
      </c>
      <c r="AC8" s="5" t="s">
        <v>31</v>
      </c>
      <c r="AD8" s="3">
        <v>0.52995391705069128</v>
      </c>
    </row>
    <row r="9" spans="1:30" x14ac:dyDescent="0.3">
      <c r="C9" s="6" t="s">
        <v>36</v>
      </c>
      <c r="D9" s="3">
        <v>93</v>
      </c>
      <c r="J9" s="6" t="s">
        <v>213</v>
      </c>
      <c r="K9" s="8">
        <v>0.65730337078651691</v>
      </c>
      <c r="P9" s="9" t="s">
        <v>44</v>
      </c>
      <c r="Q9" s="3">
        <v>163</v>
      </c>
      <c r="S9" s="5" t="s">
        <v>193</v>
      </c>
      <c r="T9" s="3">
        <v>94</v>
      </c>
      <c r="U9" s="3">
        <v>9</v>
      </c>
      <c r="V9" s="3">
        <v>63</v>
      </c>
      <c r="W9" s="3">
        <v>166</v>
      </c>
      <c r="Z9" s="5" t="s">
        <v>78</v>
      </c>
      <c r="AA9" s="3">
        <v>24</v>
      </c>
      <c r="AC9" s="5" t="s">
        <v>64</v>
      </c>
      <c r="AD9" s="3">
        <v>0</v>
      </c>
    </row>
    <row r="10" spans="1:30" x14ac:dyDescent="0.3">
      <c r="C10" s="5">
        <v>2023</v>
      </c>
      <c r="D10" s="3">
        <v>321</v>
      </c>
      <c r="J10" s="5">
        <v>2023</v>
      </c>
      <c r="K10" s="8">
        <v>0.62928348909657317</v>
      </c>
      <c r="P10" s="9" t="s">
        <v>53</v>
      </c>
      <c r="Q10" s="3">
        <v>2</v>
      </c>
      <c r="S10" s="5" t="s">
        <v>37</v>
      </c>
      <c r="T10" s="3">
        <v>86</v>
      </c>
      <c r="U10" s="3">
        <v>13</v>
      </c>
      <c r="V10" s="3">
        <v>56</v>
      </c>
      <c r="W10" s="3">
        <v>155</v>
      </c>
      <c r="Z10" s="5" t="s">
        <v>249</v>
      </c>
      <c r="AA10" s="3">
        <v>23</v>
      </c>
      <c r="AC10" s="5" t="s">
        <v>68</v>
      </c>
      <c r="AD10" s="3">
        <v>0</v>
      </c>
    </row>
    <row r="11" spans="1:30" x14ac:dyDescent="0.3">
      <c r="C11" s="6" t="s">
        <v>46</v>
      </c>
      <c r="D11" s="3">
        <v>202</v>
      </c>
      <c r="J11" s="6" t="s">
        <v>193</v>
      </c>
      <c r="K11" s="8">
        <v>0.62048192771084343</v>
      </c>
      <c r="P11" s="9" t="s">
        <v>36</v>
      </c>
      <c r="Q11" s="3">
        <v>7</v>
      </c>
      <c r="S11" s="5" t="s">
        <v>1273</v>
      </c>
      <c r="T11" s="3">
        <v>726</v>
      </c>
      <c r="U11" s="3">
        <v>68</v>
      </c>
      <c r="V11" s="3">
        <v>236</v>
      </c>
      <c r="W11" s="3">
        <v>1030</v>
      </c>
      <c r="Z11" s="5" t="s">
        <v>93</v>
      </c>
      <c r="AA11" s="3">
        <v>20</v>
      </c>
      <c r="AC11" s="5" t="s">
        <v>1273</v>
      </c>
      <c r="AD11" s="3">
        <v>0.77087378640776694</v>
      </c>
    </row>
    <row r="12" spans="1:30" x14ac:dyDescent="0.3">
      <c r="C12" s="6" t="s">
        <v>36</v>
      </c>
      <c r="D12" s="3">
        <v>119</v>
      </c>
      <c r="J12" s="6" t="s">
        <v>37</v>
      </c>
      <c r="K12" s="8">
        <v>0.6387096774193548</v>
      </c>
      <c r="P12" s="5">
        <v>2022</v>
      </c>
      <c r="Q12" s="3">
        <v>352</v>
      </c>
      <c r="Z12" s="5" t="s">
        <v>141</v>
      </c>
      <c r="AA12" s="3">
        <v>20</v>
      </c>
    </row>
    <row r="13" spans="1:30" x14ac:dyDescent="0.3">
      <c r="C13" s="5" t="s">
        <v>1273</v>
      </c>
      <c r="D13" s="3">
        <v>1030</v>
      </c>
      <c r="J13" s="5" t="s">
        <v>1273</v>
      </c>
      <c r="K13" s="8">
        <v>0.77087378640776694</v>
      </c>
      <c r="P13" s="6" t="s">
        <v>110</v>
      </c>
      <c r="Q13" s="3">
        <v>174</v>
      </c>
      <c r="Z13" s="5" t="s">
        <v>1273</v>
      </c>
      <c r="AA13" s="3">
        <v>253</v>
      </c>
    </row>
    <row r="14" spans="1:30" x14ac:dyDescent="0.3">
      <c r="P14" s="9" t="s">
        <v>44</v>
      </c>
      <c r="Q14" s="3">
        <v>132</v>
      </c>
    </row>
    <row r="15" spans="1:30" x14ac:dyDescent="0.3">
      <c r="P15" s="9" t="s">
        <v>53</v>
      </c>
      <c r="Q15" s="3">
        <v>10</v>
      </c>
    </row>
    <row r="16" spans="1:30" x14ac:dyDescent="0.3">
      <c r="P16" s="9" t="s">
        <v>36</v>
      </c>
      <c r="Q16" s="3">
        <v>32</v>
      </c>
    </row>
    <row r="17" spans="5:17" x14ac:dyDescent="0.3">
      <c r="P17" s="6" t="s">
        <v>213</v>
      </c>
      <c r="Q17" s="3">
        <v>178</v>
      </c>
    </row>
    <row r="18" spans="5:17" x14ac:dyDescent="0.3">
      <c r="E18" s="4" t="s">
        <v>1277</v>
      </c>
      <c r="F18" s="4" t="s">
        <v>1298</v>
      </c>
      <c r="P18" s="9" t="s">
        <v>44</v>
      </c>
      <c r="Q18" s="3">
        <v>83</v>
      </c>
    </row>
    <row r="19" spans="5:17" x14ac:dyDescent="0.3">
      <c r="E19" s="4" t="s">
        <v>1272</v>
      </c>
      <c r="F19" t="s">
        <v>34</v>
      </c>
      <c r="G19" t="s">
        <v>96</v>
      </c>
      <c r="H19" t="s">
        <v>1273</v>
      </c>
      <c r="P19" s="9" t="s">
        <v>53</v>
      </c>
      <c r="Q19" s="3">
        <v>34</v>
      </c>
    </row>
    <row r="20" spans="5:17" x14ac:dyDescent="0.3">
      <c r="E20" s="5">
        <v>2021</v>
      </c>
      <c r="F20" s="3">
        <v>0.96595744680851059</v>
      </c>
      <c r="G20" s="3">
        <v>0.86885245901639341</v>
      </c>
      <c r="H20" s="3">
        <v>0.9327731092436975</v>
      </c>
      <c r="P20" s="9" t="s">
        <v>36</v>
      </c>
      <c r="Q20" s="3">
        <v>61</v>
      </c>
    </row>
    <row r="21" spans="5:17" x14ac:dyDescent="0.3">
      <c r="E21" s="5">
        <v>2022</v>
      </c>
      <c r="F21" s="3">
        <v>0.80769230769230771</v>
      </c>
      <c r="G21" s="3">
        <v>0.59322033898305082</v>
      </c>
      <c r="H21" s="3">
        <v>0.73579545454545459</v>
      </c>
      <c r="P21" s="5">
        <v>2023</v>
      </c>
      <c r="Q21" s="3">
        <v>321</v>
      </c>
    </row>
    <row r="22" spans="5:17" x14ac:dyDescent="0.3">
      <c r="E22" s="5">
        <v>2023</v>
      </c>
      <c r="F22" s="3">
        <v>0.6330275229357798</v>
      </c>
      <c r="G22" s="3">
        <v>0.62135922330097082</v>
      </c>
      <c r="H22" s="3">
        <v>0.62928348909657317</v>
      </c>
      <c r="P22" s="6" t="s">
        <v>193</v>
      </c>
      <c r="Q22" s="3">
        <v>166</v>
      </c>
    </row>
    <row r="23" spans="5:17" x14ac:dyDescent="0.3">
      <c r="E23" s="5" t="s">
        <v>1273</v>
      </c>
      <c r="F23" s="3">
        <v>0.80640465793304217</v>
      </c>
      <c r="G23" s="3">
        <v>0.69970845481049559</v>
      </c>
      <c r="H23" s="3">
        <v>0.77087378640776694</v>
      </c>
      <c r="P23" s="9" t="s">
        <v>44</v>
      </c>
      <c r="Q23" s="3">
        <v>94</v>
      </c>
    </row>
    <row r="24" spans="5:17" x14ac:dyDescent="0.3">
      <c r="P24" s="9" t="s">
        <v>53</v>
      </c>
      <c r="Q24" s="3">
        <v>9</v>
      </c>
    </row>
    <row r="25" spans="5:17" x14ac:dyDescent="0.3">
      <c r="P25" s="9" t="s">
        <v>36</v>
      </c>
      <c r="Q25" s="3">
        <v>63</v>
      </c>
    </row>
    <row r="26" spans="5:17" x14ac:dyDescent="0.3">
      <c r="P26" s="6" t="s">
        <v>37</v>
      </c>
      <c r="Q26" s="3">
        <v>155</v>
      </c>
    </row>
    <row r="27" spans="5:17" x14ac:dyDescent="0.3">
      <c r="P27" s="9" t="s">
        <v>44</v>
      </c>
      <c r="Q27" s="3">
        <v>86</v>
      </c>
    </row>
    <row r="28" spans="5:17" x14ac:dyDescent="0.3">
      <c r="P28" s="9" t="s">
        <v>53</v>
      </c>
      <c r="Q28" s="3">
        <v>13</v>
      </c>
    </row>
    <row r="29" spans="5:17" x14ac:dyDescent="0.3">
      <c r="P29" s="9" t="s">
        <v>36</v>
      </c>
      <c r="Q29" s="3">
        <v>56</v>
      </c>
    </row>
    <row r="30" spans="5:17" x14ac:dyDescent="0.3">
      <c r="P30" s="5" t="s">
        <v>1273</v>
      </c>
      <c r="Q30" s="3">
        <v>1030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5530-C20A-458C-9F4B-DAAE22672482}">
  <sheetPr codeName="Sheet7"/>
  <dimension ref="D61"/>
  <sheetViews>
    <sheetView showGridLines="0" tabSelected="1" topLeftCell="M55" zoomScale="113" zoomScaleNormal="85" workbookViewId="0">
      <selection activeCell="R58" sqref="R58"/>
    </sheetView>
  </sheetViews>
  <sheetFormatPr defaultRowHeight="14.4" x14ac:dyDescent="0.3"/>
  <sheetData>
    <row r="61" spans="4:4" ht="18" x14ac:dyDescent="0.35">
      <c r="D61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Student Profile</vt:lpstr>
      <vt:lpstr>Academic Background Analysis</vt:lpstr>
      <vt:lpstr>Ccat and Entrance </vt:lpstr>
      <vt:lpstr>CDAC Performance</vt:lpstr>
      <vt:lpstr>Placement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Shubhu SP</dc:creator>
  <cp:lastModifiedBy>Omsai Alladwar</cp:lastModifiedBy>
  <dcterms:created xsi:type="dcterms:W3CDTF">2025-12-28T06:27:53Z</dcterms:created>
  <dcterms:modified xsi:type="dcterms:W3CDTF">2025-12-29T18:24:50Z</dcterms:modified>
</cp:coreProperties>
</file>