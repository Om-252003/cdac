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dac\13 Excel\Day 3\"/>
    </mc:Choice>
  </mc:AlternateContent>
  <xr:revisionPtr revIDLastSave="0" documentId="13_ncr:1_{1F1B33B3-4B85-4E85-A471-E6376E3B0B80}" xr6:coauthVersionLast="47" xr6:coauthVersionMax="47" xr10:uidLastSave="{00000000-0000-0000-0000-000000000000}"/>
  <bookViews>
    <workbookView xWindow="-108" yWindow="-108" windowWidth="23256" windowHeight="13176" tabRatio="836" firstSheet="7" activeTab="10" xr2:uid="{3E9AD5ED-B4F9-401F-B75B-E4EE5F14C1B9}"/>
  </bookViews>
  <sheets>
    <sheet name="Sheet1" sheetId="6" state="hidden" r:id="rId1"/>
    <sheet name="Customer Details" sheetId="1" r:id="rId2"/>
    <sheet name="Support Data" sheetId="15" r:id="rId3"/>
    <sheet name="Sales Details" sheetId="14" r:id="rId4"/>
    <sheet name="Pivots" sheetId="16" r:id="rId5"/>
    <sheet name="Charts" sheetId="18" r:id="rId6"/>
    <sheet name="Descriptive Analysis" sheetId="19" r:id="rId7"/>
    <sheet name="Prescriptive Analysis" sheetId="20" r:id="rId8"/>
    <sheet name="Forecast sheet" sheetId="22" r:id="rId9"/>
    <sheet name="Prob-BINOM" sheetId="13" r:id="rId10"/>
    <sheet name="Rental Regression Analysis" sheetId="2" r:id="rId11"/>
    <sheet name="Correlation coefficient " sheetId="11" r:id="rId12"/>
    <sheet name="Survey Confidence Intervals" sheetId="3" r:id="rId13"/>
    <sheet name="What if Analysis" sheetId="4" r:id="rId14"/>
    <sheet name="Probability-BINOM-NormalDist" sheetId="12" state="hidden" r:id="rId15"/>
    <sheet name="Probability Distribution" sheetId="8" state="hidden" r:id="rId16"/>
    <sheet name="Assignment 2" sheetId="9" r:id="rId17"/>
  </sheets>
  <definedNames>
    <definedName name="_xlnm._FilterDatabase" localSheetId="1" hidden="1">'Customer Details'!$A$1:$U$77</definedName>
    <definedName name="_xlnm._FilterDatabase" localSheetId="3" hidden="1">'Sales Details'!$A$1:$BG$200</definedName>
    <definedName name="_xlnm._FilterDatabase" localSheetId="12" hidden="1">'Survey Confidence Intervals'!$A$1:$B$1001</definedName>
    <definedName name="_xlchart.v1.0" hidden="1">'Descriptive Analysis'!$A$2:$A$66</definedName>
    <definedName name="_xlchart.v1.1" hidden="1">'Descriptive Analysis'!$B$1</definedName>
    <definedName name="_xlchart.v1.2" hidden="1">'Descriptive Analysis'!$B$2:$B$321</definedName>
    <definedName name="anscount" hidden="1">1</definedName>
    <definedName name="limcount" hidden="1">1</definedName>
    <definedName name="sencount" hidden="1">1</definedName>
    <definedName name="wrn.Monthly." localSheetId="16" hidden="1">{"c",#N/A,FALSE,"Scenarios";"a",#N/A,FALSE,"Scenarios";#N/A,#N/A,FALSE,"if cond"}</definedName>
    <definedName name="wrn.Monthly." localSheetId="11" hidden="1">{"c",#N/A,FALSE,"Scenarios";"a",#N/A,FALSE,"Scenarios";#N/A,#N/A,FALSE,"if cond"}</definedName>
    <definedName name="wrn.Monthly." localSheetId="14" hidden="1">{"c",#N/A,FALSE,"Scenarios";"a",#N/A,FALSE,"Scenarios";#N/A,#N/A,FALSE,"if cond"}</definedName>
    <definedName name="wrn.Monthly." localSheetId="9" hidden="1">{"c",#N/A,FALSE,"Scenarios";"a",#N/A,FALSE,"Scenarios";#N/A,#N/A,FALSE,"if cond"}</definedName>
    <definedName name="wrn.Monthly." localSheetId="13" hidden="1">{"c",#N/A,FALSE,"Scenarios";"a",#N/A,FALSE,"Scenarios";#N/A,#N/A,FALSE,"if cond"}</definedName>
    <definedName name="wrn.Monthly." hidden="1">{"c",#N/A,FALSE,"Scenarios";"a",#N/A,FALSE,"Scenarios";#N/A,#N/A,FALSE,"if cond"}</definedName>
    <definedName name="wrn.Weekly." localSheetId="16" hidden="1">{"c",#N/A,FALSE,"Scenarios";"b",#N/A,FALSE,"Scenarios";#N/A,#N/A,FALSE,"Inc"}</definedName>
    <definedName name="wrn.Weekly." localSheetId="11" hidden="1">{"c",#N/A,FALSE,"Scenarios";"b",#N/A,FALSE,"Scenarios";#N/A,#N/A,FALSE,"Inc"}</definedName>
    <definedName name="wrn.Weekly." localSheetId="14" hidden="1">{"c",#N/A,FALSE,"Scenarios";"b",#N/A,FALSE,"Scenarios";#N/A,#N/A,FALSE,"Inc"}</definedName>
    <definedName name="wrn.Weekly." localSheetId="9" hidden="1">{"c",#N/A,FALSE,"Scenarios";"b",#N/A,FALSE,"Scenarios";#N/A,#N/A,FALSE,"Inc"}</definedName>
    <definedName name="wrn.Weekly." localSheetId="13" hidden="1">{"c",#N/A,FALSE,"Scenarios";"b",#N/A,FALSE,"Scenarios";#N/A,#N/A,FALSE,"Inc"}</definedName>
    <definedName name="wrn.Weekly." hidden="1">{"c",#N/A,FALSE,"Scenarios";"b",#N/A,FALSE,"Scenarios";#N/A,#N/A,FALSE,"Inc"}</definedName>
  </definedNames>
  <calcPr calcId="191029"/>
  <pivotCaches>
    <pivotCache cacheId="0" r:id="rId18"/>
    <pivotCache cacheId="1" r:id="rId1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2" l="1"/>
  <c r="M7" i="19"/>
  <c r="N7" i="19"/>
  <c r="N6" i="19"/>
  <c r="M6" i="19"/>
  <c r="N5" i="19"/>
  <c r="M5" i="19"/>
  <c r="F19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2" i="13"/>
  <c r="K2" i="13"/>
  <c r="F7" i="13"/>
  <c r="F6" i="13"/>
  <c r="O16" i="20"/>
  <c r="O17" i="20" s="1"/>
  <c r="O15" i="20"/>
  <c r="C14" i="22"/>
  <c r="H8" i="22"/>
  <c r="H3" i="22"/>
  <c r="C19" i="22"/>
  <c r="H6" i="22"/>
  <c r="C15" i="22"/>
  <c r="C17" i="22"/>
  <c r="C18" i="22"/>
  <c r="C16" i="22"/>
  <c r="H2" i="22"/>
  <c r="H4" i="22"/>
  <c r="H5" i="22"/>
  <c r="H7" i="22"/>
  <c r="O18" i="20" l="1"/>
  <c r="E16" i="22"/>
  <c r="D19" i="22"/>
  <c r="E18" i="22"/>
  <c r="E14" i="22"/>
  <c r="D18" i="22"/>
  <c r="D14" i="22"/>
  <c r="E15" i="22"/>
  <c r="E19" i="22"/>
  <c r="D17" i="22"/>
  <c r="E17" i="22"/>
  <c r="D15" i="22"/>
  <c r="D16" i="22"/>
  <c r="O20" i="20" l="1"/>
  <c r="O19" i="20"/>
  <c r="F9" i="19" l="1"/>
  <c r="E9" i="19"/>
  <c r="F10" i="19"/>
  <c r="F11" i="19"/>
  <c r="F12" i="19"/>
  <c r="F13" i="19"/>
  <c r="E11" i="19"/>
  <c r="E10" i="19"/>
  <c r="E13" i="19"/>
  <c r="E12" i="19"/>
  <c r="F8" i="19"/>
  <c r="F7" i="19"/>
  <c r="F6" i="19"/>
  <c r="F5" i="19"/>
  <c r="E8" i="19"/>
  <c r="E7" i="19"/>
  <c r="E6" i="19"/>
  <c r="E5" i="19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E14" i="19" l="1"/>
  <c r="E15" i="19" s="1"/>
  <c r="F14" i="19"/>
  <c r="F15" i="19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H3" i="1"/>
  <c r="H5" i="1"/>
  <c r="H6" i="1"/>
  <c r="H12" i="1"/>
  <c r="H13" i="1"/>
  <c r="H15" i="1"/>
  <c r="H28" i="1"/>
  <c r="H32" i="1"/>
  <c r="H41" i="1"/>
  <c r="H54" i="1"/>
  <c r="H57" i="1"/>
  <c r="H64" i="1"/>
  <c r="H69" i="1"/>
  <c r="H7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BH200" i="14"/>
  <c r="BH199" i="14"/>
  <c r="BH198" i="14"/>
  <c r="BH197" i="14"/>
  <c r="BH196" i="14"/>
  <c r="BH195" i="14"/>
  <c r="BH194" i="14"/>
  <c r="BH193" i="14"/>
  <c r="BH192" i="14"/>
  <c r="BH191" i="14"/>
  <c r="BH190" i="14"/>
  <c r="BH189" i="14"/>
  <c r="BH188" i="14"/>
  <c r="BH187" i="14"/>
  <c r="BH186" i="14"/>
  <c r="BH185" i="14"/>
  <c r="BH184" i="14"/>
  <c r="BH183" i="14"/>
  <c r="BH182" i="14"/>
  <c r="BH181" i="14"/>
  <c r="BH180" i="14"/>
  <c r="BH179" i="14"/>
  <c r="BH178" i="14"/>
  <c r="BH177" i="14"/>
  <c r="BH176" i="14"/>
  <c r="BH175" i="14"/>
  <c r="BH174" i="14"/>
  <c r="BH173" i="14"/>
  <c r="BH172" i="14"/>
  <c r="BH171" i="14"/>
  <c r="BH170" i="14"/>
  <c r="BH169" i="14"/>
  <c r="BH168" i="14"/>
  <c r="BH167" i="14"/>
  <c r="BH166" i="14"/>
  <c r="BH165" i="14"/>
  <c r="BH164" i="14"/>
  <c r="BH163" i="14"/>
  <c r="BH162" i="14"/>
  <c r="BH161" i="14"/>
  <c r="BH160" i="14"/>
  <c r="BH159" i="14"/>
  <c r="BH158" i="14"/>
  <c r="BH157" i="14"/>
  <c r="BH156" i="14"/>
  <c r="BH155" i="14"/>
  <c r="BH154" i="14"/>
  <c r="BH153" i="14"/>
  <c r="BH152" i="14"/>
  <c r="BH151" i="14"/>
  <c r="BH150" i="14"/>
  <c r="BH149" i="14"/>
  <c r="BH148" i="14"/>
  <c r="BH147" i="14"/>
  <c r="BH146" i="14"/>
  <c r="BH145" i="14"/>
  <c r="BH144" i="14"/>
  <c r="BH143" i="14"/>
  <c r="BH142" i="14"/>
  <c r="BH141" i="14"/>
  <c r="BH140" i="14"/>
  <c r="BH139" i="14"/>
  <c r="BH138" i="14"/>
  <c r="BH137" i="14"/>
  <c r="BH136" i="14"/>
  <c r="BH135" i="14"/>
  <c r="BH134" i="14"/>
  <c r="BH133" i="14"/>
  <c r="BH132" i="14"/>
  <c r="BH131" i="14"/>
  <c r="BH130" i="14"/>
  <c r="BH129" i="14"/>
  <c r="BH128" i="14"/>
  <c r="BH127" i="14"/>
  <c r="BH126" i="14"/>
  <c r="BH125" i="14"/>
  <c r="BH124" i="14"/>
  <c r="BH123" i="14"/>
  <c r="BH122" i="14"/>
  <c r="BH121" i="14"/>
  <c r="BH120" i="14"/>
  <c r="BH119" i="14"/>
  <c r="BH118" i="14"/>
  <c r="BH117" i="14"/>
  <c r="BH116" i="14"/>
  <c r="BH115" i="14"/>
  <c r="BH114" i="14"/>
  <c r="BH113" i="14"/>
  <c r="BH112" i="14"/>
  <c r="BH111" i="14"/>
  <c r="BH110" i="14"/>
  <c r="BH109" i="14"/>
  <c r="BH108" i="14"/>
  <c r="BH107" i="14"/>
  <c r="BH106" i="14"/>
  <c r="BH105" i="14"/>
  <c r="BH104" i="14"/>
  <c r="BH103" i="14"/>
  <c r="BH102" i="14"/>
  <c r="BH101" i="14"/>
  <c r="BH100" i="14"/>
  <c r="BH99" i="14"/>
  <c r="BH98" i="14"/>
  <c r="BH97" i="14"/>
  <c r="BH96" i="14"/>
  <c r="BH95" i="14"/>
  <c r="BH94" i="14"/>
  <c r="BH93" i="14"/>
  <c r="BH92" i="14"/>
  <c r="BH91" i="14"/>
  <c r="BH90" i="14"/>
  <c r="BH89" i="14"/>
  <c r="BH88" i="14"/>
  <c r="BH87" i="14"/>
  <c r="BH86" i="14"/>
  <c r="BH85" i="14"/>
  <c r="BH84" i="14"/>
  <c r="BH83" i="14"/>
  <c r="BH82" i="14"/>
  <c r="BH81" i="14"/>
  <c r="BH80" i="14"/>
  <c r="BH79" i="14"/>
  <c r="BH78" i="14"/>
  <c r="BH77" i="14"/>
  <c r="BH76" i="14"/>
  <c r="BH75" i="14"/>
  <c r="BH74" i="14"/>
  <c r="BH73" i="14"/>
  <c r="BH72" i="14"/>
  <c r="BH71" i="14"/>
  <c r="BH70" i="14"/>
  <c r="BH69" i="14"/>
  <c r="BH68" i="14"/>
  <c r="BH67" i="14"/>
  <c r="BH66" i="14"/>
  <c r="BH65" i="14"/>
  <c r="BH64" i="14"/>
  <c r="BH63" i="14"/>
  <c r="BH62" i="14"/>
  <c r="BH61" i="14"/>
  <c r="BH60" i="14"/>
  <c r="BH59" i="14"/>
  <c r="BH58" i="14"/>
  <c r="BH57" i="14"/>
  <c r="BH56" i="14"/>
  <c r="BH55" i="14"/>
  <c r="BH54" i="14"/>
  <c r="BH53" i="14"/>
  <c r="BH52" i="14"/>
  <c r="BH51" i="14"/>
  <c r="BH50" i="14"/>
  <c r="BH49" i="14"/>
  <c r="BH48" i="14"/>
  <c r="BH47" i="14"/>
  <c r="BH46" i="14"/>
  <c r="BH45" i="14"/>
  <c r="BH44" i="14"/>
  <c r="BH43" i="14"/>
  <c r="BH42" i="14"/>
  <c r="BH41" i="14"/>
  <c r="BH40" i="14"/>
  <c r="BH39" i="14"/>
  <c r="BH38" i="14"/>
  <c r="BH37" i="14"/>
  <c r="BH36" i="14"/>
  <c r="BH35" i="14"/>
  <c r="BH34" i="14"/>
  <c r="BH33" i="14"/>
  <c r="BH32" i="14"/>
  <c r="BH31" i="14"/>
  <c r="BH30" i="14"/>
  <c r="BH29" i="14"/>
  <c r="BH28" i="14"/>
  <c r="BH27" i="14"/>
  <c r="BH26" i="14"/>
  <c r="BH25" i="14"/>
  <c r="BH24" i="14"/>
  <c r="BH23" i="14"/>
  <c r="BH22" i="14"/>
  <c r="BH21" i="14"/>
  <c r="BH20" i="14"/>
  <c r="BH19" i="14"/>
  <c r="BH18" i="14"/>
  <c r="BH17" i="14"/>
  <c r="BH16" i="14"/>
  <c r="BH15" i="14"/>
  <c r="BH14" i="14"/>
  <c r="BH13" i="14"/>
  <c r="BH12" i="14"/>
  <c r="BH11" i="14"/>
  <c r="BH10" i="14"/>
  <c r="BH9" i="14"/>
  <c r="BH8" i="14"/>
  <c r="BH7" i="14"/>
  <c r="BH6" i="14"/>
  <c r="BH5" i="14"/>
  <c r="BH4" i="14"/>
  <c r="BH3" i="14"/>
  <c r="BH2" i="14"/>
  <c r="E2" i="3"/>
  <c r="E5" i="3" s="1"/>
  <c r="E4" i="3"/>
  <c r="E16" i="19" l="1"/>
  <c r="F16" i="19"/>
  <c r="E3" i="3"/>
  <c r="V8" i="13"/>
  <c r="U8" i="13"/>
  <c r="V7" i="13"/>
  <c r="U7" i="13"/>
  <c r="V6" i="13"/>
  <c r="U6" i="13"/>
  <c r="B5" i="13"/>
  <c r="B4" i="13"/>
  <c r="B6" i="13" s="1"/>
  <c r="B26" i="12"/>
  <c r="Q6" i="4"/>
  <c r="B7" i="13" l="1"/>
  <c r="Q8" i="4"/>
  <c r="Q10" i="4" s="1"/>
  <c r="Q12" i="4" s="1"/>
  <c r="J9" i="4" l="1"/>
  <c r="J10" i="4" l="1"/>
  <c r="J11" i="4" s="1"/>
</calcChain>
</file>

<file path=xl/sharedStrings.xml><?xml version="1.0" encoding="utf-8"?>
<sst xmlns="http://schemas.openxmlformats.org/spreadsheetml/2006/main" count="5714" uniqueCount="1208">
  <si>
    <t>First Name</t>
  </si>
  <si>
    <t>Last Name</t>
  </si>
  <si>
    <t>Gender_Code</t>
  </si>
  <si>
    <t>ADDRESS1</t>
  </si>
  <si>
    <t>CITY</t>
  </si>
  <si>
    <t>STATE</t>
  </si>
  <si>
    <t>COUNTRY_CODE</t>
  </si>
  <si>
    <t>POSTAL_CODE</t>
  </si>
  <si>
    <t>EMAIL_ADDRESS</t>
  </si>
  <si>
    <t>PHONE_NUMBER</t>
  </si>
  <si>
    <t>CREDITCARD_TYPE</t>
  </si>
  <si>
    <t>SALESMAN_ID</t>
  </si>
  <si>
    <t>NATIONALITY</t>
  </si>
  <si>
    <t>NATIONAL_ID</t>
  </si>
  <si>
    <t>CREDITCARD_NUMBER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</si>
  <si>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</si>
  <si>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</si>
  <si>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</si>
  <si>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</si>
  <si>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</si>
  <si>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</si>
  <si>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</si>
  <si>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</si>
  <si>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</si>
  <si>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</si>
  <si>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</si>
  <si>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</si>
  <si>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</si>
  <si>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</si>
  <si>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</si>
  <si>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</si>
  <si>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</si>
  <si>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</si>
  <si>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</si>
  <si>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</si>
  <si>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</si>
  <si>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</si>
  <si>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</si>
  <si>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</si>
  <si>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</si>
  <si>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</si>
  <si>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</si>
  <si>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</si>
  <si>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</si>
  <si>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</si>
  <si>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</si>
  <si>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</si>
  <si>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</si>
  <si>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</si>
  <si>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</si>
  <si>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</si>
  <si>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</si>
  <si>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</si>
  <si>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</si>
  <si>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</si>
  <si>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</si>
  <si>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</si>
  <si>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</si>
  <si>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</si>
  <si>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Allen</t>
  </si>
  <si>
    <t>Perl</t>
  </si>
  <si>
    <t>Mr.</t>
  </si>
  <si>
    <t>4707    Hillcrest Lane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</si>
  <si>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</si>
  <si>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</si>
  <si>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</si>
  <si>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</si>
  <si>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</si>
  <si>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</si>
  <si>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</si>
  <si>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</si>
  <si>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</si>
  <si>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Complete</t>
  </si>
  <si>
    <t>Phone</t>
  </si>
  <si>
    <t>Frequent</t>
  </si>
  <si>
    <t>MediumValue</t>
  </si>
  <si>
    <t>Gen_Y</t>
  </si>
  <si>
    <t xml:space="preserve">SW277 </t>
  </si>
  <si>
    <t>Abandoned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</si>
  <si>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</si>
  <si>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</si>
  <si>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</si>
  <si>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</si>
  <si>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</si>
  <si>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</si>
  <si>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>Anthony</t>
  </si>
  <si>
    <t>Whitney</t>
  </si>
  <si>
    <t>518 Highland    View      Drive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</si>
  <si>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</si>
  <si>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</si>
  <si>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</si>
  <si>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</si>
  <si>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</si>
  <si>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</si>
  <si>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</si>
  <si>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</si>
  <si>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</si>
  <si>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</si>
  <si>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</si>
  <si>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Gen_Z</t>
  </si>
  <si>
    <t>Thomas</t>
  </si>
  <si>
    <t>Owens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</si>
  <si>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</si>
  <si>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</si>
  <si>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</si>
  <si>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</si>
  <si>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</si>
  <si>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</si>
  <si>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</si>
  <si>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</si>
  <si>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>Baby_Boomers</t>
  </si>
  <si>
    <t xml:space="preserve">SW340 </t>
  </si>
  <si>
    <t>Cancelled</t>
  </si>
  <si>
    <t xml:space="preserve">NW310 </t>
  </si>
  <si>
    <t xml:space="preserve">NC100 </t>
  </si>
  <si>
    <t>Carr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</si>
  <si>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</si>
  <si>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</si>
  <si>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</si>
  <si>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</si>
  <si>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</si>
  <si>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</si>
  <si>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</si>
  <si>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</si>
  <si>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</si>
  <si>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</si>
  <si>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>In-Progress</t>
  </si>
  <si>
    <t xml:space="preserve">RP253 </t>
  </si>
  <si>
    <t>Melvin</t>
  </si>
  <si>
    <t>Schmitz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</si>
  <si>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</si>
  <si>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</si>
  <si>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</si>
  <si>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</si>
  <si>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</si>
  <si>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</si>
  <si>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</si>
  <si>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</si>
  <si>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</si>
  <si>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>John</t>
  </si>
  <si>
    <t>Hoffman</t>
  </si>
  <si>
    <t>1660 Lighthouse Drive</t>
  </si>
  <si>
    <t>Akron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</si>
  <si>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</si>
  <si>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</si>
  <si>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</si>
  <si>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</si>
  <si>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</si>
  <si>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</si>
  <si>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</si>
  <si>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</si>
  <si>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Gen_X</t>
  </si>
  <si>
    <t>Muriel</t>
  </si>
  <si>
    <t>Exley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</si>
  <si>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</si>
  <si>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</si>
  <si>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</si>
  <si>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</si>
  <si>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</si>
  <si>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</si>
  <si>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</si>
  <si>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</si>
  <si>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>James</t>
  </si>
  <si>
    <t>Moyle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</si>
  <si>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</si>
  <si>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</si>
  <si>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</si>
  <si>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</si>
  <si>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</si>
  <si>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</si>
  <si>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</si>
  <si>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</si>
  <si>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</si>
  <si>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>Calvin</t>
  </si>
  <si>
    <t>Shupe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</si>
  <si>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</si>
  <si>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</si>
  <si>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</si>
  <si>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</si>
  <si>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</si>
  <si>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</si>
  <si>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</si>
  <si>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</si>
  <si>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>Alfonso</t>
  </si>
  <si>
    <t>Frazier</t>
  </si>
  <si>
    <t>3783 Freed Drive</t>
  </si>
  <si>
    <t>Albuquerque</t>
  </si>
  <si>
    <t>NM</t>
  </si>
  <si>
    <t>Alfonso.K.Frazier@pookmail.com</t>
  </si>
  <si>
    <t>973-546-4321</t>
  </si>
  <si>
    <t>American Expres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</si>
  <si>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</si>
  <si>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</si>
  <si>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</si>
  <si>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</si>
  <si>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</si>
  <si>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</si>
  <si>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</si>
  <si>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</si>
  <si>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>Reda</t>
  </si>
  <si>
    <t>Fullilove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</si>
  <si>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</si>
  <si>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</si>
  <si>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</si>
  <si>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</si>
  <si>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</si>
  <si>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</si>
  <si>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</si>
  <si>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</si>
  <si>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</si>
  <si>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>Cecil</t>
  </si>
  <si>
    <t>Games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</si>
  <si>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</si>
  <si>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</si>
  <si>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</si>
  <si>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</si>
  <si>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</si>
  <si>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</si>
  <si>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</si>
  <si>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</si>
  <si>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>Edward</t>
  </si>
  <si>
    <t>Turner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</si>
  <si>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</si>
  <si>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</si>
  <si>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</si>
  <si>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</si>
  <si>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</si>
  <si>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</si>
  <si>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</si>
  <si>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</si>
  <si>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</si>
  <si>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>Amy</t>
  </si>
  <si>
    <t>Randle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</si>
  <si>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</si>
  <si>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</si>
  <si>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</si>
  <si>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</si>
  <si>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</si>
  <si>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</si>
  <si>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>Rafael</t>
  </si>
  <si>
    <t>Middleton</t>
  </si>
  <si>
    <t>3020 Callison Lane</t>
  </si>
  <si>
    <t>Allentown</t>
  </si>
  <si>
    <t>MD</t>
  </si>
  <si>
    <t>Rafael.G.Middleton@spambob.com</t>
  </si>
  <si>
    <t>781-315-9600</t>
  </si>
  <si>
    <t>jcb</t>
  </si>
  <si>
    <t xml:space="preserve">SC262 </t>
  </si>
  <si>
    <t xml:space="preserve">WE220 </t>
  </si>
  <si>
    <t>Earl</t>
  </si>
  <si>
    <t>Bruner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</si>
  <si>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</si>
  <si>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</si>
  <si>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</si>
  <si>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</si>
  <si>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</si>
  <si>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</si>
  <si>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</si>
  <si>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</si>
  <si>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</si>
  <si>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</si>
  <si>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>Linda</t>
  </si>
  <si>
    <t>Garcia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</si>
  <si>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</si>
  <si>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</si>
  <si>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</si>
  <si>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</si>
  <si>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</si>
  <si>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</si>
  <si>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</si>
  <si>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>Quinn</t>
  </si>
  <si>
    <t>Perry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</si>
  <si>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</si>
  <si>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</si>
  <si>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</si>
  <si>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</si>
  <si>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</si>
  <si>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</si>
  <si>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</si>
  <si>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</si>
  <si>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</si>
  <si>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</si>
  <si>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>Kristin</t>
  </si>
  <si>
    <t>Mendoza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</si>
  <si>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</si>
  <si>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</si>
  <si>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</si>
  <si>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</si>
  <si>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</si>
  <si>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</si>
  <si>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</si>
  <si>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>Michael</t>
  </si>
  <si>
    <t>Gordon</t>
  </si>
  <si>
    <t>388 Kelly Drive</t>
  </si>
  <si>
    <t>Ancona</t>
  </si>
  <si>
    <t>AN</t>
  </si>
  <si>
    <t>Michael.S.Gordon@dodgeit.com</t>
  </si>
  <si>
    <t>0373 6095994</t>
  </si>
  <si>
    <t>Phyllis</t>
  </si>
  <si>
    <t>White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</si>
  <si>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</si>
  <si>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</si>
  <si>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</si>
  <si>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</si>
  <si>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</si>
  <si>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</si>
  <si>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</si>
  <si>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</si>
  <si>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</si>
  <si>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</si>
  <si>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>Katherine</t>
  </si>
  <si>
    <t>Mullins</t>
  </si>
  <si>
    <t>4245 Adamsville Road</t>
  </si>
  <si>
    <t>Angwin</t>
  </si>
  <si>
    <t>Katherine.W.Mullins@spambob.com</t>
  </si>
  <si>
    <t>503-688-0336</t>
  </si>
  <si>
    <t>X6490143A</t>
  </si>
  <si>
    <t>Lisa</t>
  </si>
  <si>
    <t>Guest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</si>
  <si>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</si>
  <si>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</si>
  <si>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</si>
  <si>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</si>
  <si>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</si>
  <si>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</si>
  <si>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</si>
  <si>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</si>
  <si>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>Scott</t>
  </si>
  <si>
    <t>Lawson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</si>
  <si>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</si>
  <si>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</si>
  <si>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</si>
  <si>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</si>
  <si>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</si>
  <si>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</si>
  <si>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</si>
  <si>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>Robert</t>
  </si>
  <si>
    <t>Bilbo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</si>
  <si>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</si>
  <si>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</si>
  <si>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</si>
  <si>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</si>
  <si>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</si>
  <si>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</si>
  <si>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</si>
  <si>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>Ahmed</t>
  </si>
  <si>
    <t>Richard</t>
  </si>
  <si>
    <t>1346 Carter Street</t>
  </si>
  <si>
    <t>Appleton</t>
  </si>
  <si>
    <t>Ahmed.P.Richard@mailinator.com</t>
  </si>
  <si>
    <t>510-517-7759</t>
  </si>
  <si>
    <t xml:space="preserve">SW214 </t>
  </si>
  <si>
    <t>Ray</t>
  </si>
  <si>
    <t>Hornsby</t>
  </si>
  <si>
    <t>555 DaVISAA Avenue</t>
  </si>
  <si>
    <t>Archez</t>
  </si>
  <si>
    <t>Ray.M.Hornsby@pookmail.com</t>
  </si>
  <si>
    <t>91-271-2747</t>
  </si>
  <si>
    <t>TMWEAA77M18B017F</t>
  </si>
  <si>
    <t>Jason</t>
  </si>
  <si>
    <t>Glass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</si>
  <si>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</si>
  <si>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</si>
  <si>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</si>
  <si>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</si>
  <si>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</si>
  <si>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</si>
  <si>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</si>
  <si>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</si>
  <si>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</si>
  <si>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</si>
  <si>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>Natalie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</si>
  <si>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</si>
  <si>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</si>
  <si>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</si>
  <si>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</si>
  <si>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</si>
  <si>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</si>
  <si>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</si>
  <si>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>Donna</t>
  </si>
  <si>
    <t>Klock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</si>
  <si>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</si>
  <si>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</si>
  <si>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</si>
  <si>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</si>
  <si>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</si>
  <si>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</si>
  <si>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>Donald</t>
  </si>
  <si>
    <t>Velazquez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</si>
  <si>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</si>
  <si>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</si>
  <si>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</si>
  <si>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</si>
  <si>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</si>
  <si>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</si>
  <si>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</si>
  <si>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>Harry</t>
  </si>
  <si>
    <t>Brumback</t>
  </si>
  <si>
    <t>45 Graystone Lakes</t>
  </si>
  <si>
    <t>Asheboro</t>
  </si>
  <si>
    <t>NC</t>
  </si>
  <si>
    <t>Harry.L.Brumback@dodgeit.com</t>
  </si>
  <si>
    <t>773-577-9355</t>
  </si>
  <si>
    <t xml:space="preserve">SW406 </t>
  </si>
  <si>
    <t>Harold</t>
  </si>
  <si>
    <t>Magee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</si>
  <si>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</si>
  <si>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</si>
  <si>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</si>
  <si>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</si>
  <si>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</si>
  <si>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</si>
  <si>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</si>
  <si>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</si>
  <si>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 xml:space="preserve">  565 Cinnamon Lane</t>
  </si>
  <si>
    <t>Melba</t>
  </si>
  <si>
    <t>Whitehead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</si>
  <si>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</si>
  <si>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</si>
  <si>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</si>
  <si>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</si>
  <si>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</si>
  <si>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</si>
  <si>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</si>
  <si>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>Ivan</t>
  </si>
  <si>
    <t>Case</t>
  </si>
  <si>
    <t>2540 School Street</t>
  </si>
  <si>
    <t>Athens</t>
  </si>
  <si>
    <t>Ivan.J.Case@dodgeit.com</t>
  </si>
  <si>
    <t>512-391-4111</t>
  </si>
  <si>
    <t xml:space="preserve">RP319 </t>
  </si>
  <si>
    <t>Bob</t>
  </si>
  <si>
    <t>Davenport</t>
  </si>
  <si>
    <t>488 Lonely Oak Drive</t>
  </si>
  <si>
    <t>Atlanta</t>
  </si>
  <si>
    <t>GA</t>
  </si>
  <si>
    <t>Bob.N.Davenport@pookmail.com</t>
  </si>
  <si>
    <t>512-912-9995</t>
  </si>
  <si>
    <t>Jennifer</t>
  </si>
  <si>
    <t>Howard</t>
  </si>
  <si>
    <t>3339 Twin Willow Lane</t>
  </si>
  <si>
    <t>Jennifer.M.Howard@spambob.com</t>
  </si>
  <si>
    <t>559-927-9392</t>
  </si>
  <si>
    <t>SQOOUI42T60G511Z</t>
  </si>
  <si>
    <t xml:space="preserve">NE238 </t>
  </si>
  <si>
    <t>Jana</t>
  </si>
  <si>
    <t>Hall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</si>
  <si>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</si>
  <si>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</si>
  <si>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</si>
  <si>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</si>
  <si>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</si>
  <si>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</si>
  <si>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</si>
  <si>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Arlene</t>
  </si>
  <si>
    <t>Cruz</t>
  </si>
  <si>
    <t>4858 Bottom Lane</t>
  </si>
  <si>
    <t>Auburn</t>
  </si>
  <si>
    <t>WA</t>
  </si>
  <si>
    <t>Arlene.M.Cruz@mailinator.com</t>
  </si>
  <si>
    <t>817-905-6598</t>
  </si>
  <si>
    <t>CQQVJC41M50H989G</t>
  </si>
  <si>
    <t>Mildred</t>
  </si>
  <si>
    <t>Carey</t>
  </si>
  <si>
    <t>3362 Post Avenue</t>
  </si>
  <si>
    <t>Aulnay-sous-bois</t>
  </si>
  <si>
    <t>Mildred.M.Carey@mailinator.com</t>
  </si>
  <si>
    <t>03.43.65.57.75</t>
  </si>
  <si>
    <t>5876860S</t>
  </si>
  <si>
    <t>Yasmin</t>
  </si>
  <si>
    <t>Cole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</si>
  <si>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</si>
  <si>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</si>
  <si>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</si>
  <si>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</si>
  <si>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</si>
  <si>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</si>
  <si>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</si>
  <si>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>Jodi</t>
  </si>
  <si>
    <t>Bugg</t>
  </si>
  <si>
    <t>1177 Petunia Way</t>
  </si>
  <si>
    <t>Avio</t>
  </si>
  <si>
    <t>Jodi.S.Bugg@spambob.com</t>
  </si>
  <si>
    <t>0396 3484999</t>
  </si>
  <si>
    <t>Henry</t>
  </si>
  <si>
    <t>Williams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</si>
  <si>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</si>
  <si>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</si>
  <si>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</si>
  <si>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</si>
  <si>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</si>
  <si>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</si>
  <si>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</si>
  <si>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>Rice</t>
  </si>
  <si>
    <t>491 Browning Lane</t>
  </si>
  <si>
    <t>Badia Di Cava De Tirreni</t>
  </si>
  <si>
    <t>Allen.L.Rice@pookmail.com</t>
  </si>
  <si>
    <t>0310 4718739</t>
  </si>
  <si>
    <t>YH860602C</t>
  </si>
  <si>
    <t>Bradford</t>
  </si>
  <si>
    <t>Claassen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</si>
  <si>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</si>
  <si>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</si>
  <si>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</si>
  <si>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</si>
  <si>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</si>
  <si>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</si>
  <si>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>Elizabeth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</si>
  <si>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</si>
  <si>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</si>
  <si>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</si>
  <si>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</si>
  <si>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</si>
  <si>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</si>
  <si>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</si>
  <si>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>Dwight</t>
  </si>
  <si>
    <t>Armenta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</si>
  <si>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</si>
  <si>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</si>
  <si>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</si>
  <si>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</si>
  <si>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</si>
  <si>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</si>
  <si>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>Pritchard</t>
  </si>
  <si>
    <t>1117 Yorkshire Circle</t>
  </si>
  <si>
    <t>Balliang</t>
  </si>
  <si>
    <t>VIC</t>
  </si>
  <si>
    <t>Michael.M.Pritchard@trashymail.com</t>
  </si>
  <si>
    <t>(08) 9072 2460</t>
  </si>
  <si>
    <t>Martinez</t>
  </si>
  <si>
    <t>947 Rainbow Road</t>
  </si>
  <si>
    <t>Baltimore</t>
  </si>
  <si>
    <t>Elizabeth.B.Martinez@mailinator.com</t>
  </si>
  <si>
    <t>314-268-8613</t>
  </si>
  <si>
    <t xml:space="preserve">NW118 </t>
  </si>
  <si>
    <t>UAAUXX18L25A259N</t>
  </si>
  <si>
    <t>Mary</t>
  </si>
  <si>
    <t>Bates</t>
  </si>
  <si>
    <t>1646 Tenmile</t>
  </si>
  <si>
    <t>Mary.T.Bates@pookmail.com</t>
  </si>
  <si>
    <t>503-337-6080</t>
  </si>
  <si>
    <t>2167155A</t>
  </si>
  <si>
    <t>Mandy</t>
  </si>
  <si>
    <t>Fernandez</t>
  </si>
  <si>
    <t>4103 Wilmar Farm Road</t>
  </si>
  <si>
    <t>Banora Point</t>
  </si>
  <si>
    <t>Mandy.M.Fernandez@pookmail.com</t>
  </si>
  <si>
    <t>(03) 5361 9459</t>
  </si>
  <si>
    <t>2359270E</t>
  </si>
  <si>
    <t>Megan</t>
  </si>
  <si>
    <t>Mauro</t>
  </si>
  <si>
    <t>701 Clarksburg Park Road</t>
  </si>
  <si>
    <t>Barnwell</t>
  </si>
  <si>
    <t>SC</t>
  </si>
  <si>
    <t>Megan.R.Mauro@pookmail.com</t>
  </si>
  <si>
    <t>631-732-3842</t>
  </si>
  <si>
    <t>Riley</t>
  </si>
  <si>
    <t>4904 Hamilton Drive</t>
  </si>
  <si>
    <t>Barsbittel</t>
  </si>
  <si>
    <t>John.S.Riley@spambob.com</t>
  </si>
  <si>
    <t>04329 69 96 01</t>
  </si>
  <si>
    <t>Felix</t>
  </si>
  <si>
    <t>Myers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</si>
  <si>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</si>
  <si>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</si>
  <si>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</si>
  <si>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</si>
  <si>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</si>
  <si>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</si>
  <si>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</si>
  <si>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>Frank</t>
  </si>
  <si>
    <t>Westra</t>
  </si>
  <si>
    <t>3540 Stout Street</t>
  </si>
  <si>
    <t>Baton Rouge</t>
  </si>
  <si>
    <t>Frank.K.Westra@spambob.com</t>
  </si>
  <si>
    <t>661-947-3606</t>
  </si>
  <si>
    <t xml:space="preserve">NW376 </t>
  </si>
  <si>
    <t xml:space="preserve">SE331 </t>
  </si>
  <si>
    <t>Jack</t>
  </si>
  <si>
    <t>2374 Christie Way</t>
  </si>
  <si>
    <t>Beasain</t>
  </si>
  <si>
    <t>Jack.L.Owens@spambob.com</t>
  </si>
  <si>
    <t>91-102-2453</t>
  </si>
  <si>
    <t>Therese</t>
  </si>
  <si>
    <t>Pickering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</si>
  <si>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</si>
  <si>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</si>
  <si>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</si>
  <si>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</si>
  <si>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</si>
  <si>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</si>
  <si>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>Ojeda</t>
  </si>
  <si>
    <t>546 Lakewood Drive</t>
  </si>
  <si>
    <t>Belleville</t>
  </si>
  <si>
    <t>IL</t>
  </si>
  <si>
    <t>Robert.M.Ojeda@mailinator.com</t>
  </si>
  <si>
    <t>503-705-8957</t>
  </si>
  <si>
    <t>Farris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</si>
  <si>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</si>
  <si>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</si>
  <si>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</si>
  <si>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</si>
  <si>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</si>
  <si>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</si>
  <si>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>Joseph</t>
  </si>
  <si>
    <t>Shafer</t>
  </si>
  <si>
    <t>15 Lords Way</t>
  </si>
  <si>
    <t>Joseph.J.Shafer@trashymail.com</t>
  </si>
  <si>
    <t>212-833-9423</t>
  </si>
  <si>
    <t>Hoyt</t>
  </si>
  <si>
    <t>Ramos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</si>
  <si>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</si>
  <si>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</si>
  <si>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</si>
  <si>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</si>
  <si>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</si>
  <si>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</si>
  <si>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</si>
  <si>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>Stanley</t>
  </si>
  <si>
    <t>4039 Kelley Road</t>
  </si>
  <si>
    <t>Bensalem</t>
  </si>
  <si>
    <t>PA</t>
  </si>
  <si>
    <t>Jodi.B.Stanley@spambob.com</t>
  </si>
  <si>
    <t>262-385-8894</t>
  </si>
  <si>
    <t>Betty</t>
  </si>
  <si>
    <t>Grimes</t>
  </si>
  <si>
    <t>2078 Plainfield Avenue</t>
  </si>
  <si>
    <t>Berchtesgaden</t>
  </si>
  <si>
    <t>Betty.D.Grimes@mailinator.com</t>
  </si>
  <si>
    <t>08091 13 31 66</t>
  </si>
  <si>
    <t>Tony</t>
  </si>
  <si>
    <t>Brooks</t>
  </si>
  <si>
    <t>2134 Watson Lane</t>
  </si>
  <si>
    <t>Bergotto</t>
  </si>
  <si>
    <t>PR</t>
  </si>
  <si>
    <t>Tony.D.Brooks@mailinator.com</t>
  </si>
  <si>
    <t>0357 7464003</t>
  </si>
  <si>
    <t>Reed</t>
  </si>
  <si>
    <t>4592 Poplar Lane</t>
  </si>
  <si>
    <t>Besnate</t>
  </si>
  <si>
    <t>Michael.K.Reed@trashymail.com</t>
  </si>
  <si>
    <t>0399 7420631</t>
  </si>
  <si>
    <t>Rosemary</t>
  </si>
  <si>
    <t>Herbert</t>
  </si>
  <si>
    <t>3591 Nutters Barn Lane</t>
  </si>
  <si>
    <t>Beverly Hills</t>
  </si>
  <si>
    <t>Rosemary.J.Herbert@pookmail.com</t>
  </si>
  <si>
    <t>814-393-3387</t>
  </si>
  <si>
    <t>Judy</t>
  </si>
  <si>
    <t>Larkin</t>
  </si>
  <si>
    <t>2659 Werninger Street</t>
  </si>
  <si>
    <t>Biancade</t>
  </si>
  <si>
    <t>TV</t>
  </si>
  <si>
    <t>Judy.B.Larkin@pookmail.com</t>
  </si>
  <si>
    <t>0344 8952963</t>
  </si>
  <si>
    <t>Hopping</t>
  </si>
  <si>
    <t>2805 DaVISAA Avenue</t>
  </si>
  <si>
    <t>Biarritz</t>
  </si>
  <si>
    <t>Judy.G.Hopping@pookmail.com</t>
  </si>
  <si>
    <t>01.83.63.72.29</t>
  </si>
  <si>
    <t xml:space="preserve">NW313 </t>
  </si>
  <si>
    <t>Rogers</t>
  </si>
  <si>
    <t>2027 Harley Brook Lane</t>
  </si>
  <si>
    <t>Biebrich</t>
  </si>
  <si>
    <t>Joseph.S.Rogers@mailinator.com</t>
  </si>
  <si>
    <t>0201 25 24 10</t>
  </si>
  <si>
    <t>7500577R</t>
  </si>
  <si>
    <t>Sales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</si>
  <si>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</si>
  <si>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</si>
  <si>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</si>
  <si>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</si>
  <si>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</si>
  <si>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</si>
  <si>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</si>
  <si>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>Charles</t>
  </si>
  <si>
    <t>Pickett</t>
  </si>
  <si>
    <t>928 Adonais Way</t>
  </si>
  <si>
    <t>Birch Creek</t>
  </si>
  <si>
    <t>AK</t>
  </si>
  <si>
    <t>Charles.F.Pickett@spambob.com</t>
  </si>
  <si>
    <t>402-856-9229</t>
  </si>
  <si>
    <t>4900352H</t>
  </si>
  <si>
    <t>Margaret</t>
  </si>
  <si>
    <t>Shelton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</si>
  <si>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</si>
  <si>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</si>
  <si>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</si>
  <si>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</si>
  <si>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</si>
  <si>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</si>
  <si>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</si>
  <si>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>Rebecca</t>
  </si>
  <si>
    <t>Uresti</t>
  </si>
  <si>
    <t>4333 Morningview Lane</t>
  </si>
  <si>
    <t>Rebecca.C.Uresti@trashymail.com</t>
  </si>
  <si>
    <t>903-497-8623</t>
  </si>
  <si>
    <t>YR565337D</t>
  </si>
  <si>
    <t>Emma</t>
  </si>
  <si>
    <t>Perez</t>
  </si>
  <si>
    <t>1199 Lightning Point Drive</t>
  </si>
  <si>
    <t>Black Hawk</t>
  </si>
  <si>
    <t>SD</t>
  </si>
  <si>
    <t>Emma.V.Perez@spambob.com</t>
  </si>
  <si>
    <t>612-990-4487</t>
  </si>
  <si>
    <t>Reynaldo</t>
  </si>
  <si>
    <t>3923 Black Stallion Road</t>
  </si>
  <si>
    <t>Blaxland East</t>
  </si>
  <si>
    <t>Reynaldo.J.Myers@pookmail.com</t>
  </si>
  <si>
    <t>(02) 6753 9404</t>
  </si>
  <si>
    <t>Becker</t>
  </si>
  <si>
    <t>4374 Lindale Avenue</t>
  </si>
  <si>
    <t>Bloomington</t>
  </si>
  <si>
    <t>Jennifer.D.Becker@spambob.com</t>
  </si>
  <si>
    <t>803-223-5484</t>
  </si>
  <si>
    <t>area</t>
  </si>
  <si>
    <t>bedrooms</t>
  </si>
  <si>
    <t>furnished</t>
  </si>
  <si>
    <t>rent</t>
  </si>
  <si>
    <t>Respondent</t>
  </si>
  <si>
    <t>Response</t>
  </si>
  <si>
    <t>Financial functions and what-if analysis</t>
  </si>
  <si>
    <t>Payroll Summary</t>
  </si>
  <si>
    <t>Basic Assumptions</t>
  </si>
  <si>
    <t>Emi- 12000… what will the loan amt</t>
  </si>
  <si>
    <t>Number of employees</t>
  </si>
  <si>
    <t>Loan Amount</t>
  </si>
  <si>
    <t>Goal : You know the Traget Value.. You are changing input value</t>
  </si>
  <si>
    <t>Average employee wage</t>
  </si>
  <si>
    <t>Rate of Intrest</t>
  </si>
  <si>
    <t>Data Table: we need to find traget value based on multipl input</t>
  </si>
  <si>
    <t>Hours worked per week</t>
  </si>
  <si>
    <t>Payment /month</t>
  </si>
  <si>
    <t>Weeks worked per year</t>
  </si>
  <si>
    <t>PMT [EMI]</t>
  </si>
  <si>
    <t>Benefits (as % of wage)</t>
  </si>
  <si>
    <t>Using Data Table</t>
  </si>
  <si>
    <t>Formula Results</t>
  </si>
  <si>
    <t>Annual Wage Expense</t>
  </si>
  <si>
    <t>Annual Employee Benefits</t>
  </si>
  <si>
    <t>Total Payroll Costs</t>
  </si>
  <si>
    <t>Reduce the cost from 13 to 10 Lakhs.. Total no of Emp</t>
  </si>
  <si>
    <t>Based no of emp and wgaes … Cost of Project [40..60 interval… wages ..9-15..</t>
  </si>
  <si>
    <t>Bank Fd Details</t>
  </si>
  <si>
    <t>Invest amt</t>
  </si>
  <si>
    <t>Worst Case</t>
  </si>
  <si>
    <t>Best Case</t>
  </si>
  <si>
    <t>No of Months</t>
  </si>
  <si>
    <t>Return Amt-FV</t>
  </si>
  <si>
    <t>IRR</t>
  </si>
  <si>
    <t>Data</t>
  </si>
  <si>
    <t>Description</t>
  </si>
  <si>
    <t>Initial cost of a business</t>
  </si>
  <si>
    <t>Net income for the first year</t>
  </si>
  <si>
    <t>Net income for the second year</t>
  </si>
  <si>
    <t>Net income for the third year</t>
  </si>
  <si>
    <t>Net income for the fourth year</t>
  </si>
  <si>
    <t>IRR Formula</t>
  </si>
  <si>
    <t>Fore cast for seventh yr</t>
  </si>
  <si>
    <t xml:space="preserve">Year </t>
  </si>
  <si>
    <t>Sales Amount</t>
  </si>
  <si>
    <t>Product Count</t>
  </si>
  <si>
    <t xml:space="preserve">Assignment </t>
  </si>
  <si>
    <t>4. Deleted the rows where age is NA [ Filter na and delete the rows]</t>
  </si>
  <si>
    <t>5 Add a Col of number of Order Placed / Order Value /Total Product [Countifs and Sumifs]</t>
  </si>
  <si>
    <t>6. Add Data Analysis Tool pak and Solver [ Tool- Option-Addins- Go- Check for DAta analysis and Solver] ..ok this command will come in data TAb</t>
  </si>
  <si>
    <t>Empcode</t>
  </si>
  <si>
    <t>Dept</t>
  </si>
  <si>
    <t>Region</t>
  </si>
  <si>
    <t>Branch</t>
  </si>
  <si>
    <t>Hire Date</t>
  </si>
  <si>
    <t>Salary</t>
  </si>
  <si>
    <t>Raja</t>
  </si>
  <si>
    <t>Raymondekar</t>
  </si>
  <si>
    <t>north</t>
  </si>
  <si>
    <t>Ferozepur</t>
  </si>
  <si>
    <t>Suman</t>
  </si>
  <si>
    <t>Shinde</t>
  </si>
  <si>
    <t>east</t>
  </si>
  <si>
    <t>Cuttack</t>
  </si>
  <si>
    <t>Kuldeep</t>
  </si>
  <si>
    <t>Sharma</t>
  </si>
  <si>
    <t>Admin</t>
  </si>
  <si>
    <t>south</t>
  </si>
  <si>
    <t>Hydrabad</t>
  </si>
  <si>
    <t>Beena</t>
  </si>
  <si>
    <t>Mavadia</t>
  </si>
  <si>
    <t>Mktg</t>
  </si>
  <si>
    <t>Delhi</t>
  </si>
  <si>
    <t>Seema</t>
  </si>
  <si>
    <t>Ranganathan</t>
  </si>
  <si>
    <t>R&amp;D</t>
  </si>
  <si>
    <t>Kanpur</t>
  </si>
  <si>
    <t>Julie</t>
  </si>
  <si>
    <t>D'Souza</t>
  </si>
  <si>
    <t>Mathura</t>
  </si>
  <si>
    <t>Deepak</t>
  </si>
  <si>
    <t>Jain</t>
  </si>
  <si>
    <t>Personnel</t>
  </si>
  <si>
    <t>west</t>
  </si>
  <si>
    <t>Pune</t>
  </si>
  <si>
    <t>Neena</t>
  </si>
  <si>
    <t>Mukherjee</t>
  </si>
  <si>
    <t>Agra</t>
  </si>
  <si>
    <t>Pankaj</t>
  </si>
  <si>
    <t>Sutradhar</t>
  </si>
  <si>
    <t>Ambala</t>
  </si>
  <si>
    <t>Andre</t>
  </si>
  <si>
    <t>Fernendes</t>
  </si>
  <si>
    <t>Darjeeling</t>
  </si>
  <si>
    <t>Sujay</t>
  </si>
  <si>
    <t>Madhrani</t>
  </si>
  <si>
    <t>Finance</t>
  </si>
  <si>
    <t>Shilpa</t>
  </si>
  <si>
    <t>Lele</t>
  </si>
  <si>
    <t>Jammu</t>
  </si>
  <si>
    <t>Meera</t>
  </si>
  <si>
    <t>Lalwani</t>
  </si>
  <si>
    <t>Calcutta</t>
  </si>
  <si>
    <t>Sheetal</t>
  </si>
  <si>
    <t>Desai</t>
  </si>
  <si>
    <t>Director</t>
  </si>
  <si>
    <t>cochin</t>
  </si>
  <si>
    <t>K. Sita</t>
  </si>
  <si>
    <t>Narayanan</t>
  </si>
  <si>
    <t>Priya</t>
  </si>
  <si>
    <t>Shirodkar</t>
  </si>
  <si>
    <t>Jaipur</t>
  </si>
  <si>
    <t>Aalok</t>
  </si>
  <si>
    <t>Trivedi</t>
  </si>
  <si>
    <t>Aakash</t>
  </si>
  <si>
    <t>Dixit</t>
  </si>
  <si>
    <t>Nasik</t>
  </si>
  <si>
    <t>Parvati</t>
  </si>
  <si>
    <t>Khanna</t>
  </si>
  <si>
    <t>Farhan</t>
  </si>
  <si>
    <t>Sadiq</t>
  </si>
  <si>
    <t>Satinder Kaur</t>
  </si>
  <si>
    <t>Sasan</t>
  </si>
  <si>
    <t>Patna</t>
  </si>
  <si>
    <t>Suchita</t>
  </si>
  <si>
    <t>Panchal</t>
  </si>
  <si>
    <t>Shazia</t>
  </si>
  <si>
    <t>Sheikh</t>
  </si>
  <si>
    <t>Pooja</t>
  </si>
  <si>
    <t>Nimkar</t>
  </si>
  <si>
    <t>Jasbinder</t>
  </si>
  <si>
    <t>Khurana</t>
  </si>
  <si>
    <t>Manglore</t>
  </si>
  <si>
    <t>Bharat</t>
  </si>
  <si>
    <t>Shetty</t>
  </si>
  <si>
    <t>Rishi</t>
  </si>
  <si>
    <t>Malik</t>
  </si>
  <si>
    <t>Banglore</t>
  </si>
  <si>
    <t>Mala</t>
  </si>
  <si>
    <t>Bhaduri</t>
  </si>
  <si>
    <t>Mumbai</t>
  </si>
  <si>
    <t>Hajra</t>
  </si>
  <si>
    <t>Hoonjan</t>
  </si>
  <si>
    <t>Aalam</t>
  </si>
  <si>
    <t>Qureshi</t>
  </si>
  <si>
    <t>Giriraj</t>
  </si>
  <si>
    <t>Gupta</t>
  </si>
  <si>
    <t>Ankur</t>
  </si>
  <si>
    <t>Joshi</t>
  </si>
  <si>
    <t>CCD</t>
  </si>
  <si>
    <t>Tapan</t>
  </si>
  <si>
    <t>Ghoshal</t>
  </si>
  <si>
    <t>Zarina</t>
  </si>
  <si>
    <t>Vora</t>
  </si>
  <si>
    <t>Lucknow</t>
  </si>
  <si>
    <t>Arun</t>
  </si>
  <si>
    <t>Khetan</t>
  </si>
  <si>
    <t>Surat</t>
  </si>
  <si>
    <t>Parikh</t>
  </si>
  <si>
    <t>Mysore</t>
  </si>
  <si>
    <t>Chitra</t>
  </si>
  <si>
    <t>Pednekar</t>
  </si>
  <si>
    <t>Aligarh</t>
  </si>
  <si>
    <t>Dodhia</t>
  </si>
  <si>
    <t>delhi</t>
  </si>
  <si>
    <t>Richa</t>
  </si>
  <si>
    <t>Raje</t>
  </si>
  <si>
    <t>Kirtikar</t>
  </si>
  <si>
    <t>Sardesai</t>
  </si>
  <si>
    <t>Gokhale</t>
  </si>
  <si>
    <t>Piyush</t>
  </si>
  <si>
    <t>Surti</t>
  </si>
  <si>
    <t>Shaheen</t>
  </si>
  <si>
    <t>Khan</t>
  </si>
  <si>
    <t>Kinnari</t>
  </si>
  <si>
    <t>Mehta</t>
  </si>
  <si>
    <t>Jeena</t>
  </si>
  <si>
    <t>Baig</t>
  </si>
  <si>
    <t>Vicky</t>
  </si>
  <si>
    <t>Neha</t>
  </si>
  <si>
    <t>Baroda</t>
  </si>
  <si>
    <t>Rakesh</t>
  </si>
  <si>
    <t>Kumar</t>
  </si>
  <si>
    <t>Ruheal</t>
  </si>
  <si>
    <t>Mario</t>
  </si>
  <si>
    <t>Fernandes</t>
  </si>
  <si>
    <t>Heena</t>
  </si>
  <si>
    <t>Godbole</t>
  </si>
  <si>
    <t>Mehul</t>
  </si>
  <si>
    <t>Sheth</t>
  </si>
  <si>
    <t>Nagpur</t>
  </si>
  <si>
    <t>Vishal</t>
  </si>
  <si>
    <t>Virsinghani</t>
  </si>
  <si>
    <t>Gangtok</t>
  </si>
  <si>
    <t>Lalita</t>
  </si>
  <si>
    <t>Rao</t>
  </si>
  <si>
    <t>Guwahati</t>
  </si>
  <si>
    <t>Kajal</t>
  </si>
  <si>
    <t>Joglekar</t>
  </si>
  <si>
    <t>Katti</t>
  </si>
  <si>
    <t>chennai</t>
  </si>
  <si>
    <t>Maya</t>
  </si>
  <si>
    <t>Disha</t>
  </si>
  <si>
    <t>Parmar</t>
  </si>
  <si>
    <t>Geeta</t>
  </si>
  <si>
    <t>Darekar</t>
  </si>
  <si>
    <t>Trivanadrum</t>
  </si>
  <si>
    <t>Anuradha</t>
  </si>
  <si>
    <t>Zha</t>
  </si>
  <si>
    <t>Asha</t>
  </si>
  <si>
    <t>Waheda</t>
  </si>
  <si>
    <t>Veena</t>
  </si>
  <si>
    <t>Patil</t>
  </si>
  <si>
    <t>Timsi</t>
  </si>
  <si>
    <t>Parul</t>
  </si>
  <si>
    <t>Shah</t>
  </si>
  <si>
    <t>Uday</t>
  </si>
  <si>
    <t>Naik</t>
  </si>
  <si>
    <t>Mandakini</t>
  </si>
  <si>
    <t>Pravin</t>
  </si>
  <si>
    <t>Reeta</t>
  </si>
  <si>
    <t>Surendra</t>
  </si>
  <si>
    <t>Godse</t>
  </si>
  <si>
    <t>Panji</t>
  </si>
  <si>
    <t>Yamini</t>
  </si>
  <si>
    <t>Laveena</t>
  </si>
  <si>
    <t>Shenoy</t>
  </si>
  <si>
    <t>Nita</t>
  </si>
  <si>
    <t>Pandhya</t>
  </si>
  <si>
    <t>Suraj</t>
  </si>
  <si>
    <t>Saksena</t>
  </si>
  <si>
    <t>Nayeem</t>
  </si>
  <si>
    <t>Drishti</t>
  </si>
  <si>
    <t>Deep</t>
  </si>
  <si>
    <t>Chhaya</t>
  </si>
  <si>
    <t>Sagar</t>
  </si>
  <si>
    <t>Bidkar</t>
  </si>
  <si>
    <t>Dayanand</t>
  </si>
  <si>
    <t>Gandhi</t>
  </si>
  <si>
    <t>Tara</t>
  </si>
  <si>
    <t>Phule</t>
  </si>
  <si>
    <t>Kalpana</t>
  </si>
  <si>
    <t>Shirishkar</t>
  </si>
  <si>
    <t>Kunal</t>
  </si>
  <si>
    <t>Pinky</t>
  </si>
  <si>
    <t>Ruby</t>
  </si>
  <si>
    <t>Sonia</t>
  </si>
  <si>
    <t>Jignesh</t>
  </si>
  <si>
    <t>Tripathi</t>
  </si>
  <si>
    <t>Vinit</t>
  </si>
  <si>
    <t>Shrivastava</t>
  </si>
  <si>
    <t>Tejal</t>
  </si>
  <si>
    <t>Patel</t>
  </si>
  <si>
    <t>Priyanka</t>
  </si>
  <si>
    <t>Niki</t>
  </si>
  <si>
    <t>Digaria</t>
  </si>
  <si>
    <t>Payal</t>
  </si>
  <si>
    <t>Singhani</t>
  </si>
  <si>
    <t>Harsha</t>
  </si>
  <si>
    <t>Radhika</t>
  </si>
  <si>
    <t>Kulkarni</t>
  </si>
  <si>
    <t>Kabir</t>
  </si>
  <si>
    <t>Pushpa</t>
  </si>
  <si>
    <t>Raut</t>
  </si>
  <si>
    <t>Chetan</t>
  </si>
  <si>
    <t>Dalvi</t>
  </si>
  <si>
    <t>Indu</t>
  </si>
  <si>
    <t>Rupesh</t>
  </si>
  <si>
    <t>Sawant</t>
  </si>
  <si>
    <t>Vipul</t>
  </si>
  <si>
    <t>Sample Revenue-Cost Model</t>
  </si>
  <si>
    <t>Price (Rs.)</t>
  </si>
  <si>
    <t>Quantity sold</t>
  </si>
  <si>
    <t>Revenue [ Total Sales]</t>
  </si>
  <si>
    <t>Variable Cost (Cost of Material, Labor)</t>
  </si>
  <si>
    <t>Fixed Cost (Rent, Salary etc)</t>
  </si>
  <si>
    <t>Total Cost</t>
  </si>
  <si>
    <t>Profit= Revenue less Total Cost</t>
  </si>
  <si>
    <t>Assumption: Variable cost as a % of Revenue</t>
  </si>
  <si>
    <t>X</t>
  </si>
  <si>
    <t>Y</t>
  </si>
  <si>
    <t>R- Correl</t>
  </si>
  <si>
    <t>R2-RSQ</t>
  </si>
  <si>
    <t>Number of Success (Heads)-K</t>
  </si>
  <si>
    <t>Number of Success (girl) K</t>
  </si>
  <si>
    <t>Normal Distrubution</t>
  </si>
  <si>
    <t>Number of Event( toss of a coin)-N</t>
  </si>
  <si>
    <t>Number of Event( Child birth) N</t>
  </si>
  <si>
    <t>Mean</t>
  </si>
  <si>
    <t>P (Success) of one Event</t>
  </si>
  <si>
    <t>Std Dev</t>
  </si>
  <si>
    <t>P(K heads on N events)</t>
  </si>
  <si>
    <t xml:space="preserve">Find out the % of people Ht up 72 </t>
  </si>
  <si>
    <t>Min</t>
  </si>
  <si>
    <t>Max</t>
  </si>
  <si>
    <t>Output</t>
  </si>
  <si>
    <t>1 Std -68% [Above 68% fall in 1 Std Dev]</t>
  </si>
  <si>
    <t>2 Std -95%</t>
  </si>
  <si>
    <t>Norm.Invs- Reverse of Normdis</t>
  </si>
  <si>
    <t>2 Std -97%</t>
  </si>
  <si>
    <t>BINOM.DIST</t>
  </si>
  <si>
    <t xml:space="preserve">Number of Event( toss of a coin)-N </t>
  </si>
  <si>
    <t>N</t>
  </si>
  <si>
    <t>Number of Event( toss of a coin)</t>
  </si>
  <si>
    <t>P (Success) of one Event- P</t>
  </si>
  <si>
    <t>P</t>
  </si>
  <si>
    <t>No of Heads</t>
  </si>
  <si>
    <t>Total - Sould be 1</t>
  </si>
  <si>
    <t>Total</t>
  </si>
  <si>
    <t>for example, the probability of publishing a best-selling book from a range of books to be published by a company.</t>
  </si>
  <si>
    <t>History of Calls</t>
  </si>
  <si>
    <t xml:space="preserve">Example : </t>
  </si>
  <si>
    <t>Calls</t>
  </si>
  <si>
    <t>Problaity Ratio-False</t>
  </si>
  <si>
    <t>Problaity Ratio-True</t>
  </si>
  <si>
    <t>Total Calls</t>
  </si>
  <si>
    <t>Number of Event( Total Calls)</t>
  </si>
  <si>
    <t>Success lead to sales</t>
  </si>
  <si>
    <t>K</t>
  </si>
  <si>
    <t>Number of Success (Calls)</t>
  </si>
  <si>
    <t>Failure</t>
  </si>
  <si>
    <t>Success Ratio</t>
  </si>
  <si>
    <t>S1-68%</t>
  </si>
  <si>
    <t>S2-95%</t>
  </si>
  <si>
    <t>s3</t>
  </si>
  <si>
    <t>Call</t>
  </si>
  <si>
    <t>Problaity Ratio</t>
  </si>
  <si>
    <t>Find the sales from 1-15</t>
  </si>
  <si>
    <t>sales Lead[1]</t>
  </si>
  <si>
    <t>Problaity Range</t>
  </si>
  <si>
    <t>sales from 10-15</t>
  </si>
  <si>
    <t>Count</t>
  </si>
  <si>
    <t>Average</t>
  </si>
  <si>
    <t>Std Error</t>
  </si>
  <si>
    <t>1. make of copy  sales data and keep only Customer details.. [ del com of Order and Product Details] and name it as customers</t>
  </si>
  <si>
    <t>2. Remove the duplicate record from customer worksheet according to Customer ID from customers</t>
  </si>
  <si>
    <t>3. In age Col [ find and replace age- with blanks] and Delete the age where it is NA</t>
  </si>
  <si>
    <t>7. Descriptive Analysis of Age and Order Value</t>
  </si>
  <si>
    <t>8. Problitity According to call history there are 18 calls, and 7 calls have successfully .. what will the sucess.. and you can plot for cal call from 1-100.. [ Which show as bell curve....</t>
  </si>
  <si>
    <t xml:space="preserve"> Find for 100 calls what is prob of sucess for 60 calls ... and find in range 40-60 call</t>
  </si>
  <si>
    <t>9 Using Normal Dis Std Dev 1,2,3 : Find 68%-, 95% and 99%  of the age of the customer is in which range the age of the people and order value</t>
  </si>
  <si>
    <t>10.Working with Regression Analysis of Retal of House and prdeict for Entering the area and the room of the house predict what will be the rent</t>
  </si>
  <si>
    <t>11. Woking with What if Analysis [ Goal seek , Data Table, Scenario and Solver</t>
  </si>
  <si>
    <t>Column1</t>
  </si>
  <si>
    <t>Customer Name</t>
  </si>
  <si>
    <t>Gender</t>
  </si>
  <si>
    <t>Filling the blanks : select the column without header which contains blanks. Go to Find &amp; Select, select go to special, Blanks, Ok, =Enter any value, Ctrl+Enter.</t>
  </si>
  <si>
    <t>Country</t>
  </si>
  <si>
    <t>Country Code</t>
  </si>
  <si>
    <t>Country Name</t>
  </si>
  <si>
    <t>America</t>
  </si>
  <si>
    <t>Canada</t>
  </si>
  <si>
    <t>Australia</t>
  </si>
  <si>
    <t>France</t>
  </si>
  <si>
    <t>Denmark</t>
  </si>
  <si>
    <t>Italy</t>
  </si>
  <si>
    <t>Spain</t>
  </si>
  <si>
    <t>F7 for Spell Check</t>
  </si>
  <si>
    <t>spambob.com</t>
  </si>
  <si>
    <t>pookmail.com</t>
  </si>
  <si>
    <t>mailinator.com</t>
  </si>
  <si>
    <t>trashymail.com</t>
  </si>
  <si>
    <t>dodgeit.com</t>
  </si>
  <si>
    <t xml:space="preserve">For splitting the text data : create 2 blank columns, select the column without header, go to Data tab, Text to Column, next, select delimiter , select the destination as first blank column's first cell, ok. </t>
  </si>
  <si>
    <t>OR just use textafter() / textbefore() in Excel &gt; 2020</t>
  </si>
  <si>
    <t>Total Orders Placed</t>
  </si>
  <si>
    <t>Total Order Amt</t>
  </si>
  <si>
    <t>Row Labels</t>
  </si>
  <si>
    <t>Grand Total</t>
  </si>
  <si>
    <t>Sum of Total Order Amt</t>
  </si>
  <si>
    <t>Sum of Total Order Amt2</t>
  </si>
  <si>
    <t>Female</t>
  </si>
  <si>
    <t>Male</t>
  </si>
  <si>
    <t>James Sales</t>
  </si>
  <si>
    <t>James Moyle</t>
  </si>
  <si>
    <t>Edward Turner</t>
  </si>
  <si>
    <t>Thomas Farris</t>
  </si>
  <si>
    <t>Kristin Mendoza</t>
  </si>
  <si>
    <t>Yasmin Cole</t>
  </si>
  <si>
    <t>Judy Hopping</t>
  </si>
  <si>
    <t>Linda Garcia</t>
  </si>
  <si>
    <t>Melba Whitehead</t>
  </si>
  <si>
    <t>Mildred Carey</t>
  </si>
  <si>
    <t>Top 10 cust</t>
  </si>
  <si>
    <t>cntry wise sales</t>
  </si>
  <si>
    <t>Column Labels</t>
  </si>
  <si>
    <t>cntry wise gender wise sales</t>
  </si>
  <si>
    <t>credit card wise, cntry wise total cust and sales and %</t>
  </si>
  <si>
    <t>Count of Customer Name</t>
  </si>
  <si>
    <t>% of parent Total Order Amt</t>
  </si>
  <si>
    <t>% of grand Total Order Amt</t>
  </si>
  <si>
    <t>sales pers id wise total cust and total order value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</si>
  <si>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</si>
  <si>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</si>
  <si>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</si>
  <si>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</si>
  <si>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</si>
  <si>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</si>
  <si>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</si>
  <si>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</si>
  <si>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</si>
  <si>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</si>
  <si>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</si>
  <si>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</si>
  <si>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</si>
  <si>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</si>
  <si>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</si>
  <si>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</si>
  <si>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</si>
  <si>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</si>
  <si>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</si>
  <si>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</si>
  <si>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ORDER_VALUE</t>
  </si>
  <si>
    <t>Sum of ORDER_VALUE2</t>
  </si>
  <si>
    <t>month on month wise total sales differences in %</t>
  </si>
  <si>
    <t>Median</t>
  </si>
  <si>
    <t>95th%ile</t>
  </si>
  <si>
    <t>75th%ile</t>
  </si>
  <si>
    <t>Q1</t>
  </si>
  <si>
    <t>Q3</t>
  </si>
  <si>
    <t>IQR</t>
  </si>
  <si>
    <t>Upper Limit</t>
  </si>
  <si>
    <t>lower Limit</t>
  </si>
  <si>
    <t>Age</t>
  </si>
  <si>
    <t>Std</t>
  </si>
  <si>
    <t>Add Data Analysis Toolpack : click on File Tab, options, Add-ins, click on Go, click on first box, ok. , in Data Tab, find data analysis.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</si>
  <si>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</si>
  <si>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</si>
  <si>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</si>
  <si>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</si>
  <si>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</si>
  <si>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</si>
  <si>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</si>
  <si>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</si>
  <si>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</si>
  <si>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</si>
  <si>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Largest(1)</t>
  </si>
  <si>
    <t>Smallest(1)</t>
  </si>
  <si>
    <t>Confidence Level(95.0%)</t>
  </si>
  <si>
    <t>Measure</t>
  </si>
  <si>
    <t>Total Amt</t>
  </si>
  <si>
    <t>month</t>
  </si>
  <si>
    <t>Right click on trendline, format, forward, 6… this will forecast 6 months forecast</t>
  </si>
  <si>
    <t>Timeline</t>
  </si>
  <si>
    <t>Values</t>
  </si>
  <si>
    <t>Forecast</t>
  </si>
  <si>
    <t>Lower Confidence Bound</t>
  </si>
  <si>
    <t>Upper Confidence Bound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</si>
  <si>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</si>
  <si>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</si>
  <si>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</si>
  <si>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</si>
  <si>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</si>
  <si>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</si>
  <si>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</si>
  <si>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</si>
  <si>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</si>
  <si>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t>select this table, in data tab, forecast sheet</t>
  </si>
  <si>
    <t>Or use forecast() like used in O15 cell</t>
  </si>
  <si>
    <t>True means cumulative …0,1,2,3… False means exact 3 and false upto 3</t>
  </si>
  <si>
    <t>7% chance of 15 success calls in 30 calls</t>
  </si>
  <si>
    <t>92% chance of 1 success in 15 calls</t>
  </si>
  <si>
    <t>min age</t>
  </si>
  <si>
    <t>max age</t>
  </si>
  <si>
    <t>prob</t>
  </si>
  <si>
    <t>there is 68%chance of getting age between 30 and 65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</si>
  <si>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</si>
  <si>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</si>
  <si>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</si>
  <si>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</si>
  <si>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</si>
  <si>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</si>
  <si>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</si>
  <si>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</si>
  <si>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</si>
  <si>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Intercept</t>
  </si>
  <si>
    <t>df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</si>
  <si>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</si>
  <si>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</si>
  <si>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</si>
  <si>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</si>
  <si>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</si>
  <si>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</si>
  <si>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</si>
  <si>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</si>
  <si>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</si>
  <si>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</si>
  <si>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This is on only first 400 rows : Data Analysis, Regression, select y and x, if labels selected check on labels box, check confidence levels.</t>
  </si>
  <si>
    <t>in output range specify where u want</t>
  </si>
  <si>
    <t>for testing</t>
  </si>
  <si>
    <t>row number</t>
  </si>
  <si>
    <t>y = m1x1 + m2x2 + m3x3 +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</si>
</sst>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d/mmm/yyyy;@"/>
    <numFmt numFmtId="169" formatCode="&quot;$&quot;#,##0.00"/>
    <numFmt numFmtId="170" formatCode="_(* #,##0_);_(* \(#,##0\);_(* &quot;-&quot;??_);_(@_)"/>
    <numFmt numFmtId="171" formatCode="_(* #,##0.0_);_(* \(#,##0.0\);_(* &quot;-&quot;??_);_(@_)"/>
    <numFmt numFmtId="172" formatCode="0.000000000"/>
    <numFmt numFmtId="173" formatCode="0.0000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indexed="12"/>
      <name val="Calibri"/>
      <family val="2"/>
      <scheme val="minor"/>
    </font>
    <font>
      <sz val="10"/>
      <name val="Calibri"/>
      <family val="2"/>
      <scheme val="minor"/>
    </font>
    <font>
      <b/>
      <i/>
      <sz val="14"/>
      <color indexed="9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57595D"/>
      <name val="Open Sans"/>
      <family val="2"/>
    </font>
    <font>
      <sz val="11"/>
      <color rgb="FF00B0F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7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left" vertical="top"/>
    </xf>
    <xf numFmtId="168" fontId="0" fillId="0" borderId="0" xfId="0" applyNumberFormat="1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0" fontId="3" fillId="2" borderId="0" xfId="1" applyFont="1" applyFill="1"/>
    <xf numFmtId="0" fontId="4" fillId="2" borderId="0" xfId="1" applyFont="1" applyFill="1"/>
    <xf numFmtId="0" fontId="4" fillId="0" borderId="0" xfId="1" applyFont="1"/>
    <xf numFmtId="0" fontId="7" fillId="0" borderId="5" xfId="1" applyFont="1" applyBorder="1" applyAlignment="1">
      <alignment vertical="center"/>
    </xf>
    <xf numFmtId="38" fontId="7" fillId="0" borderId="6" xfId="2" applyNumberFormat="1" applyFont="1" applyBorder="1" applyAlignment="1">
      <alignment vertical="center"/>
    </xf>
    <xf numFmtId="0" fontId="8" fillId="5" borderId="7" xfId="1" applyFont="1" applyFill="1" applyBorder="1"/>
    <xf numFmtId="0" fontId="4" fillId="6" borderId="7" xfId="1" applyFont="1" applyFill="1" applyBorder="1"/>
    <xf numFmtId="165" fontId="7" fillId="0" borderId="8" xfId="3" applyNumberFormat="1" applyFont="1" applyBorder="1" applyAlignment="1">
      <alignment vertical="center"/>
    </xf>
    <xf numFmtId="10" fontId="4" fillId="6" borderId="7" xfId="1" applyNumberFormat="1" applyFont="1" applyFill="1" applyBorder="1"/>
    <xf numFmtId="40" fontId="7" fillId="0" borderId="8" xfId="2" applyNumberFormat="1" applyFont="1" applyBorder="1" applyAlignment="1">
      <alignment vertical="center"/>
    </xf>
    <xf numFmtId="38" fontId="7" fillId="0" borderId="8" xfId="2" applyNumberFormat="1" applyFont="1" applyBorder="1" applyAlignment="1">
      <alignment vertical="center"/>
    </xf>
    <xf numFmtId="0" fontId="8" fillId="5" borderId="9" xfId="1" applyFont="1" applyFill="1" applyBorder="1"/>
    <xf numFmtId="169" fontId="9" fillId="6" borderId="10" xfId="1" applyNumberFormat="1" applyFont="1" applyFill="1" applyBorder="1"/>
    <xf numFmtId="0" fontId="4" fillId="6" borderId="10" xfId="1" applyFont="1" applyFill="1" applyBorder="1"/>
    <xf numFmtId="10" fontId="7" fillId="0" borderId="11" xfId="4" applyNumberFormat="1" applyFont="1" applyBorder="1" applyAlignment="1">
      <alignment vertical="center"/>
    </xf>
    <xf numFmtId="0" fontId="4" fillId="7" borderId="7" xfId="1" applyFont="1" applyFill="1" applyBorder="1"/>
    <xf numFmtId="164" fontId="7" fillId="0" borderId="6" xfId="3" applyNumberFormat="1" applyFont="1" applyBorder="1" applyAlignment="1">
      <alignment vertical="center"/>
    </xf>
    <xf numFmtId="38" fontId="7" fillId="0" borderId="11" xfId="3" applyNumberFormat="1" applyFont="1" applyBorder="1" applyAlignment="1">
      <alignment vertical="center"/>
    </xf>
    <xf numFmtId="0" fontId="10" fillId="0" borderId="14" xfId="1" applyFont="1" applyBorder="1" applyAlignment="1">
      <alignment vertical="center"/>
    </xf>
    <xf numFmtId="164" fontId="10" fillId="0" borderId="15" xfId="1" applyNumberFormat="1" applyFont="1" applyBorder="1" applyAlignment="1">
      <alignment vertical="center"/>
    </xf>
    <xf numFmtId="0" fontId="4" fillId="6" borderId="9" xfId="1" applyFont="1" applyFill="1" applyBorder="1"/>
    <xf numFmtId="0" fontId="4" fillId="7" borderId="9" xfId="1" applyFont="1" applyFill="1" applyBorder="1"/>
    <xf numFmtId="0" fontId="4" fillId="9" borderId="7" xfId="1" applyFont="1" applyFill="1" applyBorder="1"/>
    <xf numFmtId="0" fontId="4" fillId="0" borderId="7" xfId="1" applyFont="1" applyBorder="1"/>
    <xf numFmtId="2" fontId="1" fillId="6" borderId="7" xfId="2" applyNumberFormat="1" applyFont="1" applyFill="1" applyBorder="1"/>
    <xf numFmtId="0" fontId="8" fillId="5" borderId="0" xfId="1" applyFont="1" applyFill="1"/>
    <xf numFmtId="9" fontId="4" fillId="0" borderId="7" xfId="1" applyNumberFormat="1" applyFont="1" applyBorder="1"/>
    <xf numFmtId="10" fontId="4" fillId="10" borderId="7" xfId="1" applyNumberFormat="1" applyFont="1" applyFill="1" applyBorder="1"/>
    <xf numFmtId="0" fontId="4" fillId="10" borderId="7" xfId="1" applyFont="1" applyFill="1" applyBorder="1"/>
    <xf numFmtId="0" fontId="4" fillId="11" borderId="7" xfId="1" applyFont="1" applyFill="1" applyBorder="1"/>
    <xf numFmtId="0" fontId="0" fillId="0" borderId="7" xfId="0" applyBorder="1"/>
    <xf numFmtId="0" fontId="0" fillId="11" borderId="7" xfId="0" applyFill="1" applyBorder="1"/>
    <xf numFmtId="0" fontId="13" fillId="11" borderId="17" xfId="1" applyFont="1" applyFill="1" applyBorder="1"/>
    <xf numFmtId="0" fontId="13" fillId="11" borderId="10" xfId="1" applyFont="1" applyFill="1" applyBorder="1"/>
    <xf numFmtId="0" fontId="4" fillId="0" borderId="17" xfId="1" applyFont="1" applyBorder="1"/>
    <xf numFmtId="15" fontId="4" fillId="0" borderId="17" xfId="1" applyNumberFormat="1" applyFont="1" applyBorder="1"/>
    <xf numFmtId="0" fontId="4" fillId="0" borderId="10" xfId="1" applyFont="1" applyBorder="1"/>
    <xf numFmtId="0" fontId="4" fillId="0" borderId="18" xfId="1" applyFont="1" applyBorder="1"/>
    <xf numFmtId="15" fontId="4" fillId="0" borderId="18" xfId="1" applyNumberFormat="1" applyFont="1" applyBorder="1"/>
    <xf numFmtId="167" fontId="11" fillId="12" borderId="7" xfId="5" applyFont="1" applyFill="1" applyBorder="1" applyAlignment="1"/>
    <xf numFmtId="0" fontId="14" fillId="0" borderId="0" xfId="6"/>
    <xf numFmtId="167" fontId="15" fillId="0" borderId="7" xfId="5" applyFont="1" applyBorder="1"/>
    <xf numFmtId="167" fontId="16" fillId="13" borderId="7" xfId="2" applyFont="1" applyFill="1" applyBorder="1"/>
    <xf numFmtId="170" fontId="16" fillId="13" borderId="7" xfId="2" applyNumberFormat="1" applyFont="1" applyFill="1" applyBorder="1"/>
    <xf numFmtId="167" fontId="17" fillId="0" borderId="7" xfId="5" applyFont="1" applyBorder="1"/>
    <xf numFmtId="170" fontId="17" fillId="0" borderId="7" xfId="2" applyNumberFormat="1" applyFont="1" applyBorder="1"/>
    <xf numFmtId="167" fontId="15" fillId="0" borderId="0" xfId="5" applyFont="1" applyBorder="1"/>
    <xf numFmtId="170" fontId="15" fillId="0" borderId="0" xfId="2" applyNumberFormat="1" applyFont="1" applyBorder="1"/>
    <xf numFmtId="170" fontId="15" fillId="0" borderId="7" xfId="2" applyNumberFormat="1" applyFont="1" applyBorder="1"/>
    <xf numFmtId="170" fontId="17" fillId="0" borderId="7" xfId="7" applyNumberFormat="1" applyFont="1" applyBorder="1"/>
    <xf numFmtId="170" fontId="15" fillId="0" borderId="0" xfId="7" applyNumberFormat="1" applyFont="1"/>
    <xf numFmtId="167" fontId="13" fillId="0" borderId="0" xfId="5" applyFont="1" applyBorder="1"/>
    <xf numFmtId="167" fontId="13" fillId="0" borderId="0" xfId="7" applyNumberFormat="1" applyFont="1"/>
    <xf numFmtId="0" fontId="15" fillId="0" borderId="0" xfId="8" applyFont="1"/>
    <xf numFmtId="171" fontId="16" fillId="13" borderId="7" xfId="5" applyNumberFormat="1" applyFont="1" applyFill="1" applyBorder="1"/>
    <xf numFmtId="0" fontId="18" fillId="11" borderId="7" xfId="0" applyFont="1" applyFill="1" applyBorder="1"/>
    <xf numFmtId="0" fontId="18" fillId="0" borderId="7" xfId="0" applyFont="1" applyBorder="1"/>
    <xf numFmtId="0" fontId="0" fillId="14" borderId="7" xfId="0" applyFill="1" applyBorder="1"/>
    <xf numFmtId="0" fontId="0" fillId="11" borderId="0" xfId="0" applyFill="1" applyAlignment="1">
      <alignment horizontal="left" vertical="top"/>
    </xf>
    <xf numFmtId="0" fontId="0" fillId="11" borderId="0" xfId="0" applyFill="1"/>
    <xf numFmtId="0" fontId="12" fillId="0" borderId="7" xfId="0" applyFont="1" applyBorder="1"/>
    <xf numFmtId="4" fontId="0" fillId="0" borderId="7" xfId="0" applyNumberFormat="1" applyBorder="1"/>
    <xf numFmtId="0" fontId="0" fillId="0" borderId="7" xfId="0" applyBorder="1" applyAlignment="1">
      <alignment horizontal="right"/>
    </xf>
    <xf numFmtId="0" fontId="0" fillId="15" borderId="0" xfId="0" applyFill="1"/>
    <xf numFmtId="172" fontId="0" fillId="0" borderId="7" xfId="0" applyNumberFormat="1" applyBorder="1"/>
    <xf numFmtId="0" fontId="19" fillId="0" borderId="0" xfId="0" applyFont="1"/>
    <xf numFmtId="10" fontId="0" fillId="0" borderId="7" xfId="0" applyNumberFormat="1" applyBorder="1"/>
    <xf numFmtId="0" fontId="0" fillId="0" borderId="20" xfId="0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21" xfId="0" applyBorder="1"/>
    <xf numFmtId="0" fontId="21" fillId="0" borderId="22" xfId="0" applyFont="1" applyBorder="1" applyAlignment="1">
      <alignment horizontal="center"/>
    </xf>
    <xf numFmtId="0" fontId="22" fillId="0" borderId="0" xfId="0" applyFont="1"/>
    <xf numFmtId="2" fontId="0" fillId="0" borderId="0" xfId="0" applyNumberFormat="1"/>
    <xf numFmtId="4" fontId="0" fillId="0" borderId="0" xfId="0" applyNumberFormat="1"/>
    <xf numFmtId="0" fontId="22" fillId="0" borderId="7" xfId="0" applyFont="1" applyBorder="1"/>
    <xf numFmtId="0" fontId="22" fillId="11" borderId="7" xfId="0" applyFont="1" applyFill="1" applyBorder="1"/>
    <xf numFmtId="0" fontId="23" fillId="0" borderId="7" xfId="0" applyFont="1" applyBorder="1"/>
    <xf numFmtId="173" fontId="22" fillId="0" borderId="0" xfId="0" applyNumberFormat="1" applyFont="1"/>
    <xf numFmtId="9" fontId="22" fillId="11" borderId="7" xfId="9" applyFont="1" applyFill="1" applyBorder="1"/>
    <xf numFmtId="9" fontId="22" fillId="0" borderId="0" xfId="9" applyFont="1" applyFill="1" applyBorder="1"/>
    <xf numFmtId="10" fontId="22" fillId="0" borderId="7" xfId="9" applyNumberFormat="1" applyFont="1" applyBorder="1"/>
    <xf numFmtId="10" fontId="22" fillId="0" borderId="7" xfId="0" applyNumberFormat="1" applyFont="1" applyBorder="1"/>
    <xf numFmtId="9" fontId="0" fillId="0" borderId="7" xfId="0" applyNumberFormat="1" applyBorder="1"/>
    <xf numFmtId="0" fontId="21" fillId="0" borderId="22" xfId="0" applyFont="1" applyBorder="1" applyAlignment="1">
      <alignment horizontal="centerContinuous"/>
    </xf>
    <xf numFmtId="2" fontId="0" fillId="0" borderId="21" xfId="0" applyNumberFormat="1" applyBorder="1"/>
    <xf numFmtId="0" fontId="0" fillId="0" borderId="0" xfId="0" applyAlignment="1">
      <alignment horizontal="right"/>
    </xf>
    <xf numFmtId="0" fontId="22" fillId="11" borderId="19" xfId="0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8" fillId="5" borderId="12" xfId="1" applyFont="1" applyFill="1" applyBorder="1" applyAlignment="1">
      <alignment horizontal="center" vertical="center" textRotation="46"/>
    </xf>
    <xf numFmtId="0" fontId="8" fillId="5" borderId="16" xfId="1" applyFont="1" applyFill="1" applyBorder="1" applyAlignment="1">
      <alignment horizontal="center" vertical="center" textRotation="46"/>
    </xf>
    <xf numFmtId="0" fontId="6" fillId="4" borderId="13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/>
    </xf>
  </cellXfs>
  <cellStyles count="10">
    <cellStyle name="Comma 2" xfId="2" xr:uid="{BB7BAF3F-2EF6-40EE-89B4-BB758AFC5500}"/>
    <cellStyle name="Comma 3" xfId="5" xr:uid="{38BCFC8F-A0DF-4650-B999-7F9E0983012D}"/>
    <cellStyle name="Currency 2" xfId="3" xr:uid="{E535ED45-BAC9-4CDF-9390-ACC127CCE37E}"/>
    <cellStyle name="Normal" xfId="0" builtinId="0"/>
    <cellStyle name="Normal 2" xfId="1" xr:uid="{7D60ACEC-607F-42E8-814E-549667CD9492}"/>
    <cellStyle name="Normal 2 2" xfId="7" xr:uid="{E2A02586-19CC-495F-A6DB-EB39284F2EBE}"/>
    <cellStyle name="Normal 3" xfId="6" xr:uid="{9CFE1B93-49E2-4C0F-9340-AEDE04E593FE}"/>
    <cellStyle name="Normal 4 2" xfId="8" xr:uid="{C23E136E-91FC-4BB6-AA09-98B227EBBFC4}"/>
    <cellStyle name="Percent" xfId="9" builtinId="5"/>
    <cellStyle name="Percent 2" xfId="4" xr:uid="{BF70E6F8-2444-4D0C-867B-5B2D8654BC87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8" formatCode="[$-409]d/mmm/yyyy;@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using Excel Assignment solved.xlsx]Pivots!PivotTable1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cntry wise sales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Sum of Total Order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Pivots!$A$4:$A$11</c:f>
              <c:strCache>
                <c:ptCount val="7"/>
                <c:pt idx="0">
                  <c:v>America</c:v>
                </c:pt>
                <c:pt idx="1">
                  <c:v>Italy</c:v>
                </c:pt>
                <c:pt idx="2">
                  <c:v>Australia</c:v>
                </c:pt>
                <c:pt idx="3">
                  <c:v>France</c:v>
                </c:pt>
                <c:pt idx="4">
                  <c:v>Spain</c:v>
                </c:pt>
                <c:pt idx="5">
                  <c:v>Denmark</c:v>
                </c:pt>
                <c:pt idx="6">
                  <c:v>Canada</c:v>
                </c:pt>
              </c:strCache>
            </c:strRef>
          </c:cat>
          <c:val>
            <c:numRef>
              <c:f>Pivots!$B$4:$B$11</c:f>
              <c:numCache>
                <c:formatCode>General</c:formatCode>
                <c:ptCount val="7"/>
                <c:pt idx="0">
                  <c:v>11355.26</c:v>
                </c:pt>
                <c:pt idx="1">
                  <c:v>3237.3500000000004</c:v>
                </c:pt>
                <c:pt idx="2">
                  <c:v>1984.61</c:v>
                </c:pt>
                <c:pt idx="3">
                  <c:v>1638.24</c:v>
                </c:pt>
                <c:pt idx="4">
                  <c:v>1434.17</c:v>
                </c:pt>
                <c:pt idx="5">
                  <c:v>533.1</c:v>
                </c:pt>
                <c:pt idx="6">
                  <c:v>20.37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4-463D-ADAE-8AFCAEFDF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077424"/>
        <c:axId val="1623077904"/>
      </c:barChart>
      <c:lineChart>
        <c:grouping val="standard"/>
        <c:varyColors val="0"/>
        <c:ser>
          <c:idx val="1"/>
          <c:order val="1"/>
          <c:tx>
            <c:strRef>
              <c:f>Pivots!$C$3</c:f>
              <c:strCache>
                <c:ptCount val="1"/>
                <c:pt idx="0">
                  <c:v>Sum of Total Order Amt2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Pivots!$A$4:$A$11</c:f>
              <c:strCache>
                <c:ptCount val="7"/>
                <c:pt idx="0">
                  <c:v>America</c:v>
                </c:pt>
                <c:pt idx="1">
                  <c:v>Italy</c:v>
                </c:pt>
                <c:pt idx="2">
                  <c:v>Australia</c:v>
                </c:pt>
                <c:pt idx="3">
                  <c:v>France</c:v>
                </c:pt>
                <c:pt idx="4">
                  <c:v>Spain</c:v>
                </c:pt>
                <c:pt idx="5">
                  <c:v>Denmark</c:v>
                </c:pt>
                <c:pt idx="6">
                  <c:v>Canada</c:v>
                </c:pt>
              </c:strCache>
            </c:strRef>
          </c:cat>
          <c:val>
            <c:numRef>
              <c:f>Pivots!$C$4:$C$11</c:f>
              <c:numCache>
                <c:formatCode>0.00%</c:formatCode>
                <c:ptCount val="7"/>
                <c:pt idx="0">
                  <c:v>0.56205532814271086</c:v>
                </c:pt>
                <c:pt idx="1">
                  <c:v>0.16024026015809459</c:v>
                </c:pt>
                <c:pt idx="2">
                  <c:v>9.8232944449119203E-2</c:v>
                </c:pt>
                <c:pt idx="3">
                  <c:v>8.1088545817226076E-2</c:v>
                </c:pt>
                <c:pt idx="4">
                  <c:v>7.0987620711672972E-2</c:v>
                </c:pt>
                <c:pt idx="5">
                  <c:v>2.6387039612732702E-2</c:v>
                </c:pt>
                <c:pt idx="6">
                  <c:v>1.0082611084437539E-3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84-463D-ADAE-8AFCAEFDF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081264"/>
        <c:axId val="1623086544"/>
      </c:lineChart>
      <c:catAx>
        <c:axId val="16230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086544"/>
        <c:crosses val="autoZero"/>
        <c:auto val="1"/>
        <c:lblAlgn val="ctr"/>
        <c:lblOffset val="100"/>
        <c:noMultiLvlLbl val="0"/>
      </c:catAx>
      <c:valAx>
        <c:axId val="162308654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081264"/>
        <c:crosses val="autoZero"/>
        <c:crossBetween val="between"/>
      </c:valAx>
      <c:valAx>
        <c:axId val="1623077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077424"/>
        <c:crosses val="max"/>
        <c:crossBetween val="between"/>
      </c:valAx>
      <c:catAx>
        <c:axId val="1623077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07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using Excel Assignment solved.xlsx]Pivots!PivotTable2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Top 10 cust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Pivots!$F$4:$F$14</c:f>
              <c:strCache>
                <c:ptCount val="10"/>
                <c:pt idx="0">
                  <c:v>Yasmin Cole</c:v>
                </c:pt>
                <c:pt idx="1">
                  <c:v>James Sales</c:v>
                </c:pt>
                <c:pt idx="2">
                  <c:v>Mildred Carey</c:v>
                </c:pt>
                <c:pt idx="3">
                  <c:v>Melba Whitehead</c:v>
                </c:pt>
                <c:pt idx="4">
                  <c:v>Thomas Farris</c:v>
                </c:pt>
                <c:pt idx="5">
                  <c:v>Kristin Mendoza</c:v>
                </c:pt>
                <c:pt idx="6">
                  <c:v>Judy Hopping</c:v>
                </c:pt>
                <c:pt idx="7">
                  <c:v>Edward Turner</c:v>
                </c:pt>
                <c:pt idx="8">
                  <c:v>James Moyle</c:v>
                </c:pt>
                <c:pt idx="9">
                  <c:v>Linda Garcia</c:v>
                </c:pt>
              </c:strCache>
            </c:strRef>
          </c:cat>
          <c:val>
            <c:numRef>
              <c:f>Pivots!$G$4:$G$14</c:f>
              <c:numCache>
                <c:formatCode>General</c:formatCode>
                <c:ptCount val="10"/>
                <c:pt idx="0">
                  <c:v>1268.6399999999999</c:v>
                </c:pt>
                <c:pt idx="1">
                  <c:v>1185.3400000000001</c:v>
                </c:pt>
                <c:pt idx="2">
                  <c:v>891.83999999999992</c:v>
                </c:pt>
                <c:pt idx="3">
                  <c:v>891.47</c:v>
                </c:pt>
                <c:pt idx="4">
                  <c:v>801.18</c:v>
                </c:pt>
                <c:pt idx="5">
                  <c:v>788.25</c:v>
                </c:pt>
                <c:pt idx="6">
                  <c:v>746.40000000000009</c:v>
                </c:pt>
                <c:pt idx="7">
                  <c:v>710.77</c:v>
                </c:pt>
                <c:pt idx="8">
                  <c:v>624.85</c:v>
                </c:pt>
                <c:pt idx="9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5-4DC1-82FA-3F140F876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119184"/>
        <c:axId val="1623116784"/>
      </c:barChart>
      <c:catAx>
        <c:axId val="16231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116784"/>
        <c:crosses val="autoZero"/>
        <c:auto val="1"/>
        <c:lblAlgn val="ctr"/>
        <c:lblOffset val="100"/>
        <c:noMultiLvlLbl val="0"/>
      </c:catAx>
      <c:valAx>
        <c:axId val="16231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11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28558916994212"/>
          <c:y val="8.7210084637355023E-2"/>
          <c:w val="9.0934125976313243E-2"/>
          <c:h val="6.814308650837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'Prescriptive Analysis'!$B$1</c:f>
              <c:strCache>
                <c:ptCount val="1"/>
                <c:pt idx="0">
                  <c:v>Total Amt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forward val="6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'Prescriptive Analysis'!$A$2:$A$14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'Prescriptive Analysis'!$B$2:$B$14</c:f>
              <c:numCache>
                <c:formatCode>General</c:formatCode>
                <c:ptCount val="13"/>
                <c:pt idx="0">
                  <c:v>917.21000000000015</c:v>
                </c:pt>
                <c:pt idx="1">
                  <c:v>716.10000000000014</c:v>
                </c:pt>
                <c:pt idx="2">
                  <c:v>2660.49</c:v>
                </c:pt>
                <c:pt idx="3">
                  <c:v>1290.28</c:v>
                </c:pt>
                <c:pt idx="4">
                  <c:v>2782.1600000000003</c:v>
                </c:pt>
                <c:pt idx="5">
                  <c:v>1264.1499999999999</c:v>
                </c:pt>
                <c:pt idx="6">
                  <c:v>2181.2999999999997</c:v>
                </c:pt>
                <c:pt idx="7">
                  <c:v>276.65999999999997</c:v>
                </c:pt>
                <c:pt idx="8">
                  <c:v>1855.73</c:v>
                </c:pt>
                <c:pt idx="9">
                  <c:v>1982.44</c:v>
                </c:pt>
                <c:pt idx="10">
                  <c:v>619.20000000000005</c:v>
                </c:pt>
                <c:pt idx="11">
                  <c:v>3657.38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2-4E5A-B0EF-25E0275A14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3225600"/>
        <c:axId val="1713230880"/>
      </c:lineChart>
      <c:catAx>
        <c:axId val="171322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230880"/>
        <c:crosses val="autoZero"/>
        <c:auto val="1"/>
        <c:lblAlgn val="ctr"/>
        <c:lblOffset val="100"/>
        <c:noMultiLvlLbl val="0"/>
      </c:catAx>
      <c:valAx>
        <c:axId val="171323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22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sheet'!$B$2:$B$19</c:f>
              <c:numCache>
                <c:formatCode>General</c:formatCode>
                <c:ptCount val="18"/>
                <c:pt idx="0">
                  <c:v>917.21000000000015</c:v>
                </c:pt>
                <c:pt idx="1">
                  <c:v>716.10000000000014</c:v>
                </c:pt>
                <c:pt idx="2">
                  <c:v>2660.49</c:v>
                </c:pt>
                <c:pt idx="3">
                  <c:v>1290.28</c:v>
                </c:pt>
                <c:pt idx="4">
                  <c:v>2782.1600000000003</c:v>
                </c:pt>
                <c:pt idx="5">
                  <c:v>1264.1499999999999</c:v>
                </c:pt>
                <c:pt idx="6">
                  <c:v>2181.2999999999997</c:v>
                </c:pt>
                <c:pt idx="7">
                  <c:v>276.65999999999997</c:v>
                </c:pt>
                <c:pt idx="8">
                  <c:v>1855.73</c:v>
                </c:pt>
                <c:pt idx="9">
                  <c:v>1982.44</c:v>
                </c:pt>
                <c:pt idx="10">
                  <c:v>619.20000000000005</c:v>
                </c:pt>
                <c:pt idx="11">
                  <c:v>3657.38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C3-4B2D-8CF1-1B8D2485908B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'Forecast sheet'!$C$2:$C$19</c:f>
              <c:numCache>
                <c:formatCode>General</c:formatCode>
                <c:ptCount val="18"/>
                <c:pt idx="11">
                  <c:v>3657.38</c:v>
                </c:pt>
                <c:pt idx="12">
                  <c:v>3321.8263322372932</c:v>
                </c:pt>
                <c:pt idx="13">
                  <c:v>2355.7418996811525</c:v>
                </c:pt>
                <c:pt idx="14">
                  <c:v>3516.7443290249871</c:v>
                </c:pt>
                <c:pt idx="15">
                  <c:v>2550.6598964688465</c:v>
                </c:pt>
                <c:pt idx="16">
                  <c:v>3711.6623258126815</c:v>
                </c:pt>
                <c:pt idx="17">
                  <c:v>2745.5778932565408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C3-4B2D-8CF1-1B8D2485908B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'Forecast sheet'!$D$2:$D$19</c:f>
              <c:numCache>
                <c:formatCode>General</c:formatCode>
                <c:ptCount val="18"/>
                <c:pt idx="11" formatCode="0.00">
                  <c:v>3657.38</c:v>
                </c:pt>
                <c:pt idx="12" formatCode="0.00">
                  <c:v>926.01971010780198</c:v>
                </c:pt>
                <c:pt idx="13" formatCode="0.00">
                  <c:v>-324.99763477536817</c:v>
                </c:pt>
                <c:pt idx="14" formatCode="0.00">
                  <c:v>576.61028616732619</c:v>
                </c:pt>
                <c:pt idx="15" formatCode="0.00">
                  <c:v>-627.76926403526977</c:v>
                </c:pt>
                <c:pt idx="16" formatCode="0.00">
                  <c:v>309.89363243507887</c:v>
                </c:pt>
                <c:pt idx="17" formatCode="0.00">
                  <c:v>-865.74437956058046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C3-4B2D-8CF1-1B8D2485908B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'Forecast sheet'!$E$2:$E$19</c:f>
              <c:numCache>
                <c:formatCode>General</c:formatCode>
                <c:ptCount val="18"/>
                <c:pt idx="11" formatCode="0.00">
                  <c:v>3657.38</c:v>
                </c:pt>
                <c:pt idx="12" formatCode="0.00">
                  <c:v>5717.6329543667844</c:v>
                </c:pt>
                <c:pt idx="13" formatCode="0.00">
                  <c:v>5036.4814341376732</c:v>
                </c:pt>
                <c:pt idx="14" formatCode="0.00">
                  <c:v>6456.878371882648</c:v>
                </c:pt>
                <c:pt idx="15" formatCode="0.00">
                  <c:v>5729.0890569729627</c:v>
                </c:pt>
                <c:pt idx="16" formatCode="0.00">
                  <c:v>7113.4310191902841</c:v>
                </c:pt>
                <c:pt idx="17" formatCode="0.00">
                  <c:v>6356.9001660736621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C3-4B2D-8CF1-1B8D24859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254400"/>
        <c:axId val="1713259680"/>
      </c:lineChart>
      <c:catAx>
        <c:axId val="171325440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259680"/>
        <c:crosses val="autoZero"/>
        <c:auto val="1"/>
        <c:lblAlgn val="ctr"/>
        <c:lblOffset val="100"/>
        <c:noMultiLvlLbl val="0"/>
      </c:catAx>
      <c:valAx>
        <c:axId val="17132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25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</a:t>
          </a:r>
        </a:p>
      </cx:txPr>
    </cx:title>
    <cx:plotArea>
      <cx:plotAreaRegion>
        <cx:series layoutId="boxWhisker" uniqueId="{281293A9-1F6C-4386-8CE6-EE2C46AE2D13}"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Total Order Amt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Order Amt</a:t>
          </a:r>
        </a:p>
      </cx:txPr>
    </cx:title>
    <cx:plotArea>
      <cx:plotAreaRegion>
        <cx:series layoutId="boxWhisker" uniqueId="{8F0B8096-7B16-4A5C-B35D-5C203B395640}">
          <cx:tx>
            <cx:txData>
              <cx:f>_xlchart.v1.1</cx:f>
              <cx:v>Total Order Amt</cx:v>
            </cx:txData>
          </cx:tx>
          <cx:spPr>
            <a:solidFill>
              <a:srgbClr val="00B0F0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tmp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tmp"/><Relationship Id="rId2" Type="http://schemas.openxmlformats.org/officeDocument/2006/relationships/image" Target="../media/image4.tmp"/><Relationship Id="rId1" Type="http://schemas.openxmlformats.org/officeDocument/2006/relationships/image" Target="../media/image3.tmp"/><Relationship Id="rId5" Type="http://schemas.openxmlformats.org/officeDocument/2006/relationships/image" Target="../media/image7.tmp"/><Relationship Id="rId4" Type="http://schemas.openxmlformats.org/officeDocument/2006/relationships/image" Target="../media/image6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9</xdr:col>
      <xdr:colOff>193843</xdr:colOff>
      <xdr:row>19</xdr:row>
      <xdr:rowOff>147053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127A92-A025-4869-9742-EFCF3D70E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20</xdr:col>
      <xdr:colOff>154459</xdr:colOff>
      <xdr:row>19</xdr:row>
      <xdr:rowOff>133865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D8BE0B-783D-40B0-998C-66B81BE31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602974</xdr:colOff>
      <xdr:row>24</xdr:row>
      <xdr:rowOff>0</xdr:rowOff>
    </xdr:from>
    <xdr:to>
      <xdr:col>7</xdr:col>
      <xdr:colOff>758003</xdr:colOff>
      <xdr:row>37</xdr:row>
      <xdr:rowOff>155027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5712859-5C29-4AA8-B66E-4022A2CD3B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0794" y="4404360"/>
              <a:ext cx="3705949" cy="25324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1464365</xdr:colOff>
      <xdr:row>24</xdr:row>
      <xdr:rowOff>0</xdr:rowOff>
    </xdr:from>
    <xdr:to>
      <xdr:col>13</xdr:col>
      <xdr:colOff>463826</xdr:colOff>
      <xdr:row>37</xdr:row>
      <xdr:rowOff>159026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BC5DDC8-197F-46C1-A021-2254C6E5BF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3105" y="4404360"/>
              <a:ext cx="4264881" cy="2536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271669</xdr:colOff>
      <xdr:row>9</xdr:row>
      <xdr:rowOff>165807</xdr:rowOff>
    </xdr:from>
    <xdr:to>
      <xdr:col>15</xdr:col>
      <xdr:colOff>493229</xdr:colOff>
      <xdr:row>18</xdr:row>
      <xdr:rowOff>182463</xdr:rowOff>
    </xdr:to>
    <xdr:pic>
      <xdr:nvPicPr>
        <xdr:cNvPr id="6" name="Picture 5" descr="Chart&#10;&#10;Description automatically generated">
          <a:extLst>
            <a:ext uri="{FF2B5EF4-FFF2-40B4-BE49-F238E27FC236}">
              <a16:creationId xmlns:a16="http://schemas.microsoft.com/office/drawing/2014/main" id="{CE8B3C28-8B40-4D40-9E24-CB09B83BB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2330" y="1842207"/>
          <a:ext cx="3269560" cy="16864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510208</xdr:colOff>
      <xdr:row>0</xdr:row>
      <xdr:rowOff>198782</xdr:rowOff>
    </xdr:from>
    <xdr:to>
      <xdr:col>12</xdr:col>
      <xdr:colOff>19878</xdr:colOff>
      <xdr:row>15</xdr:row>
      <xdr:rowOff>26503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770F8D-C5A7-8629-95A6-BCF787E00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464820</xdr:colOff>
      <xdr:row>9</xdr:row>
      <xdr:rowOff>129540</xdr:rowOff>
    </xdr:from>
    <xdr:to>
      <xdr:col>18</xdr:col>
      <xdr:colOff>253365</xdr:colOff>
      <xdr:row>29</xdr:row>
      <xdr:rowOff>139065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94C9E-06BA-CF51-230E-FBC9ED27E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16</xdr:col>
      <xdr:colOff>1645483</xdr:colOff>
      <xdr:row>14</xdr:row>
      <xdr:rowOff>40573</xdr:rowOff>
    </xdr:to>
    <xdr:pic>
      <xdr:nvPicPr>
        <xdr:cNvPr id="3" name="Picture 2" descr="Chart&#10;&#10;Description automatically generated">
          <a:extLst>
            <a:ext uri="{FF2B5EF4-FFF2-40B4-BE49-F238E27FC236}">
              <a16:creationId xmlns:a16="http://schemas.microsoft.com/office/drawing/2014/main" id="{5B8959D6-333C-4FCE-A520-77FA05D7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7400" y="381000"/>
          <a:ext cx="5303082" cy="2871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114300</xdr:rowOff>
    </xdr:from>
    <xdr:to>
      <xdr:col>5</xdr:col>
      <xdr:colOff>561975</xdr:colOff>
      <xdr:row>14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4204333-41DE-418D-9419-3014509A7461}"/>
            </a:ext>
          </a:extLst>
        </xdr:cNvPr>
        <xdr:cNvSpPr/>
      </xdr:nvSpPr>
      <xdr:spPr>
        <a:xfrm>
          <a:off x="0" y="1828800"/>
          <a:ext cx="4686300" cy="952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 eaLnBrk="1" fontAlgn="base" latinLnBrk="0" hangingPunct="1"/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Strong positive linear relationships have values of r closer to 1.</a:t>
          </a:r>
          <a:endParaRPr lang="en-US" sz="1100">
            <a:effectLst/>
          </a:endParaRPr>
        </a:p>
        <a:p>
          <a:pPr rtl="0" eaLnBrk="1" fontAlgn="base" latinLnBrk="0" hangingPunct="1"/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Strong negative linear relationships have values of r closer to −1 minus, 1.</a:t>
          </a:r>
          <a:endParaRPr lang="en-US">
            <a:effectLst/>
          </a:endParaRPr>
        </a:p>
        <a:p>
          <a:pPr rtl="0" eaLnBrk="1" fontAlgn="base" latinLnBrk="0" hangingPunct="1"/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Weaker relationships have values of r closer to 0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504658</xdr:colOff>
      <xdr:row>1</xdr:row>
      <xdr:rowOff>28575</xdr:rowOff>
    </xdr:from>
    <xdr:to>
      <xdr:col>36</xdr:col>
      <xdr:colOff>91626</xdr:colOff>
      <xdr:row>22</xdr:row>
      <xdr:rowOff>3600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D2B65E-3915-DF46-BCA5-F76C288E3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9526" y="212391"/>
          <a:ext cx="17032758" cy="38351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2</xdr:col>
      <xdr:colOff>546619</xdr:colOff>
      <xdr:row>68</xdr:row>
      <xdr:rowOff>171633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13609-A037-48BC-AA33-1E7875FAE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49100"/>
          <a:ext cx="3537469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4</xdr:col>
      <xdr:colOff>1561224</xdr:colOff>
      <xdr:row>87</xdr:row>
      <xdr:rowOff>105268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30B48E-5831-4C85-9FA1-4959334A0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82600"/>
          <a:ext cx="7152399" cy="3534268"/>
        </a:xfrm>
        <a:prstGeom prst="rect">
          <a:avLst/>
        </a:prstGeom>
      </xdr:spPr>
    </xdr:pic>
    <xdr:clientData/>
  </xdr:twoCellAnchor>
  <xdr:twoCellAnchor editAs="oneCell">
    <xdr:from>
      <xdr:col>0</xdr:col>
      <xdr:colOff>1453816</xdr:colOff>
      <xdr:row>87</xdr:row>
      <xdr:rowOff>110290</xdr:rowOff>
    </xdr:from>
    <xdr:to>
      <xdr:col>3</xdr:col>
      <xdr:colOff>1188084</xdr:colOff>
      <xdr:row>91</xdr:row>
      <xdr:rowOff>15133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DE216A-4C4D-4ACD-A759-A8557ADFC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816" y="16721890"/>
          <a:ext cx="3334718" cy="66684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69</xdr:row>
      <xdr:rowOff>20053</xdr:rowOff>
    </xdr:from>
    <xdr:to>
      <xdr:col>12</xdr:col>
      <xdr:colOff>454994</xdr:colOff>
      <xdr:row>87</xdr:row>
      <xdr:rowOff>50132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B536E5-940E-41F5-809C-9B97783C3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13202653"/>
          <a:ext cx="6331919" cy="3459079"/>
        </a:xfrm>
        <a:prstGeom prst="rect">
          <a:avLst/>
        </a:prstGeom>
      </xdr:spPr>
    </xdr:pic>
    <xdr:clientData/>
  </xdr:twoCellAnchor>
  <xdr:twoCellAnchor editAs="oneCell">
    <xdr:from>
      <xdr:col>9</xdr:col>
      <xdr:colOff>360948</xdr:colOff>
      <xdr:row>85</xdr:row>
      <xdr:rowOff>90237</xdr:rowOff>
    </xdr:from>
    <xdr:to>
      <xdr:col>10</xdr:col>
      <xdr:colOff>827854</xdr:colOff>
      <xdr:row>87</xdr:row>
      <xdr:rowOff>90290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D74410-8B6F-4008-9CB6-ABFE548A8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9048" y="16320837"/>
          <a:ext cx="2924356" cy="38105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18.480455671299" createdVersion="8" refreshedVersion="8" minRefreshableVersion="3" recordCount="76" xr:uid="{F74BC3FE-6908-4BDB-9877-618FF2036449}">
  <cacheSource type="worksheet">
    <worksheetSource name="cdata"/>
  </cacheSource>
  <cacheFields count="23">
    <cacheField name="First Name" numFmtId="0">
      <sharedItems/>
    </cacheField>
    <cacheField name="Last Name" numFmtId="0">
      <sharedItems/>
    </cacheField>
    <cacheField name="Customer Name" numFmtId="0">
      <sharedItems count="76">
        <s v="Allen Perl"/>
        <s v="Anthony Whitney"/>
        <s v="Thomas Owens"/>
        <s v="Anthony Carr"/>
        <s v="Melvin Schmitz"/>
        <s v="John Hoffman"/>
        <s v="Muriel Exley"/>
        <s v="James Moyle"/>
        <s v="Calvin Shupe"/>
        <s v="Alfonso Frazier"/>
        <s v="Reda Fullilove"/>
        <s v="Cecil Games"/>
        <s v="Edward Turner"/>
        <s v="Amy Randle"/>
        <s v="Rafael Middleton"/>
        <s v="Earl Bruner"/>
        <s v="Linda Garcia"/>
        <s v="Quinn Perry"/>
        <s v="Kristin Mendoza"/>
        <s v="Michael Gordon"/>
        <s v="Phyllis White"/>
        <s v="Katherine Mullins"/>
        <s v="Lisa Guest"/>
        <s v="Scott Lawson"/>
        <s v="Robert Bilbo"/>
        <s v="Ahmed Richard"/>
        <s v="Ray Hornsby"/>
        <s v="Jason Glass"/>
        <s v="Natalie White"/>
        <s v="Donna Klock"/>
        <s v="Donald Velazquez"/>
        <s v="Harry Brumback"/>
        <s v="Harold Magee"/>
        <s v="Melba Whitehead"/>
        <s v="Ivan Case"/>
        <s v="Bob Davenport"/>
        <s v="Jennifer Howard"/>
        <s v="Jana Hall"/>
        <s v="Arlene Cruz"/>
        <s v="Mildred Carey"/>
        <s v="Yasmin Cole"/>
        <s v="Jodi Bugg"/>
        <s v="Henry Williams"/>
        <s v="Allen Rice"/>
        <s v="Bradford Claassen"/>
        <s v="Elizabeth Turner"/>
        <s v="Dwight Armenta"/>
        <s v="Michael Pritchard"/>
        <s v="Elizabeth Martinez"/>
        <s v="Mary Bates"/>
        <s v="Mandy Fernandez"/>
        <s v="Megan Mauro"/>
        <s v="John Riley"/>
        <s v="Felix Myers"/>
        <s v="Frank Westra"/>
        <s v="Jack Owens"/>
        <s v="Therese Pickering"/>
        <s v="Robert Ojeda"/>
        <s v="Thomas Farris"/>
        <s v="Joseph Shafer"/>
        <s v="Hoyt Ramos"/>
        <s v="Jodi Stanley"/>
        <s v="Betty Grimes"/>
        <s v="Tony Brooks"/>
        <s v="Michael Reed"/>
        <s v="Rosemary Herbert"/>
        <s v="Judy Larkin"/>
        <s v="Judy Hopping"/>
        <s v="Joseph Rogers"/>
        <s v="James Sales"/>
        <s v="Charles Pickett"/>
        <s v="Margaret Shelton"/>
        <s v="Rebecca Uresti"/>
        <s v="Emma Perez"/>
        <s v="Reynaldo Myers"/>
        <s v="Jennifer Becker"/>
      </sharedItems>
    </cacheField>
    <cacheField name="Gender_Code" numFmtId="0">
      <sharedItems/>
    </cacheField>
    <cacheField name="Gender" numFmtId="0">
      <sharedItems count="2">
        <s v="Male"/>
        <s v="Female"/>
      </sharedItems>
    </cacheField>
    <cacheField name="ADDRESS1" numFmtId="0">
      <sharedItems/>
    </cacheField>
    <cacheField name="CITY" numFmtId="0">
      <sharedItems/>
    </cacheField>
    <cacheField name="STATE" numFmtId="0">
      <sharedItems/>
    </cacheField>
    <cacheField name="COUNTRY_CODE" numFmtId="0">
      <sharedItems/>
    </cacheField>
    <cacheField name="Country" numFmtId="0">
      <sharedItems count="7">
        <s v="Italy"/>
        <s v="Denmark"/>
        <s v="Spain"/>
        <s v="America"/>
        <s v="Canada"/>
        <s v="Australia"/>
        <s v="France"/>
      </sharedItems>
    </cacheField>
    <cacheField name="POSTAL_CODE" numFmtId="0">
      <sharedItems containsMixedTypes="1" containsNumber="1" containsInteger="1" minValue="2077" maxValue="99740"/>
    </cacheField>
    <cacheField name="EMAIL_ADDRESS" numFmtId="0">
      <sharedItems/>
    </cacheField>
    <cacheField name="Column1" numFmtId="0">
      <sharedItems/>
    </cacheField>
    <cacheField name="PHONE_NUMBER" numFmtId="0">
      <sharedItems/>
    </cacheField>
    <cacheField name="CREDITCARD_TYPE" numFmtId="0">
      <sharedItems count="6">
        <s v="Master Card"/>
        <s v="VISA"/>
        <s v="Discover"/>
        <s v="American Express"/>
        <s v="Diners Club"/>
        <s v="jcb"/>
      </sharedItems>
    </cacheField>
    <cacheField name="SALESMAN_ID" numFmtId="0">
      <sharedItems count="53">
        <s v="RP385 "/>
        <s v="WE349 "/>
        <s v="WE352 "/>
        <s v="SE208 "/>
        <s v="SW409 "/>
        <s v="SW274 "/>
        <s v="SW412 "/>
        <s v="NW247 "/>
        <s v="NE373 "/>
        <s v="WE418 "/>
        <s v="SE205 "/>
        <s v="WE421 "/>
        <s v="WE154 "/>
        <s v="NC292 "/>
        <s v="SC262 "/>
        <s v="NE172 "/>
        <s v="SE268 "/>
        <s v="SC322 "/>
        <s v="WE151 "/>
        <s v="NC424 "/>
        <s v="NE235 "/>
        <s v="SE133 "/>
        <s v="SC196 "/>
        <s v="SW214 "/>
        <s v="SC388 "/>
        <s v="RP121 "/>
        <s v="SE397 "/>
        <s v="SC127 "/>
        <s v="SW406 "/>
        <s v="NW310 "/>
        <s v="SC130 "/>
        <s v="NE103 "/>
        <s v="SC199 "/>
        <s v="NC361 "/>
        <s v="SW211 "/>
        <s v="NC100 "/>
        <s v="SW346 "/>
        <s v="WE223 "/>
        <s v="NW118 "/>
        <s v="NW181 "/>
        <s v="WE355 "/>
        <s v="WE220 "/>
        <s v="SE271 "/>
        <s v="NW376 "/>
        <s v="WE286 "/>
        <s v="NC427 "/>
        <s v="SE337 "/>
        <s v="SW217 "/>
        <s v="SW277 "/>
        <s v="SE334 "/>
        <s v="NW313 "/>
        <s v="NC232 "/>
        <s v="WE283 "/>
      </sharedItems>
    </cacheField>
    <cacheField name="NATIONALITY" numFmtId="0">
      <sharedItems/>
    </cacheField>
    <cacheField name="NATIONAL_ID" numFmtId="0">
      <sharedItems containsMixedTypes="1" containsNumber="1" containsInteger="1" minValue="22867928" maxValue="814000000000000"/>
    </cacheField>
    <cacheField name="CREDITCARD_NUMBER" numFmtId="11">
      <sharedItems containsSemiMixedTypes="0" containsString="0" containsNumber="1" containsInteger="1" minValue="36025400000000" maxValue="6012000000000000"/>
    </cacheField>
    <cacheField name="CUST_ID" numFmtId="0">
      <sharedItems containsSemiMixedTypes="0" containsString="0" containsNumber="1" containsInteger="1" minValue="10003" maxValue="10351"/>
    </cacheField>
    <cacheField name="AGE" numFmtId="0">
      <sharedItems containsSemiMixedTypes="0" containsString="0" containsNumber="1" containsInteger="1" minValue="0" maxValue="79" count="41">
        <n v="27"/>
        <n v="0"/>
        <n v="60"/>
        <n v="53"/>
        <n v="32"/>
        <n v="46"/>
        <n v="72"/>
        <n v="49"/>
        <n v="47"/>
        <n v="24"/>
        <n v="65"/>
        <n v="28"/>
        <n v="73"/>
        <n v="19"/>
        <n v="40"/>
        <n v="55"/>
        <n v="63"/>
        <n v="51"/>
        <n v="64"/>
        <n v="20"/>
        <n v="78"/>
        <n v="75"/>
        <n v="30"/>
        <n v="35"/>
        <n v="68"/>
        <n v="38"/>
        <n v="70"/>
        <n v="45"/>
        <n v="36"/>
        <n v="42"/>
        <n v="48"/>
        <n v="52"/>
        <n v="69"/>
        <n v="31"/>
        <n v="76"/>
        <n v="79"/>
        <n v="41"/>
        <n v="22"/>
        <n v="26"/>
        <n v="58"/>
        <n v="54"/>
      </sharedItems>
      <fieldGroup base="20">
        <rangePr startNum="0" endNum="79" groupInterval="10"/>
        <groupItems count="10">
          <s v="&lt;0"/>
          <s v="0-9"/>
          <s v="10-19"/>
          <s v="20-29"/>
          <s v="30-39"/>
          <s v="40-49"/>
          <s v="50-59"/>
          <s v="60-69"/>
          <s v="70-79"/>
          <s v="&gt;80"/>
        </groupItems>
      </fieldGroup>
    </cacheField>
    <cacheField name="Total Orders Placed" numFmtId="0">
      <sharedItems containsSemiMixedTypes="0" containsString="0" containsNumber="1" containsInteger="1" minValue="1" maxValue="8"/>
    </cacheField>
    <cacheField name="Total Order Amt" numFmtId="0">
      <sharedItems containsSemiMixedTypes="0" containsString="0" containsNumber="1" minValue="8.49" maxValue="1268.63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18.504378124999" createdVersion="8" refreshedVersion="8" minRefreshableVersion="3" recordCount="199" xr:uid="{414CB6C4-0659-4C4F-98A0-56A971CCE111}">
  <cacheSource type="worksheet">
    <worksheetSource name="sdata"/>
  </cacheSource>
  <cacheFields count="61">
    <cacheField name="First Name" numFmtId="0">
      <sharedItems/>
    </cacheField>
    <cacheField name="Last Name" numFmtId="0">
      <sharedItems/>
    </cacheField>
    <cacheField name="Gender_Code" numFmtId="0">
      <sharedItems/>
    </cacheField>
    <cacheField name="ADDRESS1" numFmtId="0">
      <sharedItems/>
    </cacheField>
    <cacheField name="CITY" numFmtId="0">
      <sharedItems/>
    </cacheField>
    <cacheField name="STATE" numFmtId="0">
      <sharedItems containsBlank="1"/>
    </cacheField>
    <cacheField name="COUNTRY_CODE" numFmtId="0">
      <sharedItems/>
    </cacheField>
    <cacheField name="POSTAL_CODE" numFmtId="0">
      <sharedItems containsMixedTypes="1" containsNumber="1" containsInteger="1" minValue="2077" maxValue="99740"/>
    </cacheField>
    <cacheField name="EMAIL_ADDRESS" numFmtId="0">
      <sharedItems/>
    </cacheField>
    <cacheField name="PHONE_NUMBER" numFmtId="0">
      <sharedItems/>
    </cacheField>
    <cacheField name="CREDITCARD_TYPE" numFmtId="0">
      <sharedItems/>
    </cacheField>
    <cacheField name="SALESMAN_ID" numFmtId="0">
      <sharedItems/>
    </cacheField>
    <cacheField name="NATIONALITY" numFmtId="0">
      <sharedItems/>
    </cacheField>
    <cacheField name="NATIONAL_ID" numFmtId="0">
      <sharedItems containsMixedTypes="1" containsNumber="1" containsInteger="1" minValue="22867928" maxValue="814000000000000"/>
    </cacheField>
    <cacheField name="CREDITCARD_NUMBER" numFmtId="11">
      <sharedItems containsSemiMixedTypes="0" containsString="0" containsNumber="1" containsInteger="1" minValue="36006500000000" maxValue="6012000000000000"/>
    </cacheField>
    <cacheField name="CUST_ID" numFmtId="0">
      <sharedItems containsSemiMixedTypes="0" containsString="0" containsNumber="1" containsInteger="1" minValue="10003" maxValue="10351"/>
    </cacheField>
    <cacheField name="AGE" numFmtId="0">
      <sharedItems containsMixedTypes="1" containsNumber="1" containsInteger="1" minValue="19" maxValue="79"/>
    </cacheField>
    <cacheField name="ORDER_ID" numFmtId="0">
      <sharedItems containsSemiMixedTypes="0" containsString="0" containsNumber="1" containsInteger="1" minValue="28" maxValue="9180"/>
    </cacheField>
    <cacheField name="ORDER_DATE" numFmtId="47">
      <sharedItems containsSemiMixedTypes="0" containsNonDate="0" containsDate="1" containsString="0" minDate="1899-12-30T00:00:00" maxDate="1899-12-31T00:00:00"/>
    </cacheField>
    <cacheField name="ORDER_TIME" numFmtId="47">
      <sharedItems containsSemiMixedTypes="0" containsNonDate="0" containsDate="1" containsString="0" minDate="1899-12-30T00:02:37" maxDate="1899-12-30T00:59:36"/>
    </cacheField>
    <cacheField name="FREIGHT_CHARGES" numFmtId="0">
      <sharedItems containsSemiMixedTypes="0" containsString="0" containsNumber="1" minValue="1.49" maxValue="68.569999999999993"/>
    </cacheField>
    <cacheField name="ORDER_SALESMAN" numFmtId="0">
      <sharedItems/>
    </cacheField>
    <cacheField name="ORDER_POSTED_DATE" numFmtId="47">
      <sharedItems containsSemiMixedTypes="0" containsNonDate="0" containsDate="1" containsString="0" minDate="1899-12-30T00:00:00" maxDate="1899-12-31T00:00:00"/>
    </cacheField>
    <cacheField name="ORDER_SHIP_DATE" numFmtId="168">
      <sharedItems containsSemiMixedTypes="0" containsNonDate="0" containsDate="1" containsString="0" minDate="2016-01-03T00:00:00" maxDate="2016-12-28T00:00:00" count="58">
        <d v="2016-07-27T00:00:00"/>
        <d v="2016-03-27T00:00:00"/>
        <d v="2016-09-27T00:00:00"/>
        <d v="2016-03-01T00:00:00"/>
        <d v="2016-01-04T00:00:00"/>
        <d v="2016-01-03T00:00:00"/>
        <d v="2016-02-27T00:00:00"/>
        <d v="2016-05-08T00:00:00"/>
        <d v="2016-10-05T00:00:00"/>
        <d v="2016-08-20T00:00:00"/>
        <d v="2016-02-20T00:00:00"/>
        <d v="2016-10-03T00:00:00"/>
        <d v="2016-12-20T00:00:00"/>
        <d v="2016-11-25T00:00:00"/>
        <d v="2016-07-23T00:00:00"/>
        <d v="2016-11-14T00:00:00"/>
        <d v="2016-01-15T00:00:00"/>
        <d v="2016-07-15T00:00:00"/>
        <d v="2016-12-19T00:00:00"/>
        <d v="2016-05-30T00:00:00"/>
        <d v="2016-06-15T00:00:00"/>
        <d v="2016-10-09T00:00:00"/>
        <d v="2016-03-12T00:00:00"/>
        <d v="2016-01-07T00:00:00"/>
        <d v="2016-12-12T00:00:00"/>
        <d v="2016-04-25T00:00:00"/>
        <d v="2016-10-27T00:00:00"/>
        <d v="2016-03-30T00:00:00"/>
        <d v="2016-12-15T00:00:00"/>
        <d v="2016-09-09T00:00:00"/>
        <d v="2016-12-25T00:00:00"/>
        <d v="2016-04-30T00:00:00"/>
        <d v="2016-12-27T00:00:00"/>
        <d v="2016-07-03T00:00:00"/>
        <d v="2016-11-30T00:00:00"/>
        <d v="2016-10-06T00:00:00"/>
        <d v="2016-06-20T00:00:00"/>
        <d v="2016-06-27T00:00:00"/>
        <d v="2016-09-20T00:00:00"/>
        <d v="2016-12-16T00:00:00"/>
        <d v="2016-04-19T00:00:00"/>
        <d v="2016-01-25T00:00:00"/>
        <d v="2016-04-29T00:00:00"/>
        <d v="2016-10-22T00:00:00"/>
        <d v="2016-09-10T00:00:00"/>
        <d v="2016-10-08T00:00:00"/>
        <d v="2016-11-20T00:00:00"/>
        <d v="2016-10-07T00:00:00"/>
        <d v="2016-07-20T00:00:00"/>
        <d v="2016-05-19T00:00:00"/>
        <d v="2016-03-11T00:00:00"/>
        <d v="2016-07-30T00:00:00"/>
        <d v="2016-09-04T00:00:00"/>
        <d v="2016-03-02T00:00:00"/>
        <d v="2016-05-29T00:00:00"/>
        <d v="2016-05-01T00:00:00"/>
        <d v="2016-03-03T00:00:00"/>
        <d v="2016-12-08T00:00:00"/>
      </sharedItems>
      <fieldGroup par="60"/>
    </cacheField>
    <cacheField name="ORDER_VALUE" numFmtId="0">
      <sharedItems containsSemiMixedTypes="0" containsString="0" containsNumber="1" minValue="5.0999999999999996" maxValue="800.9"/>
    </cacheField>
    <cacheField name="T_TYPE" numFmtId="0">
      <sharedItems/>
    </cacheField>
    <cacheField name="PURCHASE_TOUCHPOINT" numFmtId="0">
      <sharedItems/>
    </cacheField>
    <cacheField name="PURCHASE_STATUS" numFmtId="0">
      <sharedItems/>
    </cacheField>
    <cacheField name="ORDER_TYPE" numFmtId="0">
      <sharedItems/>
    </cacheField>
    <cacheField name="GENERATION" numFmtId="0">
      <sharedItems/>
    </cacheField>
    <cacheField name="Baby Food" numFmtId="0">
      <sharedItems containsSemiMixedTypes="0" containsString="0" containsNumber="1" containsInteger="1" minValue="0" maxValue="1"/>
    </cacheField>
    <cacheField name="Diapers" numFmtId="0">
      <sharedItems containsSemiMixedTypes="0" containsString="0" containsNumber="1" containsInteger="1" minValue="0" maxValue="1"/>
    </cacheField>
    <cacheField name="Formula" numFmtId="0">
      <sharedItems containsSemiMixedTypes="0" containsString="0" containsNumber="1" containsInteger="1" minValue="0" maxValue="1"/>
    </cacheField>
    <cacheField name="Lotion" numFmtId="0">
      <sharedItems containsSemiMixedTypes="0" containsString="0" containsNumber="1" containsInteger="1" minValue="0" maxValue="1"/>
    </cacheField>
    <cacheField name="Baby wash" numFmtId="0">
      <sharedItems containsSemiMixedTypes="0" containsString="0" containsNumber="1" containsInteger="1" minValue="0" maxValue="1"/>
    </cacheField>
    <cacheField name="Wipes" numFmtId="0">
      <sharedItems containsSemiMixedTypes="0" containsString="0" containsNumber="1" containsInteger="1" minValue="0" maxValue="1"/>
    </cacheField>
    <cacheField name="Fresh Fruits" numFmtId="0">
      <sharedItems containsSemiMixedTypes="0" containsString="0" containsNumber="1" containsInteger="1" minValue="0" maxValue="1"/>
    </cacheField>
    <cacheField name="Fresh Vegetables" numFmtId="0">
      <sharedItems containsSemiMixedTypes="0" containsString="0" containsNumber="1" containsInteger="1" minValue="0" maxValue="1"/>
    </cacheField>
    <cacheField name="Beer" numFmtId="0">
      <sharedItems containsSemiMixedTypes="0" containsString="0" containsNumber="1" containsInteger="1" minValue="0" maxValue="1"/>
    </cacheField>
    <cacheField name="Wine" numFmtId="0">
      <sharedItems containsSemiMixedTypes="0" containsString="0" containsNumber="1" containsInteger="1" minValue="0" maxValue="1"/>
    </cacheField>
    <cacheField name="Club Soda" numFmtId="0">
      <sharedItems containsSemiMixedTypes="0" containsString="0" containsNumber="1" containsInteger="1" minValue="0" maxValue="1"/>
    </cacheField>
    <cacheField name="Sports Drink" numFmtId="0">
      <sharedItems containsSemiMixedTypes="0" containsString="0" containsNumber="1" containsInteger="1" minValue="0" maxValue="1"/>
    </cacheField>
    <cacheField name="Chips" numFmtId="0">
      <sharedItems containsSemiMixedTypes="0" containsString="0" containsNumber="1" containsInteger="1" minValue="0" maxValue="1"/>
    </cacheField>
    <cacheField name="Popcorn" numFmtId="0">
      <sharedItems containsSemiMixedTypes="0" containsString="0" containsNumber="1" containsInteger="1" minValue="0" maxValue="1"/>
    </cacheField>
    <cacheField name="Oatmeal" numFmtId="0">
      <sharedItems containsSemiMixedTypes="0" containsString="0" containsNumber="1" containsInteger="1" minValue="0" maxValue="1"/>
    </cacheField>
    <cacheField name="Medicines" numFmtId="0">
      <sharedItems containsSemiMixedTypes="0" containsString="0" containsNumber="1" containsInteger="1" minValue="0" maxValue="1"/>
    </cacheField>
    <cacheField name="Canned Foods" numFmtId="0">
      <sharedItems containsSemiMixedTypes="0" containsString="0" containsNumber="1" containsInteger="1" minValue="0" maxValue="1"/>
    </cacheField>
    <cacheField name="Cigarettes" numFmtId="0">
      <sharedItems containsSemiMixedTypes="0" containsString="0" containsNumber="1" containsInteger="1" minValue="0" maxValue="1"/>
    </cacheField>
    <cacheField name="Cheese" numFmtId="0">
      <sharedItems containsSemiMixedTypes="0" containsString="0" containsNumber="1" containsInteger="1" minValue="0" maxValue="1"/>
    </cacheField>
    <cacheField name="Cleaning Products" numFmtId="0">
      <sharedItems containsSemiMixedTypes="0" containsString="0" containsNumber="1" containsInteger="1" minValue="0" maxValue="1"/>
    </cacheField>
    <cacheField name="Condiments" numFmtId="0">
      <sharedItems containsSemiMixedTypes="0" containsString="0" containsNumber="1" containsInteger="1" minValue="0" maxValue="1"/>
    </cacheField>
    <cacheField name="Frozen Foods" numFmtId="0">
      <sharedItems containsSemiMixedTypes="0" containsString="0" containsNumber="1" containsInteger="1" minValue="0" maxValue="1"/>
    </cacheField>
    <cacheField name="Kitchen Items" numFmtId="0">
      <sharedItems containsSemiMixedTypes="0" containsString="0" containsNumber="1" containsInteger="1" minValue="0" maxValue="1"/>
    </cacheField>
    <cacheField name="Meat" numFmtId="0">
      <sharedItems containsSemiMixedTypes="0" containsString="0" containsNumber="1" containsInteger="1" minValue="0" maxValue="1"/>
    </cacheField>
    <cacheField name="Office Supplies" numFmtId="0">
      <sharedItems containsSemiMixedTypes="0" containsString="0" containsNumber="1" containsInteger="1" minValue="0" maxValue="1"/>
    </cacheField>
    <cacheField name="Personal Care" numFmtId="0">
      <sharedItems containsSemiMixedTypes="0" containsString="0" containsNumber="1" containsInteger="1" minValue="0" maxValue="1"/>
    </cacheField>
    <cacheField name="Pet Supplies" numFmtId="0">
      <sharedItems containsSemiMixedTypes="0" containsString="0" containsNumber="1" containsInteger="1" minValue="0" maxValue="1"/>
    </cacheField>
    <cacheField name="Sea Food" numFmtId="0">
      <sharedItems containsSemiMixedTypes="0" containsString="0" containsNumber="1" containsInteger="1" minValue="0" maxValue="1"/>
    </cacheField>
    <cacheField name="Spices" numFmtId="0">
      <sharedItems containsSemiMixedTypes="0" containsString="0" containsNumber="1" containsInteger="1" minValue="0" maxValue="1"/>
    </cacheField>
    <cacheField name="Product Count" numFmtId="0">
      <sharedItems containsSemiMixedTypes="0" containsString="0" containsNumber="1" containsInteger="1" minValue="1" maxValue="9"/>
    </cacheField>
    <cacheField name="Months (ORDER_SHIP_DATE)" numFmtId="0" databaseField="0">
      <fieldGroup base="23">
        <rangePr groupBy="months" startDate="2016-01-03T00:00:00" endDate="2016-12-28T00:00:00"/>
        <groupItems count="14">
          <s v="&lt;03-01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2-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Allen"/>
    <s v="Perl"/>
    <x v="0"/>
    <s v="Mr."/>
    <x v="0"/>
    <s v="4707    Hillcrest Lane"/>
    <s v="Abeto"/>
    <s v="PG"/>
    <s v="IT"/>
    <x v="0"/>
    <n v="6040"/>
    <s v="Allen.M.Perl@spambob.com"/>
    <s v="spambob.com"/>
    <s v="0370 4762239"/>
    <x v="0"/>
    <x v="0"/>
    <s v="U.S."/>
    <n v="22867928"/>
    <n v="5179760000000000"/>
    <n v="10003"/>
    <x v="0"/>
    <n v="6"/>
    <n v="288.15000000000003"/>
  </r>
  <r>
    <s v="Anthony"/>
    <s v="Whitney"/>
    <x v="1"/>
    <s v="Mr."/>
    <x v="0"/>
    <s v="518 Highland    View      Drive"/>
    <s v="Achstetten"/>
    <s v="DE"/>
    <s v="DE"/>
    <x v="1"/>
    <n v="88480"/>
    <s v="Anthony.H.Whitney@pookmail.com"/>
    <s v="pookmail.com"/>
    <s v="03571 39 94 30"/>
    <x v="1"/>
    <x v="1"/>
    <s v="IT"/>
    <s v="NXFXLA90D69D741G"/>
    <n v="4469930000000000"/>
    <n v="10007"/>
    <x v="1"/>
    <n v="1"/>
    <n v="65.8"/>
  </r>
  <r>
    <s v="Thomas"/>
    <s v="Owens"/>
    <x v="2"/>
    <s v="Mr."/>
    <x v="0"/>
    <s v="4030 Jessie Street"/>
    <s v="Adami"/>
    <s v="CZ"/>
    <s v="IT"/>
    <x v="0"/>
    <n v="88041"/>
    <s v="Thomas.N.Owens@mailinator.com"/>
    <s v="mailinator.com"/>
    <s v="0341 5536286"/>
    <x v="1"/>
    <x v="2"/>
    <s v="FR"/>
    <n v="148000000000000"/>
    <n v="4662810000000000"/>
    <n v="10015"/>
    <x v="2"/>
    <n v="4"/>
    <n v="143.13"/>
  </r>
  <r>
    <s v="Anthony"/>
    <s v="Carr"/>
    <x v="3"/>
    <s v="Mr."/>
    <x v="0"/>
    <s v="2866 Quilly Lane"/>
    <s v="Agallas"/>
    <s v="ES"/>
    <s v="ES"/>
    <x v="2"/>
    <n v="37511"/>
    <s v="Anthony.T.Carr@trashymail.com"/>
    <s v="trashymail.com"/>
    <s v="91-635-1987"/>
    <x v="2"/>
    <x v="3"/>
    <s v="IT"/>
    <s v="EOOIAI58A45B091X"/>
    <n v="6011480000000000"/>
    <n v="10019"/>
    <x v="3"/>
    <n v="5"/>
    <n v="118.09"/>
  </r>
  <r>
    <s v="Melvin"/>
    <s v="Schmitz"/>
    <x v="4"/>
    <s v="Mr."/>
    <x v="0"/>
    <s v="20 Rocky Road"/>
    <s v="Aigues"/>
    <s v="ES"/>
    <s v="ES"/>
    <x v="2"/>
    <n v="3569"/>
    <s v="Melvin.B.Schmitz@dodgeit.com"/>
    <s v="dodgeit.com"/>
    <s v="91-102-2813"/>
    <x v="1"/>
    <x v="4"/>
    <s v="IT"/>
    <s v="UAENZJ93C71L915W"/>
    <n v="4172780000000000"/>
    <n v="10027"/>
    <x v="4"/>
    <n v="4"/>
    <n v="105.72"/>
  </r>
  <r>
    <s v="John"/>
    <s v="Hoffman"/>
    <x v="5"/>
    <s v="Mr."/>
    <x v="0"/>
    <s v="1660 Lighthouse Drive"/>
    <s v="Akron"/>
    <s v="OH"/>
    <s v="US"/>
    <x v="3"/>
    <n v="44311"/>
    <s v="John.D.Hoffman@trashymail.com"/>
    <s v="trashymail.com"/>
    <s v="608-822-4333"/>
    <x v="3"/>
    <x v="5"/>
    <s v="IT"/>
    <s v="RGQKFP86T41C178Z"/>
    <n v="377308000000000"/>
    <n v="10031"/>
    <x v="5"/>
    <n v="1"/>
    <n v="24.66"/>
  </r>
  <r>
    <s v="Muriel"/>
    <s v="Exley"/>
    <x v="6"/>
    <s v="Mrs."/>
    <x v="1"/>
    <s v="2645 Kooter Lane"/>
    <s v="Alba Di Canazei"/>
    <s v="TN"/>
    <s v="IT"/>
    <x v="0"/>
    <n v="38030"/>
    <s v="Muriel.J.Exley@trashymail.com"/>
    <s v="trashymail.com"/>
    <s v="0326 8920950"/>
    <x v="2"/>
    <x v="6"/>
    <s v="FR"/>
    <n v="267000000000000"/>
    <n v="6012000000000000"/>
    <n v="10035"/>
    <x v="5"/>
    <n v="1"/>
    <n v="49.16"/>
  </r>
  <r>
    <s v="James"/>
    <s v="Moyle"/>
    <x v="7"/>
    <s v="Mr."/>
    <x v="0"/>
    <s v="288 Vineyard Drive"/>
    <s v="Albany"/>
    <s v="NY"/>
    <s v="US"/>
    <x v="3"/>
    <n v="12204"/>
    <s v="James.O.Moyle@pookmail.com"/>
    <s v="pookmail.com"/>
    <s v="614-241-8539"/>
    <x v="0"/>
    <x v="7"/>
    <s v="IT"/>
    <s v="MQRAXX73T01A895J"/>
    <n v="5155200000000000"/>
    <n v="10039"/>
    <x v="6"/>
    <n v="3"/>
    <n v="624.85"/>
  </r>
  <r>
    <s v="Calvin"/>
    <s v="Shupe"/>
    <x v="8"/>
    <s v="Mr."/>
    <x v="0"/>
    <s v="3335 Willow Oaks Lane"/>
    <s v="Albosaggia"/>
    <s v="SO"/>
    <s v="IT"/>
    <x v="0"/>
    <n v="23100"/>
    <s v="Calvin.M.Shupe@spambob.com"/>
    <s v="spambob.com"/>
    <s v="0331 4473271"/>
    <x v="1"/>
    <x v="8"/>
    <s v="IT"/>
    <s v="RHFGBS20R46E848A"/>
    <n v="4308570000000000"/>
    <n v="10047"/>
    <x v="7"/>
    <n v="1"/>
    <n v="45.66"/>
  </r>
  <r>
    <s v="Alfonso"/>
    <s v="Frazier"/>
    <x v="9"/>
    <s v="Mr."/>
    <x v="0"/>
    <s v="3783 Freed Drive"/>
    <s v="Albuquerque"/>
    <s v="NM"/>
    <s v="US"/>
    <x v="3"/>
    <n v="87109"/>
    <s v="Alfonso.K.Frazier@pookmail.com"/>
    <s v="pookmail.com"/>
    <s v="973-546-4321"/>
    <x v="3"/>
    <x v="9"/>
    <s v="FR"/>
    <n v="176000000000000"/>
    <n v="340583000000000"/>
    <n v="10051"/>
    <x v="8"/>
    <n v="7"/>
    <n v="195.91"/>
  </r>
  <r>
    <s v="Reda"/>
    <s v="Fullilove"/>
    <x v="10"/>
    <s v="Mrs."/>
    <x v="1"/>
    <s v="518 Crestview Terrace"/>
    <s v="Alcalali"/>
    <s v="ES"/>
    <s v="ES"/>
    <x v="2"/>
    <n v="3728"/>
    <s v="Reda.J.Fullilove@dodgeit.com"/>
    <s v="dodgeit.com"/>
    <s v="91-102-2037"/>
    <x v="4"/>
    <x v="10"/>
    <s v="IT"/>
    <s v="WHQPWH25A09H876D"/>
    <n v="36050000000000"/>
    <n v="10055"/>
    <x v="9"/>
    <n v="3"/>
    <n v="385.19000000000005"/>
  </r>
  <r>
    <s v="Cecil"/>
    <s v="Games"/>
    <x v="11"/>
    <s v="Mr."/>
    <x v="0"/>
    <s v="3747 Abner Road"/>
    <s v="Aldearrubia"/>
    <s v="ES"/>
    <s v="ES"/>
    <x v="2"/>
    <n v="37340"/>
    <s v="Cecil.A.Games@trashymail.com"/>
    <s v="trashymail.com"/>
    <s v="91-103-1865"/>
    <x v="1"/>
    <x v="11"/>
    <s v="FR"/>
    <n v="210000000000000"/>
    <n v="4621260000000000"/>
    <n v="10059"/>
    <x v="4"/>
    <n v="2"/>
    <n v="179.53"/>
  </r>
  <r>
    <s v="Edward"/>
    <s v="Turner"/>
    <x v="12"/>
    <s v="Mr."/>
    <x v="0"/>
    <s v="3179 Stratford Drive"/>
    <s v="Alexandrian"/>
    <s v="LA"/>
    <s v="US"/>
    <x v="3"/>
    <n v="71301"/>
    <s v="Edward.C.Turner@mailinator.com"/>
    <s v="mailinator.com"/>
    <s v="313-244-7595"/>
    <x v="4"/>
    <x v="12"/>
    <s v="FR"/>
    <n v="754000000000000"/>
    <n v="36139400000000"/>
    <n v="10063"/>
    <x v="10"/>
    <n v="3"/>
    <n v="710.77"/>
  </r>
  <r>
    <s v="Amy"/>
    <s v="Randle"/>
    <x v="13"/>
    <s v="Mrs."/>
    <x v="1"/>
    <s v="4316 Nickel Road"/>
    <s v="Algaida"/>
    <s v="ES"/>
    <s v="ES"/>
    <x v="2"/>
    <n v="7210"/>
    <s v="Amy.M.Randle@mailinator.com"/>
    <s v="mailinator.com"/>
    <s v="91-271-2733"/>
    <x v="1"/>
    <x v="13"/>
    <s v="U.S."/>
    <n v="515250001"/>
    <n v="4594160000000000"/>
    <n v="10067"/>
    <x v="11"/>
    <n v="2"/>
    <n v="435.87"/>
  </r>
  <r>
    <s v="Rafael"/>
    <s v="Middleton"/>
    <x v="14"/>
    <s v="Mr."/>
    <x v="0"/>
    <s v="3020 Callison Lane"/>
    <s v="Allentown"/>
    <s v="MD"/>
    <s v="US"/>
    <x v="3"/>
    <n v="20222"/>
    <s v="Rafael.G.Middleton@spambob.com"/>
    <s v="spambob.com"/>
    <s v="781-315-9600"/>
    <x v="5"/>
    <x v="14"/>
    <s v="U.S."/>
    <n v="530990002"/>
    <n v="3528920000000000"/>
    <n v="10075"/>
    <x v="12"/>
    <n v="3"/>
    <n v="519.73"/>
  </r>
  <r>
    <s v="Earl"/>
    <s v="Bruner"/>
    <x v="15"/>
    <s v="Mr."/>
    <x v="0"/>
    <s v="3155 Single Street"/>
    <s v="Alma"/>
    <s v="QC"/>
    <s v="CA"/>
    <x v="4"/>
    <s v="G8B 2W5"/>
    <s v="Earl.M.Bruner@pookmail.com"/>
    <s v="pookmail.com"/>
    <s v="613-353-4540"/>
    <x v="3"/>
    <x v="15"/>
    <s v="ES"/>
    <s v="5873675G"/>
    <n v="377233000000000"/>
    <n v="10079"/>
    <x v="13"/>
    <n v="1"/>
    <n v="20.37"/>
  </r>
  <r>
    <s v="Linda"/>
    <s v="Garcia"/>
    <x v="16"/>
    <s v="Mrs."/>
    <x v="1"/>
    <s v="2306 Thrash Trail"/>
    <s v="Alpo"/>
    <s v="VR"/>
    <s v="IT"/>
    <x v="0"/>
    <n v="37060"/>
    <s v="Linda.J.Garcia@mailinator.com"/>
    <s v="mailinator.com"/>
    <s v="0317 2702530"/>
    <x v="5"/>
    <x v="16"/>
    <s v="U.S."/>
    <n v="22868164"/>
    <n v="3528900000000000"/>
    <n v="10083"/>
    <x v="14"/>
    <n v="1"/>
    <n v="560"/>
  </r>
  <r>
    <s v="Quinn"/>
    <s v="Perry"/>
    <x v="17"/>
    <s v="Master."/>
    <x v="0"/>
    <s v="749 C Street"/>
    <s v="Amarillo"/>
    <s v="TX"/>
    <s v="US"/>
    <x v="3"/>
    <n v="79109"/>
    <s v="Quinn.S.Perry@spambob.com"/>
    <s v="spambob.com"/>
    <s v="603-366-3347"/>
    <x v="3"/>
    <x v="17"/>
    <s v="IT"/>
    <s v="FHGPMO74D11L254L"/>
    <n v="343640000000000"/>
    <n v="10091"/>
    <x v="14"/>
    <n v="5"/>
    <n v="104.8"/>
  </r>
  <r>
    <s v="Kristin"/>
    <s v="Mendoza"/>
    <x v="18"/>
    <s v="Mrs."/>
    <x v="1"/>
    <s v="2909 Frank Avenue"/>
    <s v="Anaheim"/>
    <s v="CA"/>
    <s v="US"/>
    <x v="3"/>
    <n v="92805"/>
    <s v="Kristin.T.Mendoza@spambob.com"/>
    <s v="spambob.com"/>
    <s v="865-685-8215"/>
    <x v="4"/>
    <x v="12"/>
    <s v="FR"/>
    <n v="700000000000000"/>
    <n v="36980300000000"/>
    <n v="10095"/>
    <x v="15"/>
    <n v="8"/>
    <n v="788.25"/>
  </r>
  <r>
    <s v="Michael"/>
    <s v="Gordon"/>
    <x v="19"/>
    <s v="Mr."/>
    <x v="0"/>
    <s v="388 Kelly Drive"/>
    <s v="Ancona"/>
    <s v="AN"/>
    <s v="IT"/>
    <x v="0"/>
    <n v="60123"/>
    <s v="Michael.S.Gordon@dodgeit.com"/>
    <s v="dodgeit.com"/>
    <s v="0373 6095994"/>
    <x v="4"/>
    <x v="0"/>
    <s v="U.S."/>
    <n v="316290001"/>
    <n v="36205100000000"/>
    <n v="10099"/>
    <x v="16"/>
    <n v="1"/>
    <n v="33.340000000000003"/>
  </r>
  <r>
    <s v="Phyllis"/>
    <s v="White"/>
    <x v="20"/>
    <s v="Mrs."/>
    <x v="1"/>
    <s v="4738 Jerry Dove Drive"/>
    <s v="Angas Plains"/>
    <s v="SA"/>
    <s v="AU"/>
    <x v="5"/>
    <n v="5255"/>
    <s v="Phyllis.J.White@pookmail.com"/>
    <s v="pookmail.com"/>
    <s v="(02) 4024 5353"/>
    <x v="3"/>
    <x v="18"/>
    <s v="IT"/>
    <s v="HCNFEA86A41E274E"/>
    <n v="377663000000000"/>
    <n v="10103"/>
    <x v="17"/>
    <n v="4"/>
    <n v="100.39"/>
  </r>
  <r>
    <s v="Katherine"/>
    <s v="Mullins"/>
    <x v="21"/>
    <s v="Mrs."/>
    <x v="1"/>
    <s v="4245 Adamsville Road"/>
    <s v="Angwin"/>
    <s v="CA"/>
    <s v="US"/>
    <x v="3"/>
    <n v="94508"/>
    <s v="Katherine.W.Mullins@spambob.com"/>
    <s v="spambob.com"/>
    <s v="503-688-0336"/>
    <x v="4"/>
    <x v="19"/>
    <s v="ES"/>
    <s v="X6490143A"/>
    <n v="36025400000000"/>
    <n v="10107"/>
    <x v="18"/>
    <n v="4"/>
    <n v="97.960000000000008"/>
  </r>
  <r>
    <s v="Lisa"/>
    <s v="Guest"/>
    <x v="22"/>
    <s v="Mrs."/>
    <x v="1"/>
    <s v="4317 Lyon Avenue"/>
    <s v="Annone Veneto"/>
    <s v="VE"/>
    <s v="IT"/>
    <x v="0"/>
    <n v="30020"/>
    <s v="Lisa.D.Guest@spambob.com"/>
    <s v="spambob.com"/>
    <s v="0312 0608733"/>
    <x v="4"/>
    <x v="20"/>
    <s v="ES"/>
    <s v="4204474M"/>
    <n v="36644800000000"/>
    <n v="10111"/>
    <x v="13"/>
    <n v="2"/>
    <n v="53.32"/>
  </r>
  <r>
    <s v="Scott"/>
    <s v="Lawson"/>
    <x v="23"/>
    <s v="Mr."/>
    <x v="0"/>
    <s v="3105 Spadafore Drive"/>
    <s v="Antioch"/>
    <s v="WI"/>
    <s v="US"/>
    <x v="3"/>
    <n v="60002"/>
    <s v="Scott.M.Lawson@spambob.com"/>
    <s v="spambob.com"/>
    <s v="201-799-5873"/>
    <x v="5"/>
    <x v="21"/>
    <s v="CA"/>
    <n v="518957246"/>
    <n v="3528450000000000"/>
    <n v="10115"/>
    <x v="1"/>
    <n v="2"/>
    <n v="134.05000000000001"/>
  </r>
  <r>
    <s v="Robert"/>
    <s v="Bilbo"/>
    <x v="24"/>
    <s v="Mr."/>
    <x v="0"/>
    <s v="2553 Clousson Road"/>
    <s v="Appiano Gentile"/>
    <s v="CO"/>
    <s v="IT"/>
    <x v="0"/>
    <n v="22070"/>
    <s v="Robert.L.Bilbo@dodgeit.com"/>
    <s v="dodgeit.com"/>
    <s v="0390 9449254"/>
    <x v="5"/>
    <x v="22"/>
    <s v="IT"/>
    <s v="QIEZKO91C65L851P"/>
    <n v="3528080000000000"/>
    <n v="10119"/>
    <x v="7"/>
    <n v="1"/>
    <n v="39.74"/>
  </r>
  <r>
    <s v="Ahmed"/>
    <s v="Richard"/>
    <x v="25"/>
    <s v="Mr."/>
    <x v="0"/>
    <s v="1346 Carter Street"/>
    <s v="Appleton"/>
    <s v="WI"/>
    <s v="US"/>
    <x v="3"/>
    <n v="54911"/>
    <s v="Ahmed.P.Richard@mailinator.com"/>
    <s v="mailinator.com"/>
    <s v="510-517-7759"/>
    <x v="5"/>
    <x v="23"/>
    <s v="U.S."/>
    <n v="229990001"/>
    <n v="3528230000000000"/>
    <n v="10123"/>
    <x v="19"/>
    <n v="5"/>
    <n v="360.37"/>
  </r>
  <r>
    <s v="Ray"/>
    <s v="Hornsby"/>
    <x v="26"/>
    <s v="Mr."/>
    <x v="0"/>
    <s v="555 DaVISAA Avenue"/>
    <s v="Archez"/>
    <s v="ES"/>
    <s v="ES"/>
    <x v="2"/>
    <n v="29753"/>
    <s v="Ray.M.Hornsby@pookmail.com"/>
    <s v="pookmail.com"/>
    <s v="91-271-2747"/>
    <x v="1"/>
    <x v="24"/>
    <s v="IT"/>
    <s v="TMWEAA77M18B017F"/>
    <n v="4839450000000000"/>
    <n v="10127"/>
    <x v="7"/>
    <n v="1"/>
    <n v="17.29"/>
  </r>
  <r>
    <s v="Jason"/>
    <s v="Glass"/>
    <x v="27"/>
    <s v="Miss."/>
    <x v="1"/>
    <s v="289 Bassell Avenue"/>
    <s v="Argenton"/>
    <s v="NSW"/>
    <s v="AU"/>
    <x v="5"/>
    <n v="2284"/>
    <s v="Jason.M.Glass@spambob.com"/>
    <s v="spambob.com"/>
    <s v="(07) 4090 2386"/>
    <x v="4"/>
    <x v="25"/>
    <s v="IT"/>
    <s v="HCNMPL50M67G315Q"/>
    <n v="36383400000000"/>
    <n v="10131"/>
    <x v="20"/>
    <n v="3"/>
    <n v="512.72"/>
  </r>
  <r>
    <s v="Natalie"/>
    <s v="White"/>
    <x v="28"/>
    <s v="Mrs."/>
    <x v="1"/>
    <s v="3233 Rivendell Drive"/>
    <s v="Arlington"/>
    <s v="TX"/>
    <s v="US"/>
    <x v="3"/>
    <n v="76011"/>
    <s v="Natalie.D.White@dodgeit.com"/>
    <s v="dodgeit.com"/>
    <s v="916-866-4992"/>
    <x v="1"/>
    <x v="26"/>
    <s v="ES"/>
    <s v="4674010L"/>
    <n v="4658070000000000"/>
    <n v="10135"/>
    <x v="1"/>
    <n v="2"/>
    <n v="501.78"/>
  </r>
  <r>
    <s v="Donna"/>
    <s v="Klock"/>
    <x v="29"/>
    <s v="Mrs."/>
    <x v="1"/>
    <s v="3107 Byers Lane"/>
    <s v="Arlington"/>
    <s v="NE"/>
    <s v="US"/>
    <x v="3"/>
    <n v="68002"/>
    <s v="Donna.K.Klock@spambob.com"/>
    <s v="spambob.com"/>
    <s v="319-482-8591"/>
    <x v="1"/>
    <x v="27"/>
    <s v="U.S."/>
    <n v="492230001"/>
    <n v="4136050000000000"/>
    <n v="10139"/>
    <x v="3"/>
    <n v="4"/>
    <n v="137.28"/>
  </r>
  <r>
    <s v="Donald"/>
    <s v="Velazquez"/>
    <x v="30"/>
    <s v="Mr."/>
    <x v="0"/>
    <s v="224 Gandy Street"/>
    <s v="Aschersleben"/>
    <s v="DE"/>
    <s v="DE"/>
    <x v="1"/>
    <n v="6431"/>
    <s v="Donald.H.Velazquez@pookmail.com"/>
    <s v="pookmail.com"/>
    <s v="08321 88 88 19"/>
    <x v="5"/>
    <x v="12"/>
    <s v="IT"/>
    <s v="NPPGZI62A63B394C"/>
    <n v="3528670000000000"/>
    <n v="10147"/>
    <x v="13"/>
    <n v="2"/>
    <n v="100.14"/>
  </r>
  <r>
    <s v="Harry"/>
    <s v="Brumback"/>
    <x v="31"/>
    <s v="Mr."/>
    <x v="0"/>
    <s v="45 Graystone Lakes"/>
    <s v="Asheboro"/>
    <s v="NC"/>
    <s v="US"/>
    <x v="3"/>
    <n v="27203"/>
    <s v="Harry.L.Brumback@dodgeit.com"/>
    <s v="dodgeit.com"/>
    <s v="773-577-9355"/>
    <x v="2"/>
    <x v="28"/>
    <s v="FR"/>
    <n v="783000000000000"/>
    <n v="6011920000000000"/>
    <n v="10151"/>
    <x v="21"/>
    <n v="3"/>
    <n v="313.19"/>
  </r>
  <r>
    <s v="Harold"/>
    <s v="Magee"/>
    <x v="32"/>
    <s v="Mr."/>
    <x v="0"/>
    <s v="565 Cinnamon Lane"/>
    <s v="Ashland"/>
    <s v="VA"/>
    <s v="US"/>
    <x v="3"/>
    <n v="23005"/>
    <s v="Harold.A.Magee@mailinator.com"/>
    <s v="mailinator.com"/>
    <s v="503-308-1831"/>
    <x v="3"/>
    <x v="29"/>
    <s v="UK"/>
    <s v="YS731666A"/>
    <n v="375518000000000"/>
    <n v="10155"/>
    <x v="14"/>
    <n v="5"/>
    <n v="129.82"/>
  </r>
  <r>
    <s v="Melba"/>
    <s v="Whitehead"/>
    <x v="33"/>
    <s v="Mrs."/>
    <x v="1"/>
    <s v="4985 Barnes Avenue"/>
    <s v="Asquith"/>
    <s v="NSW"/>
    <s v="AU"/>
    <x v="5"/>
    <n v="2077"/>
    <s v="Melba.M.Whitehead@trashymail.com"/>
    <s v="trashymail.com"/>
    <s v="(07) 4507 5357"/>
    <x v="3"/>
    <x v="25"/>
    <s v="ES"/>
    <s v="0568157B"/>
    <n v="340547000000000"/>
    <n v="10159"/>
    <x v="3"/>
    <n v="5"/>
    <n v="891.47"/>
  </r>
  <r>
    <s v="Ivan"/>
    <s v="Case"/>
    <x v="34"/>
    <s v="Mr."/>
    <x v="0"/>
    <s v="2540 School Street"/>
    <s v="Athens"/>
    <s v="TX"/>
    <s v="US"/>
    <x v="3"/>
    <n v="75751"/>
    <s v="Ivan.J.Case@dodgeit.com"/>
    <s v="dodgeit.com"/>
    <s v="512-391-4111"/>
    <x v="4"/>
    <x v="30"/>
    <s v="U.S."/>
    <n v="23868154"/>
    <n v="36851600000000"/>
    <n v="10163"/>
    <x v="0"/>
    <n v="2"/>
    <n v="472.97"/>
  </r>
  <r>
    <s v="Bob"/>
    <s v="Davenport"/>
    <x v="35"/>
    <s v="Mr."/>
    <x v="0"/>
    <s v="488 Lonely Oak Drive"/>
    <s v="Atlanta"/>
    <s v="GA"/>
    <s v="US"/>
    <x v="3"/>
    <n v="30345"/>
    <s v="Bob.N.Davenport@pookmail.com"/>
    <s v="pookmail.com"/>
    <s v="512-912-9995"/>
    <x v="2"/>
    <x v="31"/>
    <s v="FR"/>
    <n v="128000000000000"/>
    <n v="6011110000000000"/>
    <n v="10167"/>
    <x v="1"/>
    <n v="1"/>
    <n v="267.24"/>
  </r>
  <r>
    <s v="Jennifer"/>
    <s v="Howard"/>
    <x v="36"/>
    <s v="Mrs."/>
    <x v="1"/>
    <s v="3339 Twin Willow Lane"/>
    <s v="Atlanta"/>
    <s v="GA"/>
    <s v="US"/>
    <x v="3"/>
    <n v="30329"/>
    <s v="Jennifer.M.Howard@spambob.com"/>
    <s v="spambob.com"/>
    <s v="559-927-9392"/>
    <x v="2"/>
    <x v="32"/>
    <s v="IT"/>
    <s v="SQOOUI42T60G511Z"/>
    <n v="6011560000000000"/>
    <n v="10171"/>
    <x v="1"/>
    <n v="3"/>
    <n v="84.76"/>
  </r>
  <r>
    <s v="Jana"/>
    <s v="Hall"/>
    <x v="37"/>
    <s v="Mrs."/>
    <x v="1"/>
    <s v="2050 Randolph Street"/>
    <s v="Atlantic City"/>
    <s v="NJ"/>
    <s v="US"/>
    <x v="3"/>
    <n v="8401"/>
    <s v="Jana.R.Hall@mailinator.com"/>
    <s v="mailinator.com"/>
    <s v="410-971-3586"/>
    <x v="3"/>
    <x v="33"/>
    <s v="ES"/>
    <s v="X4152416L"/>
    <n v="370602000000000"/>
    <n v="10179"/>
    <x v="22"/>
    <n v="2"/>
    <n v="79.67"/>
  </r>
  <r>
    <s v="Arlene"/>
    <s v="Cruz"/>
    <x v="38"/>
    <s v="Mrs."/>
    <x v="1"/>
    <s v="4858 Bottom Lane"/>
    <s v="Auburn"/>
    <s v="WA"/>
    <s v="US"/>
    <x v="3"/>
    <n v="98002"/>
    <s v="Arlene.M.Cruz@mailinator.com"/>
    <s v="mailinator.com"/>
    <s v="817-905-6598"/>
    <x v="5"/>
    <x v="34"/>
    <s v="IT"/>
    <s v="CQQVJC41M50H989G"/>
    <n v="3528030000000000"/>
    <n v="10183"/>
    <x v="23"/>
    <n v="2"/>
    <n v="73.449999999999989"/>
  </r>
  <r>
    <s v="Mildred"/>
    <s v="Carey"/>
    <x v="39"/>
    <s v="Mrs."/>
    <x v="1"/>
    <s v="3362 Post Avenue"/>
    <s v="Aulnay-sous-bois"/>
    <s v="FR"/>
    <s v="FR"/>
    <x v="6"/>
    <n v="93600"/>
    <s v="Mildred.M.Carey@mailinator.com"/>
    <s v="mailinator.com"/>
    <s v="03.43.65.57.75"/>
    <x v="3"/>
    <x v="8"/>
    <s v="ES"/>
    <s v="5876860S"/>
    <n v="343374000000000"/>
    <n v="10187"/>
    <x v="21"/>
    <n v="4"/>
    <n v="891.83999999999992"/>
  </r>
  <r>
    <s v="Yasmin"/>
    <s v="Cole"/>
    <x v="40"/>
    <s v="Mrs."/>
    <x v="1"/>
    <s v="2756 Johnson Street"/>
    <s v="Austin"/>
    <s v="TX"/>
    <s v="US"/>
    <x v="3"/>
    <n v="78664"/>
    <s v="Yasmin.D.Cole@pookmail.com"/>
    <s v="pookmail.com"/>
    <s v="703-633-1911"/>
    <x v="1"/>
    <x v="19"/>
    <s v="ES"/>
    <s v="1062903G"/>
    <n v="4761930000000000"/>
    <n v="10195"/>
    <x v="24"/>
    <n v="5"/>
    <n v="1268.6399999999999"/>
  </r>
  <r>
    <s v="Jodi"/>
    <s v="Bugg"/>
    <x v="41"/>
    <s v="Mrs."/>
    <x v="1"/>
    <s v="1177 Petunia Way"/>
    <s v="Avio"/>
    <s v="TN"/>
    <s v="IT"/>
    <x v="0"/>
    <n v="38063"/>
    <s v="Jodi.S.Bugg@spambob.com"/>
    <s v="spambob.com"/>
    <s v="0396 3484999"/>
    <x v="3"/>
    <x v="35"/>
    <s v="FR"/>
    <n v="253000000000000"/>
    <n v="344866000000000"/>
    <n v="10203"/>
    <x v="25"/>
    <n v="2"/>
    <n v="51.26"/>
  </r>
  <r>
    <s v="Henry"/>
    <s v="Williams"/>
    <x v="42"/>
    <s v="Mr."/>
    <x v="0"/>
    <s v="303 School Street"/>
    <s v="Back Plains"/>
    <s v="QLD"/>
    <s v="AU"/>
    <x v="5"/>
    <n v="4361"/>
    <s v="Henry.C.Williams@spambob.com"/>
    <s v="spambob.com"/>
    <s v="(03) 5390 3807"/>
    <x v="3"/>
    <x v="36"/>
    <s v="UK"/>
    <s v="TS214786A"/>
    <n v="342963000000000"/>
    <n v="10207"/>
    <x v="26"/>
    <n v="1"/>
    <n v="22.85"/>
  </r>
  <r>
    <s v="Allen"/>
    <s v="Rice"/>
    <x v="43"/>
    <s v="Mr."/>
    <x v="0"/>
    <s v="491 Browning Lane"/>
    <s v="Badia Di Cava De Tirreni"/>
    <s v="SA"/>
    <s v="IT"/>
    <x v="0"/>
    <n v="84010"/>
    <s v="Allen.L.Rice@pookmail.com"/>
    <s v="pookmail.com"/>
    <s v="0310 4718739"/>
    <x v="1"/>
    <x v="37"/>
    <s v="UK"/>
    <s v="YH860602C"/>
    <n v="4433280000000000"/>
    <n v="10211"/>
    <x v="1"/>
    <n v="3"/>
    <n v="342.38"/>
  </r>
  <r>
    <s v="Bradford"/>
    <s v="Claassen"/>
    <x v="44"/>
    <s v="Mr."/>
    <x v="0"/>
    <s v="2895 Jennifer Lane"/>
    <s v="Bagnasco"/>
    <s v="CN"/>
    <s v="IT"/>
    <x v="0"/>
    <n v="12071"/>
    <s v="Bradford.H.Claassen@mailinator.com"/>
    <s v="mailinator.com"/>
    <s v="0378 3425616"/>
    <x v="5"/>
    <x v="16"/>
    <s v="FR"/>
    <n v="796000000000000"/>
    <n v="3528170000000000"/>
    <n v="10215"/>
    <x v="1"/>
    <n v="2"/>
    <n v="246.61"/>
  </r>
  <r>
    <s v="Elizabeth"/>
    <s v="Turner"/>
    <x v="45"/>
    <s v="Mrs."/>
    <x v="1"/>
    <s v="4107 Limer Street"/>
    <s v="Baia Del Re"/>
    <s v="PC"/>
    <s v="IT"/>
    <x v="0"/>
    <n v="29100"/>
    <s v="Elizabeth.J.Turner@trashymail.com"/>
    <s v="trashymail.com"/>
    <s v="0356 9028368"/>
    <x v="3"/>
    <x v="15"/>
    <s v="ES"/>
    <s v="6111899V"/>
    <n v="344368000000000"/>
    <n v="10219"/>
    <x v="27"/>
    <n v="2"/>
    <n v="49.260000000000005"/>
  </r>
  <r>
    <s v="Dwight"/>
    <s v="Armenta"/>
    <x v="46"/>
    <s v="Mr."/>
    <x v="0"/>
    <s v="1043 Lynn Avenue"/>
    <s v="Bakersfield"/>
    <s v="CA"/>
    <s v="US"/>
    <x v="3"/>
    <n v="93307"/>
    <s v="Dwight.L.Armenta@dodgeit.com"/>
    <s v="dodgeit.com"/>
    <s v="512-885-6258"/>
    <x v="4"/>
    <x v="1"/>
    <s v="CA"/>
    <n v="321140626"/>
    <n v="36846700000000"/>
    <n v="10223"/>
    <x v="9"/>
    <n v="3"/>
    <n v="225.99"/>
  </r>
  <r>
    <s v="Michael"/>
    <s v="Pritchard"/>
    <x v="47"/>
    <s v="Mr."/>
    <x v="0"/>
    <s v="1117 Yorkshire Circle"/>
    <s v="Balliang"/>
    <s v="VIC"/>
    <s v="AU"/>
    <x v="5"/>
    <n v="3340"/>
    <s v="Michael.M.Pritchard@trashymail.com"/>
    <s v="trashymail.com"/>
    <s v="(08) 9072 2460"/>
    <x v="4"/>
    <x v="6"/>
    <s v="CA"/>
    <n v="329443600"/>
    <n v="36204600000000"/>
    <n v="10227"/>
    <x v="28"/>
    <n v="2"/>
    <n v="366"/>
  </r>
  <r>
    <s v="Elizabeth"/>
    <s v="Martinez"/>
    <x v="48"/>
    <s v="Mrs."/>
    <x v="1"/>
    <s v="947 Rainbow Road"/>
    <s v="Baltimore"/>
    <s v="MD"/>
    <s v="US"/>
    <x v="3"/>
    <n v="21202"/>
    <s v="Elizabeth.B.Martinez@mailinator.com"/>
    <s v="mailinator.com"/>
    <s v="314-268-8613"/>
    <x v="4"/>
    <x v="38"/>
    <s v="IT"/>
    <s v="UAAUXX18L25A259N"/>
    <n v="36165000000000"/>
    <n v="10231"/>
    <x v="12"/>
    <n v="2"/>
    <n v="431.39"/>
  </r>
  <r>
    <s v="Mary"/>
    <s v="Bates"/>
    <x v="49"/>
    <s v="Mrs."/>
    <x v="1"/>
    <s v="1646 Tenmile"/>
    <s v="Baltimore"/>
    <s v="MD"/>
    <s v="US"/>
    <x v="3"/>
    <n v="21201"/>
    <s v="Mary.T.Bates@pookmail.com"/>
    <s v="pookmail.com"/>
    <s v="503-337-6080"/>
    <x v="4"/>
    <x v="39"/>
    <s v="ES"/>
    <s v="2167155A"/>
    <n v="36810400000000"/>
    <n v="10235"/>
    <x v="1"/>
    <n v="2"/>
    <n v="79.739999999999995"/>
  </r>
  <r>
    <s v="Mandy"/>
    <s v="Fernandez"/>
    <x v="50"/>
    <s v="Mrs."/>
    <x v="1"/>
    <s v="4103 Wilmar Farm Road"/>
    <s v="Banora Point"/>
    <s v="NSW"/>
    <s v="AU"/>
    <x v="5"/>
    <n v="2486"/>
    <s v="Mandy.M.Fernandez@pookmail.com"/>
    <s v="pookmail.com"/>
    <s v="(03) 5361 9459"/>
    <x v="0"/>
    <x v="40"/>
    <s v="ES"/>
    <s v="2359270E"/>
    <n v="5167670000000000"/>
    <n v="10239"/>
    <x v="29"/>
    <n v="1"/>
    <n v="32.99"/>
  </r>
  <r>
    <s v="Megan"/>
    <s v="Mauro"/>
    <x v="51"/>
    <s v="Mrs."/>
    <x v="1"/>
    <s v="701 Clarksburg Park Road"/>
    <s v="Barnwell"/>
    <s v="SC"/>
    <s v="US"/>
    <x v="3"/>
    <n v="29812"/>
    <s v="Megan.R.Mauro@pookmail.com"/>
    <s v="pookmail.com"/>
    <s v="631-732-3842"/>
    <x v="1"/>
    <x v="41"/>
    <s v="CA"/>
    <n v="391138112"/>
    <n v="4770340000000000"/>
    <n v="10243"/>
    <x v="30"/>
    <n v="1"/>
    <n v="41.89"/>
  </r>
  <r>
    <s v="John"/>
    <s v="Riley"/>
    <x v="52"/>
    <s v="Mr."/>
    <x v="0"/>
    <s v="4904 Hamilton Drive"/>
    <s v="Barsbittel"/>
    <s v="DE"/>
    <s v="DE"/>
    <x v="1"/>
    <n v="22885"/>
    <s v="John.S.Riley@spambob.com"/>
    <s v="spambob.com"/>
    <s v="04329 69 96 01"/>
    <x v="2"/>
    <x v="42"/>
    <s v="U.S."/>
    <n v="441590001"/>
    <n v="6011000000000000"/>
    <n v="10247"/>
    <x v="14"/>
    <n v="1"/>
    <n v="100.5"/>
  </r>
  <r>
    <s v="Felix"/>
    <s v="Myers"/>
    <x v="53"/>
    <s v="Mr."/>
    <x v="0"/>
    <s v="170 Angie Drive"/>
    <s v="Bisecting"/>
    <s v="SS"/>
    <s v="IT"/>
    <x v="0"/>
    <n v="7020"/>
    <s v="Felix.R.Myers@mailinator.com"/>
    <s v="mailinator.com"/>
    <s v="0389 7059753"/>
    <x v="1"/>
    <x v="4"/>
    <s v="UK"/>
    <s v="AH088707D"/>
    <n v="4907840000000000"/>
    <n v="10251"/>
    <x v="31"/>
    <n v="3"/>
    <n v="132.23000000000002"/>
  </r>
  <r>
    <s v="Frank"/>
    <s v="Westra"/>
    <x v="54"/>
    <s v="Mr."/>
    <x v="0"/>
    <s v="3540 Stout Street"/>
    <s v="Baton Rouge"/>
    <s v="LA"/>
    <s v="US"/>
    <x v="3"/>
    <n v="70806"/>
    <s v="Frank.K.Westra@spambob.com"/>
    <s v="spambob.com"/>
    <s v="661-947-3606"/>
    <x v="1"/>
    <x v="43"/>
    <s v="FR"/>
    <n v="739000000000000"/>
    <n v="4784850000000000"/>
    <n v="10259"/>
    <x v="9"/>
    <n v="2"/>
    <n v="305.89"/>
  </r>
  <r>
    <s v="Jack"/>
    <s v="Owens"/>
    <x v="55"/>
    <s v="Mr."/>
    <x v="0"/>
    <s v="2374 Christie Way"/>
    <s v="Beasain"/>
    <s v="ES"/>
    <s v="ES"/>
    <x v="2"/>
    <n v="20200"/>
    <s v="Jack.L.Owens@spambob.com"/>
    <s v="spambob.com"/>
    <s v="91-102-2453"/>
    <x v="2"/>
    <x v="44"/>
    <s v="FR"/>
    <n v="163000000000000"/>
    <n v="6011770000000000"/>
    <n v="10263"/>
    <x v="32"/>
    <n v="1"/>
    <n v="192.48"/>
  </r>
  <r>
    <s v="Therese"/>
    <s v="Pickering"/>
    <x v="56"/>
    <s v="Mrs."/>
    <x v="1"/>
    <s v="893 Ferry Street"/>
    <s v="Belfield"/>
    <s v="ND"/>
    <s v="US"/>
    <x v="3"/>
    <n v="58622"/>
    <s v="Therese.B.Pickering@spambob.com"/>
    <s v="spambob.com"/>
    <s v="707-565-9536"/>
    <x v="3"/>
    <x v="45"/>
    <s v="FR"/>
    <n v="215000000000000"/>
    <n v="344896000000000"/>
    <n v="10271"/>
    <x v="33"/>
    <n v="2"/>
    <n v="61.08"/>
  </r>
  <r>
    <s v="Robert"/>
    <s v="Ojeda"/>
    <x v="57"/>
    <s v="Mr."/>
    <x v="0"/>
    <s v="546 Lakewood Drive"/>
    <s v="Belleville"/>
    <s v="IL"/>
    <s v="US"/>
    <x v="3"/>
    <n v="62220"/>
    <s v="Robert.M.Ojeda@mailinator.com"/>
    <s v="mailinator.com"/>
    <s v="503-705-8957"/>
    <x v="5"/>
    <x v="33"/>
    <s v="FR"/>
    <n v="229000000000000"/>
    <n v="3528360000000000"/>
    <n v="10275"/>
    <x v="34"/>
    <n v="2"/>
    <n v="369.53"/>
  </r>
  <r>
    <s v="Thomas"/>
    <s v="Farris"/>
    <x v="58"/>
    <s v="Mr."/>
    <x v="0"/>
    <s v="54 Kelly Drive"/>
    <s v="Beltsville"/>
    <s v="MD"/>
    <s v="US"/>
    <x v="3"/>
    <n v="20705"/>
    <s v="Thomas.S.Farris@spambob.com"/>
    <s v="spambob.com"/>
    <s v="616-788-0599"/>
    <x v="4"/>
    <x v="46"/>
    <s v="CA"/>
    <n v="751454315"/>
    <n v="36185500000000"/>
    <n v="10283"/>
    <x v="24"/>
    <n v="4"/>
    <n v="801.18"/>
  </r>
  <r>
    <s v="Joseph"/>
    <s v="Shafer"/>
    <x v="59"/>
    <s v="Mr."/>
    <x v="0"/>
    <s v="15 Lords Way"/>
    <s v="Beltsville"/>
    <s v="MD"/>
    <s v="US"/>
    <x v="3"/>
    <n v="20705"/>
    <s v="Joseph.J.Shafer@trashymail.com"/>
    <s v="trashymail.com"/>
    <s v="212-833-9423"/>
    <x v="5"/>
    <x v="46"/>
    <s v="U.S."/>
    <n v="577430003"/>
    <n v="3528220000000000"/>
    <n v="10287"/>
    <x v="6"/>
    <n v="1"/>
    <n v="126.46"/>
  </r>
  <r>
    <s v="Hoyt"/>
    <s v="Ramos"/>
    <x v="60"/>
    <s v="Mr."/>
    <x v="0"/>
    <s v="354 Northwest Boulevard"/>
    <s v="Bend"/>
    <s v="OR"/>
    <s v="US"/>
    <x v="3"/>
    <n v="97701"/>
    <s v="Hoyt.C.Ramos@dodgeit.com"/>
    <s v="dodgeit.com"/>
    <s v="215-438-4845"/>
    <x v="0"/>
    <x v="18"/>
    <s v="IT"/>
    <s v="TTVLTC38H61B853K"/>
    <n v="5171300000000000"/>
    <n v="10291"/>
    <x v="35"/>
    <n v="2"/>
    <n v="470.78"/>
  </r>
  <r>
    <s v="Jodi"/>
    <s v="Stanley"/>
    <x v="61"/>
    <s v="Mrs."/>
    <x v="1"/>
    <s v="4039 Kelley Road"/>
    <s v="Bensalem"/>
    <s v="PA"/>
    <s v="US"/>
    <x v="3"/>
    <n v="19020"/>
    <s v="Jodi.B.Stanley@spambob.com"/>
    <s v="spambob.com"/>
    <s v="262-385-8894"/>
    <x v="5"/>
    <x v="8"/>
    <s v="CA"/>
    <n v="904601168"/>
    <n v="3528100000000000"/>
    <n v="10295"/>
    <x v="30"/>
    <n v="3"/>
    <n v="53.29"/>
  </r>
  <r>
    <s v="Betty"/>
    <s v="Grimes"/>
    <x v="62"/>
    <s v="Mrs."/>
    <x v="1"/>
    <s v="2078 Plainfield Avenue"/>
    <s v="Berchtesgaden"/>
    <s v="DE"/>
    <s v="DE"/>
    <x v="1"/>
    <n v="83471"/>
    <s v="Betty.D.Grimes@mailinator.com"/>
    <s v="mailinator.com"/>
    <s v="08091 13 31 66"/>
    <x v="4"/>
    <x v="47"/>
    <s v="CA"/>
    <n v="777215385"/>
    <n v="36322900000000"/>
    <n v="10299"/>
    <x v="36"/>
    <n v="4"/>
    <n v="190.2"/>
  </r>
  <r>
    <s v="Tony"/>
    <s v="Brooks"/>
    <x v="63"/>
    <s v="Mr."/>
    <x v="0"/>
    <s v="2134 Watson Lane"/>
    <s v="Bergotto"/>
    <s v="PR"/>
    <s v="IT"/>
    <x v="0"/>
    <n v="43042"/>
    <s v="Tony.D.Brooks@mailinator.com"/>
    <s v="mailinator.com"/>
    <s v="0357 7464003"/>
    <x v="3"/>
    <x v="48"/>
    <s v="CA"/>
    <n v="935314484"/>
    <n v="373017000000000"/>
    <n v="10303"/>
    <x v="37"/>
    <n v="3"/>
    <n v="516.68000000000006"/>
  </r>
  <r>
    <s v="Michael"/>
    <s v="Reed"/>
    <x v="64"/>
    <s v="Mr."/>
    <x v="0"/>
    <s v="4592 Poplar Lane"/>
    <s v="Besnate"/>
    <s v="VA"/>
    <s v="IT"/>
    <x v="0"/>
    <n v="21010"/>
    <s v="Michael.K.Reed@trashymail.com"/>
    <s v="trashymail.com"/>
    <s v="0399 7420631"/>
    <x v="2"/>
    <x v="49"/>
    <s v="FR"/>
    <n v="283000000000000"/>
    <n v="6011470000000000"/>
    <n v="10307"/>
    <x v="1"/>
    <n v="4"/>
    <n v="517.51"/>
  </r>
  <r>
    <s v="Rosemary"/>
    <s v="Herbert"/>
    <x v="65"/>
    <s v="Mrs."/>
    <x v="1"/>
    <s v="3591 Nutters Barn Lane"/>
    <s v="Beverly Hills"/>
    <s v="CA"/>
    <s v="US"/>
    <x v="3"/>
    <n v="90210"/>
    <s v="Rosemary.J.Herbert@pookmail.com"/>
    <s v="pookmail.com"/>
    <s v="814-393-3387"/>
    <x v="3"/>
    <x v="24"/>
    <s v="U.S."/>
    <n v="22868377"/>
    <n v="375512000000000"/>
    <n v="10311"/>
    <x v="14"/>
    <n v="1"/>
    <n v="15.99"/>
  </r>
  <r>
    <s v="Judy"/>
    <s v="Larkin"/>
    <x v="66"/>
    <s v="Mrs."/>
    <x v="1"/>
    <s v="2659 Werninger Street"/>
    <s v="Biancade"/>
    <s v="TV"/>
    <s v="IT"/>
    <x v="0"/>
    <n v="31056"/>
    <s v="Judy.B.Larkin@pookmail.com"/>
    <s v="pookmail.com"/>
    <s v="0344 8952963"/>
    <x v="4"/>
    <x v="7"/>
    <s v="FR"/>
    <n v="115000000000000"/>
    <n v="36526200000000"/>
    <n v="10315"/>
    <x v="1"/>
    <n v="2"/>
    <n v="168.92"/>
  </r>
  <r>
    <s v="Judy"/>
    <s v="Hopping"/>
    <x v="67"/>
    <s v="Mrs."/>
    <x v="1"/>
    <s v="2805 DaVISAA Avenue"/>
    <s v="Biarritz"/>
    <s v="FR"/>
    <s v="FR"/>
    <x v="6"/>
    <n v="64200"/>
    <s v="Judy.G.Hopping@pookmail.com"/>
    <s v="pookmail.com"/>
    <s v="01.83.63.72.29"/>
    <x v="0"/>
    <x v="50"/>
    <s v="FR"/>
    <n v="702000000000000"/>
    <n v="5159490000000000"/>
    <n v="10319"/>
    <x v="38"/>
    <n v="4"/>
    <n v="746.40000000000009"/>
  </r>
  <r>
    <s v="Joseph"/>
    <s v="Rogers"/>
    <x v="68"/>
    <s v="Mr."/>
    <x v="0"/>
    <s v="2027 Harley Brook Lane"/>
    <s v="Biebrich"/>
    <s v="DE"/>
    <s v="DE"/>
    <x v="1"/>
    <n v="56370"/>
    <s v="Joseph.S.Rogers@mailinator.com"/>
    <s v="mailinator.com"/>
    <s v="0201 25 24 10"/>
    <x v="4"/>
    <x v="0"/>
    <s v="ES"/>
    <s v="7500577R"/>
    <n v="36501600000000"/>
    <n v="10323"/>
    <x v="1"/>
    <n v="2"/>
    <n v="76.460000000000008"/>
  </r>
  <r>
    <s v="James"/>
    <s v="Sales"/>
    <x v="69"/>
    <s v="Miss."/>
    <x v="1"/>
    <s v="3904 Capitol Avenue"/>
    <s v="Billings"/>
    <s v="MT"/>
    <s v="US"/>
    <x v="3"/>
    <n v="59102"/>
    <s v="James.K.Sales@trashymail.com"/>
    <s v="trashymail.com"/>
    <s v="864-527-3838"/>
    <x v="1"/>
    <x v="51"/>
    <s v="FR"/>
    <n v="250000000000000"/>
    <n v="4638110000000000"/>
    <n v="10327"/>
    <x v="10"/>
    <n v="5"/>
    <n v="1185.3400000000001"/>
  </r>
  <r>
    <s v="Charles"/>
    <s v="Pickett"/>
    <x v="70"/>
    <s v="Mr."/>
    <x v="0"/>
    <s v="928 Adonais Way"/>
    <s v="Birch Creek"/>
    <s v="AK"/>
    <s v="US"/>
    <x v="3"/>
    <n v="99740"/>
    <s v="Charles.F.Pickett@spambob.com"/>
    <s v="spambob.com"/>
    <s v="402-856-9229"/>
    <x v="2"/>
    <x v="21"/>
    <s v="ES"/>
    <s v="4900352H"/>
    <n v="6011160000000000"/>
    <n v="10331"/>
    <x v="18"/>
    <n v="1"/>
    <n v="10"/>
  </r>
  <r>
    <s v="Margaret"/>
    <s v="Shelton"/>
    <x v="71"/>
    <s v="Mrs."/>
    <x v="1"/>
    <s v="1034 Briarwood Drive"/>
    <s v="Birmingham"/>
    <s v="AL"/>
    <s v="US"/>
    <x v="3"/>
    <n v="35222"/>
    <s v="Margaret.T.Shelton@pookmail.com"/>
    <s v="pookmail.com"/>
    <s v="860-435-8672"/>
    <x v="2"/>
    <x v="52"/>
    <s v="CA"/>
    <n v="944146232"/>
    <n v="6011530000000000"/>
    <n v="10335"/>
    <x v="27"/>
    <n v="2"/>
    <n v="79.02000000000001"/>
  </r>
  <r>
    <s v="Rebecca"/>
    <s v="Uresti"/>
    <x v="72"/>
    <s v="Mrs."/>
    <x v="1"/>
    <s v="4333 Morningview Lane"/>
    <s v="Birmingham"/>
    <s v="AL"/>
    <s v="US"/>
    <x v="3"/>
    <n v="35203"/>
    <s v="Rebecca.C.Uresti@trashymail.com"/>
    <s v="trashymail.com"/>
    <s v="903-497-8623"/>
    <x v="1"/>
    <x v="25"/>
    <s v="UK"/>
    <s v="YR565337D"/>
    <n v="4446370000000000"/>
    <n v="10339"/>
    <x v="15"/>
    <n v="1"/>
    <n v="8.49"/>
  </r>
  <r>
    <s v="Emma"/>
    <s v="Perez"/>
    <x v="73"/>
    <s v="Mrs."/>
    <x v="1"/>
    <s v="1199 Lightning Point Drive"/>
    <s v="Black Hawk"/>
    <s v="SD"/>
    <s v="US"/>
    <x v="3"/>
    <n v="57718"/>
    <s v="Emma.V.Perez@spambob.com"/>
    <s v="spambob.com"/>
    <s v="612-990-4487"/>
    <x v="3"/>
    <x v="16"/>
    <s v="FR"/>
    <n v="159000000000000"/>
    <n v="344168000000000"/>
    <n v="10343"/>
    <x v="39"/>
    <n v="1"/>
    <n v="33.33"/>
  </r>
  <r>
    <s v="Reynaldo"/>
    <s v="Myers"/>
    <x v="74"/>
    <s v="Mr."/>
    <x v="0"/>
    <s v="3923 Black Stallion Road"/>
    <s v="Blaxland East"/>
    <s v="NSW"/>
    <s v="AU"/>
    <x v="5"/>
    <n v="2774"/>
    <s v="Reynaldo.J.Myers@pookmail.com"/>
    <s v="pookmail.com"/>
    <s v="(02) 6753 9404"/>
    <x v="3"/>
    <x v="36"/>
    <s v="FR"/>
    <n v="814000000000000"/>
    <n v="372006000000000"/>
    <n v="10347"/>
    <x v="40"/>
    <n v="2"/>
    <n v="58.19"/>
  </r>
  <r>
    <s v="Jennifer"/>
    <s v="Becker"/>
    <x v="75"/>
    <s v="Mrs."/>
    <x v="1"/>
    <s v="4374 Lindale Avenue"/>
    <s v="Bloomington"/>
    <s v="IL"/>
    <s v="US"/>
    <x v="3"/>
    <n v="61701"/>
    <s v="Jennifer.D.Becker@spambob.com"/>
    <s v="spambob.com"/>
    <s v="803-223-5484"/>
    <x v="5"/>
    <x v="46"/>
    <s v="FR"/>
    <n v="169000000000000"/>
    <n v="3528370000000000"/>
    <n v="10351"/>
    <x v="9"/>
    <n v="1"/>
    <n v="165.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s v="Allen"/>
    <s v="Perl"/>
    <s v="Mr."/>
    <s v="4707    Hillcrest Lane"/>
    <s v="Abeto"/>
    <s v="PG"/>
    <s v="IT"/>
    <n v="6040"/>
    <s v="Allen.M.Perl@spambob.com"/>
    <s v="0370 4762239"/>
    <s v="Master Card"/>
    <s v="RP385 "/>
    <s v="U.S."/>
    <n v="22867928"/>
    <n v="5179760000000000"/>
    <n v="10003"/>
    <n v="27"/>
    <n v="1106"/>
    <d v="1899-12-30T00:00:00"/>
    <d v="1899-12-30T00:29:06"/>
    <n v="29.79"/>
    <s v="NC298 "/>
    <d v="1899-12-30T00:00:00"/>
    <x v="0"/>
    <n v="134.24"/>
    <s v="Complete"/>
    <s v="Phone"/>
    <s v="Frequent"/>
    <s v="MediumValue"/>
    <s v="Gen_Y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4"/>
  </r>
  <r>
    <s v="Allen"/>
    <s v="Perl"/>
    <s v="Mr."/>
    <s v="4707    Hillcrest Lane"/>
    <s v="Abeto"/>
    <s v="PG"/>
    <s v="IT"/>
    <n v="6040"/>
    <s v="Allen.M.Perl@spambob.com"/>
    <s v="0370 4762239"/>
    <s v="Master Card"/>
    <s v="RP385 "/>
    <s v="U.S."/>
    <n v="22867928"/>
    <n v="5151800000000000"/>
    <n v="10003"/>
    <n v="27"/>
    <n v="2948"/>
    <d v="1899-12-30T00:00:00"/>
    <d v="1899-12-30T00:13:55"/>
    <n v="17.87"/>
    <s v="SW277 "/>
    <d v="1899-12-30T00:00:00"/>
    <x v="1"/>
    <n v="53.4"/>
    <s v="Abandoned"/>
    <s v="Phone"/>
    <s v="Frequent"/>
    <s v="MediumValue"/>
    <s v="Gen_Y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4"/>
  </r>
  <r>
    <s v="Allen"/>
    <s v="Perl"/>
    <s v="Mr."/>
    <s v="4707    Hillcrest Lane"/>
    <s v="Abeto"/>
    <s v="PG"/>
    <s v="IT"/>
    <n v="6040"/>
    <s v="Allen.M.Perl@spambob.com"/>
    <s v="0370 4762239"/>
    <s v="Master Card"/>
    <s v="RP385 "/>
    <s v="U.S."/>
    <n v="22867928"/>
    <n v="5172170000000000"/>
    <n v="10003"/>
    <n v="27"/>
    <n v="3323"/>
    <d v="1899-12-30T00:00:00"/>
    <d v="1899-12-30T00:39:06"/>
    <n v="31.88"/>
    <s v="NC160 "/>
    <d v="1899-12-30T00:00:00"/>
    <x v="2"/>
    <n v="26.25"/>
    <s v="Complete"/>
    <s v="Desktop"/>
    <s v="Frequent"/>
    <s v="LowValue"/>
    <s v="Gen_Y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3"/>
  </r>
  <r>
    <s v="Allen"/>
    <s v="Perl"/>
    <s v="Mr."/>
    <s v="4707    Hillcrest Lane"/>
    <s v="Abeto"/>
    <s v="PG"/>
    <s v="IT"/>
    <n v="6040"/>
    <s v="Allen.M.Perl@spambob.com"/>
    <s v="0370 4762239"/>
    <s v="Master Card"/>
    <s v="RP385 "/>
    <s v="U.S."/>
    <n v="22867928"/>
    <n v="5159250000000000"/>
    <n v="10003"/>
    <n v="27"/>
    <n v="7498"/>
    <d v="1899-12-30T00:00:00"/>
    <d v="1899-12-30T00:19:56"/>
    <n v="18.45"/>
    <s v="SW409 "/>
    <d v="1899-12-30T00:00:00"/>
    <x v="3"/>
    <n v="5.65"/>
    <s v="Complete"/>
    <s v="Phone"/>
    <s v="Frequent"/>
    <s v="LowValue"/>
    <s v="Gen_Y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</r>
  <r>
    <s v="Allen"/>
    <s v="Perl"/>
    <s v="Mr."/>
    <s v="4707    Hillcrest Lane"/>
    <s v="Abeto"/>
    <s v="PG"/>
    <s v="IT"/>
    <n v="6040"/>
    <s v="Allen.M.Perl@spambob.com"/>
    <s v="0370 4762239"/>
    <s v="Master Card"/>
    <s v="RP385 "/>
    <s v="U.S."/>
    <n v="22867928"/>
    <n v="5139430000000000"/>
    <n v="10003"/>
    <n v="27"/>
    <n v="7973"/>
    <d v="1899-12-30T00:00:00"/>
    <d v="1899-12-30T00:07:36"/>
    <n v="23.12"/>
    <s v="WE352 "/>
    <d v="1899-12-30T00:00:00"/>
    <x v="4"/>
    <n v="44.43"/>
    <s v="Complete"/>
    <s v="Phone"/>
    <s v="Frequent"/>
    <s v="LowValue"/>
    <s v="Gen_Y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Allen"/>
    <s v="Perl"/>
    <s v="Mr."/>
    <s v="4707    Hillcrest Lane"/>
    <s v="Abeto"/>
    <s v="PG"/>
    <s v="IT"/>
    <n v="6040"/>
    <s v="Allen.M.Perl@spambob.com"/>
    <s v="0370 4762239"/>
    <s v="Master Card"/>
    <s v="RP385 "/>
    <s v="U.S."/>
    <n v="22867928"/>
    <n v="5121840000000000"/>
    <n v="10003"/>
    <n v="27"/>
    <n v="9107"/>
    <d v="1899-12-30T00:00:00"/>
    <d v="1899-12-30T00:07:36"/>
    <n v="22.77"/>
    <s v="NW379 "/>
    <d v="1899-12-30T00:00:00"/>
    <x v="5"/>
    <n v="24.18"/>
    <s v="Complete"/>
    <s v="Phone"/>
    <s v="Frequent"/>
    <s v="LowValue"/>
    <s v="Gen_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</r>
  <r>
    <s v="Anthony"/>
    <s v="Whitney"/>
    <s v="Mr."/>
    <s v="518 Highland    View      Drive"/>
    <s v="Achstetten"/>
    <m/>
    <s v="DE"/>
    <n v="88480"/>
    <s v="Anthony.H.Whitney@pookmail.com"/>
    <s v="03571 39 94 30"/>
    <s v="VISA"/>
    <s v="WE349 "/>
    <s v="IT"/>
    <s v="NXFXLA90D69D741G"/>
    <n v="4469930000000000"/>
    <n v="10007"/>
    <s v="NA"/>
    <n v="7441"/>
    <d v="1899-12-30T00:00:00"/>
    <d v="1899-12-30T00:39:06"/>
    <n v="11.05"/>
    <s v="SC130 "/>
    <d v="1899-12-30T00:00:00"/>
    <x v="6"/>
    <n v="65.8"/>
    <s v="Complete"/>
    <s v="Desktop"/>
    <s v="FirstTime"/>
    <s v="HighValue"/>
    <s v="Gen_Z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0"/>
    <n v="5"/>
  </r>
  <r>
    <s v="Thomas"/>
    <s v="Owens"/>
    <s v="Mr."/>
    <s v="4030 Jessie Street"/>
    <s v="Adami"/>
    <s v="CZ"/>
    <s v="IT"/>
    <n v="88041"/>
    <s v="Thomas.N.Owens@mailinator.com"/>
    <s v="0341 5536286"/>
    <s v="VISA"/>
    <s v="WE352 "/>
    <s v="FR"/>
    <n v="148000000000000"/>
    <n v="4662810000000000"/>
    <n v="10015"/>
    <n v="60"/>
    <n v="627"/>
    <d v="1899-12-30T00:47:25"/>
    <d v="1899-12-30T00:47:25"/>
    <n v="6.37"/>
    <s v="NC163 "/>
    <d v="1899-12-30T00:47:25"/>
    <x v="7"/>
    <n v="40.340000000000003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4"/>
  </r>
  <r>
    <s v="Thomas"/>
    <s v="Owens"/>
    <s v="Mr."/>
    <s v="4030 Jessie Street"/>
    <s v="Adami"/>
    <s v="CZ"/>
    <s v="IT"/>
    <n v="88041"/>
    <s v="Thomas.N.Owens@mailinator.com"/>
    <s v="0341 5536286"/>
    <s v="VISA"/>
    <s v="WE352 "/>
    <s v="FR"/>
    <n v="148000000000000"/>
    <n v="4016650000000000"/>
    <n v="10015"/>
    <n v="60"/>
    <n v="1209"/>
    <d v="1899-12-30T00:00:00"/>
    <d v="1899-12-30T00:43:55"/>
    <n v="23.37"/>
    <s v="SW340 "/>
    <d v="1899-12-30T00:00:00"/>
    <x v="6"/>
    <n v="18.809999999999999"/>
    <s v="Cancelled"/>
    <s v="Phone"/>
    <s v="Occasional"/>
    <s v="LowValue"/>
    <s v="Baby_Boomers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Thomas"/>
    <s v="Owens"/>
    <s v="Mr."/>
    <s v="4030 Jessie Street"/>
    <s v="Adami"/>
    <s v="CZ"/>
    <s v="IT"/>
    <n v="88041"/>
    <s v="Thomas.N.Owens@mailinator.com"/>
    <s v="0341 5536286"/>
    <s v="VISA"/>
    <s v="WE352 "/>
    <s v="FR"/>
    <n v="148000000000000"/>
    <n v="4563880000000000"/>
    <n v="10015"/>
    <n v="60"/>
    <n v="1556"/>
    <d v="1899-12-30T00:00:00"/>
    <d v="1899-12-30T00:36:45"/>
    <n v="19.809999999999999"/>
    <s v="NW310 "/>
    <d v="1899-12-30T00:00:00"/>
    <x v="8"/>
    <n v="34.04"/>
    <s v="Complete"/>
    <s v="Phone"/>
    <s v="Occasional"/>
    <s v="LowValue"/>
    <s v="Baby_Boom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Thomas"/>
    <s v="Owens"/>
    <s v="Mr."/>
    <s v="4030 Jessie Street"/>
    <s v="Adami"/>
    <s v="CZ"/>
    <s v="IT"/>
    <n v="88041"/>
    <s v="Thomas.N.Owens@mailinator.com"/>
    <s v="0341 5536286"/>
    <s v="VISA"/>
    <s v="WE352 "/>
    <s v="FR"/>
    <n v="148000000000000"/>
    <n v="4621020000000000"/>
    <n v="10015"/>
    <n v="60"/>
    <n v="8633"/>
    <d v="1899-12-30T00:00:00"/>
    <d v="1899-12-30T00:17:25"/>
    <n v="11.15"/>
    <s v="NC100 "/>
    <d v="1899-12-30T00:00:00"/>
    <x v="9"/>
    <n v="49.94"/>
    <s v="Cancelled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Anthony"/>
    <s v="Carr"/>
    <s v="Mr."/>
    <s v="2866 Quilly Lane"/>
    <s v="Agallas"/>
    <m/>
    <s v="ES"/>
    <n v="37511"/>
    <s v="Anthony.T.Carr@trashymail.com"/>
    <s v="91-635-1987"/>
    <s v="Discover"/>
    <s v="SE208 "/>
    <s v="IT"/>
    <s v="EOOIAI58A45B091X"/>
    <n v="6011480000000000"/>
    <n v="10019"/>
    <n v="53"/>
    <n v="792"/>
    <d v="1899-12-30T00:00:00"/>
    <d v="1899-12-30T00:47:56"/>
    <n v="9.2200000000000006"/>
    <s v="SC259 "/>
    <d v="1899-12-30T00:00:00"/>
    <x v="10"/>
    <n v="28.35"/>
    <s v="Complete"/>
    <s v="Phone"/>
    <s v="Occasional"/>
    <s v="LowValue"/>
    <s v="Baby_Boomers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s v="Anthony"/>
    <s v="Carr"/>
    <s v="Mr."/>
    <s v="2866 Quilly Lane"/>
    <s v="Agallas"/>
    <m/>
    <s v="ES"/>
    <n v="37511"/>
    <s v="Anthony.T.Carr@trashymail.com"/>
    <s v="91-635-1987"/>
    <s v="Discover"/>
    <s v="SE208 "/>
    <s v="IT"/>
    <s v="EOOIAI58A45B091X"/>
    <n v="6011530000000000"/>
    <n v="10019"/>
    <n v="53"/>
    <n v="1257"/>
    <d v="1899-12-30T00:00:00"/>
    <d v="1899-12-30T00:47:25"/>
    <n v="13.33"/>
    <s v="SC193 "/>
    <d v="1899-12-30T00:00:00"/>
    <x v="9"/>
    <n v="29.82"/>
    <s v="Complete"/>
    <s v="Phone"/>
    <s v="Occasional"/>
    <s v="LowValue"/>
    <s v="Baby_Boomers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2"/>
  </r>
  <r>
    <s v="Anthony"/>
    <s v="Carr"/>
    <s v="Mr."/>
    <s v="2866 Quilly Lane"/>
    <s v="Agallas"/>
    <m/>
    <s v="ES"/>
    <n v="37511"/>
    <s v="Anthony.T.Carr@trashymail.com"/>
    <s v="91-635-1987"/>
    <s v="Discover"/>
    <s v="SE208 "/>
    <s v="IT"/>
    <s v="EOOIAI58A45B091X"/>
    <n v="6011080000000000"/>
    <n v="10019"/>
    <n v="53"/>
    <n v="2488"/>
    <d v="1899-12-30T00:00:00"/>
    <d v="1899-12-30T00:13:55"/>
    <n v="2.87"/>
    <s v="SW277 "/>
    <d v="1899-12-30T00:00:00"/>
    <x v="1"/>
    <n v="14.36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Anthony"/>
    <s v="Carr"/>
    <s v="Mr."/>
    <s v="2866 Quilly Lane"/>
    <s v="Agallas"/>
    <m/>
    <s v="ES"/>
    <n v="37511"/>
    <s v="Anthony.T.Carr@trashymail.com"/>
    <s v="91-635-1987"/>
    <s v="Discover"/>
    <s v="SE208 "/>
    <s v="IT"/>
    <s v="EOOIAI58A45B091X"/>
    <n v="6011110000000000"/>
    <n v="10019"/>
    <n v="53"/>
    <n v="2836"/>
    <d v="1899-12-30T00:00:00"/>
    <d v="1899-12-30T00:29:06"/>
    <n v="6.05"/>
    <s v="NC298 "/>
    <d v="1899-12-30T00:00:00"/>
    <x v="0"/>
    <n v="9.06"/>
    <s v="In-Progress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Anthony"/>
    <s v="Carr"/>
    <s v="Mr."/>
    <s v="2866 Quilly Lane"/>
    <s v="Agallas"/>
    <m/>
    <s v="ES"/>
    <n v="37511"/>
    <s v="Anthony.T.Carr@trashymail.com"/>
    <s v="91-635-1987"/>
    <s v="Discover"/>
    <s v="SE208 "/>
    <s v="IT"/>
    <s v="EOOIAI58A45B091X"/>
    <n v="6011940000000000"/>
    <n v="10019"/>
    <n v="53"/>
    <n v="5456"/>
    <d v="1899-12-30T00:00:00"/>
    <d v="1899-12-30T00:50:45"/>
    <n v="23.37"/>
    <s v="RP253 "/>
    <d v="1899-12-30T00:00:00"/>
    <x v="11"/>
    <n v="36.5"/>
    <s v="Complete"/>
    <s v="Phone"/>
    <s v="Occasional"/>
    <s v="LowValue"/>
    <s v="Baby_Boomers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s v="Melvin"/>
    <s v="Schmitz"/>
    <s v="Mr."/>
    <s v="20 Rocky Road"/>
    <s v="Aigues"/>
    <m/>
    <s v="ES"/>
    <n v="3569"/>
    <s v="Melvin.B.Schmitz@dodgeit.com"/>
    <s v="91-102-2813"/>
    <s v="VISA"/>
    <s v="SW409 "/>
    <s v="IT"/>
    <s v="UAENZJ93C71L915W"/>
    <n v="4172780000000000"/>
    <n v="10027"/>
    <n v="32"/>
    <n v="139"/>
    <d v="1899-12-30T00:00:00"/>
    <d v="1899-12-30T00:33:45"/>
    <n v="24.08"/>
    <s v="NW184 "/>
    <d v="1899-12-30T00:00:00"/>
    <x v="12"/>
    <n v="10.11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Melvin"/>
    <s v="Schmitz"/>
    <s v="Mr."/>
    <s v="20 Rocky Road"/>
    <s v="Aigues"/>
    <m/>
    <s v="ES"/>
    <n v="3569"/>
    <s v="Melvin.B.Schmitz@dodgeit.com"/>
    <s v="91-102-2813"/>
    <s v="VISA"/>
    <s v="SW409 "/>
    <s v="IT"/>
    <s v="UAENZJ93C71L915W"/>
    <n v="4235920000000000"/>
    <n v="10027"/>
    <n v="32"/>
    <n v="831"/>
    <d v="1899-12-30T00:00:00"/>
    <d v="1899-12-30T00:34:00"/>
    <n v="7.02"/>
    <s v="SE265 "/>
    <d v="1899-12-30T00:00:00"/>
    <x v="13"/>
    <n v="42.16"/>
    <s v="Cancelled"/>
    <s v="Phone"/>
    <s v="Occasional"/>
    <s v="LowValue"/>
    <s v="Gen_Y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Melvin"/>
    <s v="Schmitz"/>
    <s v="Mr."/>
    <s v="20 Rocky Road"/>
    <s v="Aigues"/>
    <m/>
    <s v="ES"/>
    <n v="3569"/>
    <s v="Melvin.B.Schmitz@dodgeit.com"/>
    <s v="91-102-2813"/>
    <s v="VISA"/>
    <s v="SW409 "/>
    <s v="IT"/>
    <s v="UAENZJ93C71L915W"/>
    <n v="4988190000000000"/>
    <n v="10027"/>
    <n v="32"/>
    <n v="6961"/>
    <d v="1899-12-30T00:00:00"/>
    <d v="1899-12-30T00:29:06"/>
    <n v="11.45"/>
    <s v="NC358 "/>
    <d v="1899-12-30T00:00:00"/>
    <x v="14"/>
    <n v="48.35"/>
    <s v="Abandoned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Melvin"/>
    <s v="Schmitz"/>
    <s v="Mr."/>
    <s v="20 Rocky Road"/>
    <s v="Aigues"/>
    <m/>
    <s v="ES"/>
    <n v="3569"/>
    <s v="Melvin.B.Schmitz@dodgeit.com"/>
    <s v="91-102-2813"/>
    <s v="VISA"/>
    <s v="SW409 "/>
    <s v="IT"/>
    <s v="UAENZJ93C71L915W"/>
    <n v="4644860000000000"/>
    <n v="10027"/>
    <n v="32"/>
    <n v="8622"/>
    <d v="1899-12-30T00:00:00"/>
    <d v="1899-12-30T00:07:39"/>
    <n v="9.51"/>
    <s v="SC256 "/>
    <d v="1899-12-30T00:00:00"/>
    <x v="15"/>
    <n v="5.0999999999999996"/>
    <s v="In-Progress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John"/>
    <s v="Hoffman"/>
    <s v="Mr."/>
    <s v="1660 Lighthouse Drive"/>
    <s v="Akron"/>
    <s v="OH"/>
    <s v="US"/>
    <n v="44311"/>
    <s v="John.D.Hoffman@trashymail.com"/>
    <s v="608-822-4333"/>
    <s v="American Express"/>
    <s v="SW274 "/>
    <s v="IT"/>
    <s v="RGQKFP86T41C178Z"/>
    <n v="377308000000000"/>
    <n v="10031"/>
    <n v="46"/>
    <n v="1369"/>
    <d v="1899-12-30T00:00:00"/>
    <d v="1899-12-30T00:32:51"/>
    <n v="21.97"/>
    <s v="NW247 "/>
    <d v="1899-12-30T00:00:00"/>
    <x v="16"/>
    <n v="24.66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Muriel"/>
    <s v="Exley"/>
    <s v="Mrs."/>
    <s v="2645 Kooter Lane"/>
    <s v="Alba Di Canazei"/>
    <s v="TN"/>
    <s v="IT"/>
    <n v="38030"/>
    <s v="Muriel.J.Exley@trashymail.com"/>
    <s v="0326 8920950"/>
    <s v="Discover"/>
    <s v="SW412 "/>
    <s v="FR"/>
    <n v="267000000000000"/>
    <n v="6012000000000000"/>
    <n v="10035"/>
    <n v="46"/>
    <n v="5328"/>
    <d v="1899-12-30T00:00:00"/>
    <d v="1899-12-30T00:32:45"/>
    <n v="33.85"/>
    <s v="NE304 "/>
    <d v="1899-12-30T00:00:00"/>
    <x v="17"/>
    <n v="49.16"/>
    <s v="Complete"/>
    <s v="Phone"/>
    <s v="Occasional"/>
    <s v="LowValue"/>
    <s v="Gen_X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James"/>
    <s v="Moyle"/>
    <s v="Mr."/>
    <s v="288 Vineyard Drive"/>
    <s v="Albany"/>
    <s v="NY"/>
    <s v="US"/>
    <n v="12204"/>
    <s v="James.O.Moyle@pookmail.com"/>
    <s v="614-241-8539"/>
    <s v="Master Card"/>
    <s v="NW247 "/>
    <s v="IT"/>
    <s v="MQRAXX73T01A895J"/>
    <n v="5155200000000000"/>
    <n v="10039"/>
    <n v="72"/>
    <n v="421"/>
    <d v="1899-12-30T00:00:00"/>
    <d v="1899-12-30T00:33:45"/>
    <n v="22.77"/>
    <s v="NE367 "/>
    <d v="1899-12-30T00:00:00"/>
    <x v="12"/>
    <n v="224.71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1"/>
    <n v="0"/>
    <n v="1"/>
    <n v="1"/>
    <n v="0"/>
    <n v="0"/>
    <n v="0"/>
    <n v="0"/>
    <n v="0"/>
    <n v="1"/>
    <n v="0"/>
    <n v="7"/>
  </r>
  <r>
    <s v="James"/>
    <s v="Moyle"/>
    <s v="Mr."/>
    <s v="288 Vineyard Drive"/>
    <s v="Albany"/>
    <s v="NY"/>
    <s v="US"/>
    <n v="12204"/>
    <s v="James.O.Moyle@pookmail.com"/>
    <s v="614-241-8539"/>
    <s v="Master Card"/>
    <s v="NW247 "/>
    <s v="IT"/>
    <s v="MQRAXX73T01A895J"/>
    <n v="5179760000000000"/>
    <n v="10039"/>
    <n v="72"/>
    <n v="5317"/>
    <d v="1899-12-30T00:00:00"/>
    <d v="1899-12-30T00:34:17"/>
    <n v="5.85"/>
    <s v="NW115 "/>
    <d v="1899-12-30T00:00:00"/>
    <x v="18"/>
    <n v="235.6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4"/>
  </r>
  <r>
    <s v="James"/>
    <s v="Moyle"/>
    <s v="Mr."/>
    <s v="288 Vineyard Drive"/>
    <s v="Albany"/>
    <s v="NY"/>
    <s v="US"/>
    <n v="12204"/>
    <s v="James.O.Moyle@pookmail.com"/>
    <s v="614-241-8539"/>
    <s v="Master Card"/>
    <s v="NW247 "/>
    <s v="IT"/>
    <s v="MQRAXX73T01A895J"/>
    <n v="5128950000000000"/>
    <n v="10039"/>
    <n v="72"/>
    <n v="5855"/>
    <d v="1899-12-30T00:00:00"/>
    <d v="1899-12-30T00:33:45"/>
    <n v="17.2"/>
    <s v="NW112 "/>
    <d v="1899-12-30T00:00:00"/>
    <x v="19"/>
    <n v="164.54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1"/>
    <n v="1"/>
    <n v="1"/>
    <n v="0"/>
    <n v="0"/>
    <n v="0"/>
    <n v="0"/>
    <n v="0"/>
    <n v="0"/>
    <n v="0"/>
    <n v="6"/>
  </r>
  <r>
    <s v="Calvin"/>
    <s v="Shupe"/>
    <s v="Mr."/>
    <s v="3335 Willow Oaks Lane"/>
    <s v="Albosaggia"/>
    <s v="SO"/>
    <s v="IT"/>
    <n v="23100"/>
    <s v="Calvin.M.Shupe@spambob.com"/>
    <s v="0331 4473271"/>
    <s v="VISA"/>
    <s v="NE373 "/>
    <s v="IT"/>
    <s v="RHFGBS20R46E848A"/>
    <n v="4308570000000000"/>
    <n v="10047"/>
    <n v="49"/>
    <n v="529"/>
    <d v="1899-12-30T00:00:00"/>
    <d v="1899-12-30T00:47:39"/>
    <n v="9"/>
    <s v="SC388 "/>
    <d v="1899-12-30T00:00:00"/>
    <x v="20"/>
    <n v="45.66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</r>
  <r>
    <s v="Alfonso"/>
    <s v="Frazier"/>
    <s v="Mr."/>
    <s v="3783 Freed Drive"/>
    <s v="Albuquerque"/>
    <s v="NM"/>
    <s v="US"/>
    <n v="87109"/>
    <s v="Alfonso.K.Frazier@pookmail.com"/>
    <s v="973-546-4321"/>
    <s v="American Expres"/>
    <s v="WE418 "/>
    <s v="FR"/>
    <n v="176000000000000"/>
    <n v="340583000000000"/>
    <n v="10051"/>
    <n v="47"/>
    <n v="1352"/>
    <d v="1899-12-30T00:00:00"/>
    <d v="1899-12-30T00:27:56"/>
    <n v="13.33"/>
    <s v="SE271 "/>
    <d v="1899-12-30T00:00:00"/>
    <x v="21"/>
    <n v="18.989999999999998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Alfonso"/>
    <s v="Frazier"/>
    <s v="Mr."/>
    <s v="3783 Freed Drive"/>
    <s v="Albuquerque"/>
    <s v="NM"/>
    <s v="US"/>
    <n v="87109"/>
    <s v="Alfonso.K.Frazier@pookmail.com"/>
    <s v="973-546-4321"/>
    <s v="American Expres"/>
    <s v="WE418 "/>
    <s v="FR"/>
    <n v="176000000000000"/>
    <n v="378254000000000"/>
    <n v="10051"/>
    <n v="47"/>
    <n v="3079"/>
    <d v="1899-12-30T00:00:00"/>
    <d v="1899-12-30T00:19:46"/>
    <n v="7.85"/>
    <s v="NW250 "/>
    <d v="1899-12-30T00:00:00"/>
    <x v="22"/>
    <n v="43.14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4"/>
  </r>
  <r>
    <s v="Alfonso"/>
    <s v="Frazier"/>
    <s v="Mr."/>
    <s v="3783 Freed Drive"/>
    <s v="Albuquerque"/>
    <s v="NM"/>
    <s v="US"/>
    <n v="87109"/>
    <s v="Alfonso.K.Frazier@pookmail.com"/>
    <s v="973-546-4321"/>
    <s v="American Expres"/>
    <s v="WE418 "/>
    <s v="FR"/>
    <n v="176000000000000"/>
    <n v="340232000000000"/>
    <n v="10051"/>
    <n v="47"/>
    <n v="5296"/>
    <d v="1899-12-30T00:00:00"/>
    <d v="1899-12-30T00:44:17"/>
    <n v="48.52"/>
    <s v="NE178 "/>
    <d v="1899-12-30T00:00:00"/>
    <x v="12"/>
    <n v="27.45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Alfonso"/>
    <s v="Frazier"/>
    <s v="Mr."/>
    <s v="3783 Freed Drive"/>
    <s v="Albuquerque"/>
    <s v="NM"/>
    <s v="US"/>
    <n v="87109"/>
    <s v="Alfonso.K.Frazier@pookmail.com"/>
    <s v="973-546-4321"/>
    <s v="American Expres"/>
    <s v="WE418 "/>
    <s v="FR"/>
    <n v="176000000000000"/>
    <n v="345077000000000"/>
    <n v="10051"/>
    <n v="47"/>
    <n v="5312"/>
    <d v="1899-12-30T00:00:00"/>
    <d v="1899-12-30T00:07:36"/>
    <n v="17.600000000000001"/>
    <s v="NC424 "/>
    <d v="1899-12-30T00:00:00"/>
    <x v="23"/>
    <n v="27.45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4"/>
  </r>
  <r>
    <s v="Alfonso"/>
    <s v="Frazier"/>
    <s v="Mr."/>
    <s v="3783 Freed Drive"/>
    <s v="Albuquerque"/>
    <s v="NM"/>
    <s v="US"/>
    <n v="87109"/>
    <s v="Alfonso.K.Frazier@pookmail.com"/>
    <s v="973-546-4321"/>
    <s v="American Expres"/>
    <s v="WE418 "/>
    <s v="FR"/>
    <n v="176000000000000"/>
    <n v="377264000000000"/>
    <n v="10051"/>
    <n v="47"/>
    <n v="6481"/>
    <d v="1899-12-30T00:00:00"/>
    <d v="1899-12-30T00:32:45"/>
    <n v="17.87"/>
    <s v="RP190 "/>
    <d v="1899-12-30T00:00:00"/>
    <x v="20"/>
    <n v="28.6"/>
    <s v="Cancelled"/>
    <s v="Phone"/>
    <s v="Occasional"/>
    <s v="LowValue"/>
    <s v="Gen_X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Alfonso"/>
    <s v="Frazier"/>
    <s v="Mr."/>
    <s v="3783 Freed Drive"/>
    <s v="Albuquerque"/>
    <s v="NM"/>
    <s v="US"/>
    <n v="87109"/>
    <s v="Alfonso.K.Frazier@pookmail.com"/>
    <s v="973-546-4321"/>
    <s v="American Expres"/>
    <s v="WE418 "/>
    <s v="FR"/>
    <n v="176000000000000"/>
    <n v="374980000000000"/>
    <n v="10051"/>
    <n v="47"/>
    <n v="6487"/>
    <d v="1899-12-30T00:00:00"/>
    <d v="1899-12-30T00:43:55"/>
    <n v="17.87"/>
    <s v="NW181 "/>
    <d v="1899-12-30T00:00:00"/>
    <x v="24"/>
    <n v="42.24"/>
    <s v="Complete"/>
    <s v="Phone"/>
    <s v="Occasional"/>
    <s v="LowValue"/>
    <s v="Gen_X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Alfonso"/>
    <s v="Frazier"/>
    <s v="Mr."/>
    <s v="3783 Freed Drive"/>
    <s v="Albuquerque"/>
    <s v="NM"/>
    <s v="US"/>
    <n v="87109"/>
    <s v="Alfonso.K.Frazier@pookmail.com"/>
    <s v="973-546-4321"/>
    <s v="American Expres"/>
    <s v="WE418 "/>
    <s v="FR"/>
    <n v="176000000000000"/>
    <n v="343230000000000"/>
    <n v="10051"/>
    <n v="47"/>
    <n v="7945"/>
    <d v="1899-12-30T00:00:00"/>
    <d v="1899-12-30T00:47:53"/>
    <n v="21.97"/>
    <s v="NE241 "/>
    <d v="1899-12-30T00:00:00"/>
    <x v="25"/>
    <n v="8.0399999999999991"/>
    <s v="In-Progress"/>
    <s v="Phone"/>
    <s v="Occasional"/>
    <s v="LowValue"/>
    <s v="Gen_X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</r>
  <r>
    <s v="Reda"/>
    <s v="Fullilove"/>
    <s v="Mrs."/>
    <s v="518 Crestview Terrace"/>
    <s v="Alcalali"/>
    <m/>
    <s v="ES"/>
    <n v="3728"/>
    <s v="Reda.J.Fullilove@dodgeit.com"/>
    <s v="91-102-2037"/>
    <s v="Diners Club"/>
    <s v="SE205 "/>
    <s v="IT"/>
    <s v="WHQPWH25A09H876D"/>
    <n v="36050000000000"/>
    <n v="10055"/>
    <n v="24"/>
    <n v="925"/>
    <d v="1899-12-30T00:00:00"/>
    <d v="1899-12-30T00:47:53"/>
    <n v="19.25"/>
    <s v="WE157 "/>
    <d v="1899-12-30T00:00:00"/>
    <x v="25"/>
    <n v="32.11"/>
    <s v="In-Progress"/>
    <s v="Phone"/>
    <s v="FirstTime"/>
    <s v="LowValue"/>
    <s v="Gen_Y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4"/>
  </r>
  <r>
    <s v="Reda"/>
    <s v="Fullilove"/>
    <s v="Mrs."/>
    <s v="518 Crestview Terrace"/>
    <s v="Alcalali"/>
    <m/>
    <s v="ES"/>
    <n v="3728"/>
    <s v="Reda.J.Fullilove@dodgeit.com"/>
    <s v="91-102-2037"/>
    <s v="Diners Club"/>
    <s v="SE205 "/>
    <s v="IT"/>
    <s v="WHQPWH25A09H876D"/>
    <n v="36424900000000"/>
    <n v="10055"/>
    <n v="24"/>
    <n v="1282"/>
    <d v="1899-12-30T00:00:00"/>
    <d v="1899-12-30T00:47:53"/>
    <n v="23.37"/>
    <s v="WE157 "/>
    <d v="1899-12-30T00:00:00"/>
    <x v="25"/>
    <n v="223.31"/>
    <s v="Complete"/>
    <s v="Phone"/>
    <s v="FirstTime"/>
    <s v="HighValue"/>
    <s v="Gen_Y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1"/>
    <n v="5"/>
  </r>
  <r>
    <s v="Reda"/>
    <s v="Fullilove"/>
    <s v="Mrs."/>
    <s v="518 Crestview Terrace"/>
    <s v="Alcalali"/>
    <m/>
    <s v="ES"/>
    <n v="3728"/>
    <s v="Reda.J.Fullilove@dodgeit.com"/>
    <s v="91-102-2037"/>
    <s v="Diners Club"/>
    <s v="SE205 "/>
    <s v="IT"/>
    <s v="WHQPWH25A09H876D"/>
    <n v="36295300000000"/>
    <n v="10055"/>
    <n v="24"/>
    <n v="4950"/>
    <d v="1899-12-30T00:00:00"/>
    <d v="1899-12-30T00:43:55"/>
    <n v="18.45"/>
    <s v="NE103 "/>
    <d v="1899-12-30T00:00:00"/>
    <x v="26"/>
    <n v="129.77000000000001"/>
    <s v="Complete"/>
    <s v="Phone"/>
    <s v="FirstTime"/>
    <s v="MediumValue"/>
    <s v="Gen_Y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4"/>
  </r>
  <r>
    <s v="Cecil"/>
    <s v="Games"/>
    <s v="Mr."/>
    <s v="3747 Abner Road"/>
    <s v="Aldearrubia"/>
    <m/>
    <s v="ES"/>
    <n v="37340"/>
    <s v="Cecil.A.Games@trashymail.com"/>
    <s v="91-103-1865"/>
    <s v="VISA"/>
    <s v="WE421 "/>
    <s v="FR"/>
    <n v="210000000000000"/>
    <n v="4621260000000000"/>
    <n v="10059"/>
    <s v="age-32"/>
    <n v="1985"/>
    <d v="1899-12-30T00:00:00"/>
    <d v="1899-12-30T00:25:37"/>
    <n v="21.97"/>
    <s v="WE415 "/>
    <d v="1899-12-30T00:00:00"/>
    <x v="27"/>
    <n v="5.91"/>
    <s v="In-Progress"/>
    <s v="Phone"/>
    <s v="FirstTime"/>
    <s v="LowValue"/>
    <s v="Gen_Z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s v="Cecil"/>
    <s v="Games"/>
    <s v="Mr."/>
    <s v="3747 Abner Road"/>
    <s v="Aldearrubia"/>
    <m/>
    <s v="ES"/>
    <n v="37340"/>
    <s v="Cecil.A.Games@trashymail.com"/>
    <s v="91-103-1865"/>
    <s v="VISA"/>
    <s v="WE421 "/>
    <s v="FR"/>
    <n v="210000000000000"/>
    <n v="4699080000000000"/>
    <n v="10059"/>
    <s v="age-32"/>
    <n v="3363"/>
    <d v="1899-12-30T00:00:00"/>
    <d v="1899-12-30T00:23:45"/>
    <n v="68.569999999999993"/>
    <s v="NW244 "/>
    <d v="1899-12-30T00:00:00"/>
    <x v="28"/>
    <n v="173.62"/>
    <s v="Complete"/>
    <s v="Phone"/>
    <s v="FirstTime"/>
    <s v="HighValue"/>
    <s v="Gen_Z"/>
    <n v="1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5"/>
  </r>
  <r>
    <s v="Edward"/>
    <s v="Turner"/>
    <s v="Mr."/>
    <s v="3179 Stratford Drive"/>
    <s v="Alexandrian"/>
    <s v="LA"/>
    <s v="US"/>
    <n v="71301"/>
    <s v="Edward.C.Turner@mailinator.com"/>
    <s v="313-244-7595"/>
    <s v="Diners Club"/>
    <s v="WE154 "/>
    <s v="FR"/>
    <n v="754000000000000"/>
    <n v="36139400000000"/>
    <n v="10063"/>
    <n v="65"/>
    <n v="564"/>
    <d v="1899-12-30T00:00:00"/>
    <d v="1899-12-30T00:58:45"/>
    <n v="7.12"/>
    <s v="SW343 "/>
    <d v="1899-12-30T00:00:00"/>
    <x v="19"/>
    <n v="198.38"/>
    <s v="Cancelled"/>
    <s v="Desktop"/>
    <s v="Frequent"/>
    <s v="HighValue"/>
    <s v="Baby_Boomers"/>
    <n v="0"/>
    <n v="1"/>
    <n v="0"/>
    <n v="1"/>
    <n v="0"/>
    <n v="0"/>
    <n v="1"/>
    <n v="0"/>
    <n v="1"/>
    <n v="1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8"/>
  </r>
  <r>
    <s v="Edward"/>
    <s v="Turner"/>
    <s v="Mr."/>
    <s v="3179 Stratford Drive"/>
    <s v="Alexandria"/>
    <s v="LA"/>
    <s v="US"/>
    <n v="71301"/>
    <s v="Edward.C.Turner@mailinator.com"/>
    <s v="313-244-7595"/>
    <s v="Diners Club"/>
    <s v="WE154 "/>
    <s v="FR"/>
    <n v="754000000000000"/>
    <n v="36254100000000"/>
    <n v="10063"/>
    <n v="65"/>
    <n v="1506"/>
    <d v="1899-12-30T00:00:00"/>
    <d v="1899-12-30T00:34:17"/>
    <n v="22.77"/>
    <s v="SE403 "/>
    <d v="1899-12-30T00:00:00"/>
    <x v="29"/>
    <n v="242.23"/>
    <s v="Complete"/>
    <s v="Desktop"/>
    <s v="Frequent"/>
    <s v="HighValue"/>
    <s v="Baby_Boomers"/>
    <n v="0"/>
    <n v="1"/>
    <n v="1"/>
    <n v="0"/>
    <n v="0"/>
    <n v="0"/>
    <n v="0"/>
    <n v="0"/>
    <n v="1"/>
    <n v="1"/>
    <n v="0"/>
    <n v="0"/>
    <n v="0"/>
    <n v="0"/>
    <n v="0"/>
    <n v="0"/>
    <n v="0"/>
    <n v="1"/>
    <n v="0"/>
    <n v="0"/>
    <n v="0"/>
    <n v="1"/>
    <n v="0"/>
    <n v="1"/>
    <n v="0"/>
    <n v="0"/>
    <n v="0"/>
    <n v="1"/>
    <n v="1"/>
    <n v="9"/>
  </r>
  <r>
    <s v="Edward"/>
    <s v="Turner"/>
    <s v="Mr."/>
    <s v="3179 Stratford Drive"/>
    <s v="Alexandria"/>
    <s v="LA"/>
    <s v="US"/>
    <n v="71301"/>
    <s v="Edward.C.Turner@mailinator.com"/>
    <s v="313-244-7595"/>
    <s v="Diners Club"/>
    <s v="WE154 "/>
    <s v="FR"/>
    <n v="754000000000000"/>
    <n v="36237400000000"/>
    <n v="10063"/>
    <n v="65"/>
    <n v="3586"/>
    <d v="1899-12-30T00:00:00"/>
    <d v="1899-12-30T00:34:17"/>
    <n v="11.45"/>
    <s v="NW115 "/>
    <d v="1899-12-30T00:00:00"/>
    <x v="18"/>
    <n v="270.16000000000003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4"/>
  </r>
  <r>
    <s v="Amy"/>
    <s v="Randle"/>
    <s v="Mrs."/>
    <s v="4316 Nickel Road"/>
    <s v="Algaida"/>
    <m/>
    <s v="ES"/>
    <n v="7210"/>
    <s v="Amy.M.Randle@mailinator.com"/>
    <s v="91-271-2733"/>
    <s v="VISA"/>
    <s v="NC292 "/>
    <s v="U.S."/>
    <n v="515250001"/>
    <n v="4594160000000000"/>
    <n v="10067"/>
    <n v="28"/>
    <n v="1042"/>
    <d v="1899-12-30T00:00:00"/>
    <d v="1899-12-30T00:57:36"/>
    <n v="27.99"/>
    <s v="SE334 "/>
    <d v="1899-12-30T00:00:00"/>
    <x v="21"/>
    <n v="57.87"/>
    <s v="Cancelled"/>
    <s v="Phone"/>
    <s v="Frequent"/>
    <s v="MediumValue"/>
    <s v="Gen_Y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1"/>
    <n v="0"/>
    <n v="0"/>
    <n v="6"/>
  </r>
  <r>
    <s v="Amy"/>
    <s v="Randle"/>
    <s v="Mrs."/>
    <s v="4316 Nickel Road"/>
    <s v="Algaida"/>
    <m/>
    <s v="ES"/>
    <n v="7210"/>
    <s v="Amy.M.Randle@mailinator.com"/>
    <s v="91-271-2733"/>
    <s v="VISA"/>
    <s v="NC292 "/>
    <s v="U.S."/>
    <n v="515250001"/>
    <n v="4630680000000000"/>
    <n v="10067"/>
    <n v="28"/>
    <n v="1239"/>
    <d v="1899-12-30T00:00:00"/>
    <d v="1899-12-30T00:29:06"/>
    <n v="7.85"/>
    <s v="SE208 "/>
    <d v="1899-12-30T00:00:00"/>
    <x v="3"/>
    <n v="378"/>
    <s v="Complete"/>
    <s v="Phone"/>
    <s v="Frequent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Rafael"/>
    <s v="Middleton"/>
    <s v="Mr."/>
    <s v="3020 Callison Lane"/>
    <s v="Allentown"/>
    <s v="MD"/>
    <s v="US"/>
    <n v="20222"/>
    <s v="Rafael.G.Middleton@spambob.com"/>
    <s v="781-315-9600"/>
    <s v="jcb"/>
    <s v="SC262 "/>
    <s v="U.S."/>
    <n v="530990002"/>
    <n v="3528920000000000"/>
    <n v="10075"/>
    <n v="73"/>
    <n v="670"/>
    <d v="1899-12-30T00:00:00"/>
    <d v="1899-12-30T00:39:06"/>
    <n v="11.85"/>
    <s v="SC130 "/>
    <d v="1899-12-30T00:00:00"/>
    <x v="6"/>
    <n v="142.54"/>
    <s v="Complete"/>
    <s v="Desktop"/>
    <s v="Frequent"/>
    <s v="MediumValue"/>
    <s v="Baby_Boomers"/>
    <n v="0"/>
    <n v="0"/>
    <n v="0"/>
    <n v="1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1"/>
    <n v="6"/>
  </r>
  <r>
    <s v="Rafael"/>
    <s v="Middleton"/>
    <s v="Mr."/>
    <s v="3020 Callison Lane"/>
    <s v="Allentown"/>
    <s v="MD"/>
    <s v="US"/>
    <n v="20222"/>
    <s v="Rafael.G.Middleton@spambob.com"/>
    <s v="781-315-9600"/>
    <s v="jcb"/>
    <s v="SC262 "/>
    <s v="U.S."/>
    <n v="530990002"/>
    <n v="3528680000000000"/>
    <n v="10075"/>
    <n v="73"/>
    <n v="2231"/>
    <d v="1899-12-30T00:00:00"/>
    <d v="1899-12-30T00:47:56"/>
    <n v="9"/>
    <s v="WE220 "/>
    <d v="1899-12-30T00:00:00"/>
    <x v="30"/>
    <n v="197.81"/>
    <s v="Complete"/>
    <s v="Desktop"/>
    <s v="Frequent"/>
    <s v="HighValue"/>
    <s v="Baby_Boomers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1"/>
    <n v="4"/>
  </r>
  <r>
    <s v="Rafael"/>
    <s v="Middleton"/>
    <s v="Mr."/>
    <s v="3020 Callison Lane"/>
    <s v="Allentown"/>
    <s v="MD"/>
    <s v="US"/>
    <n v="20222"/>
    <s v="Rafael.G.Middleton@spambob.com"/>
    <s v="781-315-9600"/>
    <s v="jcb"/>
    <s v="SC262 "/>
    <s v="U.S."/>
    <n v="530990002"/>
    <n v="3528160000000000"/>
    <n v="10075"/>
    <n v="73"/>
    <n v="9068"/>
    <d v="1899-12-30T00:00:00"/>
    <d v="1899-12-30T00:07:36"/>
    <n v="16.27"/>
    <s v="NW379 "/>
    <d v="1899-12-30T00:00:00"/>
    <x v="5"/>
    <n v="179.38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1"/>
    <n v="1"/>
    <n v="0"/>
    <n v="1"/>
    <n v="0"/>
    <n v="0"/>
    <n v="0"/>
    <n v="0"/>
    <n v="0"/>
    <n v="0"/>
    <n v="0"/>
    <n v="0"/>
    <n v="0"/>
    <n v="1"/>
    <n v="0"/>
    <n v="5"/>
  </r>
  <r>
    <s v="Earl"/>
    <s v="Bruner"/>
    <s v="Mr."/>
    <s v="3155 Single Street"/>
    <s v="Alma"/>
    <s v="QC"/>
    <s v="CA"/>
    <s v="G8B 2W5"/>
    <s v="Earl.M.Bruner@pookmail.com"/>
    <s v="613-353-4540"/>
    <s v="American Express"/>
    <s v="NE172 "/>
    <s v="ES"/>
    <s v="5873675G"/>
    <n v="377233000000000"/>
    <n v="10079"/>
    <n v="19"/>
    <n v="3545"/>
    <d v="1899-12-30T00:00:00"/>
    <d v="1899-12-30T00:57:39"/>
    <n v="6.37"/>
    <s v="SW142 "/>
    <d v="1899-12-30T00:00:00"/>
    <x v="31"/>
    <n v="20.37"/>
    <s v="Complete"/>
    <s v="Phone"/>
    <s v="Frequent"/>
    <s v="LowValue"/>
    <s v="Gen_Z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Linda"/>
    <s v="Garcia"/>
    <s v="Mrs."/>
    <s v="2306 Thrash Trail"/>
    <s v="Alpo"/>
    <s v="VR"/>
    <s v="IT"/>
    <n v="37060"/>
    <s v="Linda.J.Garcia@mailinator.com"/>
    <s v="0317 2702530"/>
    <s v="jcb"/>
    <s v="SE268 "/>
    <s v="U.S."/>
    <n v="22868164"/>
    <n v="3528900000000000"/>
    <n v="10083"/>
    <n v="40"/>
    <n v="1728"/>
    <d v="1899-12-30T00:00:00"/>
    <d v="1899-12-30T00:59:36"/>
    <n v="17.87"/>
    <s v="SC199 "/>
    <d v="1899-12-30T00:00:00"/>
    <x v="32"/>
    <n v="560"/>
    <s v="Complete"/>
    <s v="Phone"/>
    <s v="Occasional"/>
    <s v="LowValue"/>
    <s v="Gen_Y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Quinn"/>
    <s v="Perry"/>
    <s v="Master."/>
    <s v="749 C Street"/>
    <s v="Amarillo"/>
    <s v="TX"/>
    <s v="US"/>
    <n v="79109"/>
    <s v="Quinn.S.Perry@spambob.com"/>
    <s v="603-366-3347"/>
    <s v="American Express"/>
    <s v="SC322 "/>
    <s v="IT"/>
    <s v="FHGPMO74D11L254L"/>
    <n v="343640000000000"/>
    <n v="10091"/>
    <n v="40"/>
    <n v="3359"/>
    <d v="1899-12-30T00:00:00"/>
    <d v="1899-12-30T00:59:36"/>
    <n v="68.569999999999993"/>
    <s v="SC199 "/>
    <d v="1899-12-30T00:00:00"/>
    <x v="32"/>
    <n v="24.08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4"/>
  </r>
  <r>
    <s v="Quinn"/>
    <s v="Perry"/>
    <s v="Master."/>
    <s v="749 C Street"/>
    <s v="Amarillo"/>
    <s v="TX"/>
    <s v="US"/>
    <n v="79109"/>
    <s v="Quinn.S.Perry@spambob.com"/>
    <s v="603-366-3347"/>
    <s v="American Express"/>
    <s v="SC322 "/>
    <s v="IT"/>
    <s v="FHGPMO74D11L254L"/>
    <n v="374897000000000"/>
    <n v="10091"/>
    <n v="40"/>
    <n v="6717"/>
    <d v="1899-12-30T00:00:00"/>
    <d v="1899-12-30T00:13:55"/>
    <n v="13.25"/>
    <s v="SE400 "/>
    <d v="1899-12-30T00:00:00"/>
    <x v="33"/>
    <n v="5.2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3"/>
  </r>
  <r>
    <s v="Quinn"/>
    <s v="Perry"/>
    <s v="Master."/>
    <s v="749 C Street"/>
    <s v="Amarillo"/>
    <s v="TX"/>
    <s v="US"/>
    <n v="79109"/>
    <s v="Quinn.S.Perry@spambob.com"/>
    <s v="603-366-3347"/>
    <s v="American Express"/>
    <s v="SC322 "/>
    <s v="IT"/>
    <s v="FHGPMO74D11L254L"/>
    <n v="341829000000000"/>
    <n v="10091"/>
    <n v="40"/>
    <n v="7265"/>
    <d v="1899-12-30T00:00:00"/>
    <d v="1899-12-30T00:07:39"/>
    <n v="7.45"/>
    <s v="WE286 "/>
    <d v="1899-12-30T00:00:00"/>
    <x v="34"/>
    <n v="35.159999999999997"/>
    <s v="In-Progress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Kristin"/>
    <s v="Mendoza"/>
    <s v="Mrs."/>
    <s v="2909 Frank Avenue"/>
    <s v="Anaheim"/>
    <s v="CA"/>
    <s v="US"/>
    <n v="92805"/>
    <s v="Kristin.T.Mendoza@spambob.com"/>
    <s v="865-685-8215"/>
    <s v="Diners Club"/>
    <s v="WE154 "/>
    <s v="FR"/>
    <n v="700000000000000"/>
    <n v="36980300000000"/>
    <n v="10095"/>
    <s v="age-55"/>
    <n v="2162"/>
    <d v="1899-12-30T00:00:00"/>
    <d v="1899-12-30T00:43:55"/>
    <n v="8.99"/>
    <s v="SW340 "/>
    <d v="1899-12-30T00:00:00"/>
    <x v="6"/>
    <n v="35.36"/>
    <s v="Cancelled"/>
    <s v="Phone"/>
    <s v="Frequent"/>
    <s v="LowValue"/>
    <s v="Gen_Z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Kristin"/>
    <s v="Mendoza"/>
    <s v="Mrs."/>
    <s v="2909 Frank Avenue"/>
    <s v="Anaheim"/>
    <s v="CA"/>
    <s v="US"/>
    <n v="92805"/>
    <s v="Kristin.T.Mendoza@spambob.com"/>
    <s v="865-685-8215"/>
    <s v="Diners Club"/>
    <s v="WE154 "/>
    <s v="FR"/>
    <n v="700000000000000"/>
    <n v="36944300000000"/>
    <n v="10095"/>
    <s v="age-55"/>
    <n v="3305"/>
    <d v="1899-12-30T00:00:00"/>
    <d v="1899-12-30T00:27:56"/>
    <n v="33.99"/>
    <s v="SW217 "/>
    <d v="1899-12-30T00:00:00"/>
    <x v="35"/>
    <n v="24.92"/>
    <s v="Complete"/>
    <s v="Phone"/>
    <s v="Frequent"/>
    <s v="LowValue"/>
    <s v="Gen_Z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Kristin"/>
    <s v="Mendoza"/>
    <s v="Mrs."/>
    <s v="2909 Frank Avenue"/>
    <s v="Anaheim"/>
    <s v="CA"/>
    <s v="US"/>
    <n v="92805"/>
    <s v="Kristin.T.Mendoza@spambob.com"/>
    <s v="865-685-8215"/>
    <s v="Diners Club"/>
    <s v="WE154 "/>
    <s v="FR"/>
    <n v="700000000000000"/>
    <n v="36624200000000"/>
    <n v="10095"/>
    <s v="age-55"/>
    <n v="3967"/>
    <d v="1899-12-30T00:00:00"/>
    <d v="1899-12-30T00:43:55"/>
    <n v="11.88"/>
    <s v="NW316 "/>
    <d v="1899-12-30T00:00:00"/>
    <x v="24"/>
    <n v="281.82"/>
    <s v="Complete"/>
    <s v="Phone"/>
    <s v="Frequent"/>
    <s v="HighValue"/>
    <s v="Gen_Z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1"/>
    <n v="0"/>
    <n v="0"/>
    <n v="0"/>
    <n v="0"/>
    <n v="0"/>
    <n v="1"/>
    <n v="0"/>
    <n v="5"/>
  </r>
  <r>
    <s v="Kristin"/>
    <s v="Mendoza"/>
    <s v="Mrs."/>
    <s v="2909 Frank Avenue"/>
    <s v="Anaheim"/>
    <s v="CA"/>
    <s v="US"/>
    <n v="92805"/>
    <s v="Kristin.T.Mendoza@spambob.com"/>
    <s v="865-685-8215"/>
    <s v="Diners Club"/>
    <s v="WE154 "/>
    <s v="FR"/>
    <n v="700000000000000"/>
    <n v="36309200000000"/>
    <n v="10095"/>
    <s v="age-55"/>
    <n v="4382"/>
    <d v="1899-12-30T00:00:00"/>
    <d v="1899-12-30T00:29:06"/>
    <n v="19.850000000000001"/>
    <s v="NC358 "/>
    <d v="1899-12-30T00:00:00"/>
    <x v="14"/>
    <n v="6.33"/>
    <s v="Cancelled"/>
    <s v="Phone"/>
    <s v="Frequent"/>
    <s v="LowValue"/>
    <s v="Gen_Z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Kristin"/>
    <s v="Mendoza"/>
    <s v="Mrs."/>
    <s v="2909 Frank Avenue"/>
    <s v="Anaheim"/>
    <s v="CA"/>
    <s v="US"/>
    <n v="92805"/>
    <s v="Kristin.T.Mendoza@spambob.com"/>
    <s v="865-685-8215"/>
    <s v="Diners Club"/>
    <s v="WE154 "/>
    <s v="FR"/>
    <n v="700000000000000"/>
    <n v="36522500000000"/>
    <n v="10095"/>
    <s v="age-55"/>
    <n v="6009"/>
    <d v="1899-12-30T00:00:00"/>
    <d v="1899-12-30T00:07:36"/>
    <n v="18.989999999999998"/>
    <s v="NW379 "/>
    <d v="1899-12-30T00:00:00"/>
    <x v="5"/>
    <n v="97.72"/>
    <s v="Complete"/>
    <s v="Phone"/>
    <s v="Frequent"/>
    <s v="MediumValue"/>
    <s v="Gen_Z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5"/>
  </r>
  <r>
    <s v="Michael"/>
    <s v="Gordon"/>
    <s v="Mr."/>
    <s v="388 Kelly Drive"/>
    <s v="Ancona"/>
    <s v="AN"/>
    <s v="IT"/>
    <n v="60123"/>
    <s v="Michael.S.Gordon@dodgeit.com"/>
    <s v="0373 6095994"/>
    <s v="Diners Club"/>
    <s v="RP385 "/>
    <s v="U.S."/>
    <n v="316290001"/>
    <n v="36205100000000"/>
    <n v="10099"/>
    <n v="63"/>
    <n v="5481"/>
    <d v="1899-12-30T00:00:00"/>
    <d v="1899-12-30T00:11:26"/>
    <n v="8.99"/>
    <s v="RP385 "/>
    <d v="1899-12-30T00:00:00"/>
    <x v="36"/>
    <n v="33.340000000000003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4"/>
  </r>
  <r>
    <s v="Phyllis"/>
    <s v="White"/>
    <s v="Mrs."/>
    <s v="4738 Jerry Dove Drive"/>
    <s v="Angas Plains"/>
    <s v="SA"/>
    <s v="AU"/>
    <n v="5255"/>
    <s v="Phyllis.J.White@pookmail.com"/>
    <s v="(02) 4024 5353"/>
    <s v="American Express"/>
    <s v="WE151 "/>
    <s v="IT"/>
    <s v="HCNFEA86A41E274E"/>
    <n v="377663000000000"/>
    <n v="10103"/>
    <n v="51"/>
    <n v="2118"/>
    <d v="1899-12-30T00:00:00"/>
    <d v="1899-12-30T00:43:55"/>
    <n v="1.49"/>
    <s v="NE103 "/>
    <d v="1899-12-30T00:00:00"/>
    <x v="26"/>
    <n v="34.950000000000003"/>
    <s v="Complete"/>
    <s v="Phone"/>
    <s v="Occasional"/>
    <s v="LowValue"/>
    <s v="Gen_X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Phyllis"/>
    <s v="White"/>
    <s v="Mrs."/>
    <s v="4738 Jerry Dove Drive"/>
    <s v="Angas Plains"/>
    <s v="SA"/>
    <s v="AU"/>
    <n v="5255"/>
    <s v="Phyllis.J.White@pookmail.com"/>
    <s v="(02) 4024 5353"/>
    <s v="American Express"/>
    <s v="WE151 "/>
    <s v="IT"/>
    <s v="HCNFEA86A41E274E"/>
    <n v="371632000000000"/>
    <n v="10103"/>
    <n v="51"/>
    <n v="3746"/>
    <d v="1899-12-30T00:00:00"/>
    <d v="1899-12-30T00:27:56"/>
    <n v="6.37"/>
    <s v="SW217 "/>
    <d v="1899-12-30T00:00:00"/>
    <x v="35"/>
    <n v="10.85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Phyllis"/>
    <s v="White"/>
    <s v="Mrs."/>
    <s v="4738 Jerry Dove Drive"/>
    <s v="Angas Plains"/>
    <s v="SA"/>
    <s v="AU"/>
    <n v="5255"/>
    <s v="Phyllis.J.White@pookmail.com"/>
    <s v="(02) 4024 5353"/>
    <s v="American Express"/>
    <s v="WE151 "/>
    <s v="IT"/>
    <s v="HCNFEA86A41E274E"/>
    <n v="347760000000000"/>
    <n v="10103"/>
    <n v="51"/>
    <n v="4425"/>
    <d v="1899-12-30T00:00:00"/>
    <d v="1899-12-30T00:34:17"/>
    <n v="2.87"/>
    <s v="WE355 "/>
    <d v="1899-12-30T00:00:00"/>
    <x v="12"/>
    <n v="20.89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Phyllis"/>
    <s v="White"/>
    <s v="Mrs."/>
    <s v="4738 Jerry Dove Drive"/>
    <s v="Angas Plains"/>
    <s v="SA"/>
    <s v="AU"/>
    <n v="5255"/>
    <s v="Phyllis.J.White@pookmail.com"/>
    <s v="(02) 4024 5353"/>
    <s v="American Express"/>
    <s v="WE151 "/>
    <s v="IT"/>
    <s v="HCNFEA86A41E274E"/>
    <n v="345633000000000"/>
    <n v="10103"/>
    <n v="51"/>
    <n v="4942"/>
    <d v="1899-12-30T00:47:25"/>
    <d v="1899-12-30T00:47:25"/>
    <n v="18.45"/>
    <s v="NE109 "/>
    <d v="1899-12-30T00:47:25"/>
    <x v="7"/>
    <n v="33.700000000000003"/>
    <s v="In-Progress"/>
    <s v="Phone"/>
    <s v="Occasional"/>
    <s v="LowValue"/>
    <s v="Gen_X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Katherine"/>
    <s v="Mullins"/>
    <s v="Mrs."/>
    <s v="4245 Adamsville Road"/>
    <s v="Angwin"/>
    <s v="CA"/>
    <s v="US"/>
    <n v="94508"/>
    <s v="Katherine.W.Mullins@spambob.com"/>
    <s v="503-688-0336"/>
    <s v="Diners Club"/>
    <s v="NC424 "/>
    <s v="ES"/>
    <s v="X6490143A"/>
    <n v="36025400000000"/>
    <n v="10107"/>
    <n v="64"/>
    <n v="825"/>
    <d v="1899-12-30T00:00:00"/>
    <d v="1899-12-30T00:59:06"/>
    <n v="6.38"/>
    <s v="WE349 "/>
    <d v="1899-12-30T00:00:00"/>
    <x v="37"/>
    <n v="16.559999999999999"/>
    <s v="Complete"/>
    <s v="Phone"/>
    <s v="Occasional"/>
    <s v="LowValue"/>
    <s v="Baby_Boomers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Katherine"/>
    <s v="Mullins"/>
    <s v="Mrs."/>
    <s v="4245 Adamsville Road"/>
    <s v="Angwin"/>
    <s v="CA"/>
    <s v="US"/>
    <n v="94508"/>
    <s v="Katherine.W.Mullins@spambob.com"/>
    <s v="503-688-0336"/>
    <s v="Diners Club"/>
    <s v="NC424 "/>
    <s v="ES"/>
    <s v="X6490143A"/>
    <n v="36121200000000"/>
    <n v="10107"/>
    <n v="64"/>
    <n v="2024"/>
    <d v="1899-12-30T00:00:00"/>
    <d v="1899-12-30T00:32:45"/>
    <n v="17.87"/>
    <s v="RP190 "/>
    <d v="1899-12-30T00:00:00"/>
    <x v="20"/>
    <n v="8.7100000000000009"/>
    <s v="Cancelled"/>
    <s v="Phone"/>
    <s v="Occasional"/>
    <s v="LowValue"/>
    <s v="Baby_Boomers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s v="Katherine"/>
    <s v="Mullins"/>
    <s v="Mrs."/>
    <s v="4245 Adamsville Road"/>
    <s v="Angwin"/>
    <s v="CA"/>
    <s v="US"/>
    <n v="94508"/>
    <s v="Katherine.W.Mullins@spambob.com"/>
    <s v="503-688-0336"/>
    <s v="Diners Club"/>
    <s v="NC424 "/>
    <s v="ES"/>
    <s v="X6490143A"/>
    <n v="36818100000000"/>
    <n v="10107"/>
    <n v="64"/>
    <n v="2582"/>
    <d v="1899-12-30T00:00:00"/>
    <d v="1899-12-30T00:33:26"/>
    <n v="8.99"/>
    <s v="WE154 "/>
    <d v="1899-12-30T00:00:00"/>
    <x v="38"/>
    <n v="25.77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Katherine"/>
    <s v="Mullins"/>
    <s v="Mrs."/>
    <s v="4245 Adamsville Road"/>
    <s v="Angwin"/>
    <s v="CA"/>
    <s v="US"/>
    <n v="94508"/>
    <s v="Katherine.W.Mullins@spambob.com"/>
    <s v="503-688-0336"/>
    <s v="Diners Club"/>
    <s v="NC424 "/>
    <s v="ES"/>
    <s v="X6490143A"/>
    <n v="36634500000000"/>
    <n v="10107"/>
    <n v="64"/>
    <n v="7943"/>
    <d v="1899-12-30T00:00:00"/>
    <d v="1899-12-30T00:27:56"/>
    <n v="21.97"/>
    <s v="SE268 "/>
    <d v="1899-12-30T00:00:00"/>
    <x v="39"/>
    <n v="46.92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Lisa"/>
    <s v="Guest"/>
    <s v="Mrs."/>
    <s v="4317 Lyon Avenue"/>
    <s v="Annone Veneto"/>
    <s v="VE"/>
    <s v="IT"/>
    <n v="30020"/>
    <s v="Lisa.D.Guest@spambob.com"/>
    <s v="0312 0608733"/>
    <s v="Diners Club"/>
    <s v="NE235 "/>
    <s v="ES"/>
    <s v="4204474M"/>
    <n v="36644800000000"/>
    <n v="10111"/>
    <n v="19"/>
    <n v="5147"/>
    <d v="1899-12-30T00:00:00"/>
    <d v="1899-12-30T00:23:55"/>
    <n v="14.8"/>
    <s v="NC295 "/>
    <d v="1899-12-30T00:00:00"/>
    <x v="6"/>
    <n v="22.02"/>
    <s v="Cancelled"/>
    <s v="Phone"/>
    <s v="Frequent"/>
    <s v="LowValue"/>
    <s v="Gen_Z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Lisa"/>
    <s v="Guest"/>
    <s v="Mrs."/>
    <s v="4317 Lyon Avenue"/>
    <s v="Annone Veneto"/>
    <s v="VE"/>
    <s v="IT"/>
    <n v="30020"/>
    <s v="Lisa.D.Guest@spambob.com"/>
    <s v="0312 0608733"/>
    <s v="Diners Club"/>
    <s v="NE235 "/>
    <s v="ES"/>
    <s v="4204474M"/>
    <n v="36116700000000"/>
    <n v="10111"/>
    <n v="19"/>
    <n v="8444"/>
    <d v="1899-12-30T00:00:00"/>
    <d v="1899-12-30T00:59:36"/>
    <n v="17.87"/>
    <s v="SC199 "/>
    <d v="1899-12-30T00:00:00"/>
    <x v="32"/>
    <n v="31.3"/>
    <s v="Complete"/>
    <s v="Phone"/>
    <s v="Frequent"/>
    <s v="LowValue"/>
    <s v="Gen_Z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Scott"/>
    <s v="Lawson"/>
    <s v="Mr."/>
    <s v="3105 Spadafore Drive"/>
    <s v="Antioch"/>
    <s v="WI"/>
    <s v="US"/>
    <n v="60002"/>
    <s v="Scott.M.Lawson@spambob.com"/>
    <s v="201-799-5873"/>
    <s v="jcb"/>
    <s v="SE133 "/>
    <s v="CA"/>
    <n v="518957246"/>
    <n v="3528450000000000"/>
    <n v="10115"/>
    <s v="NA"/>
    <n v="479"/>
    <d v="1899-12-30T00:00:00"/>
    <d v="1899-12-30T00:22:37"/>
    <n v="18.989999999999998"/>
    <s v="WE421 "/>
    <d v="1899-12-30T00:00:00"/>
    <x v="40"/>
    <n v="7.02"/>
    <s v="Complete"/>
    <s v="Desktop"/>
    <s v="Occasional"/>
    <s v="LowValue"/>
    <s v="Gen_Z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</r>
  <r>
    <s v="Scott"/>
    <s v="Lawson"/>
    <s v="Mr."/>
    <s v="3105 Spadafore Drive"/>
    <s v="Antioch"/>
    <s v="WI"/>
    <s v="US"/>
    <n v="60002"/>
    <s v="Scott.M.Lawson@spambob.com"/>
    <s v="201-799-5873"/>
    <s v="jcb"/>
    <s v="SE133 "/>
    <s v="CA"/>
    <n v="518957246"/>
    <n v="3528250000000000"/>
    <n v="10115"/>
    <s v="NA"/>
    <n v="1059"/>
    <d v="1899-12-30T00:47:25"/>
    <d v="1899-12-30T00:47:25"/>
    <n v="27.97"/>
    <s v="SW211 "/>
    <d v="1899-12-30T00:47:25"/>
    <x v="7"/>
    <n v="127.03"/>
    <s v="In-Progress"/>
    <s v="Phone"/>
    <s v="Occasional"/>
    <s v="MediumValue"/>
    <s v="Gen_Z"/>
    <n v="0"/>
    <n v="0"/>
    <n v="0"/>
    <n v="1"/>
    <n v="1"/>
    <n v="0"/>
    <n v="0"/>
    <n v="0"/>
    <n v="0"/>
    <n v="0"/>
    <n v="1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6"/>
  </r>
  <r>
    <s v="Robert"/>
    <s v="Bilbo"/>
    <s v="Mr."/>
    <s v="2553 Clousson Road"/>
    <s v="Appiano Gentile"/>
    <s v="CO"/>
    <s v="IT"/>
    <n v="22070"/>
    <s v="Robert.L.Bilbo@dodgeit.com"/>
    <s v="0390 9449254"/>
    <s v="jcb"/>
    <s v="SC196 "/>
    <s v="IT"/>
    <s v="QIEZKO91C65L851P"/>
    <n v="3528080000000000"/>
    <n v="10119"/>
    <n v="49"/>
    <n v="1969"/>
    <d v="1899-12-30T00:00:00"/>
    <d v="1899-12-30T00:57:39"/>
    <n v="26.87"/>
    <s v="SW142 "/>
    <d v="1899-12-30T00:00:00"/>
    <x v="31"/>
    <n v="39.74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4"/>
  </r>
  <r>
    <s v="Ahmed"/>
    <s v="Richard"/>
    <s v="Mr."/>
    <s v="1346 Carter Street"/>
    <s v="Appleton"/>
    <s v="WI"/>
    <s v="US"/>
    <n v="54911"/>
    <s v="Ahmed.P.Richard@mailinator.com"/>
    <s v="510-517-7759"/>
    <s v="jcb"/>
    <s v="SW214 "/>
    <s v="U.S."/>
    <n v="229990001"/>
    <n v="3528230000000000"/>
    <n v="10123"/>
    <n v="20"/>
    <n v="4564"/>
    <d v="1899-12-30T00:00:00"/>
    <d v="1899-12-30T00:43:53"/>
    <n v="24.08"/>
    <s v="SW274 "/>
    <d v="1899-12-30T00:00:00"/>
    <x v="41"/>
    <n v="44.29"/>
    <s v="Complete"/>
    <s v="Phone"/>
    <s v="FirstTime"/>
    <s v="LowValue"/>
    <s v="Gen_Z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</r>
  <r>
    <s v="Ahmed"/>
    <s v="Richard"/>
    <s v="Mr."/>
    <s v="1346 Carter Street"/>
    <s v="Appleton"/>
    <s v="WI"/>
    <s v="US"/>
    <n v="54911"/>
    <s v="Ahmed.P.Richard@mailinator.com"/>
    <s v="510-517-7759"/>
    <s v="jcb"/>
    <s v="SW214 "/>
    <s v="U.S."/>
    <n v="229990001"/>
    <n v="3528560000000000"/>
    <n v="10123"/>
    <n v="20"/>
    <n v="6596"/>
    <d v="1899-12-30T00:00:00"/>
    <d v="1899-12-30T00:32:51"/>
    <n v="16.27"/>
    <s v="NW247 "/>
    <d v="1899-12-30T00:00:00"/>
    <x v="16"/>
    <n v="46.36"/>
    <s v="Cancelled"/>
    <s v="Phone"/>
    <s v="FirstTime"/>
    <s v="LowValue"/>
    <s v="Gen_Z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</r>
  <r>
    <s v="Ahmed"/>
    <s v="Richard"/>
    <s v="Mr."/>
    <s v="1346 Carter Street"/>
    <s v="Appleton"/>
    <s v="WI"/>
    <s v="US"/>
    <n v="54911"/>
    <s v="Ahmed.P.Richard@mailinator.com"/>
    <s v="510-517-7759"/>
    <s v="jcb"/>
    <s v="SW214 "/>
    <s v="U.S."/>
    <n v="229990001"/>
    <n v="3528270000000000"/>
    <n v="10123"/>
    <n v="20"/>
    <n v="7325"/>
    <d v="1899-12-30T00:00:00"/>
    <d v="1899-12-30T00:33:45"/>
    <n v="11.45"/>
    <s v="NW112 "/>
    <d v="1899-12-30T00:00:00"/>
    <x v="19"/>
    <n v="227.61"/>
    <s v="Complete"/>
    <s v="Phone"/>
    <s v="FirstTime"/>
    <s v="HighValue"/>
    <s v="Gen_Z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1"/>
    <n v="5"/>
  </r>
  <r>
    <s v="Ahmed"/>
    <s v="Richard"/>
    <s v="Mr."/>
    <s v="1346 Carter Street"/>
    <s v="Appleton"/>
    <s v="WI"/>
    <s v="US"/>
    <n v="54911"/>
    <s v="Ahmed.P.Richard@mailinator.com"/>
    <s v="510-517-7759"/>
    <s v="jcb"/>
    <s v="SW214 "/>
    <s v="U.S."/>
    <n v="229990001"/>
    <n v="3528930000000000"/>
    <n v="10123"/>
    <n v="20"/>
    <n v="7496"/>
    <d v="1899-12-30T00:00:00"/>
    <d v="1899-12-30T00:32:51"/>
    <n v="18.45"/>
    <s v="NW247 "/>
    <d v="1899-12-30T00:00:00"/>
    <x v="16"/>
    <n v="11.61"/>
    <s v="Complete"/>
    <s v="Phone"/>
    <s v="FirstTime"/>
    <s v="LowValue"/>
    <s v="Gen_Z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Ahmed"/>
    <s v="Richard"/>
    <s v="Mr."/>
    <s v="1346 Carter Street"/>
    <s v="Appleton"/>
    <s v="WI"/>
    <s v="US"/>
    <n v="54911"/>
    <s v="Ahmed.P.Richard@mailinator.com"/>
    <s v="510-517-7759"/>
    <s v="jcb"/>
    <s v="SW214 "/>
    <s v="U.S."/>
    <n v="229990001"/>
    <n v="3528880000000000"/>
    <n v="10123"/>
    <n v="20"/>
    <n v="7989"/>
    <d v="1899-12-30T00:00:00"/>
    <d v="1899-12-30T00:47:56"/>
    <n v="17.23"/>
    <s v="WE151 "/>
    <d v="1899-12-30T00:00:00"/>
    <x v="42"/>
    <n v="30.5"/>
    <s v="Complete"/>
    <s v="Desktop"/>
    <s v="FirstTime"/>
    <s v="LowValue"/>
    <s v="Gen_Z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Ray"/>
    <s v="Hornsby"/>
    <s v="Mr."/>
    <s v="555 DaVISAA Avenue"/>
    <s v="Archez"/>
    <m/>
    <s v="ES"/>
    <n v="29753"/>
    <s v="Ray.M.Hornsby@pookmail.com"/>
    <s v="91-271-2747"/>
    <s v="VISA"/>
    <s v="SC388 "/>
    <s v="IT"/>
    <s v="TMWEAA77M18B017F"/>
    <n v="4839450000000000"/>
    <n v="10127"/>
    <n v="49"/>
    <n v="3665"/>
    <d v="1899-12-30T00:00:00"/>
    <d v="1899-12-30T00:07:36"/>
    <n v="8.99"/>
    <s v="WE352 "/>
    <d v="1899-12-30T00:00:00"/>
    <x v="4"/>
    <n v="17.29"/>
    <s v="Complete"/>
    <s v="Phone"/>
    <s v="Occasional"/>
    <s v="LowValue"/>
    <s v="Gen_X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</r>
  <r>
    <s v="Jason"/>
    <s v="Glass"/>
    <s v="Miss."/>
    <s v="289 Bassell Avenue"/>
    <s v="Argenton"/>
    <s v="NSW"/>
    <s v="AU"/>
    <n v="2284"/>
    <s v="Jason.M.Glass@spambob.com"/>
    <s v="(07) 4090 2386"/>
    <s v="Diners Club"/>
    <s v="RP121 "/>
    <s v="IT"/>
    <s v="HCNMPL50M67G315Q"/>
    <n v="36383400000000"/>
    <n v="10131"/>
    <n v="78"/>
    <n v="1866"/>
    <d v="1899-12-30T00:00:00"/>
    <d v="1899-12-30T00:17:25"/>
    <n v="7.02"/>
    <s v="NC100 "/>
    <d v="1899-12-30T00:00:00"/>
    <x v="9"/>
    <n v="161.59"/>
    <s v="Complete"/>
    <s v="Desktop"/>
    <s v="Frequent"/>
    <s v="HighValue"/>
    <s v="Baby_Boomers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1"/>
    <n v="1"/>
    <n v="1"/>
    <n v="1"/>
    <n v="0"/>
    <n v="0"/>
    <n v="0"/>
    <n v="0"/>
    <n v="1"/>
    <n v="0"/>
    <n v="0"/>
    <n v="8"/>
  </r>
  <r>
    <s v="Jason"/>
    <s v="Glass"/>
    <s v="Miss."/>
    <s v="289 Bassell Avenue"/>
    <s v="Argenton"/>
    <s v="NSW"/>
    <s v="AU"/>
    <n v="2284"/>
    <s v="Jason.M.Glass@spambob.com"/>
    <s v="(07) 4090 2386"/>
    <s v="Diners Club"/>
    <s v="RP121 "/>
    <s v="IT"/>
    <s v="HCNMPL50M67G315Q"/>
    <n v="36851500000000"/>
    <n v="10131"/>
    <n v="78"/>
    <n v="5009"/>
    <d v="1899-12-30T00:00:00"/>
    <d v="1899-12-30T00:43:55"/>
    <n v="8.23"/>
    <s v="NW187 "/>
    <d v="1899-12-30T00:00:00"/>
    <x v="43"/>
    <n v="145.28"/>
    <s v="Abandoned"/>
    <s v="Desktop"/>
    <s v="Frequent"/>
    <s v="MediumValue"/>
    <s v="Baby_Boomers"/>
    <n v="0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4"/>
  </r>
  <r>
    <s v="Jason"/>
    <s v="Glass"/>
    <s v="Miss."/>
    <s v="289 Bassell Avenue"/>
    <s v="Argenton"/>
    <s v="NSW"/>
    <s v="AU"/>
    <n v="2284"/>
    <s v="Jason.M.Glass@spambob.com"/>
    <s v="(07) 4090 2386"/>
    <s v="Diners Club"/>
    <s v="RP121 "/>
    <s v="IT"/>
    <s v="HCNMPL50M67G315Q"/>
    <n v="36452900000000"/>
    <n v="10131"/>
    <n v="78"/>
    <n v="7982"/>
    <d v="1899-12-30T00:47:25"/>
    <d v="1899-12-30T00:47:25"/>
    <n v="23.12"/>
    <s v="WE289 "/>
    <d v="1899-12-30T00:47:25"/>
    <x v="7"/>
    <n v="205.85"/>
    <s v="Complete"/>
    <s v="Desktop"/>
    <s v="Frequent"/>
    <s v="HighValue"/>
    <s v="Baby_Boomers"/>
    <n v="0"/>
    <n v="0"/>
    <n v="1"/>
    <n v="0"/>
    <n v="1"/>
    <n v="0"/>
    <n v="0"/>
    <n v="0"/>
    <n v="0"/>
    <n v="1"/>
    <n v="0"/>
    <n v="0"/>
    <n v="0"/>
    <n v="0"/>
    <n v="0"/>
    <n v="1"/>
    <n v="0"/>
    <n v="1"/>
    <n v="0"/>
    <n v="0"/>
    <n v="0"/>
    <n v="1"/>
    <n v="0"/>
    <n v="1"/>
    <n v="0"/>
    <n v="0"/>
    <n v="0"/>
    <n v="1"/>
    <n v="1"/>
    <n v="9"/>
  </r>
  <r>
    <s v="Natalie"/>
    <s v="White"/>
    <s v="Mrs."/>
    <s v="3233 Rivendell Drive"/>
    <s v="Arlington"/>
    <s v="TX"/>
    <s v="US"/>
    <n v="76011"/>
    <s v="Natalie.D.White@dodgeit.com"/>
    <s v="916-866-4992"/>
    <s v="VISA"/>
    <s v="SE397 "/>
    <s v="ES"/>
    <s v="4674010L"/>
    <n v="4658070000000000"/>
    <n v="10135"/>
    <s v="NA"/>
    <n v="5052"/>
    <d v="1899-12-30T00:00:00"/>
    <d v="1899-12-30T00:11:26"/>
    <n v="7.85"/>
    <s v="SE136 "/>
    <d v="1899-12-30T00:00:00"/>
    <x v="44"/>
    <n v="220.34"/>
    <s v="Complete"/>
    <s v="Phone"/>
    <s v="Occasional"/>
    <s v="HighValue"/>
    <s v="Gen_Z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1"/>
    <n v="0"/>
    <n v="1"/>
    <n v="0"/>
    <n v="0"/>
    <n v="1"/>
    <n v="0"/>
    <n v="0"/>
    <n v="0"/>
    <n v="8"/>
  </r>
  <r>
    <s v="Natalie"/>
    <s v="White"/>
    <s v="Mrs."/>
    <s v="3233 Rivendell Drive"/>
    <s v="Arlington"/>
    <s v="TX"/>
    <s v="US"/>
    <n v="76011"/>
    <s v="Natalie.D.White@dodgeit.com"/>
    <s v="916-866-4992"/>
    <s v="VISA"/>
    <s v="SE397 "/>
    <s v="ES"/>
    <s v="4674010L"/>
    <n v="4904960000000000"/>
    <n v="10135"/>
    <s v="NA"/>
    <n v="7836"/>
    <d v="1899-12-30T00:00:00"/>
    <d v="1899-12-30T00:29:06"/>
    <n v="33.85"/>
    <s v="NC298 "/>
    <d v="1899-12-30T00:00:00"/>
    <x v="0"/>
    <n v="281.44"/>
    <s v="Complete"/>
    <s v="Desktop"/>
    <s v="Occasional"/>
    <s v="HighValue"/>
    <s v="Gen_Z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5"/>
  </r>
  <r>
    <s v="Donna"/>
    <s v="Klock"/>
    <s v="Mrs."/>
    <s v="3107 Byers Lane"/>
    <s v="Arlington"/>
    <s v="NE"/>
    <s v="US"/>
    <n v="68002"/>
    <s v="Donna.K.Klock@spambob.com"/>
    <s v="319-482-8591"/>
    <s v="VISA"/>
    <s v="SC127 "/>
    <s v="U.S."/>
    <n v="492230001"/>
    <n v="4136050000000000"/>
    <n v="10139"/>
    <n v="53"/>
    <n v="4045"/>
    <d v="1899-12-30T00:00:00"/>
    <d v="1899-12-30T00:33:45"/>
    <n v="52"/>
    <s v="NW184 "/>
    <d v="1899-12-30T00:00:00"/>
    <x v="12"/>
    <n v="40.119999999999997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Donna"/>
    <s v="Klock"/>
    <s v="Mrs."/>
    <s v="3107 Byers Lane"/>
    <s v="Arlington"/>
    <s v="NE"/>
    <s v="US"/>
    <n v="68002"/>
    <s v="Donna.K.Klock@spambob.com"/>
    <s v="319-482-8591"/>
    <s v="VISA"/>
    <s v="SC127 "/>
    <s v="U.S."/>
    <n v="492230001"/>
    <n v="4535740000000000"/>
    <n v="10139"/>
    <n v="53"/>
    <n v="4082"/>
    <d v="1899-12-30T00:00:00"/>
    <d v="1899-12-30T00:32:51"/>
    <n v="16.829999999999998"/>
    <s v="NW247 "/>
    <d v="1899-12-30T00:00:00"/>
    <x v="16"/>
    <n v="28.48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Donna"/>
    <s v="Klock"/>
    <s v="Mrs."/>
    <s v="3107 Byers Lane"/>
    <s v="Arlington"/>
    <s v="NE"/>
    <s v="US"/>
    <n v="68002"/>
    <s v="Donna.K.Klock@spambob.com"/>
    <s v="319-482-8591"/>
    <s v="VISA"/>
    <s v="SC127 "/>
    <s v="U.S."/>
    <n v="492230001"/>
    <n v="4929780000000000"/>
    <n v="10139"/>
    <n v="53"/>
    <n v="6973"/>
    <d v="1899-12-30T00:47:25"/>
    <d v="1899-12-30T00:47:25"/>
    <n v="13.82"/>
    <s v="NC163 "/>
    <d v="1899-12-30T00:47:25"/>
    <x v="7"/>
    <n v="25.83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Donna"/>
    <s v="Klock"/>
    <s v="Mrs."/>
    <s v="3107 Byers Lane"/>
    <s v="Arlington"/>
    <s v="NE"/>
    <s v="US"/>
    <n v="68002"/>
    <s v="Donna.K.Klock@spambob.com"/>
    <s v="319-482-8591"/>
    <s v="VISA"/>
    <s v="SC127 "/>
    <s v="U.S."/>
    <n v="492230001"/>
    <n v="4426700000000000"/>
    <n v="10139"/>
    <n v="53"/>
    <n v="8786"/>
    <d v="1899-12-30T00:00:00"/>
    <d v="1899-12-30T00:07:24"/>
    <n v="7.85"/>
    <s v="NW382 "/>
    <d v="1899-12-30T00:00:00"/>
    <x v="45"/>
    <n v="42.85"/>
    <s v="In-Progress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Donald"/>
    <s v="Velazquez"/>
    <s v="Mr."/>
    <s v="224 Gandy Street"/>
    <s v="Aschersleben"/>
    <m/>
    <s v="DE"/>
    <n v="6431"/>
    <s v="Donald.H.Velazquez@pookmail.com"/>
    <s v="08321 88 88 19"/>
    <s v="jcb"/>
    <s v="WE154 "/>
    <s v="IT"/>
    <s v="NPPGZI62A63B394C"/>
    <n v="3528670000000000"/>
    <n v="10147"/>
    <s v="age-19"/>
    <n v="1102"/>
    <d v="1899-12-30T00:00:00"/>
    <d v="1899-12-30T00:47:56"/>
    <n v="8.99"/>
    <s v="WE151 "/>
    <d v="1899-12-30T00:00:00"/>
    <x v="42"/>
    <n v="6.47"/>
    <s v="Complete"/>
    <s v="Phone"/>
    <s v="FirstTime"/>
    <s v="LowValue"/>
    <s v="Gen_Z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Donald"/>
    <s v="Velazquez"/>
    <s v="Mr."/>
    <s v="224 Gandy Street"/>
    <s v="Aschersleben"/>
    <m/>
    <s v="DE"/>
    <n v="6431"/>
    <s v="Donald.H.Velazquez@pookmail.com"/>
    <s v="08321 88 88 19"/>
    <s v="jcb"/>
    <s v="WE154 "/>
    <s v="IT"/>
    <s v="NPPGZI62A63B394C"/>
    <n v="3529000000000000"/>
    <n v="10147"/>
    <s v="age-19"/>
    <n v="5244"/>
    <d v="1899-12-30T00:00:00"/>
    <d v="1899-12-30T00:33:26"/>
    <n v="17.600000000000001"/>
    <s v="NC229 "/>
    <d v="1899-12-30T00:00:00"/>
    <x v="46"/>
    <n v="93.67"/>
    <s v="Cancelled"/>
    <s v="Desktop"/>
    <s v="FirstTime"/>
    <s v="MediumValue"/>
    <s v="Gen_Z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0"/>
    <n v="4"/>
  </r>
  <r>
    <s v="Harry"/>
    <s v="Brumback"/>
    <s v="Mr."/>
    <s v="45 Graystone Lakes"/>
    <s v="Asheboro"/>
    <s v="NC"/>
    <s v="US"/>
    <n v="27203"/>
    <s v="Harry.L.Brumback@dodgeit.com"/>
    <s v="773-577-9355"/>
    <s v="Discover"/>
    <s v="SW406 "/>
    <s v="FR"/>
    <n v="783000000000000"/>
    <n v="6011920000000000"/>
    <n v="10151"/>
    <n v="75"/>
    <n v="5206"/>
    <d v="1899-12-30T00:00:00"/>
    <d v="1899-12-30T00:29:06"/>
    <n v="7.02"/>
    <s v="NC298 "/>
    <d v="1899-12-30T00:00:00"/>
    <x v="0"/>
    <n v="47.02"/>
    <s v="Complete"/>
    <s v="Desktop"/>
    <s v="Frequent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4"/>
  </r>
  <r>
    <s v="Harry"/>
    <s v="Brumback"/>
    <s v="Mr."/>
    <s v="45 Graystone Lakes"/>
    <s v="Asheboro"/>
    <s v="NC"/>
    <s v="US"/>
    <n v="27203"/>
    <s v="Harry.L.Brumback@dodgeit.com"/>
    <s v="773-577-9355"/>
    <s v="Discover"/>
    <s v="SW406 "/>
    <s v="FR"/>
    <n v="783000000000000"/>
    <n v="6011980000000000"/>
    <n v="10151"/>
    <n v="75"/>
    <n v="5252"/>
    <d v="1899-12-30T00:00:00"/>
    <d v="1899-12-30T00:29:06"/>
    <n v="13.82"/>
    <s v="SE208 "/>
    <d v="1899-12-30T00:00:00"/>
    <x v="3"/>
    <n v="217.37"/>
    <s v="Cancelled"/>
    <s v="Desktop"/>
    <s v="Frequent"/>
    <s v="HighValue"/>
    <s v="Baby_Boomers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1"/>
    <n v="1"/>
    <n v="0"/>
    <n v="0"/>
    <n v="1"/>
    <n v="0"/>
    <n v="0"/>
    <n v="0"/>
    <n v="7"/>
  </r>
  <r>
    <s v="Harry"/>
    <s v="Brumback"/>
    <s v="Mr."/>
    <s v="45 Graystone Lakes"/>
    <s v="Asheboro"/>
    <s v="NC"/>
    <s v="US"/>
    <n v="27203"/>
    <s v="Harry.L.Brumback@dodgeit.com"/>
    <s v="773-577-9355"/>
    <s v="Discover"/>
    <s v="SW406 "/>
    <s v="FR"/>
    <n v="783000000000000"/>
    <n v="6011950000000000"/>
    <n v="10151"/>
    <n v="75"/>
    <n v="8270"/>
    <d v="1899-12-30T00:00:00"/>
    <d v="1899-12-30T00:23:45"/>
    <n v="14.28"/>
    <s v="NW244 "/>
    <d v="1899-12-30T00:00:00"/>
    <x v="28"/>
    <n v="48.8"/>
    <s v="Complete"/>
    <s v="Desktop"/>
    <s v="Frequent"/>
    <s v="LowValue"/>
    <s v="Baby_Boomers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Harold"/>
    <s v="Magee"/>
    <s v="Mr."/>
    <s v="565 Cinnamon Lane"/>
    <s v="Ashland"/>
    <s v="VA"/>
    <s v="US"/>
    <n v="23005"/>
    <s v="Harold.A.Magee@mailinator.com"/>
    <s v="503-308-1831"/>
    <s v="American Express"/>
    <s v="NW310 "/>
    <s v="UK"/>
    <s v="YS731666A"/>
    <n v="375518000000000"/>
    <n v="10155"/>
    <n v="40"/>
    <n v="1267"/>
    <d v="1899-12-30T00:00:00"/>
    <d v="1899-12-30T00:50:45"/>
    <n v="21.97"/>
    <s v="WE223 "/>
    <d v="1899-12-30T00:00:00"/>
    <x v="47"/>
    <n v="22.38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Harold"/>
    <s v="Magee"/>
    <s v="Mr."/>
    <s v="565 Cinnamon Lane"/>
    <s v="Ashland"/>
    <s v="VA"/>
    <s v="US"/>
    <n v="23005"/>
    <s v="Harold.A.Magee@mailinator.com"/>
    <s v="503-308-1831"/>
    <s v="American Express"/>
    <s v="NW310 "/>
    <s v="UK"/>
    <s v="YS731666A"/>
    <n v="343184000000000"/>
    <n v="10155"/>
    <n v="40"/>
    <n v="2983"/>
    <d v="1899-12-30T00:00:00"/>
    <d v="1899-12-30T00:27:55"/>
    <n v="28.55"/>
    <s v="NE172 "/>
    <d v="1899-12-30T00:00:00"/>
    <x v="45"/>
    <n v="17.02"/>
    <s v="Complete"/>
    <s v="Phone"/>
    <s v="Occasional"/>
    <s v="LowValue"/>
    <s v="Gen_Y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Harold"/>
    <s v="Magee"/>
    <s v="Mr."/>
    <s v="565 Cinnamon Lane"/>
    <s v="Ashland"/>
    <s v="VA"/>
    <s v="US"/>
    <n v="23005"/>
    <s v="Harold.A.Magee@mailinator.com"/>
    <s v="503-308-1831"/>
    <s v="American Express"/>
    <s v="NW310 "/>
    <s v="UK"/>
    <s v="YS731666A"/>
    <n v="376169000000000"/>
    <n v="10155"/>
    <n v="40"/>
    <n v="5455"/>
    <d v="1899-12-30T00:00:00"/>
    <d v="1899-12-30T00:17:25"/>
    <n v="23.37"/>
    <s v="NC100 "/>
    <d v="1899-12-30T00:00:00"/>
    <x v="9"/>
    <n v="19.350000000000001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3"/>
  </r>
  <r>
    <s v="Harold"/>
    <s v="Magee"/>
    <s v="Mr."/>
    <s v="565 Cinnamon Lane"/>
    <s v="Ashland"/>
    <s v="VA"/>
    <s v="US"/>
    <n v="23005"/>
    <s v="Harold.A.Magee@mailinator.com"/>
    <s v="503-308-1831"/>
    <s v="American Express"/>
    <s v="NW310 "/>
    <s v="UK"/>
    <s v="YS731666A"/>
    <n v="344975000000000"/>
    <n v="10155"/>
    <n v="40"/>
    <n v="8471"/>
    <d v="1899-12-30T00:00:00"/>
    <d v="1899-12-30T00:47:53"/>
    <n v="21.97"/>
    <s v="WE157 "/>
    <d v="1899-12-30T00:00:00"/>
    <x v="25"/>
    <n v="30.45"/>
    <s v="Abandoned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Quinn"/>
    <s v="Perry"/>
    <s v="Master."/>
    <s v="749 C Street"/>
    <s v="Amarillo"/>
    <s v="TX"/>
    <s v="US"/>
    <n v="79109"/>
    <s v="Quinn.S.Perry@spambob.com"/>
    <s v="603-366-3347"/>
    <s v="American Express"/>
    <s v="SC322 "/>
    <s v="IT"/>
    <s v="FHGPMO74D11L254L"/>
    <n v="374897000000000"/>
    <n v="10091"/>
    <n v="40"/>
    <n v="6717"/>
    <d v="1899-12-30T00:00:00"/>
    <d v="1899-12-30T00:13:55"/>
    <n v="13.25"/>
    <s v="SE400 "/>
    <d v="1899-12-30T00:00:00"/>
    <x v="33"/>
    <n v="5.2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3"/>
  </r>
  <r>
    <s v="Quinn"/>
    <s v="Perry"/>
    <s v="Master."/>
    <s v="749 C Street"/>
    <s v="Amarillo"/>
    <s v="TX"/>
    <s v="US"/>
    <n v="79109"/>
    <s v="Quinn.S.Perry@spambob.com"/>
    <s v="603-366-3347"/>
    <s v="American Express"/>
    <s v="SC322 "/>
    <s v="IT"/>
    <s v="FHGPMO74D11L254L"/>
    <n v="341829000000000"/>
    <n v="10091"/>
    <n v="40"/>
    <n v="7265"/>
    <d v="1899-12-30T00:00:00"/>
    <d v="1899-12-30T00:07:39"/>
    <n v="7.45"/>
    <s v="WE286 "/>
    <d v="1899-12-30T00:00:00"/>
    <x v="34"/>
    <n v="35.159999999999997"/>
    <s v="In-Progress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Kristin"/>
    <s v="Mendoza"/>
    <s v="Mrs."/>
    <s v="2909 Frank Avenue"/>
    <s v="Anaheim"/>
    <s v="CA"/>
    <s v="US"/>
    <n v="92805"/>
    <s v="Kristin.T.Mendoza@spambob.com"/>
    <s v="865-685-8215"/>
    <s v="Diners Club"/>
    <s v="WE154 "/>
    <s v="FR"/>
    <n v="700000000000000"/>
    <n v="36980300000000"/>
    <n v="10095"/>
    <s v="age-55"/>
    <n v="2162"/>
    <d v="1899-12-30T00:00:00"/>
    <d v="1899-12-30T00:43:55"/>
    <n v="8.99"/>
    <s v="SW340 "/>
    <d v="1899-12-30T00:00:00"/>
    <x v="6"/>
    <n v="35.36"/>
    <s v="Cancelled"/>
    <s v="Phone"/>
    <s v="Frequent"/>
    <s v="LowValue"/>
    <s v="Gen_Z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Kristin"/>
    <s v="Mendoza"/>
    <s v="Mrs."/>
    <s v="2909 Frank Avenue"/>
    <s v="Anaheim"/>
    <s v="CA"/>
    <s v="US"/>
    <n v="92805"/>
    <s v="Kristin.T.Mendoza@spambob.com"/>
    <s v="865-685-8215"/>
    <s v="Diners Club"/>
    <s v="WE154 "/>
    <s v="FR"/>
    <n v="700000000000000"/>
    <n v="36944300000000"/>
    <n v="10095"/>
    <s v="age-55"/>
    <n v="3305"/>
    <d v="1899-12-30T00:00:00"/>
    <d v="1899-12-30T00:27:56"/>
    <n v="33.99"/>
    <s v="SW217 "/>
    <d v="1899-12-30T00:00:00"/>
    <x v="35"/>
    <n v="24.92"/>
    <s v="Complete"/>
    <s v="Phone"/>
    <s v="Frequent"/>
    <s v="LowValue"/>
    <s v="Gen_Z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Kristin"/>
    <s v="Mendoza"/>
    <s v="Mrs."/>
    <s v="2909 Frank Avenue"/>
    <s v="Anaheim"/>
    <s v="CA"/>
    <s v="US"/>
    <n v="92805"/>
    <s v="Kristin.T.Mendoza@spambob.com"/>
    <s v="865-685-8215"/>
    <s v="Diners Club"/>
    <s v="WE154 "/>
    <s v="FR"/>
    <n v="700000000000000"/>
    <n v="36624200000000"/>
    <n v="10095"/>
    <s v="age-55"/>
    <n v="3967"/>
    <d v="1899-12-30T00:00:00"/>
    <d v="1899-12-30T00:43:55"/>
    <n v="11.88"/>
    <s v="NW316 "/>
    <d v="1899-12-30T00:00:00"/>
    <x v="24"/>
    <n v="281.82"/>
    <s v="Complete"/>
    <s v="Phone"/>
    <s v="Frequent"/>
    <s v="HighValue"/>
    <s v="Gen_Z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1"/>
    <n v="0"/>
    <n v="0"/>
    <n v="0"/>
    <n v="0"/>
    <n v="0"/>
    <n v="1"/>
    <n v="0"/>
    <n v="5"/>
  </r>
  <r>
    <s v="Harold"/>
    <s v="Magee"/>
    <s v="Mr."/>
    <s v="  565 Cinnamon Lane"/>
    <s v="Ashland"/>
    <s v="VA"/>
    <s v="US"/>
    <n v="23005"/>
    <s v="Harold.A.Magee@mailinator.com"/>
    <s v="503-308-1831"/>
    <s v="American Express"/>
    <s v="NW310 "/>
    <s v="UK"/>
    <s v="YS731666A"/>
    <n v="349153000000000"/>
    <n v="10155"/>
    <n v="40"/>
    <n v="8974"/>
    <d v="1899-12-30T00:00:00"/>
    <d v="1899-12-30T00:32:51"/>
    <n v="17.600000000000001"/>
    <s v="NW247 "/>
    <d v="1899-12-30T00:00:00"/>
    <x v="16"/>
    <n v="40.619999999999997"/>
    <s v="Complete"/>
    <s v="Phone"/>
    <s v="Occasional"/>
    <s v="LowValue"/>
    <s v="Gen_Y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Melba"/>
    <s v="Whitehead"/>
    <s v="Mrs."/>
    <s v="4985 Barnes Avenue"/>
    <s v="Asquith"/>
    <s v="NSW"/>
    <s v="AU"/>
    <n v="2077"/>
    <s v="Melba.M.Whitehead@trashymail.com"/>
    <s v="(07) 4507 5357"/>
    <s v="American Express"/>
    <s v="RP121 "/>
    <s v="ES"/>
    <s v="0568157B"/>
    <n v="340547000000000"/>
    <n v="10159"/>
    <n v="53"/>
    <n v="601"/>
    <d v="1899-12-30T00:00:00"/>
    <d v="1899-12-30T00:44:17"/>
    <n v="33.85"/>
    <s v="NE178 "/>
    <d v="1899-12-30T00:00:00"/>
    <x v="12"/>
    <n v="28.95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4"/>
  </r>
  <r>
    <s v="Melba"/>
    <s v="Whitehead"/>
    <s v="Mrs."/>
    <s v="4985 Barnes Avenue"/>
    <s v="Asquith"/>
    <s v="NSW"/>
    <s v="AU"/>
    <n v="2077"/>
    <s v="Melba.M.Whitehead@trashymail.com"/>
    <s v="(07) 4507 5357"/>
    <s v="American Express"/>
    <s v="RP121 "/>
    <s v="ES"/>
    <s v="0568157B"/>
    <n v="375976000000000"/>
    <n v="10159"/>
    <n v="53"/>
    <n v="810"/>
    <d v="1899-12-30T00:00:00"/>
    <d v="1899-12-30T00:11:26"/>
    <n v="7.02"/>
    <s v="RP385 "/>
    <d v="1899-12-30T00:00:00"/>
    <x v="36"/>
    <n v="7.89"/>
    <s v="Complete"/>
    <s v="Phone"/>
    <s v="Occasional"/>
    <s v="LowValue"/>
    <s v="Baby_Boomers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Melba"/>
    <s v="Whitehead"/>
    <s v="Mrs."/>
    <s v="4985 Barnes Avenue"/>
    <s v="Asquith"/>
    <s v="NSW"/>
    <s v="AU"/>
    <n v="2077"/>
    <s v="Melba.M.Whitehead@trashymail.com"/>
    <s v="(07) 4507 5357"/>
    <s v="American Express"/>
    <s v="RP121 "/>
    <s v="ES"/>
    <s v="0568157B"/>
    <n v="345604000000000"/>
    <n v="10159"/>
    <n v="53"/>
    <n v="3072"/>
    <d v="1899-12-30T00:00:00"/>
    <d v="1899-12-30T00:43:55"/>
    <n v="11.45"/>
    <s v="NC364 "/>
    <d v="1899-12-30T00:00:00"/>
    <x v="24"/>
    <n v="45.27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Melba"/>
    <s v="Whitehead"/>
    <s v="Mrs."/>
    <s v="4985 Barnes Avenue"/>
    <s v="Asquith"/>
    <s v="NSW"/>
    <s v="AU"/>
    <n v="2077"/>
    <s v="Melba.M.Whitehead@trashymail.com"/>
    <s v="(07) 4507 5357"/>
    <s v="American Express"/>
    <s v="RP121 "/>
    <s v="ES"/>
    <s v="0568157B"/>
    <n v="346804000000000"/>
    <n v="10159"/>
    <n v="53"/>
    <n v="4170"/>
    <d v="1899-12-30T00:00:00"/>
    <d v="1899-12-30T00:07:39"/>
    <n v="16.850000000000001"/>
    <s v="SC256 "/>
    <d v="1899-12-30T00:00:00"/>
    <x v="15"/>
    <n v="8.4600000000000009"/>
    <s v="Cancelled"/>
    <s v="Phone"/>
    <s v="Occasional"/>
    <s v="LowValue"/>
    <s v="Baby_Boomers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s v="Melba"/>
    <s v="Whitehead"/>
    <s v="Mrs."/>
    <s v="4985 Barnes Avenue"/>
    <s v="Asquith"/>
    <s v="NSW"/>
    <s v="AU"/>
    <n v="2077"/>
    <s v="Melba.M.Whitehead@trashymail.com"/>
    <s v="(07) 4507 5357"/>
    <s v="American Express"/>
    <s v="RP121 "/>
    <s v="ES"/>
    <s v="0568157B"/>
    <n v="340467000000000"/>
    <n v="10159"/>
    <n v="53"/>
    <n v="7795"/>
    <d v="1899-12-30T00:00:00"/>
    <d v="1899-12-30T00:11:26"/>
    <n v="16.329999999999998"/>
    <s v="NC169 "/>
    <d v="1899-12-30T00:00:00"/>
    <x v="36"/>
    <n v="800.9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Ivan"/>
    <s v="Case"/>
    <s v="Mr."/>
    <s v="2540 School Street"/>
    <s v="Athens"/>
    <s v="TX"/>
    <s v="US"/>
    <n v="75751"/>
    <s v="Ivan.J.Case@dodgeit.com"/>
    <s v="512-391-4111"/>
    <s v="Diners Club"/>
    <s v="SC130 "/>
    <s v="U.S."/>
    <n v="23868154"/>
    <n v="36851600000000"/>
    <n v="10163"/>
    <n v="27"/>
    <n v="1566"/>
    <d v="1899-12-30T00:00:00"/>
    <d v="1899-12-30T00:33:26"/>
    <n v="6.37"/>
    <s v="SE397 "/>
    <d v="1899-12-30T00:00:00"/>
    <x v="12"/>
    <n v="190.12"/>
    <s v="Complete"/>
    <s v="Desktop"/>
    <s v="FirstTime"/>
    <s v="HighValue"/>
    <s v="Gen_Y"/>
    <n v="0"/>
    <n v="1"/>
    <n v="0"/>
    <n v="0"/>
    <n v="0"/>
    <n v="1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6"/>
  </r>
  <r>
    <s v="Ivan"/>
    <s v="Case"/>
    <s v="Mr."/>
    <s v="2540 School Street"/>
    <s v="Athens"/>
    <s v="TX"/>
    <s v="US"/>
    <n v="75751"/>
    <s v="Ivan.J.Case@dodgeit.com"/>
    <s v="512-391-4111"/>
    <s v="Diners Club"/>
    <s v="SC130 "/>
    <s v="U.S."/>
    <n v="23868154"/>
    <n v="36184000000000"/>
    <n v="10163"/>
    <n v="27"/>
    <n v="1740"/>
    <d v="1899-12-30T00:00:00"/>
    <d v="1899-12-30T00:36:45"/>
    <n v="13.33"/>
    <s v="RP319 "/>
    <d v="1899-12-30T00:00:00"/>
    <x v="48"/>
    <n v="282.85000000000002"/>
    <s v="In-Progress"/>
    <s v="Phone"/>
    <s v="FirstTime"/>
    <s v="HighValue"/>
    <s v="Gen_Y"/>
    <n v="0"/>
    <n v="0"/>
    <n v="1"/>
    <n v="0"/>
    <n v="0"/>
    <n v="0"/>
    <n v="0"/>
    <n v="0"/>
    <n v="0"/>
    <n v="1"/>
    <n v="0"/>
    <n v="0"/>
    <n v="0"/>
    <n v="0"/>
    <n v="1"/>
    <n v="1"/>
    <n v="0"/>
    <n v="1"/>
    <n v="0"/>
    <n v="0"/>
    <n v="0"/>
    <n v="1"/>
    <n v="0"/>
    <n v="1"/>
    <n v="0"/>
    <n v="0"/>
    <n v="0"/>
    <n v="1"/>
    <n v="1"/>
    <n v="9"/>
  </r>
  <r>
    <s v="Bob"/>
    <s v="Davenport"/>
    <s v="Mr."/>
    <s v="488 Lonely Oak Drive"/>
    <s v="Atlanta"/>
    <s v="GA"/>
    <s v="US"/>
    <n v="30345"/>
    <s v="Bob.N.Davenport@pookmail.com"/>
    <s v="512-912-9995"/>
    <s v="Discover"/>
    <s v="NE103 "/>
    <s v="FR"/>
    <n v="128000000000000"/>
    <n v="6011110000000000"/>
    <n v="10167"/>
    <s v="NA"/>
    <n v="1901"/>
    <d v="1899-12-30T00:00:00"/>
    <d v="1899-12-30T00:11:26"/>
    <n v="11.88"/>
    <s v="SE136 "/>
    <d v="1899-12-30T00:00:00"/>
    <x v="44"/>
    <n v="267.24"/>
    <s v="Complete"/>
    <s v="Phone"/>
    <s v="Frequent"/>
    <s v="HighValue"/>
    <s v="Gen_Z"/>
    <n v="0"/>
    <n v="0"/>
    <n v="0"/>
    <n v="0"/>
    <n v="0"/>
    <n v="0"/>
    <n v="1"/>
    <n v="0"/>
    <n v="0"/>
    <n v="1"/>
    <n v="0"/>
    <n v="0"/>
    <n v="0"/>
    <n v="0"/>
    <n v="0"/>
    <n v="1"/>
    <n v="0"/>
    <n v="1"/>
    <n v="0"/>
    <n v="1"/>
    <n v="0"/>
    <n v="0"/>
    <n v="0"/>
    <n v="1"/>
    <n v="0"/>
    <n v="1"/>
    <n v="0"/>
    <n v="0"/>
    <n v="1"/>
    <n v="8"/>
  </r>
  <r>
    <s v="Jennifer"/>
    <s v="Howard"/>
    <s v="Mrs."/>
    <s v="3339 Twin Willow Lane"/>
    <s v="Atlanta"/>
    <s v="GA"/>
    <s v="US"/>
    <n v="30329"/>
    <s v="Jennifer.M.Howard@spambob.com"/>
    <s v="559-927-9392"/>
    <s v="Discover"/>
    <s v="SC199 "/>
    <s v="IT"/>
    <s v="SQOOUI42T60G511Z"/>
    <n v="6011560000000000"/>
    <n v="10171"/>
    <s v="NA"/>
    <n v="2171"/>
    <d v="1899-12-30T00:00:00"/>
    <d v="1899-12-30T00:58:45"/>
    <n v="18.989999999999998"/>
    <s v="SW343 "/>
    <d v="1899-12-30T00:00:00"/>
    <x v="19"/>
    <n v="50.67"/>
    <s v="Complete"/>
    <s v="Phone"/>
    <s v="FirstTime"/>
    <s v="LowValue"/>
    <s v="Gen_Z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s v="Jennifer"/>
    <s v="Howard"/>
    <s v="Mrs."/>
    <s v="3339 Twin Willow Lane"/>
    <s v="Atlanta"/>
    <s v="GA"/>
    <s v="US"/>
    <n v="30329"/>
    <s v="Jennifer.M.Howard@spambob.com"/>
    <s v="559-927-9392"/>
    <s v="Discover"/>
    <s v="SC199 "/>
    <s v="IT"/>
    <s v="SQOOUI42T60G511Z"/>
    <n v="6011650000000000"/>
    <n v="10171"/>
    <s v="NA"/>
    <n v="7867"/>
    <d v="1899-12-30T00:00:00"/>
    <d v="1899-12-30T00:29:06"/>
    <n v="8.99"/>
    <s v="NC358 "/>
    <d v="1899-12-30T00:00:00"/>
    <x v="14"/>
    <n v="26.97"/>
    <s v="Cancelled"/>
    <s v="Phone"/>
    <s v="FirstTime"/>
    <s v="LowValue"/>
    <s v="Gen_Z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Jennifer"/>
    <s v="Howard"/>
    <s v="Mrs."/>
    <s v="3339 Twin Willow Lane"/>
    <s v="Atlanta"/>
    <s v="GA"/>
    <s v="US"/>
    <n v="30329"/>
    <s v="Jennifer.M.Howard@spambob.com"/>
    <s v="559-927-9392"/>
    <s v="Discover"/>
    <s v="SC199 "/>
    <s v="IT"/>
    <s v="SQOOUI42T60G511Z"/>
    <n v="6011970000000000"/>
    <n v="10171"/>
    <s v="NA"/>
    <n v="8182"/>
    <d v="1899-12-30T00:00:00"/>
    <d v="1899-12-30T00:22:37"/>
    <n v="6.87"/>
    <s v="NE238 "/>
    <d v="1899-12-30T00:00:00"/>
    <x v="49"/>
    <n v="7.12"/>
    <s v="Complete"/>
    <s v="Phone"/>
    <s v="FirstTime"/>
    <s v="LowValue"/>
    <s v="Gen_Z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Jana"/>
    <s v="Hall"/>
    <s v="Mrs."/>
    <s v="2050 Randolph Street"/>
    <s v="Atlantic City"/>
    <s v="NJ"/>
    <s v="US"/>
    <n v="8401"/>
    <s v="Jana.R.Hall@mailinator.com"/>
    <s v="410-971-3586"/>
    <s v="American Express"/>
    <s v="NC361 "/>
    <s v="ES"/>
    <s v="X4152416L"/>
    <n v="370602000000000"/>
    <n v="10179"/>
    <n v="30"/>
    <n v="5684"/>
    <d v="1899-12-30T00:00:00"/>
    <d v="1899-12-30T00:13:55"/>
    <n v="18.989999999999998"/>
    <s v="SE400 "/>
    <d v="1899-12-30T00:00:00"/>
    <x v="33"/>
    <n v="29.89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Jana"/>
    <s v="Hall"/>
    <s v="Mrs."/>
    <s v="2050 Randolph Street"/>
    <s v="Atlantic City"/>
    <s v="NJ"/>
    <s v="US"/>
    <n v="8401"/>
    <s v="Jana.R.Hall@mailinator.com"/>
    <s v="410-971-3586"/>
    <s v="American Express"/>
    <s v="NC361 "/>
    <s v="ES"/>
    <s v="X4152416L"/>
    <n v="340179000000000"/>
    <n v="10179"/>
    <n v="30"/>
    <n v="8402"/>
    <d v="1899-12-30T00:00:00"/>
    <d v="1899-12-30T00:43:53"/>
    <n v="23.37"/>
    <s v="SW274 "/>
    <d v="1899-12-30T00:00:00"/>
    <x v="41"/>
    <n v="49.78"/>
    <s v="In-Progress"/>
    <s v="Phone"/>
    <s v="Occasional"/>
    <s v="LowValue"/>
    <s v="Gen_Y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s v="Arlene"/>
    <s v="Cruz"/>
    <s v="Mrs."/>
    <s v="4858 Bottom Lane"/>
    <s v="Auburn"/>
    <s v="WA"/>
    <s v="US"/>
    <n v="98002"/>
    <s v="Arlene.M.Cruz@mailinator.com"/>
    <s v="817-905-6598"/>
    <s v="jcb"/>
    <s v="SW211 "/>
    <s v="IT"/>
    <s v="CQQVJC41M50H989G"/>
    <n v="3528030000000000"/>
    <n v="10183"/>
    <n v="35"/>
    <n v="2269"/>
    <d v="1899-12-30T00:00:00"/>
    <d v="1899-12-30T00:32:45"/>
    <n v="7.12"/>
    <s v="RP190 "/>
    <d v="1899-12-30T00:00:00"/>
    <x v="20"/>
    <n v="30.79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Arlene"/>
    <s v="Cruz"/>
    <s v="Mrs."/>
    <s v="4858 Bottom Lane"/>
    <s v="Auburn"/>
    <s v="WA"/>
    <s v="US"/>
    <n v="98002"/>
    <s v="Arlene.M.Cruz@mailinator.com"/>
    <s v="817-905-6598"/>
    <s v="jcb"/>
    <s v="SW211 "/>
    <s v="IT"/>
    <s v="CQQVJC41M50H989G"/>
    <n v="3528500000000000"/>
    <n v="10183"/>
    <n v="35"/>
    <n v="6950"/>
    <d v="1899-12-30T00:00:00"/>
    <d v="1899-12-30T00:27:56"/>
    <n v="10.45"/>
    <s v="SW217 "/>
    <d v="1899-12-30T00:00:00"/>
    <x v="35"/>
    <n v="42.66"/>
    <s v="Complete"/>
    <s v="Phone"/>
    <s v="Occasional"/>
    <s v="LowValue"/>
    <s v="Gen_Y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s v="Mildred"/>
    <s v="Carey"/>
    <s v="Mrs."/>
    <s v="3362 Post Avenue"/>
    <s v="Aulnay-sous-bois"/>
    <m/>
    <s v="FR"/>
    <n v="93600"/>
    <s v="Mildred.M.Carey@mailinator.com"/>
    <s v="03.43.65.57.75"/>
    <s v="American Express"/>
    <s v="NE373 "/>
    <s v="ES"/>
    <s v="5876860S"/>
    <n v="343374000000000"/>
    <n v="10187"/>
    <n v="75"/>
    <n v="1385"/>
    <d v="1899-12-30T00:00:00"/>
    <d v="1899-12-30T00:50:45"/>
    <n v="7.12"/>
    <s v="WE223 "/>
    <d v="1899-12-30T00:00:00"/>
    <x v="47"/>
    <n v="150.79"/>
    <s v="Cancelled"/>
    <s v="Desktop"/>
    <s v="Frequent"/>
    <s v="MediumValue"/>
    <s v="Baby_Boomers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1"/>
    <n v="0"/>
    <n v="0"/>
    <n v="0"/>
    <n v="0"/>
    <n v="5"/>
  </r>
  <r>
    <s v="Mildred"/>
    <s v="Carey"/>
    <s v="Mrs."/>
    <s v="3362 Post Avenue"/>
    <s v="Aulnay-sous-bois"/>
    <m/>
    <s v="FR"/>
    <n v="93600"/>
    <s v="Mildred.M.Carey@mailinator.com"/>
    <s v="03.43.65.57.75"/>
    <s v="American Express"/>
    <s v="NE373 "/>
    <s v="ES"/>
    <s v="5876860S"/>
    <n v="347290000000000"/>
    <n v="10187"/>
    <n v="75"/>
    <n v="2039"/>
    <d v="1899-12-30T00:00:00"/>
    <d v="1899-12-30T00:27:56"/>
    <n v="27.97"/>
    <s v="SE271 "/>
    <d v="1899-12-30T00:00:00"/>
    <x v="21"/>
    <n v="219.64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0"/>
    <n v="5"/>
  </r>
  <r>
    <s v="Mildred"/>
    <s v="Carey"/>
    <s v="Mrs."/>
    <s v="3362 Post Avenue"/>
    <s v="Aulnay-sous-bois"/>
    <m/>
    <s v="FR"/>
    <n v="93600"/>
    <s v="Mildred.M.Carey@mailinator.com"/>
    <s v="03.43.65.57.75"/>
    <s v="American Express"/>
    <s v="NE373 "/>
    <s v="ES"/>
    <s v="5876860S"/>
    <n v="370889000000000"/>
    <n v="10187"/>
    <n v="75"/>
    <n v="2961"/>
    <d v="1899-12-30T00:00:00"/>
    <d v="1899-12-30T00:11:26"/>
    <n v="19.25"/>
    <s v="SE136 "/>
    <d v="1899-12-30T00:00:00"/>
    <x v="44"/>
    <n v="260.83999999999997"/>
    <s v="Complete"/>
    <s v="Phone"/>
    <s v="Frequent"/>
    <s v="HighValue"/>
    <s v="Baby_Boomers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1"/>
    <n v="0"/>
    <n v="0"/>
    <n v="0"/>
    <n v="4"/>
  </r>
  <r>
    <s v="Mildred"/>
    <s v="Carey"/>
    <s v="Mrs."/>
    <s v="3362 Post Avenue"/>
    <s v="Aulnay-sous-bois"/>
    <m/>
    <s v="FR"/>
    <n v="93600"/>
    <s v="Mildred.M.Carey@mailinator.com"/>
    <s v="03.43.65.57.75"/>
    <s v="American Express"/>
    <s v="NE373 "/>
    <s v="ES"/>
    <s v="5876860S"/>
    <n v="341480000000000"/>
    <n v="10187"/>
    <n v="75"/>
    <n v="3576"/>
    <d v="1899-12-30T00:00:00"/>
    <d v="1899-12-30T00:27:56"/>
    <n v="11.15"/>
    <s v="SE268 "/>
    <d v="1899-12-30T00:00:00"/>
    <x v="39"/>
    <n v="260.57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1"/>
    <n v="0"/>
    <n v="0"/>
    <n v="0"/>
    <n v="0"/>
    <n v="1"/>
    <n v="0"/>
    <n v="1"/>
    <n v="1"/>
    <n v="7"/>
  </r>
  <r>
    <s v="Yasmin"/>
    <s v="Cole"/>
    <s v="Mrs."/>
    <s v="2756 Johnson Street"/>
    <s v="Austin"/>
    <s v="TX"/>
    <s v="US"/>
    <n v="78664"/>
    <s v="Yasmin.D.Cole@pookmail.com"/>
    <s v="703-633-1911"/>
    <s v="VISA"/>
    <s v="NC424 "/>
    <s v="ES"/>
    <s v="1062903G"/>
    <n v="4761930000000000"/>
    <n v="10195"/>
    <n v="68"/>
    <n v="1210"/>
    <d v="1899-12-30T00:00:00"/>
    <d v="1899-12-30T00:29:06"/>
    <n v="23.37"/>
    <s v="SW406 "/>
    <d v="1899-12-30T00:00:00"/>
    <x v="50"/>
    <n v="550"/>
    <s v="Complete"/>
    <s v="Desktop"/>
    <s v="Occasional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5"/>
  </r>
  <r>
    <s v="Yasmin"/>
    <s v="Cole"/>
    <s v="Mrs."/>
    <s v="2756 Johnson Street"/>
    <s v="Austin"/>
    <s v="TX"/>
    <s v="US"/>
    <n v="78664"/>
    <s v="Yasmin.D.Cole@pookmail.com"/>
    <s v="703-633-1911"/>
    <s v="VISA"/>
    <s v="NC424 "/>
    <s v="ES"/>
    <s v="1062903G"/>
    <n v="4276370000000000"/>
    <n v="10195"/>
    <n v="68"/>
    <n v="1562"/>
    <d v="1899-12-30T00:00:00"/>
    <d v="1899-12-30T00:57:29"/>
    <n v="24.08"/>
    <s v="WE226 "/>
    <d v="1899-12-30T00:00:00"/>
    <x v="38"/>
    <n v="31.03"/>
    <s v="Abandoned"/>
    <s v="Desktop"/>
    <s v="Occasional"/>
    <s v="LowValue"/>
    <s v="Baby_Boomers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</r>
  <r>
    <s v="Yasmin"/>
    <s v="Cole"/>
    <s v="Mrs."/>
    <s v="2756 Johnson Street"/>
    <s v="Austin"/>
    <s v="TX"/>
    <s v="US"/>
    <n v="78664"/>
    <s v="Yasmin.D.Cole@pookmail.com"/>
    <s v="703-633-1911"/>
    <s v="VISA"/>
    <s v="NC424 "/>
    <s v="ES"/>
    <s v="1062903G"/>
    <n v="4029380000000000"/>
    <n v="10195"/>
    <n v="68"/>
    <n v="1950"/>
    <d v="1899-12-30T00:00:00"/>
    <d v="1899-12-30T00:29:06"/>
    <n v="13.33"/>
    <s v="NC358 "/>
    <d v="1899-12-30T00:00:00"/>
    <x v="14"/>
    <n v="211.78"/>
    <s v="Complete"/>
    <s v="Desktop"/>
    <s v="Occasional"/>
    <s v="HighValue"/>
    <s v="Baby_Boomers"/>
    <n v="0"/>
    <n v="0"/>
    <n v="0"/>
    <n v="0"/>
    <n v="0"/>
    <n v="1"/>
    <n v="0"/>
    <n v="1"/>
    <n v="0"/>
    <n v="1"/>
    <n v="0"/>
    <n v="0"/>
    <n v="0"/>
    <n v="0"/>
    <n v="0"/>
    <n v="1"/>
    <n v="0"/>
    <n v="1"/>
    <n v="0"/>
    <n v="0"/>
    <n v="1"/>
    <n v="0"/>
    <n v="0"/>
    <n v="0"/>
    <n v="0"/>
    <n v="0"/>
    <n v="0"/>
    <n v="1"/>
    <n v="0"/>
    <n v="7"/>
  </r>
  <r>
    <s v="Yasmin"/>
    <s v="Cole"/>
    <s v="Mrs."/>
    <s v="2756 Johnson Street"/>
    <s v="Austin"/>
    <s v="TX"/>
    <s v="US"/>
    <n v="78664"/>
    <s v="Yasmin.D.Cole@pookmail.com"/>
    <s v="703-633-1911"/>
    <s v="VISA"/>
    <s v="NC424 "/>
    <s v="ES"/>
    <s v="1062903G"/>
    <n v="4389230000000000"/>
    <n v="10195"/>
    <n v="68"/>
    <n v="4525"/>
    <d v="1899-12-30T00:00:00"/>
    <d v="1899-12-30T00:44:17"/>
    <n v="10.15"/>
    <s v="NE178 "/>
    <d v="1899-12-30T00:00:00"/>
    <x v="12"/>
    <n v="235.03"/>
    <s v="Complete"/>
    <s v="Desktop"/>
    <s v="Occasional"/>
    <s v="HighValue"/>
    <s v="Baby_Boomers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1"/>
    <n v="0"/>
    <n v="0"/>
    <n v="0"/>
    <n v="1"/>
    <n v="1"/>
    <n v="0"/>
    <n v="8"/>
  </r>
  <r>
    <s v="Yasmin"/>
    <s v="Cole"/>
    <s v="Mrs."/>
    <s v="2756 Johnson Street"/>
    <s v="Austin"/>
    <s v="TX"/>
    <s v="US"/>
    <n v="78664"/>
    <s v="Yasmin.D.Cole@pookmail.com"/>
    <s v="703-633-1911"/>
    <s v="VISA"/>
    <s v="NC424 "/>
    <s v="ES"/>
    <s v="1062903G"/>
    <n v="4322470000000000"/>
    <n v="10195"/>
    <n v="68"/>
    <n v="7524"/>
    <d v="1899-12-30T00:47:25"/>
    <d v="1899-12-30T00:47:25"/>
    <n v="16.25"/>
    <s v="SC124 "/>
    <d v="1899-12-30T00:47:25"/>
    <x v="7"/>
    <n v="240.8"/>
    <s v="Complete"/>
    <s v="Desktop"/>
    <s v="Occasional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4"/>
  </r>
  <r>
    <s v="Jodi"/>
    <s v="Bugg"/>
    <s v="Mrs."/>
    <s v="1177 Petunia Way"/>
    <s v="Avio"/>
    <s v="TN"/>
    <s v="IT"/>
    <n v="38063"/>
    <s v="Jodi.S.Bugg@spambob.com"/>
    <s v="0396 3484999"/>
    <s v="American Express"/>
    <s v="NC100 "/>
    <s v="FR"/>
    <n v="253000000000000"/>
    <n v="344866000000000"/>
    <n v="10203"/>
    <n v="38"/>
    <n v="1078"/>
    <d v="1899-12-30T00:00:00"/>
    <d v="1899-12-30T00:27:55"/>
    <n v="16.25"/>
    <s v="NE172 "/>
    <d v="1899-12-30T00:00:00"/>
    <x v="45"/>
    <n v="39.619999999999997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Jodi"/>
    <s v="Bugg"/>
    <s v="Mrs."/>
    <s v="1177 Petunia Way"/>
    <s v="Avio"/>
    <s v="TN"/>
    <s v="IT"/>
    <n v="38063"/>
    <s v="Jodi.S.Bugg@spambob.com"/>
    <s v="0396 3484999"/>
    <s v="American Express"/>
    <s v="NC100 "/>
    <s v="FR"/>
    <n v="253000000000000"/>
    <n v="370252000000000"/>
    <n v="10203"/>
    <n v="38"/>
    <n v="7969"/>
    <d v="1899-12-30T00:00:00"/>
    <d v="1899-12-30T00:34:17"/>
    <n v="26.87"/>
    <s v="WE355 "/>
    <d v="1899-12-30T00:00:00"/>
    <x v="12"/>
    <n v="11.64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Henry"/>
    <s v="Williams"/>
    <s v="Mr."/>
    <s v="303 School Street"/>
    <s v="Back Plains"/>
    <s v="QLD"/>
    <s v="AU"/>
    <n v="4361"/>
    <s v="Henry.C.Williams@spambob.com"/>
    <s v="(03) 5390 3807"/>
    <s v="American Express"/>
    <s v="SW346 "/>
    <s v="UK"/>
    <s v="TS214786A"/>
    <n v="342963000000000"/>
    <n v="10207"/>
    <n v="70"/>
    <n v="8579"/>
    <d v="1899-12-30T00:00:00"/>
    <d v="1899-12-30T00:25:37"/>
    <n v="23.12"/>
    <s v="SE133 "/>
    <d v="1899-12-30T00:00:00"/>
    <x v="33"/>
    <n v="22.85"/>
    <s v="Complete"/>
    <s v="Desktop"/>
    <s v="Occasional"/>
    <s v="LowValue"/>
    <s v="Baby_Boomers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Allen"/>
    <s v="Rice"/>
    <s v="Mr."/>
    <s v="491 Browning Lane"/>
    <s v="Badia Di Cava De Tirreni"/>
    <s v="SA"/>
    <s v="IT"/>
    <n v="84010"/>
    <s v="Allen.L.Rice@pookmail.com"/>
    <s v="0310 4718739"/>
    <s v="VISA"/>
    <s v="WE223 "/>
    <s v="UK"/>
    <s v="YH860602C"/>
    <n v="4433280000000000"/>
    <n v="10211"/>
    <s v="NA"/>
    <n v="3605"/>
    <d v="1899-12-30T00:47:25"/>
    <d v="1899-12-30T00:47:25"/>
    <n v="13.51"/>
    <s v="WE289 "/>
    <d v="1899-12-30T00:47:25"/>
    <x v="7"/>
    <n v="77.900000000000006"/>
    <s v="In-Progress"/>
    <s v="Phone"/>
    <s v="FirstTime"/>
    <s v="MediumValue"/>
    <s v="Gen_Z"/>
    <n v="1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</r>
  <r>
    <s v="Allen"/>
    <s v="Rice"/>
    <s v="Mr."/>
    <s v="491 Browning Lane"/>
    <s v="Badia Di Cava De Tirreni"/>
    <s v="SA"/>
    <s v="IT"/>
    <n v="84010"/>
    <s v="Allen.L.Rice@pookmail.com"/>
    <s v="0310 4718739"/>
    <s v="VISA"/>
    <s v="WE223 "/>
    <s v="UK"/>
    <s v="YH860602C"/>
    <n v="4722680000000000"/>
    <n v="10211"/>
    <s v="NA"/>
    <n v="4985"/>
    <d v="1899-12-30T00:00:00"/>
    <d v="1899-12-30T00:22:37"/>
    <n v="11.05"/>
    <s v="NE238 "/>
    <d v="1899-12-30T00:00:00"/>
    <x v="49"/>
    <n v="237.25"/>
    <s v="Complete"/>
    <s v="Phone"/>
    <s v="FirstTime"/>
    <s v="HighValue"/>
    <s v="Gen_Z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4"/>
  </r>
  <r>
    <s v="Allen"/>
    <s v="Rice"/>
    <s v="Mr."/>
    <s v="491 Browning Lane"/>
    <s v="Badia Di Cava De Tirreni"/>
    <s v="SA"/>
    <s v="IT"/>
    <n v="84010"/>
    <s v="Allen.L.Rice@pookmail.com"/>
    <s v="0310 4718739"/>
    <s v="VISA"/>
    <s v="WE223 "/>
    <s v="UK"/>
    <s v="YH860602C"/>
    <n v="4604190000000000"/>
    <n v="10211"/>
    <s v="NA"/>
    <n v="7014"/>
    <d v="1899-12-30T00:00:00"/>
    <d v="1899-12-30T00:47:56"/>
    <n v="8.15"/>
    <s v="SC259 "/>
    <d v="1899-12-30T00:00:00"/>
    <x v="10"/>
    <n v="27.23"/>
    <s v="Abandoned"/>
    <s v="Phone"/>
    <s v="FirstTime"/>
    <s v="LowValue"/>
    <s v="Gen_Z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Bradford"/>
    <s v="Claassen"/>
    <s v="Mr."/>
    <s v="2895 Jennifer Lane"/>
    <s v="Bagnasco"/>
    <s v="CN"/>
    <s v="IT"/>
    <n v="12071"/>
    <s v="Bradford.H.Claassen@mailinator.com"/>
    <s v="0378 3425616"/>
    <s v="jcb"/>
    <s v="SE268 "/>
    <s v="FR"/>
    <n v="796000000000000"/>
    <n v="3528170000000000"/>
    <n v="10215"/>
    <s v="NA"/>
    <n v="28"/>
    <d v="1899-12-30T00:00:00"/>
    <d v="1899-12-30T00:36:45"/>
    <n v="13.88"/>
    <s v="RP319 "/>
    <d v="1899-12-30T00:00:00"/>
    <x v="48"/>
    <n v="114.25"/>
    <s v="Complete"/>
    <s v="Phone"/>
    <s v="FirstTime"/>
    <s v="MediumValue"/>
    <s v="Gen_Z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</r>
  <r>
    <s v="Bradford"/>
    <s v="Claassen"/>
    <s v="Mr."/>
    <s v="2895 Jennifer Lane"/>
    <s v="Bagnasco"/>
    <s v="CN"/>
    <s v="IT"/>
    <n v="12071"/>
    <s v="Bradford.H.Claassen@mailinator.com"/>
    <s v="0378 3425616"/>
    <s v="jcb"/>
    <s v="SE268 "/>
    <s v="FR"/>
    <n v="796000000000000"/>
    <n v="3528610000000000"/>
    <n v="10215"/>
    <s v="NA"/>
    <n v="9132"/>
    <d v="1899-12-30T00:47:25"/>
    <d v="1899-12-30T00:47:25"/>
    <n v="6.87"/>
    <s v="SC394 "/>
    <d v="1899-12-30T00:47:25"/>
    <x v="7"/>
    <n v="132.36000000000001"/>
    <s v="Complete"/>
    <s v="Phone"/>
    <s v="FirstTime"/>
    <s v="MediumValue"/>
    <s v="Gen_Z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1"/>
    <n v="1"/>
    <n v="0"/>
    <n v="0"/>
    <n v="0"/>
    <n v="1"/>
    <n v="6"/>
  </r>
  <r>
    <s v="Elizabeth"/>
    <s v="Turner"/>
    <s v="Mrs."/>
    <s v="4107 Limer Street"/>
    <s v="Baia Del Re"/>
    <s v="PC"/>
    <s v="IT"/>
    <n v="29100"/>
    <s v="Elizabeth.J.Turner@trashymail.com"/>
    <s v="0356 9028368"/>
    <s v="American Express"/>
    <s v="NE172 "/>
    <s v="ES"/>
    <s v="6111899V"/>
    <n v="344368000000000"/>
    <n v="10219"/>
    <s v="age-45"/>
    <n v="2700"/>
    <d v="1899-12-30T00:47:25"/>
    <d v="1899-12-30T00:47:25"/>
    <n v="22.95"/>
    <s v="SW412 "/>
    <d v="1899-12-30T00:47:25"/>
    <x v="7"/>
    <n v="15.63"/>
    <s v="Complete"/>
    <s v="Phone"/>
    <s v="Occasional"/>
    <s v="LowValue"/>
    <s v="Gen_Z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Elizabeth"/>
    <s v="Turner"/>
    <s v="Mrs."/>
    <s v="4107 Limer Street"/>
    <s v="Baia Del Re"/>
    <s v="PC"/>
    <s v="IT"/>
    <n v="29100"/>
    <s v="Elizabeth.J.Turner@trashymail.com"/>
    <s v="0356 9028368"/>
    <s v="American Express"/>
    <s v="NE172 "/>
    <s v="ES"/>
    <s v="6111899V"/>
    <n v="340918000000000"/>
    <n v="10219"/>
    <s v="age-45"/>
    <n v="5899"/>
    <d v="1899-12-30T00:00:00"/>
    <d v="1899-12-30T00:50:45"/>
    <n v="28.55"/>
    <s v="SC127 "/>
    <d v="1899-12-30T00:00:00"/>
    <x v="51"/>
    <n v="33.630000000000003"/>
    <s v="Complete"/>
    <s v="Desktop"/>
    <s v="Occasional"/>
    <s v="LowValue"/>
    <s v="Gen_Z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Dwight"/>
    <s v="Armenta"/>
    <s v="Mr."/>
    <s v="1043 Lynn Avenue"/>
    <s v="Bakersfield"/>
    <s v="CA"/>
    <s v="US"/>
    <n v="93307"/>
    <s v="Dwight.L.Armenta@dodgeit.com"/>
    <s v="512-885-6258"/>
    <s v="Diners Club"/>
    <s v="WE349 "/>
    <s v="CA"/>
    <n v="321140626"/>
    <n v="36846700000000"/>
    <n v="10223"/>
    <s v="age-24"/>
    <n v="3590"/>
    <d v="1899-12-30T00:00:00"/>
    <d v="1899-12-30T00:29:06"/>
    <n v="6.15"/>
    <s v="NC298 "/>
    <d v="1899-12-30T00:00:00"/>
    <x v="0"/>
    <n v="80.569999999999993"/>
    <s v="Complete"/>
    <s v="Phone"/>
    <s v="FirstTime"/>
    <s v="MediumValue"/>
    <s v="Gen_Z"/>
    <n v="0"/>
    <n v="1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5"/>
  </r>
  <r>
    <s v="Dwight"/>
    <s v="Armenta"/>
    <s v="Mr."/>
    <s v="1043 Lynn Avenue"/>
    <s v="Bakersfield"/>
    <s v="CA"/>
    <s v="US"/>
    <n v="93307"/>
    <s v="Dwight.L.Armenta@dodgeit.com"/>
    <s v="512-885-6258"/>
    <s v="Diners Club"/>
    <s v="WE349 "/>
    <s v="CA"/>
    <n v="321140626"/>
    <n v="36558300000000"/>
    <n v="10223"/>
    <s v="age-24"/>
    <n v="4750"/>
    <d v="1899-12-30T00:00:00"/>
    <d v="1899-12-30T00:39:06"/>
    <n v="17.87"/>
    <s v="SC130 "/>
    <d v="1899-12-30T00:00:00"/>
    <x v="6"/>
    <n v="39.36"/>
    <s v="Complete"/>
    <s v="Phone"/>
    <s v="FirstTime"/>
    <s v="LowValue"/>
    <s v="Gen_Z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Dwight"/>
    <s v="Armenta"/>
    <s v="Mr."/>
    <s v="1043 Lynn Avenue"/>
    <s v="Bakersfield"/>
    <s v="CA"/>
    <s v="US"/>
    <n v="93307"/>
    <s v="Dwight.L.Armenta@dodgeit.com"/>
    <s v="512-885-6258"/>
    <s v="Diners Club"/>
    <s v="WE349 "/>
    <s v="CA"/>
    <n v="321140626"/>
    <n v="36743800000000"/>
    <n v="10223"/>
    <s v="age-24"/>
    <n v="6558"/>
    <d v="1899-12-30T00:00:00"/>
    <d v="1899-12-30T00:58:45"/>
    <n v="48.52"/>
    <s v="SW145 "/>
    <d v="1899-12-30T00:00:00"/>
    <x v="47"/>
    <n v="106.06"/>
    <s v="Complete"/>
    <s v="Phone"/>
    <s v="FirstTime"/>
    <s v="MediumValue"/>
    <s v="Gen_Z"/>
    <n v="1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4"/>
  </r>
  <r>
    <s v="Michael"/>
    <s v="Pritchard"/>
    <s v="Mr."/>
    <s v="1117 Yorkshire Circle"/>
    <s v="Balliang"/>
    <s v="VIC"/>
    <s v="AU"/>
    <n v="3340"/>
    <s v="Michael.M.Pritchard@trashymail.com"/>
    <s v="(08) 9072 2460"/>
    <s v="Diners Club"/>
    <s v="SW412 "/>
    <s v="CA"/>
    <n v="329443600"/>
    <n v="36204600000000"/>
    <n v="10227"/>
    <n v="36"/>
    <n v="2083"/>
    <d v="1899-12-30T00:00:00"/>
    <d v="1899-12-30T00:57:39"/>
    <n v="8.99"/>
    <s v="SW142 "/>
    <d v="1899-12-30T00:00:00"/>
    <x v="31"/>
    <n v="350"/>
    <s v="Complete"/>
    <s v="Phone"/>
    <s v="Occasional"/>
    <s v="LowValue"/>
    <s v="Gen_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Michael"/>
    <s v="Pritchard"/>
    <s v="Mr."/>
    <s v="1117 Yorkshire Circle"/>
    <s v="Balliang"/>
    <s v="VIC"/>
    <s v="AU"/>
    <n v="3340"/>
    <s v="Michael.M.Pritchard@trashymail.com"/>
    <s v="(08) 9072 2460"/>
    <s v="Diners Club"/>
    <s v="SW412 "/>
    <s v="CA"/>
    <n v="329443600"/>
    <n v="36391100000000"/>
    <n v="10227"/>
    <n v="36"/>
    <n v="3492"/>
    <d v="1899-12-30T00:00:00"/>
    <d v="1899-12-30T00:44:53"/>
    <n v="8.23"/>
    <s v="SE205 "/>
    <d v="1899-12-30T00:00:00"/>
    <x v="41"/>
    <n v="16"/>
    <s v="In-Progress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Elizabeth"/>
    <s v="Martinez"/>
    <s v="Mrs."/>
    <s v="947 Rainbow Road"/>
    <s v="Baltimore"/>
    <s v="MD"/>
    <s v="US"/>
    <n v="21202"/>
    <s v="Elizabeth.B.Martinez@mailinator.com"/>
    <s v="314-268-8613"/>
    <s v="Diners Club"/>
    <s v="NW118 "/>
    <s v="IT"/>
    <s v="UAAUXX18L25A259N"/>
    <n v="36165000000000"/>
    <n v="10231"/>
    <n v="73"/>
    <n v="569"/>
    <d v="1899-12-30T00:00:00"/>
    <d v="1899-12-30T00:07:36"/>
    <n v="7.12"/>
    <s v="NW379 "/>
    <d v="1899-12-30T00:00:00"/>
    <x v="5"/>
    <n v="250.36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0"/>
    <n v="5"/>
  </r>
  <r>
    <s v="Elizabeth"/>
    <s v="Martinez"/>
    <s v="Mrs."/>
    <s v="947 Rainbow Road"/>
    <s v="Baltimore"/>
    <s v="MD"/>
    <s v="US"/>
    <n v="21202"/>
    <s v="Elizabeth.B.Martinez@mailinator.com"/>
    <s v="314-268-8613"/>
    <s v="Diners Club"/>
    <s v="NW118 "/>
    <s v="IT"/>
    <s v="UAAUXX18L25A259N"/>
    <n v="36774400000000"/>
    <n v="10231"/>
    <n v="73"/>
    <n v="1479"/>
    <d v="1899-12-30T00:47:25"/>
    <d v="1899-12-30T00:47:25"/>
    <n v="13.7"/>
    <s v="NE109 "/>
    <d v="1899-12-30T00:47:25"/>
    <x v="7"/>
    <n v="181.03"/>
    <s v="Complete"/>
    <s v="Desktop"/>
    <s v="Frequent"/>
    <s v="HighValue"/>
    <s v="Baby_Boomers"/>
    <n v="0"/>
    <n v="1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0"/>
    <n v="1"/>
    <n v="0"/>
    <n v="0"/>
    <n v="0"/>
    <n v="1"/>
    <n v="0"/>
    <n v="1"/>
    <n v="0"/>
    <n v="7"/>
  </r>
  <r>
    <s v="Mary"/>
    <s v="Bates"/>
    <s v="Mrs."/>
    <s v="1646 Tenmile"/>
    <s v="Baltimore"/>
    <s v="MD"/>
    <s v="US"/>
    <n v="21201"/>
    <s v="Mary.T.Bates@pookmail.com"/>
    <s v="503-337-6080"/>
    <s v="Diners Club"/>
    <s v="NW181 "/>
    <s v="ES"/>
    <s v="2167155A"/>
    <n v="36810400000000"/>
    <n v="10235"/>
    <s v="NA"/>
    <n v="1511"/>
    <d v="1899-12-30T00:00:00"/>
    <d v="1899-12-30T00:27:56"/>
    <n v="33.85"/>
    <s v="SE271 "/>
    <d v="1899-12-30T00:00:00"/>
    <x v="21"/>
    <n v="31.51"/>
    <s v="Complete"/>
    <s v="Phone"/>
    <s v="Occasional"/>
    <s v="LowValue"/>
    <s v="Gen_Z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Mary"/>
    <s v="Bates"/>
    <s v="Mrs."/>
    <s v="1646 Tenmile"/>
    <s v="Baltimore"/>
    <s v="MD"/>
    <s v="US"/>
    <n v="21201"/>
    <s v="Mary.T.Bates@pookmail.com"/>
    <s v="503-337-6080"/>
    <s v="Diners Club"/>
    <s v="NW181 "/>
    <s v="ES"/>
    <s v="2167155A"/>
    <n v="36432000000000"/>
    <n v="10235"/>
    <s v="NA"/>
    <n v="4669"/>
    <d v="1899-12-30T00:00:00"/>
    <d v="1899-12-30T00:50:45"/>
    <n v="18.45"/>
    <s v="WE223 "/>
    <d v="1899-12-30T00:00:00"/>
    <x v="47"/>
    <n v="48.23"/>
    <s v="Complete"/>
    <s v="Desktop"/>
    <s v="Occasional"/>
    <s v="LowValue"/>
    <s v="Gen_Z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Mandy"/>
    <s v="Fernandez"/>
    <s v="Mrs."/>
    <s v="4103 Wilmar Farm Road"/>
    <s v="Banora Point"/>
    <s v="NSW"/>
    <s v="AU"/>
    <n v="2486"/>
    <s v="Mandy.M.Fernandez@pookmail.com"/>
    <s v="(03) 5361 9459"/>
    <s v="Master Card"/>
    <s v="WE355 "/>
    <s v="ES"/>
    <s v="2359270E"/>
    <n v="5167670000000000"/>
    <n v="10239"/>
    <n v="42"/>
    <n v="5977"/>
    <d v="1899-12-30T00:00:00"/>
    <d v="1899-12-30T00:36:45"/>
    <n v="9.51"/>
    <s v="RP319 "/>
    <d v="1899-12-30T00:00:00"/>
    <x v="48"/>
    <n v="32.99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4"/>
  </r>
  <r>
    <s v="Megan"/>
    <s v="Mauro"/>
    <s v="Mrs."/>
    <s v="701 Clarksburg Park Road"/>
    <s v="Barnwell"/>
    <s v="SC"/>
    <s v="US"/>
    <n v="29812"/>
    <s v="Megan.R.Mauro@pookmail.com"/>
    <s v="631-732-3842"/>
    <s v="VISA"/>
    <s v="WE220 "/>
    <s v="CA"/>
    <n v="391138112"/>
    <n v="4770340000000000"/>
    <n v="10243"/>
    <n v="48"/>
    <n v="8013"/>
    <d v="1899-12-30T00:00:00"/>
    <d v="1899-12-30T00:22:37"/>
    <n v="2.87"/>
    <s v="SW214 "/>
    <d v="1899-12-30T00:00:00"/>
    <x v="52"/>
    <n v="41.89"/>
    <s v="In-Progress"/>
    <s v="Phone"/>
    <s v="Occasional"/>
    <s v="LowValue"/>
    <s v="Gen_X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John"/>
    <s v="Riley"/>
    <s v="Mr."/>
    <s v="4904 Hamilton Drive"/>
    <s v="Barsbittel"/>
    <m/>
    <s v="DE"/>
    <n v="22885"/>
    <s v="John.S.Riley@spambob.com"/>
    <s v="04329 69 96 01"/>
    <s v="Discover"/>
    <s v="SE271 "/>
    <s v="U.S."/>
    <n v="441590001"/>
    <n v="6011000000000000"/>
    <n v="10247"/>
    <n v="40"/>
    <n v="1401"/>
    <d v="1899-12-30T00:00:00"/>
    <d v="1899-12-30T00:27:55"/>
    <n v="8.15"/>
    <s v="NE172 "/>
    <d v="1899-12-30T00:00:00"/>
    <x v="45"/>
    <n v="100.5"/>
    <s v="Abandoned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4"/>
  </r>
  <r>
    <s v="Felix"/>
    <s v="Myers"/>
    <s v="Mr."/>
    <s v="170 Angie Drive"/>
    <s v="Bisecting"/>
    <s v="SS"/>
    <s v="IT"/>
    <n v="7020"/>
    <s v="Felix.R.Myers@mailinator.com"/>
    <s v="0389 7059753"/>
    <s v="VISA"/>
    <s v="SW409 "/>
    <s v="UK"/>
    <s v="AH088707D"/>
    <n v="4907840000000000"/>
    <n v="10251"/>
    <n v="52"/>
    <n v="4555"/>
    <d v="1899-12-30T00:00:00"/>
    <d v="1899-12-30T00:25:37"/>
    <n v="12"/>
    <s v="WE415 "/>
    <d v="1899-12-30T00:00:00"/>
    <x v="27"/>
    <n v="50.43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Felix"/>
    <s v="Myers"/>
    <s v="Mr."/>
    <s v="170 Angie Drive"/>
    <s v="Bassacutena"/>
    <s v="SS"/>
    <s v="IT"/>
    <n v="7020"/>
    <s v="Felix.R.Myers@mailinator.com"/>
    <s v="0389 7059753"/>
    <s v="VISA"/>
    <s v="SW409 "/>
    <s v="UK"/>
    <s v="AH088707D"/>
    <n v="4902780000000000"/>
    <n v="10251"/>
    <n v="52"/>
    <n v="6092"/>
    <d v="1899-12-30T00:00:00"/>
    <d v="1899-12-30T00:34:17"/>
    <n v="22.5"/>
    <s v="SE403 "/>
    <d v="1899-12-30T00:00:00"/>
    <x v="29"/>
    <n v="39"/>
    <s v="Complete"/>
    <s v="Phone"/>
    <s v="Occasional"/>
    <s v="LowValue"/>
    <s v="Baby_Boomers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s v="Felix"/>
    <s v="Myers"/>
    <s v="Mr."/>
    <s v="170 Angie Drive"/>
    <s v="Bassacutena"/>
    <s v="SS"/>
    <s v="IT"/>
    <n v="7020"/>
    <s v="Felix.R.Myers@mailinator.com"/>
    <s v="0389 7059753"/>
    <s v="VISA"/>
    <s v="SW409 "/>
    <s v="UK"/>
    <s v="AH088707D"/>
    <n v="4702330000000000"/>
    <n v="10251"/>
    <n v="52"/>
    <n v="6612"/>
    <d v="1899-12-30T00:00:00"/>
    <d v="1899-12-30T00:27:56"/>
    <n v="13.7"/>
    <s v="SW217 "/>
    <d v="1899-12-30T00:00:00"/>
    <x v="35"/>
    <n v="42.8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Frank"/>
    <s v="Westra"/>
    <s v="Mr."/>
    <s v="3540 Stout Street"/>
    <s v="Baton Rouge"/>
    <s v="LA"/>
    <s v="US"/>
    <n v="70806"/>
    <s v="Frank.K.Westra@spambob.com"/>
    <s v="661-947-3606"/>
    <s v="VISA"/>
    <s v="NW376 "/>
    <s v="FR"/>
    <n v="739000000000000"/>
    <n v="4784850000000000"/>
    <n v="10259"/>
    <n v="24"/>
    <n v="1784"/>
    <d v="1899-12-30T00:00:00"/>
    <d v="1899-12-30T00:47:53"/>
    <n v="9.2200000000000006"/>
    <s v="NE241 "/>
    <d v="1899-12-30T00:00:00"/>
    <x v="25"/>
    <n v="288.95"/>
    <s v="Cancelled"/>
    <s v="Phone"/>
    <s v="FirstTime"/>
    <s v="HighValue"/>
    <s v="Gen_Y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0"/>
    <n v="5"/>
  </r>
  <r>
    <s v="Frank"/>
    <s v="Westra"/>
    <s v="Mr."/>
    <s v="3540 Stout Street"/>
    <s v="Baton Rouge"/>
    <s v="LA"/>
    <s v="US"/>
    <n v="70806"/>
    <s v="Frank.K.Westra@spambob.com"/>
    <s v="661-947-3606"/>
    <s v="VISA"/>
    <s v="NW376 "/>
    <s v="FR"/>
    <n v="739000000000000"/>
    <n v="4454480000000000"/>
    <n v="10259"/>
    <n v="24"/>
    <n v="8175"/>
    <d v="1899-12-30T00:00:00"/>
    <d v="1899-12-30T00:39:06"/>
    <n v="6.87"/>
    <s v="SE331 "/>
    <d v="1899-12-30T00:00:00"/>
    <x v="1"/>
    <n v="16.940000000000001"/>
    <s v="In-Progress"/>
    <s v="Phone"/>
    <s v="FirstTime"/>
    <s v="LowValue"/>
    <s v="Gen_Y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4"/>
  </r>
  <r>
    <s v="Jack"/>
    <s v="Owens"/>
    <s v="Mr."/>
    <s v="2374 Christie Way"/>
    <s v="Beasain"/>
    <m/>
    <s v="ES"/>
    <n v="20200"/>
    <s v="Jack.L.Owens@spambob.com"/>
    <s v="91-102-2453"/>
    <s v="Discover"/>
    <s v="WE286 "/>
    <s v="FR"/>
    <n v="163000000000000"/>
    <n v="6011770000000000"/>
    <n v="10263"/>
    <n v="69"/>
    <n v="6966"/>
    <d v="1899-12-30T00:00:00"/>
    <d v="1899-12-30T00:47:56"/>
    <n v="8.99"/>
    <s v="WE151 "/>
    <d v="1899-12-30T00:00:00"/>
    <x v="42"/>
    <n v="192.48"/>
    <s v="Complete"/>
    <s v="Desktop"/>
    <s v="Frequent"/>
    <s v="HighValue"/>
    <s v="Baby_Boomers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1"/>
    <n v="6"/>
  </r>
  <r>
    <s v="Therese"/>
    <s v="Pickering"/>
    <s v="Mrs."/>
    <s v="893 Ferry Street"/>
    <s v="Belfield"/>
    <s v="ND"/>
    <s v="US"/>
    <n v="58622"/>
    <s v="Therese.B.Pickering@spambob.com"/>
    <s v="707-565-9536"/>
    <s v="American Express"/>
    <s v="NC427 "/>
    <s v="FR"/>
    <n v="215000000000000"/>
    <n v="344896000000000"/>
    <n v="10271"/>
    <n v="31"/>
    <n v="5712"/>
    <d v="1899-12-30T00:00:00"/>
    <d v="1899-12-30T00:58:45"/>
    <n v="50"/>
    <s v="SC322 "/>
    <d v="1899-12-30T00:00:00"/>
    <x v="8"/>
    <n v="46.48"/>
    <s v="Complete"/>
    <s v="Phone"/>
    <s v="Occasional"/>
    <s v="LowValue"/>
    <s v="Gen_Y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s v="Therese"/>
    <s v="Pickering"/>
    <s v="Mrs."/>
    <s v="893 Ferry Street"/>
    <s v="Belfield"/>
    <s v="ND"/>
    <s v="US"/>
    <n v="58622"/>
    <s v="Therese.B.Pickering@spambob.com"/>
    <s v="707-565-9536"/>
    <s v="American Express"/>
    <s v="NC427 "/>
    <s v="FR"/>
    <n v="215000000000000"/>
    <n v="375702000000000"/>
    <n v="10271"/>
    <n v="31"/>
    <n v="9180"/>
    <d v="1899-12-30T00:00:00"/>
    <d v="1899-12-30T00:07:36"/>
    <n v="43.89"/>
    <s v="WE352 "/>
    <d v="1899-12-30T00:00:00"/>
    <x v="4"/>
    <n v="14.6"/>
    <s v="Cancelled"/>
    <s v="Phone"/>
    <s v="Occasional"/>
    <s v="LowValue"/>
    <s v="Gen_Y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</r>
  <r>
    <s v="Robert"/>
    <s v="Ojeda"/>
    <s v="Mr."/>
    <s v="546 Lakewood Drive"/>
    <s v="Belleville"/>
    <s v="IL"/>
    <s v="US"/>
    <n v="62220"/>
    <s v="Robert.M.Ojeda@mailinator.com"/>
    <s v="503-705-8957"/>
    <s v="jcb"/>
    <s v="NC361 "/>
    <s v="FR"/>
    <n v="229000000000000"/>
    <n v="3528360000000000"/>
    <n v="10275"/>
    <n v="76"/>
    <n v="1998"/>
    <d v="1899-12-30T00:00:00"/>
    <d v="1899-12-30T00:13:55"/>
    <n v="18.239999999999998"/>
    <s v="SE400 "/>
    <d v="1899-12-30T00:00:00"/>
    <x v="33"/>
    <n v="236.03"/>
    <s v="Complete"/>
    <s v="Desktop"/>
    <s v="Occasional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4"/>
  </r>
  <r>
    <s v="Robert"/>
    <s v="Ojeda"/>
    <s v="Mr."/>
    <s v="546 Lakewood Drive"/>
    <s v="Belleville"/>
    <s v="IL"/>
    <s v="US"/>
    <n v="62220"/>
    <s v="Robert.M.Ojeda@mailinator.com"/>
    <s v="503-705-8957"/>
    <s v="jcb"/>
    <s v="NC361 "/>
    <s v="FR"/>
    <n v="229000000000000"/>
    <n v="3528760000000000"/>
    <n v="10275"/>
    <n v="76"/>
    <n v="4110"/>
    <d v="1899-12-30T00:00:00"/>
    <d v="1899-12-30T00:34:00"/>
    <n v="13.25"/>
    <s v="SE265 "/>
    <d v="1899-12-30T00:00:00"/>
    <x v="13"/>
    <n v="133.5"/>
    <s v="Complete"/>
    <s v="Desktop"/>
    <s v="Occasional"/>
    <s v="MediumValue"/>
    <s v="Baby_Boomers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4"/>
  </r>
  <r>
    <s v="Thomas"/>
    <s v="Farris"/>
    <s v="Mr."/>
    <s v="54 Kelly Drive"/>
    <s v="Beltsville"/>
    <s v="MD"/>
    <s v="US"/>
    <n v="20705"/>
    <s v="Thomas.S.Farris@spambob.com"/>
    <s v="616-788-0599"/>
    <s v="Diners Club"/>
    <s v="SE337 "/>
    <s v="CA"/>
    <n v="751454315"/>
    <n v="36185500000000"/>
    <n v="10283"/>
    <n v="68"/>
    <n v="1379"/>
    <d v="1899-12-30T00:00:00"/>
    <d v="1899-12-30T00:44:17"/>
    <n v="13.33"/>
    <s v="NE178 "/>
    <d v="1899-12-30T00:00:00"/>
    <x v="12"/>
    <n v="197.54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1"/>
    <n v="5"/>
  </r>
  <r>
    <s v="Thomas"/>
    <s v="Farris"/>
    <s v="Mr."/>
    <s v="54 Kelly Drive"/>
    <s v="Beltsville"/>
    <s v="MD"/>
    <s v="US"/>
    <n v="20705"/>
    <s v="Thomas.S.Farris@spambob.com"/>
    <s v="616-788-0599"/>
    <s v="Diners Club"/>
    <s v="SE337 "/>
    <s v="CA"/>
    <n v="751454315"/>
    <n v="36352800000000"/>
    <n v="10283"/>
    <n v="68"/>
    <n v="5101"/>
    <d v="1899-12-30T00:00:00"/>
    <d v="1899-12-30T00:11:26"/>
    <n v="11.45"/>
    <s v="SE136 "/>
    <d v="1899-12-30T00:00:00"/>
    <x v="44"/>
    <n v="270.27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4"/>
  </r>
  <r>
    <s v="Thomas"/>
    <s v="Farris"/>
    <s v="Mr."/>
    <s v="54 Kelly Drive"/>
    <s v="Beltsville"/>
    <s v="MD"/>
    <s v="US"/>
    <n v="20705"/>
    <s v="Thomas.S.Farris@spambob.com"/>
    <s v="616-788-0599"/>
    <s v="Diners Club"/>
    <s v="SE337 "/>
    <s v="CA"/>
    <n v="751454315"/>
    <n v="36603900000000"/>
    <n v="10283"/>
    <n v="68"/>
    <n v="6946"/>
    <d v="1899-12-30T00:00:00"/>
    <d v="1899-12-30T00:13:55"/>
    <n v="23.37"/>
    <s v="NE106 "/>
    <d v="1899-12-30T00:00:00"/>
    <x v="33"/>
    <n v="233.39"/>
    <s v="Complete"/>
    <s v="Desktop"/>
    <s v="Frequent"/>
    <s v="HighValue"/>
    <s v="Baby_Boomers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1"/>
    <n v="5"/>
  </r>
  <r>
    <s v="Thomas"/>
    <s v="Farris"/>
    <s v="Mr."/>
    <s v="54 Kelly Drive"/>
    <s v="Beltsville"/>
    <s v="MD"/>
    <s v="US"/>
    <n v="20705"/>
    <s v="Thomas.S.Farris@spambob.com"/>
    <s v="616-788-0599"/>
    <s v="Diners Club"/>
    <s v="SE337 "/>
    <s v="CA"/>
    <n v="751454315"/>
    <n v="36966300000000"/>
    <n v="10283"/>
    <n v="68"/>
    <n v="8061"/>
    <d v="1899-12-30T00:47:25"/>
    <d v="1899-12-30T00:47:25"/>
    <n v="10.45"/>
    <s v="RP121 "/>
    <d v="1899-12-30T00:47:25"/>
    <x v="7"/>
    <n v="99.98"/>
    <s v="Complete"/>
    <s v="Desktop"/>
    <s v="Frequent"/>
    <s v="MediumValue"/>
    <s v="Baby_Boomers"/>
    <n v="0"/>
    <n v="1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5"/>
  </r>
  <r>
    <s v="Joseph"/>
    <s v="Shafer"/>
    <s v="Mr."/>
    <s v="15 Lords Way"/>
    <s v="Beltsville"/>
    <s v="MD"/>
    <s v="US"/>
    <n v="20705"/>
    <s v="Joseph.J.Shafer@trashymail.com"/>
    <s v="212-833-9423"/>
    <s v="jcb"/>
    <s v="SE337 "/>
    <s v="U.S."/>
    <n v="577430003"/>
    <n v="3528220000000000"/>
    <n v="10287"/>
    <n v="72"/>
    <n v="7392"/>
    <d v="1899-12-30T00:00:00"/>
    <d v="1899-12-30T00:27:39"/>
    <n v="11.45"/>
    <s v="NC427 "/>
    <d v="1899-12-30T00:00:00"/>
    <x v="47"/>
    <n v="126.46"/>
    <s v="Cancelled"/>
    <s v="Desktop"/>
    <s v="FirstTime"/>
    <s v="MediumValue"/>
    <s v="Baby_Boomers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4"/>
  </r>
  <r>
    <s v="Hoyt"/>
    <s v="Ramos"/>
    <s v="Mr."/>
    <s v="354 Northwest Boulevard"/>
    <s v="Bend"/>
    <s v="OR"/>
    <s v="US"/>
    <n v="97701"/>
    <s v="Hoyt.C.Ramos@dodgeit.com"/>
    <s v="215-438-4845"/>
    <s v="Master Card"/>
    <s v="WE151 "/>
    <s v="IT"/>
    <s v="TTVLTC38H61B853K"/>
    <n v="5171300000000000"/>
    <n v="10291"/>
    <n v="79"/>
    <n v="878"/>
    <d v="1899-12-30T00:00:00"/>
    <d v="1899-12-30T00:19:56"/>
    <n v="23.37"/>
    <s v="SE139 "/>
    <d v="1899-12-30T00:00:00"/>
    <x v="53"/>
    <n v="210.26"/>
    <s v="Complete"/>
    <s v="Desktop"/>
    <s v="Frequent"/>
    <s v="HighValue"/>
    <s v="Baby_Boomers"/>
    <n v="0"/>
    <n v="0"/>
    <n v="0"/>
    <n v="0"/>
    <n v="1"/>
    <n v="0"/>
    <n v="1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1"/>
    <n v="7"/>
  </r>
  <r>
    <s v="Hoyt"/>
    <s v="Ramos"/>
    <s v="Mr."/>
    <s v="354 Northwest Boulevard"/>
    <s v="Bend"/>
    <s v="OR"/>
    <s v="US"/>
    <n v="97701"/>
    <s v="Hoyt.C.Ramos@dodgeit.com"/>
    <s v="215-438-4845"/>
    <s v="Master Card"/>
    <s v="WE151 "/>
    <s v="IT"/>
    <s v="TTVLTC38H61B853K"/>
    <n v="5109090000000000"/>
    <n v="10291"/>
    <n v="79"/>
    <n v="6252"/>
    <d v="1899-12-30T00:00:00"/>
    <d v="1899-12-30T00:39:06"/>
    <n v="12.85"/>
    <s v="NC160 "/>
    <d v="1899-12-30T00:00:00"/>
    <x v="2"/>
    <n v="260.52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4"/>
  </r>
  <r>
    <s v="Jodi"/>
    <s v="Stanley"/>
    <s v="Mrs."/>
    <s v="4039 Kelley Road"/>
    <s v="Bensalem"/>
    <s v="PA"/>
    <s v="US"/>
    <n v="19020"/>
    <s v="Jodi.B.Stanley@spambob.com"/>
    <s v="262-385-8894"/>
    <s v="jcb"/>
    <s v="NE373 "/>
    <s v="CA"/>
    <n v="904601168"/>
    <n v="3528100000000000"/>
    <n v="10295"/>
    <n v="48"/>
    <n v="383"/>
    <d v="1899-12-30T00:00:00"/>
    <d v="1899-12-30T00:22:37"/>
    <n v="11.15"/>
    <s v="WE421 "/>
    <d v="1899-12-30T00:00:00"/>
    <x v="40"/>
    <n v="13.27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Jodi"/>
    <s v="Stanley"/>
    <s v="Mrs."/>
    <s v="4039 Kelley Road"/>
    <s v="Bensalem"/>
    <s v="PA"/>
    <s v="US"/>
    <n v="19020"/>
    <s v="Jodi.B.Stanley@spambob.com"/>
    <s v="262-385-8894"/>
    <s v="jcb"/>
    <s v="NE373 "/>
    <s v="CA"/>
    <n v="904601168"/>
    <n v="3528170000000000"/>
    <n v="10295"/>
    <n v="48"/>
    <n v="1426"/>
    <d v="1899-12-30T00:47:25"/>
    <d v="1899-12-30T00:47:25"/>
    <n v="7.85"/>
    <s v="SC124 "/>
    <d v="1899-12-30T00:47:25"/>
    <x v="7"/>
    <n v="24.06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4"/>
  </r>
  <r>
    <s v="Jodi"/>
    <s v="Stanley"/>
    <s v="Mrs."/>
    <s v="4039 Kelley Road"/>
    <s v="Bensalem"/>
    <s v="PA"/>
    <s v="US"/>
    <n v="19020"/>
    <s v="Jodi.B.Stanley@spambob.com"/>
    <s v="262-385-8894"/>
    <s v="jcb"/>
    <s v="NE373 "/>
    <s v="CA"/>
    <n v="904601168"/>
    <n v="3528220000000000"/>
    <n v="10295"/>
    <n v="48"/>
    <n v="9065"/>
    <d v="1899-12-30T00:00:00"/>
    <d v="1899-12-30T00:47:25"/>
    <n v="21.97"/>
    <s v="SC193 "/>
    <d v="1899-12-30T00:00:00"/>
    <x v="9"/>
    <n v="15.96"/>
    <s v="In-Progress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Betty"/>
    <s v="Grimes"/>
    <s v="Mrs."/>
    <s v="2078 Plainfield Avenue"/>
    <s v="Berchtesgaden"/>
    <m/>
    <s v="DE"/>
    <n v="83471"/>
    <s v="Betty.D.Grimes@mailinator.com"/>
    <s v="08091 13 31 66"/>
    <s v="Diners Club"/>
    <s v="SW217 "/>
    <s v="CA"/>
    <n v="777215385"/>
    <n v="36322900000000"/>
    <n v="10299"/>
    <n v="41"/>
    <n v="1053"/>
    <d v="1899-12-30T00:47:25"/>
    <d v="1899-12-30T00:47:25"/>
    <n v="27.97"/>
    <s v="WE289 "/>
    <d v="1899-12-30T00:47:25"/>
    <x v="7"/>
    <n v="44.19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</r>
  <r>
    <s v="Betty"/>
    <s v="Grimes"/>
    <s v="Mrs."/>
    <s v="2078 Plainfield Avenue"/>
    <s v="Berchtesgaden"/>
    <m/>
    <s v="DE"/>
    <n v="83471"/>
    <s v="Betty.D.Grimes@mailinator.com"/>
    <s v="08091 13 31 66"/>
    <s v="Diners Club"/>
    <s v="SW217 "/>
    <s v="CA"/>
    <n v="777215385"/>
    <n v="36080700000000"/>
    <n v="10299"/>
    <n v="41"/>
    <n v="7316"/>
    <d v="1899-12-30T00:00:00"/>
    <d v="1899-12-30T00:27:56"/>
    <n v="14.28"/>
    <s v="SW217 "/>
    <d v="1899-12-30T00:00:00"/>
    <x v="35"/>
    <n v="48.44"/>
    <s v="In-Progress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Betty"/>
    <s v="Grimes"/>
    <s v="Mrs."/>
    <s v="2078 Plainfield Avenue"/>
    <s v="Berchtesgaden"/>
    <m/>
    <s v="DE"/>
    <n v="83471"/>
    <s v="Betty.D.Grimes@mailinator.com"/>
    <s v="08091 13 31 66"/>
    <s v="Diners Club"/>
    <s v="SW217 "/>
    <s v="CA"/>
    <n v="777215385"/>
    <n v="36006500000000"/>
    <n v="10299"/>
    <n v="41"/>
    <n v="7953"/>
    <d v="1899-12-30T00:00:00"/>
    <d v="1899-12-30T00:27:56"/>
    <n v="8.23"/>
    <s v="SE268 "/>
    <d v="1899-12-30T00:00:00"/>
    <x v="39"/>
    <n v="50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4"/>
  </r>
  <r>
    <s v="Betty"/>
    <s v="Grimes"/>
    <s v="Mrs."/>
    <s v="2078 Plainfield Avenue"/>
    <s v="Berchtesgaden"/>
    <m/>
    <s v="DE"/>
    <n v="83471"/>
    <s v="Betty.D.Grimes@mailinator.com"/>
    <s v="08091 13 31 66"/>
    <s v="Diners Club"/>
    <s v="SW217 "/>
    <s v="CA"/>
    <n v="777215385"/>
    <n v="36726800000000"/>
    <n v="10299"/>
    <n v="41"/>
    <n v="8809"/>
    <d v="1899-12-30T00:00:00"/>
    <d v="1899-12-30T00:47:53"/>
    <n v="21.97"/>
    <s v="WE157 "/>
    <d v="1899-12-30T00:00:00"/>
    <x v="25"/>
    <n v="47.57"/>
    <s v="Complete"/>
    <s v="Phone"/>
    <s v="Occasional"/>
    <s v="LowValue"/>
    <s v="Gen_Y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Tony"/>
    <s v="Brooks"/>
    <s v="Mr."/>
    <s v="2134 Watson Lane"/>
    <s v="Bergotto"/>
    <s v="PR"/>
    <s v="IT"/>
    <n v="43042"/>
    <s v="Tony.D.Brooks@mailinator.com"/>
    <s v="0357 7464003"/>
    <s v="American Express"/>
    <s v="SW277 "/>
    <s v="CA"/>
    <n v="935314484"/>
    <n v="373017000000000"/>
    <n v="10303"/>
    <n v="22"/>
    <n v="4184"/>
    <d v="1899-12-30T00:00:00"/>
    <d v="1899-12-30T00:02:37"/>
    <n v="22.77"/>
    <s v="NE235 "/>
    <d v="1899-12-30T00:00:00"/>
    <x v="54"/>
    <n v="190.12"/>
    <s v="Complete"/>
    <s v="Phone"/>
    <s v="Occasional"/>
    <s v="HighValue"/>
    <s v="Gen_Z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0"/>
    <n v="1"/>
    <n v="0"/>
    <n v="0"/>
    <n v="0"/>
    <n v="0"/>
    <n v="0"/>
    <n v="0"/>
    <n v="1"/>
    <n v="5"/>
  </r>
  <r>
    <s v="Tony"/>
    <s v="Brooks"/>
    <s v="Mr."/>
    <s v="2134 Watson Lane"/>
    <s v="Bergotto"/>
    <s v="PR"/>
    <s v="IT"/>
    <n v="43042"/>
    <s v="Tony.D.Brooks@mailinator.com"/>
    <s v="0357 7464003"/>
    <s v="American Express"/>
    <s v="SW277 "/>
    <s v="CA"/>
    <n v="935314484"/>
    <n v="371412000000000"/>
    <n v="10303"/>
    <n v="22"/>
    <n v="4755"/>
    <d v="1899-12-30T00:47:25"/>
    <d v="1899-12-30T00:47:25"/>
    <n v="17.87"/>
    <s v="NE109 "/>
    <d v="1899-12-30T00:47:25"/>
    <x v="7"/>
    <n v="173.09"/>
    <s v="Complete"/>
    <s v="Phone"/>
    <s v="Occasional"/>
    <s v="HighValue"/>
    <s v="Gen_Z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5"/>
  </r>
  <r>
    <s v="Tony"/>
    <s v="Brooks"/>
    <s v="Mr."/>
    <s v="2134 Watson Lane"/>
    <s v="Bergotto"/>
    <s v="PR"/>
    <s v="IT"/>
    <n v="43042"/>
    <s v="Tony.D.Brooks@mailinator.com"/>
    <s v="0357 7464003"/>
    <s v="American Express"/>
    <s v="SW277 "/>
    <s v="CA"/>
    <n v="935314484"/>
    <n v="371274000000000"/>
    <n v="10303"/>
    <n v="22"/>
    <n v="7349"/>
    <d v="1899-12-30T00:00:00"/>
    <d v="1899-12-30T00:19:46"/>
    <n v="19.850000000000001"/>
    <s v="NW250 "/>
    <d v="1899-12-30T00:00:00"/>
    <x v="22"/>
    <n v="153.47"/>
    <s v="Complete"/>
    <s v="Phone"/>
    <s v="Occasional"/>
    <s v="HighValue"/>
    <s v="Gen_Z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4"/>
  </r>
  <r>
    <s v="Michael"/>
    <s v="Reed"/>
    <s v="Mr."/>
    <s v="4592 Poplar Lane"/>
    <s v="Besnate"/>
    <s v="VA"/>
    <s v="IT"/>
    <n v="21010"/>
    <s v="Michael.K.Reed@trashymail.com"/>
    <s v="0399 7420631"/>
    <s v="Discover"/>
    <s v="SE334 "/>
    <s v="FR"/>
    <n v="283000000000000"/>
    <n v="6011470000000000"/>
    <n v="10307"/>
    <s v="NA"/>
    <n v="748"/>
    <d v="1899-12-30T00:00:00"/>
    <d v="1899-12-30T00:11:26"/>
    <n v="11.45"/>
    <s v="SE136 "/>
    <d v="1899-12-30T00:00:00"/>
    <x v="44"/>
    <n v="40.270000000000003"/>
    <s v="Complete"/>
    <s v="Phone"/>
    <s v="Occasional"/>
    <s v="LowValue"/>
    <s v="Gen_Z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Michael"/>
    <s v="Reed"/>
    <s v="Mr."/>
    <s v="4592 Poplar Lane"/>
    <s v="Besnate"/>
    <s v="VA"/>
    <s v="IT"/>
    <n v="21010"/>
    <s v="Michael.K.Reed@trashymail.com"/>
    <s v="0399 7420631"/>
    <s v="Discover"/>
    <s v="SE334 "/>
    <s v="FR"/>
    <n v="283000000000000"/>
    <n v="6011400000000000"/>
    <n v="10307"/>
    <s v="NA"/>
    <n v="3771"/>
    <d v="1899-12-30T00:00:00"/>
    <d v="1899-12-30T00:39:06"/>
    <n v="8.23"/>
    <s v="SC130 "/>
    <d v="1899-12-30T00:00:00"/>
    <x v="6"/>
    <n v="253.96"/>
    <s v="Complete"/>
    <s v="Phone"/>
    <s v="Occasional"/>
    <s v="HighValue"/>
    <s v="Gen_Z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1"/>
    <n v="0"/>
    <n v="1"/>
    <n v="0"/>
    <n v="5"/>
  </r>
  <r>
    <s v="Michael"/>
    <s v="Reed"/>
    <s v="Mr."/>
    <s v="4592 Poplar Lane"/>
    <s v="Besnate"/>
    <s v="VA"/>
    <s v="IT"/>
    <n v="21010"/>
    <s v="Michael.K.Reed@trashymail.com"/>
    <s v="0399 7420631"/>
    <s v="Discover"/>
    <s v="SE334 "/>
    <s v="FR"/>
    <n v="283000000000000"/>
    <n v="6011100000000000"/>
    <n v="10307"/>
    <s v="NA"/>
    <n v="3922"/>
    <d v="1899-12-30T00:00:00"/>
    <d v="1899-12-30T00:22:37"/>
    <n v="14.8"/>
    <s v="NE238 "/>
    <d v="1899-12-30T00:00:00"/>
    <x v="49"/>
    <n v="188.03"/>
    <s v="Complete"/>
    <s v="Phone"/>
    <s v="Occasional"/>
    <s v="HighValue"/>
    <s v="Gen_Z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4"/>
  </r>
  <r>
    <s v="Michael"/>
    <s v="Reed"/>
    <s v="Mr."/>
    <s v="4592 Poplar Lane"/>
    <s v="Besnate"/>
    <s v="VA"/>
    <s v="IT"/>
    <n v="21010"/>
    <s v="Michael.K.Reed@trashymail.com"/>
    <s v="0399 7420631"/>
    <s v="Discover"/>
    <s v="SE334 "/>
    <s v="FR"/>
    <n v="283000000000000"/>
    <n v="6011610000000000"/>
    <n v="10307"/>
    <s v="NA"/>
    <n v="7488"/>
    <d v="1899-12-30T00:47:25"/>
    <d v="1899-12-30T00:47:25"/>
    <n v="22.32"/>
    <s v="NC163 "/>
    <d v="1899-12-30T00:47:25"/>
    <x v="7"/>
    <n v="35.25"/>
    <s v="Complete"/>
    <s v="Phone"/>
    <s v="Occasional"/>
    <s v="LowValue"/>
    <s v="Gen_Z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Rosemary"/>
    <s v="Herbert"/>
    <s v="Mrs."/>
    <s v="3591 Nutters Barn Lane"/>
    <s v="Beverly Hills"/>
    <s v="CA"/>
    <s v="US"/>
    <n v="90210"/>
    <s v="Rosemary.J.Herbert@pookmail.com"/>
    <s v="814-393-3387"/>
    <s v="American Express"/>
    <s v="SC388 "/>
    <s v="U.S."/>
    <n v="22868377"/>
    <n v="375512000000000"/>
    <n v="10311"/>
    <n v="40"/>
    <n v="5766"/>
    <d v="1899-12-30T00:00:00"/>
    <d v="1899-12-30T00:34:00"/>
    <n v="7.12"/>
    <s v="SE265 "/>
    <d v="1899-12-30T00:00:00"/>
    <x v="13"/>
    <n v="15.99"/>
    <s v="Complete"/>
    <s v="Phone"/>
    <s v="Occasional"/>
    <s v="LowValue"/>
    <s v="Gen_Y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Judy"/>
    <s v="Larkin"/>
    <s v="Mrs."/>
    <s v="2659 Werninger Street"/>
    <s v="Biancade"/>
    <s v="TV"/>
    <s v="IT"/>
    <n v="31056"/>
    <s v="Judy.B.Larkin@pookmail.com"/>
    <s v="0344 8952963"/>
    <s v="Diners Club"/>
    <s v="NW247 "/>
    <s v="FR"/>
    <n v="115000000000000"/>
    <n v="36526200000000"/>
    <n v="10315"/>
    <s v="NA"/>
    <n v="4576"/>
    <d v="1899-12-30T00:00:00"/>
    <d v="1899-12-30T00:19:56"/>
    <n v="11.15"/>
    <s v="SW409 "/>
    <d v="1899-12-30T00:00:00"/>
    <x v="3"/>
    <n v="66.319999999999993"/>
    <s v="Complete"/>
    <s v="Phone"/>
    <s v="Occasional"/>
    <s v="MediumValue"/>
    <s v="Gen_Z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4"/>
  </r>
  <r>
    <s v="Judy"/>
    <s v="Larkin"/>
    <s v="Mrs."/>
    <s v="2659 Werninger Street"/>
    <s v="Biancade"/>
    <s v="TV"/>
    <s v="IT"/>
    <n v="31056"/>
    <s v="Judy.B.Larkin@pookmail.com"/>
    <s v="0344 8952963"/>
    <s v="Diners Club"/>
    <s v="NW247 "/>
    <s v="FR"/>
    <n v="115000000000000"/>
    <n v="36706100000000"/>
    <n v="10315"/>
    <s v="NA"/>
    <n v="6060"/>
    <d v="1899-12-30T00:00:00"/>
    <d v="1899-12-30T00:57:29"/>
    <n v="9"/>
    <s v="WE226 "/>
    <d v="1899-12-30T00:00:00"/>
    <x v="38"/>
    <n v="102.6"/>
    <s v="Complete"/>
    <s v="Desktop"/>
    <s v="Occasional"/>
    <s v="MediumValue"/>
    <s v="Gen_Z"/>
    <n v="0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5"/>
  </r>
  <r>
    <s v="Judy"/>
    <s v="Hopping"/>
    <s v="Mrs."/>
    <s v="2805 DaVISAA Avenue"/>
    <s v="Biarritz"/>
    <m/>
    <s v="FR"/>
    <n v="64200"/>
    <s v="Judy.G.Hopping@pookmail.com"/>
    <s v="01.83.63.72.29"/>
    <s v="Master Card"/>
    <s v="NW313 "/>
    <s v="FR"/>
    <n v="702000000000000"/>
    <n v="5159490000000000"/>
    <n v="10319"/>
    <n v="26"/>
    <n v="3624"/>
    <d v="1899-12-30T00:00:00"/>
    <d v="1899-12-30T00:47:39"/>
    <n v="9.2200000000000006"/>
    <s v="SC388 "/>
    <d v="1899-12-30T00:00:00"/>
    <x v="20"/>
    <n v="240.95"/>
    <s v="Complete"/>
    <s v="Phone"/>
    <s v="Occasional"/>
    <s v="HighValue"/>
    <s v="Gen_Y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5"/>
  </r>
  <r>
    <s v="Judy"/>
    <s v="Hopping"/>
    <s v="Mrs."/>
    <s v="2805 DaVISAA Avenue"/>
    <s v="Biarritz"/>
    <m/>
    <s v="FR"/>
    <n v="64200"/>
    <s v="Judy.G.Hopping@pookmail.com"/>
    <s v="01.83.63.72.29"/>
    <s v="Master Card"/>
    <s v="NW313 "/>
    <s v="FR"/>
    <n v="702000000000000"/>
    <n v="5149180000000000"/>
    <n v="10319"/>
    <n v="26"/>
    <n v="4581"/>
    <d v="1899-12-30T00:00:00"/>
    <d v="1899-12-30T00:59:06"/>
    <n v="17.23"/>
    <s v="WE349 "/>
    <d v="1899-12-30T00:00:00"/>
    <x v="37"/>
    <n v="42.26"/>
    <s v="Complete"/>
    <s v="Phone"/>
    <s v="Occasional"/>
    <s v="LowValue"/>
    <s v="Gen_Y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Judy"/>
    <s v="Hopping"/>
    <s v="Mrs."/>
    <s v="2805 DaVISAA Avenue"/>
    <s v="Biarritz"/>
    <m/>
    <s v="FR"/>
    <n v="64200"/>
    <s v="Judy.G.Hopping@pookmail.com"/>
    <s v="01.83.63.72.29"/>
    <s v="Master Card"/>
    <s v="NW313 "/>
    <s v="FR"/>
    <n v="702000000000000"/>
    <n v="5188850000000000"/>
    <n v="10319"/>
    <n v="26"/>
    <n v="6362"/>
    <d v="1899-12-30T00:00:00"/>
    <d v="1899-12-30T00:33:26"/>
    <n v="18.45"/>
    <s v="NC229 "/>
    <d v="1899-12-30T00:00:00"/>
    <x v="46"/>
    <n v="250"/>
    <s v="Complete"/>
    <s v="Phone"/>
    <s v="Occasional"/>
    <s v="HighValue"/>
    <s v="Gen_Y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5"/>
  </r>
  <r>
    <s v="Judy"/>
    <s v="Hopping"/>
    <s v="Mrs."/>
    <s v="2805 DaVISAA Avenue"/>
    <s v="Biarritz"/>
    <m/>
    <s v="FR"/>
    <n v="64200"/>
    <s v="Judy.G.Hopping@pookmail.com"/>
    <s v="01.83.63.72.29"/>
    <s v="Master Card"/>
    <s v="NW313 "/>
    <s v="FR"/>
    <n v="702000000000000"/>
    <n v="5104510000000000"/>
    <n v="10319"/>
    <n v="26"/>
    <n v="6931"/>
    <d v="1899-12-30T00:00:00"/>
    <d v="1899-12-30T00:58:45"/>
    <n v="11.05"/>
    <s v="SW145 "/>
    <d v="1899-12-30T00:00:00"/>
    <x v="47"/>
    <n v="213.19"/>
    <s v="Complete"/>
    <s v="Phone"/>
    <s v="Occasional"/>
    <s v="HighValue"/>
    <s v="Gen_Y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1"/>
    <n v="5"/>
  </r>
  <r>
    <s v="Joseph"/>
    <s v="Rogers"/>
    <s v="Mr."/>
    <s v="2027 Harley Brook Lane"/>
    <s v="Biebrich"/>
    <m/>
    <s v="DE"/>
    <n v="56370"/>
    <s v="Joseph.S.Rogers@mailinator.com"/>
    <s v="0201 25 24 10"/>
    <s v="Diners Club"/>
    <s v="RP385 "/>
    <s v="ES"/>
    <s v="7500577R"/>
    <n v="36501600000000"/>
    <n v="10323"/>
    <s v="NA"/>
    <n v="1685"/>
    <d v="1899-12-30T00:00:00"/>
    <d v="1899-12-30T00:47:56"/>
    <n v="11.45"/>
    <s v="WE220 "/>
    <d v="1899-12-30T00:00:00"/>
    <x v="30"/>
    <n v="45.77"/>
    <s v="In-Progress"/>
    <s v="Phone"/>
    <s v="FirstTime"/>
    <s v="LowValue"/>
    <s v="Gen_Z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Joseph"/>
    <s v="Rogers"/>
    <s v="Mr."/>
    <s v="2027 Harley Brook Lane"/>
    <s v="Biebrich"/>
    <m/>
    <s v="DE"/>
    <n v="56370"/>
    <s v="Joseph.S.Rogers@mailinator.com"/>
    <s v="0201 25 24 10"/>
    <s v="Diners Club"/>
    <s v="RP385 "/>
    <s v="ES"/>
    <s v="7500577R"/>
    <n v="36553100000000"/>
    <n v="10323"/>
    <s v="NA"/>
    <n v="8207"/>
    <d v="1899-12-30T00:00:00"/>
    <d v="1899-12-30T00:33:00"/>
    <n v="13.88"/>
    <s v="SW346 "/>
    <d v="1899-12-30T00:00:00"/>
    <x v="55"/>
    <n v="30.69"/>
    <s v="Complete"/>
    <s v="Desktop"/>
    <s v="FirstTime"/>
    <s v="LowValue"/>
    <s v="Gen_Z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4"/>
  </r>
  <r>
    <s v="James"/>
    <s v="Sales"/>
    <s v="Miss."/>
    <s v="3904 Capitol Avenue"/>
    <s v="Billings"/>
    <s v="MT"/>
    <s v="US"/>
    <n v="59102"/>
    <s v="James.K.Sales@trashymail.com"/>
    <s v="864-527-3838"/>
    <s v="VISA"/>
    <s v="NC232 "/>
    <s v="FR"/>
    <n v="250000000000000"/>
    <n v="4638110000000000"/>
    <n v="10327"/>
    <n v="65"/>
    <n v="738"/>
    <d v="1899-12-30T00:00:00"/>
    <d v="1899-12-30T00:13:55"/>
    <n v="11.85"/>
    <s v="NE106 "/>
    <d v="1899-12-30T00:00:00"/>
    <x v="33"/>
    <n v="290.10000000000002"/>
    <s v="Complete"/>
    <s v="Desktop"/>
    <s v="Frequent"/>
    <s v="HighValue"/>
    <s v="Baby_Boomers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1"/>
    <n v="6"/>
  </r>
  <r>
    <s v="James"/>
    <s v="Sales"/>
    <s v="Miss."/>
    <s v="3904 Capitol Avenue"/>
    <s v="Billings"/>
    <s v="MT"/>
    <s v="US"/>
    <n v="59102"/>
    <s v="James.K.Sales@trashymail.com"/>
    <s v="864-527-3838"/>
    <s v="VISA"/>
    <s v="NC232 "/>
    <s v="FR"/>
    <n v="250000000000000"/>
    <n v="4796570000000000"/>
    <n v="10327"/>
    <n v="65"/>
    <n v="758"/>
    <d v="1899-12-30T00:00:00"/>
    <d v="1899-12-30T00:12:46"/>
    <n v="6.15"/>
    <s v="SW280 "/>
    <d v="1899-12-30T00:00:00"/>
    <x v="56"/>
    <n v="190.14"/>
    <s v="Complete"/>
    <s v="Desktop"/>
    <s v="Frequent"/>
    <s v="HighValue"/>
    <s v="Baby_Boomers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5"/>
  </r>
  <r>
    <s v="James"/>
    <s v="Sales"/>
    <s v="Miss."/>
    <s v="3904 Capitol Avenue"/>
    <s v="Billings"/>
    <s v="MT"/>
    <s v="US"/>
    <n v="59102"/>
    <s v="James.K.Sales@trashymail.com"/>
    <s v="864-527-3838"/>
    <s v="VISA"/>
    <s v="NC232 "/>
    <s v="FR"/>
    <n v="250000000000000"/>
    <n v="4053410000000000"/>
    <n v="10327"/>
    <n v="65"/>
    <n v="6887"/>
    <d v="1899-12-30T00:00:00"/>
    <d v="1899-12-30T00:19:46"/>
    <n v="23.78"/>
    <s v="NW250 "/>
    <d v="1899-12-30T00:00:00"/>
    <x v="22"/>
    <n v="242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1"/>
    <n v="1"/>
    <n v="1"/>
    <n v="0"/>
    <n v="0"/>
    <n v="0"/>
    <n v="1"/>
    <n v="0"/>
    <n v="1"/>
    <n v="0"/>
    <n v="1"/>
    <n v="9"/>
  </r>
  <r>
    <s v="James"/>
    <s v="Sales"/>
    <s v="Miss."/>
    <s v="3904 Capitol Avenue"/>
    <s v="Billings"/>
    <s v="MT"/>
    <s v="US"/>
    <n v="59102"/>
    <s v="James.K.Sales@trashymail.com"/>
    <s v="864-527-3838"/>
    <s v="VISA"/>
    <s v="NC232 "/>
    <s v="FR"/>
    <n v="250000000000000"/>
    <n v="4188580000000000"/>
    <n v="10327"/>
    <n v="65"/>
    <n v="7923"/>
    <d v="1899-12-30T00:00:00"/>
    <d v="1899-12-30T00:25:37"/>
    <n v="13.33"/>
    <s v="WE415 "/>
    <d v="1899-12-30T00:00:00"/>
    <x v="27"/>
    <n v="243.61"/>
    <s v="Complete"/>
    <s v="Desktop"/>
    <s v="Frequent"/>
    <s v="HighValue"/>
    <s v="Baby_Boomers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5"/>
  </r>
  <r>
    <s v="James"/>
    <s v="Sales"/>
    <s v="Miss."/>
    <s v="3904 Capitol Avenue"/>
    <s v="Billings"/>
    <s v="MT"/>
    <s v="US"/>
    <n v="59102"/>
    <s v="James.K.Sales@trashymail.com"/>
    <s v="864-527-3838"/>
    <s v="VISA"/>
    <s v="NC232 "/>
    <s v="FR"/>
    <n v="250000000000000"/>
    <n v="4993740000000000"/>
    <n v="10327"/>
    <n v="65"/>
    <n v="8518"/>
    <d v="1899-12-30T00:00:00"/>
    <d v="1899-12-30T00:19:56"/>
    <n v="33.99"/>
    <s v="SW409 "/>
    <d v="1899-12-30T00:00:00"/>
    <x v="3"/>
    <n v="219.49"/>
    <s v="In-Progress"/>
    <s v="Desktop"/>
    <s v="Frequent"/>
    <s v="HighValue"/>
    <s v="Baby_Boomers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0"/>
    <n v="0"/>
    <n v="4"/>
  </r>
  <r>
    <s v="Charles"/>
    <s v="Pickett"/>
    <s v="Mr."/>
    <s v="928 Adonais Way"/>
    <s v="Birch Creek"/>
    <s v="AK"/>
    <s v="US"/>
    <n v="99740"/>
    <s v="Charles.F.Pickett@spambob.com"/>
    <s v="402-856-9229"/>
    <s v="Discover"/>
    <s v="SE133 "/>
    <s v="ES"/>
    <s v="4900352H"/>
    <n v="6011160000000000"/>
    <n v="10331"/>
    <n v="64"/>
    <n v="1944"/>
    <d v="1899-12-30T00:00:00"/>
    <d v="1899-12-30T00:43:55"/>
    <n v="19.05"/>
    <s v="NW316 "/>
    <d v="1899-12-30T00:00:00"/>
    <x v="24"/>
    <n v="10"/>
    <s v="Abandoned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Margaret"/>
    <s v="Shelton"/>
    <s v="Mrs."/>
    <s v="1034 Briarwood Drive"/>
    <s v="Birmingham"/>
    <s v="AL"/>
    <s v="US"/>
    <n v="35222"/>
    <s v="Margaret.T.Shelton@pookmail.com"/>
    <s v="860-435-8672"/>
    <s v="Discover"/>
    <s v="WE283 "/>
    <s v="CA"/>
    <n v="944146232"/>
    <n v="6011530000000000"/>
    <n v="10335"/>
    <n v="45"/>
    <n v="235"/>
    <d v="1899-12-30T00:00:00"/>
    <d v="1899-12-30T00:23:55"/>
    <n v="16.850000000000001"/>
    <s v="NC295 "/>
    <d v="1899-12-30T00:00:00"/>
    <x v="6"/>
    <n v="47.31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Margaret"/>
    <s v="Shelton"/>
    <s v="Mrs."/>
    <s v="1034 Briarwood Drive"/>
    <s v="Birmingham"/>
    <s v="AL"/>
    <s v="US"/>
    <n v="35222"/>
    <s v="Margaret.T.Shelton@pookmail.com"/>
    <s v="860-435-8672"/>
    <s v="Discover"/>
    <s v="WE283 "/>
    <s v="CA"/>
    <n v="944146232"/>
    <n v="6011070000000000"/>
    <n v="10335"/>
    <n v="45"/>
    <n v="7464"/>
    <d v="1899-12-30T00:00:00"/>
    <d v="1899-12-30T00:32:45"/>
    <n v="48.52"/>
    <s v="NE301 "/>
    <d v="1899-12-30T00:00:00"/>
    <x v="57"/>
    <n v="31.71"/>
    <s v="Complete"/>
    <s v="Phone"/>
    <s v="Occasional"/>
    <s v="LowValue"/>
    <s v="Gen_X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</r>
  <r>
    <s v="Rebecca"/>
    <s v="Uresti"/>
    <s v="Mrs."/>
    <s v="4333 Morningview Lane"/>
    <s v="Birmingham"/>
    <s v="AL"/>
    <s v="US"/>
    <n v="35203"/>
    <s v="Rebecca.C.Uresti@trashymail.com"/>
    <s v="903-497-8623"/>
    <s v="VISA"/>
    <s v="RP121 "/>
    <s v="UK"/>
    <s v="YR565337D"/>
    <n v="4446370000000000"/>
    <n v="10339"/>
    <n v="55"/>
    <n v="4716"/>
    <d v="1899-12-30T00:00:00"/>
    <d v="1899-12-30T00:11:26"/>
    <n v="7.45"/>
    <s v="NC169 "/>
    <d v="1899-12-30T00:00:00"/>
    <x v="36"/>
    <n v="8.49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4"/>
  </r>
  <r>
    <s v="Emma"/>
    <s v="Perez"/>
    <s v="Mrs."/>
    <s v="1199 Lightning Point Drive"/>
    <s v="Black Hawk"/>
    <s v="SD"/>
    <s v="US"/>
    <n v="57718"/>
    <s v="Emma.V.Perez@spambob.com"/>
    <s v="612-990-4487"/>
    <s v="American Express"/>
    <s v="SE268 "/>
    <s v="FR"/>
    <n v="159000000000000"/>
    <n v="344168000000000"/>
    <n v="10343"/>
    <n v="58"/>
    <n v="2071"/>
    <d v="1899-12-30T00:00:00"/>
    <d v="1899-12-30T00:59:36"/>
    <n v="5.66"/>
    <s v="SC199 "/>
    <d v="1899-12-30T00:00:00"/>
    <x v="32"/>
    <n v="33.33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3"/>
  </r>
  <r>
    <s v="Reynaldo"/>
    <s v="Myers"/>
    <s v="Mr."/>
    <s v="3923 Black Stallion Road"/>
    <s v="Blaxland East"/>
    <s v="NSW"/>
    <s v="AU"/>
    <n v="2774"/>
    <s v="Reynaldo.J.Myers@pookmail.com"/>
    <s v="(02) 6753 9404"/>
    <s v="American Express"/>
    <s v="SW346 "/>
    <s v="FR"/>
    <n v="814000000000000"/>
    <n v="372006000000000"/>
    <n v="10347"/>
    <n v="54"/>
    <n v="3591"/>
    <d v="1899-12-30T00:47:25"/>
    <d v="1899-12-30T00:47:25"/>
    <n v="6.15"/>
    <s v="SW211 "/>
    <d v="1899-12-30T00:47:25"/>
    <x v="7"/>
    <n v="30.71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Reynaldo"/>
    <s v="Myers"/>
    <s v="Mr."/>
    <s v="3923 Black Stallion Road"/>
    <s v="Blaxland East"/>
    <s v="NSW"/>
    <s v="AU"/>
    <n v="2774"/>
    <s v="Reynaldo.J.Myers@pookmail.com"/>
    <s v="(02) 6753 9404"/>
    <s v="American Express"/>
    <s v="SW346 "/>
    <s v="FR"/>
    <n v="814000000000000"/>
    <n v="375546000000000"/>
    <n v="10347"/>
    <n v="54"/>
    <n v="9145"/>
    <d v="1899-12-30T00:00:00"/>
    <d v="1899-12-30T00:39:06"/>
    <n v="18.239999999999998"/>
    <s v="NC160 "/>
    <d v="1899-12-30T00:00:00"/>
    <x v="2"/>
    <n v="27.48"/>
    <s v="Complete"/>
    <s v="Phone"/>
    <s v="Occasional"/>
    <s v="LowValue"/>
    <s v="Baby_Boomers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5"/>
  </r>
  <r>
    <s v="Jennifer"/>
    <s v="Becker"/>
    <s v="Mrs."/>
    <s v="4374 Lindale Avenue"/>
    <s v="Bloomington"/>
    <s v="IL"/>
    <s v="US"/>
    <n v="61701"/>
    <s v="Jennifer.D.Becker@spambob.com"/>
    <s v="803-223-5484"/>
    <s v="jcb"/>
    <s v="SE337 "/>
    <s v="FR"/>
    <n v="169000000000000"/>
    <n v="3528370000000000"/>
    <n v="10351"/>
    <n v="24"/>
    <n v="591"/>
    <d v="1899-12-30T00:00:00"/>
    <d v="1899-12-30T00:43:55"/>
    <n v="10.45"/>
    <s v="NW187 "/>
    <d v="1899-12-30T00:00:00"/>
    <x v="43"/>
    <n v="165.72"/>
    <s v="Complete"/>
    <s v="Phone"/>
    <s v="Frequent"/>
    <s v="HighValue"/>
    <s v="Gen_Y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C20C5-774C-4A72-B006-D82FD69BC1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3:G14" firstHeaderRow="1" firstDataRow="1" firstDataCol="1"/>
  <pivotFields count="23">
    <pivotField showAll="0"/>
    <pivotField showAll="0"/>
    <pivotField axis="axisRow" showAll="0" measureFilter="1" sortType="descending">
      <items count="77">
        <item x="25"/>
        <item x="9"/>
        <item x="0"/>
        <item x="43"/>
        <item x="13"/>
        <item x="3"/>
        <item x="1"/>
        <item x="38"/>
        <item x="62"/>
        <item x="35"/>
        <item x="44"/>
        <item x="8"/>
        <item x="11"/>
        <item x="70"/>
        <item x="30"/>
        <item x="29"/>
        <item x="46"/>
        <item x="15"/>
        <item x="12"/>
        <item x="48"/>
        <item x="45"/>
        <item x="73"/>
        <item x="53"/>
        <item x="54"/>
        <item x="32"/>
        <item x="31"/>
        <item x="42"/>
        <item x="60"/>
        <item x="34"/>
        <item x="55"/>
        <item x="7"/>
        <item x="69"/>
        <item x="37"/>
        <item x="27"/>
        <item x="75"/>
        <item x="36"/>
        <item x="41"/>
        <item x="61"/>
        <item x="5"/>
        <item x="52"/>
        <item x="68"/>
        <item x="59"/>
        <item x="67"/>
        <item x="66"/>
        <item x="21"/>
        <item x="18"/>
        <item x="16"/>
        <item x="22"/>
        <item x="50"/>
        <item x="71"/>
        <item x="49"/>
        <item x="51"/>
        <item x="33"/>
        <item x="4"/>
        <item x="19"/>
        <item x="47"/>
        <item x="64"/>
        <item x="39"/>
        <item x="6"/>
        <item x="28"/>
        <item x="20"/>
        <item x="17"/>
        <item x="14"/>
        <item x="26"/>
        <item x="72"/>
        <item x="10"/>
        <item x="74"/>
        <item x="24"/>
        <item x="57"/>
        <item x="65"/>
        <item x="23"/>
        <item x="56"/>
        <item x="58"/>
        <item x="2"/>
        <item x="63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8">
        <item x="3"/>
        <item x="5"/>
        <item x="4"/>
        <item x="1"/>
        <item x="6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</pivotFields>
  <rowFields count="1">
    <field x="2"/>
  </rowFields>
  <rowItems count="11">
    <i>
      <x v="75"/>
    </i>
    <i>
      <x v="31"/>
    </i>
    <i>
      <x v="57"/>
    </i>
    <i>
      <x v="52"/>
    </i>
    <i>
      <x v="72"/>
    </i>
    <i>
      <x v="45"/>
    </i>
    <i>
      <x v="42"/>
    </i>
    <i>
      <x v="18"/>
    </i>
    <i>
      <x v="30"/>
    </i>
    <i>
      <x v="46"/>
    </i>
    <i t="grand">
      <x/>
    </i>
  </rowItems>
  <colItems count="1">
    <i/>
  </colItems>
  <dataFields count="1">
    <dataField name="Sum of Total Order Amt" fld="2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853CF-2F1C-4141-BAAB-1789D7F98AD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3:AE12" firstHeaderRow="0" firstDataRow="1" firstDataCol="1"/>
  <pivotFields count="23">
    <pivotField showAll="0"/>
    <pivotField showAll="0"/>
    <pivotField dataField="1" showAll="0">
      <items count="77">
        <item x="25"/>
        <item x="9"/>
        <item x="0"/>
        <item x="43"/>
        <item x="13"/>
        <item x="3"/>
        <item x="1"/>
        <item x="38"/>
        <item x="62"/>
        <item x="35"/>
        <item x="44"/>
        <item x="8"/>
        <item x="11"/>
        <item x="70"/>
        <item x="30"/>
        <item x="29"/>
        <item x="46"/>
        <item x="15"/>
        <item x="12"/>
        <item x="48"/>
        <item x="45"/>
        <item x="73"/>
        <item x="53"/>
        <item x="54"/>
        <item x="32"/>
        <item x="31"/>
        <item x="42"/>
        <item x="60"/>
        <item x="34"/>
        <item x="55"/>
        <item x="7"/>
        <item x="69"/>
        <item x="37"/>
        <item x="27"/>
        <item x="75"/>
        <item x="36"/>
        <item x="41"/>
        <item x="61"/>
        <item x="5"/>
        <item x="52"/>
        <item x="68"/>
        <item x="59"/>
        <item x="67"/>
        <item x="66"/>
        <item x="21"/>
        <item x="18"/>
        <item x="16"/>
        <item x="22"/>
        <item x="50"/>
        <item x="71"/>
        <item x="49"/>
        <item x="51"/>
        <item x="33"/>
        <item x="4"/>
        <item x="19"/>
        <item x="47"/>
        <item x="64"/>
        <item x="39"/>
        <item x="6"/>
        <item x="28"/>
        <item x="20"/>
        <item x="17"/>
        <item x="14"/>
        <item x="26"/>
        <item x="72"/>
        <item x="10"/>
        <item x="74"/>
        <item x="24"/>
        <item x="57"/>
        <item x="65"/>
        <item x="23"/>
        <item x="56"/>
        <item x="58"/>
        <item x="2"/>
        <item x="63"/>
        <item x="4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8">
        <item x="3"/>
        <item x="5"/>
        <item x="4"/>
        <item x="1"/>
        <item x="6"/>
        <item x="0"/>
        <item x="2"/>
        <item t="default"/>
      </items>
    </pivotField>
    <pivotField showAll="0"/>
    <pivotField showAll="0"/>
    <pivotField showAll="0"/>
    <pivotField showAll="0"/>
    <pivotField showAll="0">
      <items count="7">
        <item x="3"/>
        <item x="4"/>
        <item x="2"/>
        <item x="5"/>
        <item x="0"/>
        <item x="1"/>
        <item t="default"/>
      </items>
    </pivotField>
    <pivotField showAll="0" sortType="descending">
      <items count="54">
        <item x="11"/>
        <item x="9"/>
        <item x="40"/>
        <item x="2"/>
        <item x="1"/>
        <item x="44"/>
        <item x="52"/>
        <item x="37"/>
        <item x="41"/>
        <item x="12"/>
        <item x="18"/>
        <item x="6"/>
        <item x="4"/>
        <item x="28"/>
        <item x="36"/>
        <item x="48"/>
        <item x="5"/>
        <item x="47"/>
        <item x="23"/>
        <item x="34"/>
        <item x="26"/>
        <item x="46"/>
        <item x="49"/>
        <item x="42"/>
        <item x="16"/>
        <item x="3"/>
        <item x="10"/>
        <item x="21"/>
        <item x="24"/>
        <item x="17"/>
        <item x="14"/>
        <item x="32"/>
        <item x="22"/>
        <item x="30"/>
        <item x="27"/>
        <item x="0"/>
        <item x="25"/>
        <item x="43"/>
        <item x="50"/>
        <item x="29"/>
        <item x="7"/>
        <item x="39"/>
        <item x="38"/>
        <item x="8"/>
        <item x="20"/>
        <item x="15"/>
        <item x="31"/>
        <item x="45"/>
        <item x="19"/>
        <item x="33"/>
        <item x="13"/>
        <item x="51"/>
        <item x="3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</pivotFields>
  <rowFields count="1">
    <field x="2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 Name" fld="2" subtotal="count" baseField="0" baseItem="0"/>
    <dataField name="Sum of Total Order Amt" fld="22" baseField="0" baseItem="0"/>
    <dataField name="Sum of Total Order Amt2" fld="2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6C5CD-A070-4ABF-81A0-94F4DC24D5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1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3"/>
        <item x="5"/>
        <item x="4"/>
        <item x="1"/>
        <item x="6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</pivotFields>
  <rowFields count="1">
    <field x="9"/>
  </rowFields>
  <rowItems count="8">
    <i>
      <x/>
    </i>
    <i>
      <x v="5"/>
    </i>
    <i>
      <x v="1"/>
    </i>
    <i>
      <x v="4"/>
    </i>
    <i>
      <x v="6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Order Amt" fld="22" baseField="0" baseItem="0"/>
    <dataField name="Sum of Total Order Amt2" fld="22" showDataAs="percentOfTotal" baseField="0" baseItem="0" numFmtId="1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CF736-1C05-4306-B07B-D6BFF861F53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Y21" firstHeaderRow="0" firstDataRow="1" firstDataCol="1"/>
  <pivotFields count="23">
    <pivotField showAll="0"/>
    <pivotField showAll="0"/>
    <pivotField dataField="1" showAll="0">
      <items count="77">
        <item x="25"/>
        <item x="9"/>
        <item x="0"/>
        <item x="43"/>
        <item x="13"/>
        <item x="3"/>
        <item x="1"/>
        <item x="38"/>
        <item x="62"/>
        <item x="35"/>
        <item x="44"/>
        <item x="8"/>
        <item x="11"/>
        <item x="70"/>
        <item x="30"/>
        <item x="29"/>
        <item x="46"/>
        <item x="15"/>
        <item x="12"/>
        <item x="48"/>
        <item x="45"/>
        <item x="73"/>
        <item x="53"/>
        <item x="54"/>
        <item x="32"/>
        <item x="31"/>
        <item x="42"/>
        <item x="60"/>
        <item x="34"/>
        <item x="55"/>
        <item x="7"/>
        <item x="69"/>
        <item x="37"/>
        <item x="27"/>
        <item x="75"/>
        <item x="36"/>
        <item x="41"/>
        <item x="61"/>
        <item x="5"/>
        <item x="52"/>
        <item x="68"/>
        <item x="59"/>
        <item x="67"/>
        <item x="66"/>
        <item x="21"/>
        <item x="18"/>
        <item x="16"/>
        <item x="22"/>
        <item x="50"/>
        <item x="71"/>
        <item x="49"/>
        <item x="51"/>
        <item x="33"/>
        <item x="4"/>
        <item x="19"/>
        <item x="47"/>
        <item x="64"/>
        <item x="39"/>
        <item x="6"/>
        <item x="28"/>
        <item x="20"/>
        <item x="17"/>
        <item x="14"/>
        <item x="26"/>
        <item x="72"/>
        <item x="10"/>
        <item x="74"/>
        <item x="24"/>
        <item x="57"/>
        <item x="65"/>
        <item x="23"/>
        <item x="56"/>
        <item x="58"/>
        <item x="2"/>
        <item x="63"/>
        <item x="4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8">
        <item x="3"/>
        <item x="5"/>
        <item x="4"/>
        <item x="1"/>
        <item x="6"/>
        <item x="0"/>
        <item x="2"/>
        <item t="default"/>
      </items>
    </pivotField>
    <pivotField showAll="0"/>
    <pivotField showAll="0"/>
    <pivotField showAll="0"/>
    <pivotField showAll="0"/>
    <pivotField showAll="0">
      <items count="7">
        <item x="3"/>
        <item x="4"/>
        <item x="2"/>
        <item x="5"/>
        <item x="0"/>
        <item x="1"/>
        <item t="default"/>
      </items>
    </pivotField>
    <pivotField axis="axisRow" showAll="0" measureFilter="1" sortType="descending">
      <items count="54">
        <item x="11"/>
        <item x="9"/>
        <item x="40"/>
        <item x="2"/>
        <item x="1"/>
        <item x="44"/>
        <item x="52"/>
        <item x="37"/>
        <item x="41"/>
        <item x="12"/>
        <item x="18"/>
        <item x="6"/>
        <item x="4"/>
        <item x="28"/>
        <item x="36"/>
        <item x="48"/>
        <item x="5"/>
        <item x="47"/>
        <item x="23"/>
        <item x="34"/>
        <item x="26"/>
        <item x="46"/>
        <item x="49"/>
        <item x="42"/>
        <item x="16"/>
        <item x="3"/>
        <item x="10"/>
        <item x="21"/>
        <item x="24"/>
        <item x="17"/>
        <item x="14"/>
        <item x="32"/>
        <item x="22"/>
        <item x="30"/>
        <item x="27"/>
        <item x="0"/>
        <item x="25"/>
        <item x="43"/>
        <item x="50"/>
        <item x="29"/>
        <item x="7"/>
        <item x="39"/>
        <item x="38"/>
        <item x="8"/>
        <item x="20"/>
        <item x="15"/>
        <item x="31"/>
        <item x="45"/>
        <item x="19"/>
        <item x="33"/>
        <item x="13"/>
        <item x="51"/>
        <item x="3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</pivotFields>
  <rowFields count="1">
    <field x="15"/>
  </rowFields>
  <rowItems count="18">
    <i>
      <x v="9"/>
    </i>
    <i>
      <x v="36"/>
    </i>
    <i>
      <x v="48"/>
    </i>
    <i>
      <x v="21"/>
    </i>
    <i>
      <x v="43"/>
    </i>
    <i>
      <x v="24"/>
    </i>
    <i>
      <x v="40"/>
    </i>
    <i>
      <x v="10"/>
    </i>
    <i>
      <x v="49"/>
    </i>
    <i>
      <x v="11"/>
    </i>
    <i>
      <x v="35"/>
    </i>
    <i>
      <x v="4"/>
    </i>
    <i>
      <x v="12"/>
    </i>
    <i>
      <x v="27"/>
    </i>
    <i>
      <x v="14"/>
    </i>
    <i>
      <x v="45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Name" fld="2" subtotal="count" baseField="0" baseItem="0"/>
    <dataField name="Sum of Total Order Amt" fld="22" baseField="0" baseItem="0"/>
  </dataFields>
  <pivotTableStyleInfo name="PivotStyleLight16" showRowHeaders="1" showColHeaders="1" showRowStripes="0" showColStripes="0" showLastColumn="1"/>
  <filters count="1">
    <filter fld="1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B9302-8CD3-4E7F-8BE2-4375F9A0D45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T35" firstHeaderRow="0" firstDataRow="1" firstDataCol="1"/>
  <pivotFields count="23">
    <pivotField showAll="0"/>
    <pivotField showAll="0"/>
    <pivotField dataField="1" showAll="0" measureFilter="1" sortType="descending">
      <items count="77">
        <item x="25"/>
        <item x="9"/>
        <item x="0"/>
        <item x="43"/>
        <item x="13"/>
        <item x="3"/>
        <item x="1"/>
        <item x="38"/>
        <item x="62"/>
        <item x="35"/>
        <item x="44"/>
        <item x="8"/>
        <item x="11"/>
        <item x="70"/>
        <item x="30"/>
        <item x="29"/>
        <item x="46"/>
        <item x="15"/>
        <item x="12"/>
        <item x="48"/>
        <item x="45"/>
        <item x="73"/>
        <item x="53"/>
        <item x="54"/>
        <item x="32"/>
        <item x="31"/>
        <item x="42"/>
        <item x="60"/>
        <item x="34"/>
        <item x="55"/>
        <item x="7"/>
        <item x="69"/>
        <item x="37"/>
        <item x="27"/>
        <item x="75"/>
        <item x="36"/>
        <item x="41"/>
        <item x="61"/>
        <item x="5"/>
        <item x="52"/>
        <item x="68"/>
        <item x="59"/>
        <item x="67"/>
        <item x="66"/>
        <item x="21"/>
        <item x="18"/>
        <item x="16"/>
        <item x="22"/>
        <item x="50"/>
        <item x="71"/>
        <item x="49"/>
        <item x="51"/>
        <item x="33"/>
        <item x="4"/>
        <item x="19"/>
        <item x="47"/>
        <item x="64"/>
        <item x="39"/>
        <item x="6"/>
        <item x="28"/>
        <item x="20"/>
        <item x="17"/>
        <item x="14"/>
        <item x="26"/>
        <item x="72"/>
        <item x="10"/>
        <item x="74"/>
        <item x="24"/>
        <item x="57"/>
        <item x="65"/>
        <item x="23"/>
        <item x="56"/>
        <item x="58"/>
        <item x="2"/>
        <item x="63"/>
        <item x="4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descending">
      <items count="8">
        <item x="3"/>
        <item x="5"/>
        <item x="4"/>
        <item x="1"/>
        <item x="6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descending">
      <items count="7">
        <item x="3"/>
        <item x="4"/>
        <item x="2"/>
        <item x="5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showAll="0"/>
    <pivotField numFmtId="1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</pivotFields>
  <rowFields count="2">
    <field x="14"/>
    <field x="9"/>
  </rowFields>
  <rowItems count="32">
    <i>
      <x v="1"/>
    </i>
    <i r="1">
      <x/>
    </i>
    <i r="1">
      <x v="1"/>
    </i>
    <i r="1">
      <x v="6"/>
    </i>
    <i r="1">
      <x v="3"/>
    </i>
    <i r="1">
      <x v="5"/>
    </i>
    <i>
      <x v="5"/>
    </i>
    <i r="1">
      <x/>
    </i>
    <i r="1">
      <x v="6"/>
    </i>
    <i r="1">
      <x v="5"/>
    </i>
    <i r="1">
      <x v="3"/>
    </i>
    <i>
      <x/>
    </i>
    <i r="1">
      <x v="1"/>
    </i>
    <i r="1">
      <x v="4"/>
    </i>
    <i r="1">
      <x/>
    </i>
    <i r="1">
      <x v="5"/>
    </i>
    <i r="1">
      <x v="2"/>
    </i>
    <i>
      <x v="3"/>
    </i>
    <i r="1">
      <x/>
    </i>
    <i r="1">
      <x v="5"/>
    </i>
    <i r="1">
      <x v="3"/>
    </i>
    <i>
      <x v="4"/>
    </i>
    <i r="1">
      <x/>
    </i>
    <i r="1">
      <x v="4"/>
    </i>
    <i r="1">
      <x v="5"/>
    </i>
    <i r="1">
      <x v="1"/>
    </i>
    <i>
      <x v="2"/>
    </i>
    <i r="1">
      <x/>
    </i>
    <i r="1">
      <x v="5"/>
    </i>
    <i r="1">
      <x v="6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ustomer Name" fld="2" subtotal="count" baseField="0" baseItem="0"/>
    <dataField name="Sum of Total Order Amt" fld="22" baseField="0" baseItem="0"/>
    <dataField name="% of parent Total Order Amt" fld="22" showDataAs="percentOfTotal" baseField="0" baseItem="0" numFmtId="10"/>
    <dataField name="% of grand Total Order Amt" fld="22" baseField="14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E64B2-6871-425B-A1FC-F0CE1177F3F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M12" firstHeaderRow="1" firstDataRow="2" firstDataCol="1"/>
  <pivotFields count="23">
    <pivotField showAll="0"/>
    <pivotField showAll="0"/>
    <pivotField showAll="0" measureFilter="1" sortType="descending">
      <items count="77">
        <item x="25"/>
        <item x="9"/>
        <item x="0"/>
        <item x="43"/>
        <item x="13"/>
        <item x="3"/>
        <item x="1"/>
        <item x="38"/>
        <item x="62"/>
        <item x="35"/>
        <item x="44"/>
        <item x="8"/>
        <item x="11"/>
        <item x="70"/>
        <item x="30"/>
        <item x="29"/>
        <item x="46"/>
        <item x="15"/>
        <item x="12"/>
        <item x="48"/>
        <item x="45"/>
        <item x="73"/>
        <item x="53"/>
        <item x="54"/>
        <item x="32"/>
        <item x="31"/>
        <item x="42"/>
        <item x="60"/>
        <item x="34"/>
        <item x="55"/>
        <item x="7"/>
        <item x="69"/>
        <item x="37"/>
        <item x="27"/>
        <item x="75"/>
        <item x="36"/>
        <item x="41"/>
        <item x="61"/>
        <item x="5"/>
        <item x="52"/>
        <item x="68"/>
        <item x="59"/>
        <item x="67"/>
        <item x="66"/>
        <item x="21"/>
        <item x="18"/>
        <item x="16"/>
        <item x="22"/>
        <item x="50"/>
        <item x="71"/>
        <item x="49"/>
        <item x="51"/>
        <item x="33"/>
        <item x="4"/>
        <item x="19"/>
        <item x="47"/>
        <item x="64"/>
        <item x="39"/>
        <item x="6"/>
        <item x="28"/>
        <item x="20"/>
        <item x="17"/>
        <item x="14"/>
        <item x="26"/>
        <item x="72"/>
        <item x="10"/>
        <item x="74"/>
        <item x="24"/>
        <item x="57"/>
        <item x="65"/>
        <item x="23"/>
        <item x="56"/>
        <item x="58"/>
        <item x="2"/>
        <item x="63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descending">
      <items count="8">
        <item x="3"/>
        <item x="5"/>
        <item x="4"/>
        <item x="1"/>
        <item x="6"/>
        <item x="0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</pivotFields>
  <rowFields count="1">
    <field x="9"/>
  </rowFields>
  <rowItems count="8">
    <i>
      <x/>
    </i>
    <i>
      <x v="4"/>
    </i>
    <i>
      <x v="1"/>
    </i>
    <i>
      <x v="5"/>
    </i>
    <i>
      <x v="6"/>
    </i>
    <i>
      <x v="3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Total Order Amt" fld="22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BD4E8-32E7-4741-BF21-651FC9F3FADC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3:AP16" firstHeaderRow="0" firstDataRow="1" firstDataCol="1"/>
  <pivotFields count="6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1" showAll="0"/>
    <pivotField showAll="0"/>
    <pivotField showAll="0"/>
    <pivotField showAll="0"/>
    <pivotField numFmtId="47" showAll="0"/>
    <pivotField numFmtId="47" showAll="0"/>
    <pivotField showAll="0"/>
    <pivotField showAll="0"/>
    <pivotField numFmtId="47" showAll="0"/>
    <pivotField numFmtId="168" showAll="0">
      <items count="59">
        <item x="5"/>
        <item x="4"/>
        <item x="23"/>
        <item x="16"/>
        <item x="41"/>
        <item x="10"/>
        <item x="6"/>
        <item x="3"/>
        <item x="53"/>
        <item x="56"/>
        <item x="50"/>
        <item x="22"/>
        <item x="1"/>
        <item x="27"/>
        <item x="40"/>
        <item x="25"/>
        <item x="42"/>
        <item x="31"/>
        <item x="55"/>
        <item x="7"/>
        <item x="49"/>
        <item x="54"/>
        <item x="19"/>
        <item x="20"/>
        <item x="36"/>
        <item x="37"/>
        <item x="33"/>
        <item x="17"/>
        <item x="48"/>
        <item x="14"/>
        <item x="0"/>
        <item x="51"/>
        <item x="9"/>
        <item x="52"/>
        <item x="29"/>
        <item x="44"/>
        <item x="38"/>
        <item x="2"/>
        <item x="11"/>
        <item x="8"/>
        <item x="35"/>
        <item x="47"/>
        <item x="45"/>
        <item x="21"/>
        <item x="43"/>
        <item x="26"/>
        <item x="15"/>
        <item x="46"/>
        <item x="13"/>
        <item x="34"/>
        <item x="57"/>
        <item x="24"/>
        <item x="28"/>
        <item x="39"/>
        <item x="18"/>
        <item x="12"/>
        <item x="30"/>
        <item x="3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VALUE" fld="24" baseField="0" baseItem="0"/>
    <dataField name="Sum of ORDER_VALUE2" fld="24" showDataAs="percentDiff" baseField="60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C3D4A-4D02-400E-90F9-9B97E2ADC84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H3:AK13" firstHeaderRow="1" firstDataRow="2" firstDataCol="1"/>
  <pivotFields count="23">
    <pivotField showAll="0"/>
    <pivotField showAll="0"/>
    <pivotField showAll="0">
      <items count="77">
        <item x="25"/>
        <item x="9"/>
        <item x="0"/>
        <item x="43"/>
        <item x="13"/>
        <item x="3"/>
        <item x="1"/>
        <item x="38"/>
        <item x="62"/>
        <item x="35"/>
        <item x="44"/>
        <item x="8"/>
        <item x="11"/>
        <item x="70"/>
        <item x="30"/>
        <item x="29"/>
        <item x="46"/>
        <item x="15"/>
        <item x="12"/>
        <item x="48"/>
        <item x="45"/>
        <item x="73"/>
        <item x="53"/>
        <item x="54"/>
        <item x="32"/>
        <item x="31"/>
        <item x="42"/>
        <item x="60"/>
        <item x="34"/>
        <item x="55"/>
        <item x="7"/>
        <item x="69"/>
        <item x="37"/>
        <item x="27"/>
        <item x="75"/>
        <item x="36"/>
        <item x="41"/>
        <item x="61"/>
        <item x="5"/>
        <item x="52"/>
        <item x="68"/>
        <item x="59"/>
        <item x="67"/>
        <item x="66"/>
        <item x="21"/>
        <item x="18"/>
        <item x="16"/>
        <item x="22"/>
        <item x="50"/>
        <item x="71"/>
        <item x="49"/>
        <item x="51"/>
        <item x="33"/>
        <item x="4"/>
        <item x="19"/>
        <item x="47"/>
        <item x="64"/>
        <item x="39"/>
        <item x="6"/>
        <item x="28"/>
        <item x="20"/>
        <item x="17"/>
        <item x="14"/>
        <item x="26"/>
        <item x="72"/>
        <item x="10"/>
        <item x="74"/>
        <item x="24"/>
        <item x="57"/>
        <item x="65"/>
        <item x="23"/>
        <item x="56"/>
        <item x="58"/>
        <item x="2"/>
        <item x="63"/>
        <item x="4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8">
        <item x="3"/>
        <item x="5"/>
        <item x="4"/>
        <item x="1"/>
        <item x="6"/>
        <item x="0"/>
        <item x="2"/>
        <item t="default"/>
      </items>
    </pivotField>
    <pivotField showAll="0"/>
    <pivotField showAll="0"/>
    <pivotField showAll="0"/>
    <pivotField showAll="0"/>
    <pivotField showAll="0">
      <items count="7">
        <item x="3"/>
        <item x="4"/>
        <item x="2"/>
        <item x="5"/>
        <item x="0"/>
        <item x="1"/>
        <item t="default"/>
      </items>
    </pivotField>
    <pivotField showAll="0" sortType="descending">
      <items count="54">
        <item x="11"/>
        <item x="9"/>
        <item x="40"/>
        <item x="2"/>
        <item x="1"/>
        <item x="44"/>
        <item x="52"/>
        <item x="37"/>
        <item x="41"/>
        <item x="12"/>
        <item x="18"/>
        <item x="6"/>
        <item x="4"/>
        <item x="28"/>
        <item x="36"/>
        <item x="48"/>
        <item x="5"/>
        <item x="47"/>
        <item x="23"/>
        <item x="34"/>
        <item x="26"/>
        <item x="46"/>
        <item x="49"/>
        <item x="42"/>
        <item x="16"/>
        <item x="3"/>
        <item x="10"/>
        <item x="21"/>
        <item x="24"/>
        <item x="17"/>
        <item x="14"/>
        <item x="32"/>
        <item x="22"/>
        <item x="30"/>
        <item x="27"/>
        <item x="0"/>
        <item x="25"/>
        <item x="43"/>
        <item x="50"/>
        <item x="29"/>
        <item x="7"/>
        <item x="39"/>
        <item x="38"/>
        <item x="8"/>
        <item x="20"/>
        <item x="15"/>
        <item x="31"/>
        <item x="45"/>
        <item x="19"/>
        <item x="33"/>
        <item x="13"/>
        <item x="51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</pivotFields>
  <rowFields count="1">
    <field x="2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Total Order Amt" fld="2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71DE3-B828-4518-8A73-0046807648BC}" name="cdata" displayName="cdata" ref="A1:W77" totalsRowShown="0" headerRowDxfId="98" dataDxfId="97">
  <autoFilter ref="A1:W77" xr:uid="{76C9DF80-E380-4A4C-AEA5-33DD97D9EF31}"/>
  <tableColumns count="23">
    <tableColumn id="1" xr3:uid="{05F1FA5E-2708-4B33-8E7B-AB9C3A142426}" name="First Name" dataDxfId="96"/>
    <tableColumn id="68" xr3:uid="{D020A2BB-D4A5-4562-BC7F-0BBA760ADE63}" name="Last Name" dataDxfId="95"/>
    <tableColumn id="8" xr3:uid="{72DA4158-6FDB-4851-BA36-B7DC985BBC10}" name="Customer Name" dataDxfId="94">
      <calculatedColumnFormula>cdata[[#This Row],[First Name]]&amp;" "&amp;cdata[[#This Row],[Last Name]]</calculatedColumnFormula>
    </tableColumn>
    <tableColumn id="2" xr3:uid="{83151C09-5081-41F4-BD24-D213F139040B}" name="Gender_Code" dataDxfId="93"/>
    <tableColumn id="9" xr3:uid="{F1AF39BC-8588-4E3B-BE37-0640F1CAEEF4}" name="Gender" dataDxfId="92">
      <calculatedColumnFormula>IF(OR(cdata[[#This Row],[Gender_Code]] = "Mr.", cdata[[#This Row],[Gender_Code]]="Master."), "Male","Female")</calculatedColumnFormula>
    </tableColumn>
    <tableColumn id="3" xr3:uid="{F5489E75-63D4-4816-89A2-C4162F01513E}" name="ADDRESS1" dataDxfId="91"/>
    <tableColumn id="4" xr3:uid="{558306E7-BE4C-4009-A3B3-CED0FE07BF85}" name="CITY" dataDxfId="90"/>
    <tableColumn id="5" xr3:uid="{423E2675-6699-4663-ABE1-EA1DF3620E1C}" name="STATE" dataDxfId="89"/>
    <tableColumn id="6" xr3:uid="{276C3BEC-37FF-499A-8E15-36649C8E826D}" name="COUNTRY_CODE" dataDxfId="88"/>
    <tableColumn id="13" xr3:uid="{4A182553-4D62-4919-B737-67C5D465B6E8}" name="Country" dataDxfId="87">
      <calculatedColumnFormula>VLOOKUP(cdata[[#This Row],[COUNTRY_CODE]], cudata[], 2,0)</calculatedColumnFormula>
    </tableColumn>
    <tableColumn id="7" xr3:uid="{35A403D6-8A18-4C3B-8CD9-75032D594E34}" name="POSTAL_CODE" dataDxfId="86"/>
    <tableColumn id="10" xr3:uid="{A1BEFBEF-129F-43F6-8501-55150134E5FF}" name="EMAIL_ADDRESS" dataDxfId="85"/>
    <tableColumn id="21" xr3:uid="{CE1E5D77-EE4E-4BC2-931B-37624A917A7C}" name="Column1" dataDxfId="84"/>
    <tableColumn id="11" xr3:uid="{CA235FE9-619D-41F0-8575-55E81E06AE0B}" name="PHONE_NUMBER" dataDxfId="83"/>
    <tableColumn id="12" xr3:uid="{52CEB18B-26D9-48BE-B542-64701AD27ADB}" name="CREDITCARD_TYPE" dataDxfId="82"/>
    <tableColumn id="14" xr3:uid="{AF7FACAB-0BFA-48DB-92AB-8A8F269ED07B}" name="SALESMAN_ID" dataDxfId="81"/>
    <tableColumn id="15" xr3:uid="{FDFF95A6-E8E4-489A-B82F-A516EDDBF677}" name="NATIONALITY" dataDxfId="80"/>
    <tableColumn id="16" xr3:uid="{6FC2ACD1-344E-404D-BDAB-48C21E858CDC}" name="NATIONAL_ID" dataDxfId="79"/>
    <tableColumn id="17" xr3:uid="{FD72ECF1-5166-4828-8E7B-98815ED911E8}" name="CREDITCARD_NUMBER" dataDxfId="78"/>
    <tableColumn id="19" xr3:uid="{1A650D61-7BD6-472B-9326-0321A9968283}" name="CUST_ID" dataDxfId="77"/>
    <tableColumn id="27" xr3:uid="{832C618F-CE2B-430C-9BAF-465073811D55}" name="AGE" dataDxfId="76"/>
    <tableColumn id="18" xr3:uid="{0BA92181-30C4-41B3-ACA7-6F216CAA3FF9}" name="Total Orders Placed" dataDxfId="75">
      <calculatedColumnFormula>COUNTIFS(sdata[CUST_ID],cdata[[#This Row],[CUST_ID]])</calculatedColumnFormula>
    </tableColumn>
    <tableColumn id="20" xr3:uid="{7D49022A-81B0-4D4C-B514-02964AAECD05}" name="Total Order Amt" dataDxfId="74">
      <calculatedColumnFormula>SUMIFS(sdata[ORDER_VALUE],sdata[CUST_ID],cdata[[#This Row],[CUST_ID]])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AD6748-BA17-42F9-AED0-332FE623CE4C}" name="cudata" displayName="cudata" ref="A1:B8" totalsRowShown="0">
  <autoFilter ref="A1:B8" xr:uid="{21AD6748-BA17-42F9-AED0-332FE623CE4C}"/>
  <tableColumns count="2">
    <tableColumn id="1" xr3:uid="{73E1B12F-B462-4F2A-92F2-D655FEF21F9F}" name="Country Code" dataDxfId="73"/>
    <tableColumn id="2" xr3:uid="{0A931077-BA66-40B2-A67E-DC99EAF888F4}" name="Country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0D9F83-EB5E-4191-8BD0-99F99A11701A}" name="sdata" displayName="sdata" ref="A1:BH200" totalsRowShown="0" headerRowDxfId="72" dataDxfId="71">
  <autoFilter ref="A1:BH200" xr:uid="{76C9DF80-E380-4A4C-AEA5-33DD97D9EF31}"/>
  <tableColumns count="60">
    <tableColumn id="1" xr3:uid="{6ED6A2F1-283A-4439-89AE-65BB42D93BFC}" name="First Name" dataDxfId="70"/>
    <tableColumn id="68" xr3:uid="{8C5C6840-28E0-4A72-A274-3D5E7D6B057C}" name="Last Name" dataDxfId="69"/>
    <tableColumn id="2" xr3:uid="{FE4ECF3E-919C-4DD5-A236-6CAD0DA92BD7}" name="Gender_Code" dataDxfId="68"/>
    <tableColumn id="3" xr3:uid="{A5175AA6-5128-4C24-910A-15F419477844}" name="ADDRESS1" dataDxfId="67"/>
    <tableColumn id="4" xr3:uid="{7E0E7ED8-2A95-4DED-9D8A-980233B4DB8D}" name="CITY" dataDxfId="66"/>
    <tableColumn id="5" xr3:uid="{1C4A7E57-492A-4A08-BC27-AC23620E8AC9}" name="STATE" dataDxfId="65"/>
    <tableColumn id="6" xr3:uid="{F37844EC-6418-4C3F-91FF-FCE35DAC6D8A}" name="COUNTRY_CODE" dataDxfId="64"/>
    <tableColumn id="7" xr3:uid="{C2DDA64D-6FEA-4ADB-B723-D0E78970F5F1}" name="POSTAL_CODE" dataDxfId="63"/>
    <tableColumn id="10" xr3:uid="{7FE68BEC-E508-478D-9554-8EA31B70672C}" name="EMAIL_ADDRESS" dataDxfId="62"/>
    <tableColumn id="11" xr3:uid="{A5DEB1B0-3582-4CA0-8ED8-73391521815B}" name="PHONE_NUMBER" dataDxfId="61"/>
    <tableColumn id="12" xr3:uid="{95BA0423-01F2-4139-849C-632BDB02E5D3}" name="CREDITCARD_TYPE" dataDxfId="60"/>
    <tableColumn id="14" xr3:uid="{05B5CABF-CA1A-43D7-9603-5A940170B628}" name="SALESMAN_ID" dataDxfId="59"/>
    <tableColumn id="15" xr3:uid="{528B4825-3191-416E-9E47-42B659D79F06}" name="NATIONALITY" dataDxfId="58"/>
    <tableColumn id="16" xr3:uid="{92257363-D387-4A80-BF08-4E918908F2C8}" name="NATIONAL_ID" dataDxfId="57"/>
    <tableColumn id="17" xr3:uid="{0623E957-E1FB-46E6-A2DE-3EB81066FCBA}" name="CREDITCARD_NUMBER" dataDxfId="56"/>
    <tableColumn id="19" xr3:uid="{E7E316BA-9E06-4C9A-90D2-95F0B6D0FE77}" name="CUST_ID" dataDxfId="55"/>
    <tableColumn id="27" xr3:uid="{C3873D27-6B15-4F15-B847-2E3CB97A8A18}" name="AGE" dataDxfId="54"/>
    <tableColumn id="20" xr3:uid="{9B76559A-1236-4906-BB5A-A84251EB82C5}" name="ORDER_ID" dataDxfId="53"/>
    <tableColumn id="21" xr3:uid="{78C819E8-122A-43DC-B659-325C90368B97}" name="ORDER_DATE" dataDxfId="52"/>
    <tableColumn id="22" xr3:uid="{BFED7EAC-EB38-4F5E-B416-F1E47CD6822B}" name="ORDER_TIME" dataDxfId="51"/>
    <tableColumn id="23" xr3:uid="{E6F4979D-2EF1-4254-888E-B3FFA103D19E}" name="FREIGHT_CHARGES" dataDxfId="50"/>
    <tableColumn id="24" xr3:uid="{A79103A2-49E1-4083-B625-426FA73635E6}" name="ORDER_SALESMAN" dataDxfId="49"/>
    <tableColumn id="25" xr3:uid="{3B12754C-90C4-47D9-B48F-B9369AA3D9BB}" name="ORDER_POSTED_DATE" dataDxfId="48"/>
    <tableColumn id="26" xr3:uid="{C085EBD1-4CC0-46F5-BD35-F73F33A7568D}" name="ORDER_SHIP_DATE" dataDxfId="47"/>
    <tableColumn id="28" xr3:uid="{E5F935F6-481F-4077-903E-AA05C4825E5C}" name="ORDER_VALUE" dataDxfId="46"/>
    <tableColumn id="29" xr3:uid="{2A5A3F88-59D3-4A3F-A9F2-3F59BB2633DE}" name="T_TYPE" dataDxfId="45"/>
    <tableColumn id="30" xr3:uid="{1F1AB97C-994B-4F9B-A255-1868866AC9D5}" name="PURCHASE_TOUCHPOINT" dataDxfId="44"/>
    <tableColumn id="31" xr3:uid="{D790CF5A-2826-45D9-A453-624E15A4BE5C}" name="PURCHASE_STATUS" dataDxfId="43"/>
    <tableColumn id="32" xr3:uid="{4473D97C-2652-4526-8BCB-FA16B54CC534}" name="ORDER_TYPE" dataDxfId="42"/>
    <tableColumn id="33" xr3:uid="{610FC3A2-C53D-4B69-A302-4B68882519E9}" name="GENERATION" dataDxfId="41"/>
    <tableColumn id="34" xr3:uid="{73289E38-B02C-4791-9CB6-623B26E25418}" name="Baby Food" dataDxfId="40"/>
    <tableColumn id="35" xr3:uid="{FAACFD18-C503-44DA-BD5E-5279FF38B16E}" name="Diapers" dataDxfId="39"/>
    <tableColumn id="36" xr3:uid="{4D13F92C-930A-43DF-9985-A9722228DE71}" name="Formula" dataDxfId="38"/>
    <tableColumn id="37" xr3:uid="{FE2740C6-40AA-435B-891B-EB1B40F06DE4}" name="Lotion" dataDxfId="37"/>
    <tableColumn id="38" xr3:uid="{802B0DB4-1E74-438B-B47A-4FC369F797C2}" name="Baby wash" dataDxfId="36"/>
    <tableColumn id="39" xr3:uid="{308F9E3E-5B13-40BF-A7E3-24EC996DBA68}" name="Wipes" dataDxfId="35"/>
    <tableColumn id="40" xr3:uid="{D3CB2554-9F6F-445F-8EAF-C21C65613CD8}" name="Fresh Fruits" dataDxfId="34"/>
    <tableColumn id="41" xr3:uid="{AEB93DE5-3CE7-4829-B5E0-C4D7A3CB829E}" name="Fresh Vegetables" dataDxfId="33"/>
    <tableColumn id="42" xr3:uid="{BD4462F5-A8C5-4B40-8E3E-F833C8BB048B}" name="Beer" dataDxfId="32"/>
    <tableColumn id="43" xr3:uid="{7D5BE556-92B6-4318-B175-EA19890C3DB4}" name="Wine" dataDxfId="31"/>
    <tableColumn id="44" xr3:uid="{43394490-2636-4191-98A5-A54482A30BB0}" name="Club Soda" dataDxfId="30"/>
    <tableColumn id="45" xr3:uid="{38B86032-4AFA-405B-B4AA-3B2AC531D518}" name="Sports Drink" dataDxfId="29"/>
    <tableColumn id="46" xr3:uid="{A9C2AC30-E41B-474D-BE73-E783FE148601}" name="Chips" dataDxfId="28"/>
    <tableColumn id="47" xr3:uid="{D01B7A7A-F20D-4A7F-A109-EC99E4BE6578}" name="Popcorn" dataDxfId="27"/>
    <tableColumn id="48" xr3:uid="{103EE7E4-06E7-4BF7-9F0B-3A10B36EC199}" name="Oatmeal" dataDxfId="26"/>
    <tableColumn id="49" xr3:uid="{679B7EEB-C8C5-43E5-A687-F40CB0BB550A}" name="Medicines" dataDxfId="25"/>
    <tableColumn id="50" xr3:uid="{E8A345CC-9107-44E5-8886-E127EA8ED0F1}" name="Canned Foods" dataDxfId="24"/>
    <tableColumn id="51" xr3:uid="{393C0D63-2FD0-485F-A414-94F22AFB9235}" name="Cigarettes" dataDxfId="23"/>
    <tableColumn id="52" xr3:uid="{B667C158-5509-4C24-8C7F-96A2BB23B5A2}" name="Cheese" dataDxfId="22"/>
    <tableColumn id="53" xr3:uid="{4AF7B211-4E89-49D0-8C57-A92F21CB2723}" name="Cleaning Products" dataDxfId="21"/>
    <tableColumn id="54" xr3:uid="{BEA47CF1-8878-4A21-A55C-44A61EBB4656}" name="Condiments" dataDxfId="20"/>
    <tableColumn id="55" xr3:uid="{865DA4DC-4D54-4714-9CC1-C879B9B9962B}" name="Frozen Foods" dataDxfId="19"/>
    <tableColumn id="56" xr3:uid="{DFAD5E52-8188-4AE3-988E-7283F70FFD0A}" name="Kitchen Items" dataDxfId="18"/>
    <tableColumn id="57" xr3:uid="{067A20D4-FFD5-4883-A899-F265FCF01948}" name="Meat" dataDxfId="17"/>
    <tableColumn id="58" xr3:uid="{B2E65851-153E-4BDA-8DAD-F49D9F84D88E}" name="Office Supplies" dataDxfId="16"/>
    <tableColumn id="59" xr3:uid="{E575F4DF-AB4E-45B9-BAD8-7719EADE4437}" name="Personal Care" dataDxfId="15"/>
    <tableColumn id="60" xr3:uid="{17142E89-37A8-4F35-BF03-2BC4FB0F508A}" name="Pet Supplies" dataDxfId="14"/>
    <tableColumn id="61" xr3:uid="{5DF491BD-25F7-4793-8F5B-0D86201C74E4}" name="Sea Food" dataDxfId="13"/>
    <tableColumn id="62" xr3:uid="{F384A561-E286-497C-80F3-81C2D283162F}" name="Spices" dataDxfId="12"/>
    <tableColumn id="64" xr3:uid="{2ECF2B79-C7A7-4319-ABE4-77BEC75CED50}" name="Product Count" dataDxfId="11">
      <calculatedColumnFormula>SUM(sdata[[#This Row],[Baby Food]:[Spices]])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A020AD-010C-499A-9735-D263A03EEFD9}" name="table" displayName="table" ref="A1:B66" totalsRowShown="0">
  <autoFilter ref="A1:B66" xr:uid="{34A020AD-010C-499A-9735-D263A03EEFD9}"/>
  <tableColumns count="2">
    <tableColumn id="1" xr3:uid="{5E146925-6E72-4113-A8A5-2986670F4483}" name="AGE" dataDxfId="10"/>
    <tableColumn id="2" xr3:uid="{FF1ED51F-675E-4D52-B234-44839F0D8F25}" name="Total Order Amt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17E7EB-A0F8-49CE-BBBB-E947A6CFD5D4}" name="Table9" displayName="Table9" ref="A1:B14" totalsRowShown="0" headerRowDxfId="8" dataDxfId="7">
  <autoFilter ref="A1:B14" xr:uid="{EB17E7EB-A0F8-49CE-BBBB-E947A6CFD5D4}"/>
  <tableColumns count="2">
    <tableColumn id="1" xr3:uid="{C0C35C39-3983-4153-8340-71922388DDBE}" name="month" dataDxfId="6"/>
    <tableColumn id="2" xr3:uid="{847CDAD8-A8ED-4AC5-B5B3-3243599426E9}" name="Total Amt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CFFAC9-D47A-4DF0-9E48-627D737638C5}" name="Table7" displayName="Table7" ref="A1:E19" totalsRowShown="0">
  <autoFilter ref="A1:E19" xr:uid="{54CFFAC9-D47A-4DF0-9E48-627D737638C5}"/>
  <tableColumns count="5">
    <tableColumn id="1" xr3:uid="{FA005BD1-02AE-43AB-80C8-BA43A12D4616}" name="Timeline"/>
    <tableColumn id="2" xr3:uid="{25C4B667-EB71-4D9E-BFC3-131FE65E9F42}" name="Values"/>
    <tableColumn id="3" xr3:uid="{9194B20B-3A1E-4FF6-B069-D4A03DBF1087}" name="Forecast">
      <calculatedColumnFormula>_xlfn.FORECAST.ETS(A2,$B$2:$B$13,$A$2:$A$13,1,1)</calculatedColumnFormula>
    </tableColumn>
    <tableColumn id="4" xr3:uid="{E20C6246-AC57-476C-8FF1-C91DCA23F866}" name="Lower Confidence Bound" dataDxfId="4">
      <calculatedColumnFormula>C2-_xlfn.FORECAST.ETS.CONFINT(A2,$B$2:$B$13,$A$2:$A$13,0.95,1,1)</calculatedColumnFormula>
    </tableColumn>
    <tableColumn id="5" xr3:uid="{F054708D-D700-4987-AE61-717D22E68884}" name="Upper Confidence Bound" dataDxfId="3">
      <calculatedColumnFormula>C2+_xlfn.FORECAST.ETS.CONFINT(A2,$B$2:$B$13,$A$2:$A$13,0.95,1,1)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40056A-8CBD-4E06-8DF2-F87A282E4ABD}" name="Table8" displayName="Table8" ref="G1:H8" totalsRowShown="0">
  <autoFilter ref="G1:H8" xr:uid="{5D40056A-8CBD-4E06-8DF2-F87A282E4ABD}"/>
  <tableColumns count="2">
    <tableColumn id="1" xr3:uid="{7F4D6024-FC5D-4B52-9614-3CF368D9E9D0}" name="Statistic"/>
    <tableColumn id="2" xr3:uid="{B742FD13-E73B-4B67-86AF-183196E0B3E9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7B9E-5178-4455-921D-B6A71479CD1D}">
  <dimension ref="B1:B13"/>
  <sheetViews>
    <sheetView showGridLines="0" topLeftCell="B1" workbookViewId="0">
      <selection activeCell="D21" sqref="D21"/>
    </sheetView>
  </sheetViews>
  <sheetFormatPr defaultRowHeight="14.4" x14ac:dyDescent="0.3"/>
  <cols>
    <col min="2" max="2" width="14.33203125" bestFit="1" customWidth="1"/>
    <col min="4" max="4" width="10.5546875" bestFit="1" customWidth="1"/>
  </cols>
  <sheetData>
    <row r="1" spans="2:2" x14ac:dyDescent="0.3">
      <c r="B1" t="s">
        <v>762</v>
      </c>
    </row>
    <row r="2" spans="2:2" x14ac:dyDescent="0.3">
      <c r="B2" t="s">
        <v>1050</v>
      </c>
    </row>
    <row r="3" spans="2:2" x14ac:dyDescent="0.3">
      <c r="B3" t="s">
        <v>1051</v>
      </c>
    </row>
    <row r="4" spans="2:2" x14ac:dyDescent="0.3">
      <c r="B4" t="s">
        <v>1052</v>
      </c>
    </row>
    <row r="5" spans="2:2" x14ac:dyDescent="0.3">
      <c r="B5" t="s">
        <v>763</v>
      </c>
    </row>
    <row r="6" spans="2:2" x14ac:dyDescent="0.3">
      <c r="B6" t="s">
        <v>764</v>
      </c>
    </row>
    <row r="7" spans="2:2" x14ac:dyDescent="0.3">
      <c r="B7" t="s">
        <v>765</v>
      </c>
    </row>
    <row r="8" spans="2:2" x14ac:dyDescent="0.3">
      <c r="B8" t="s">
        <v>1053</v>
      </c>
    </row>
    <row r="9" spans="2:2" x14ac:dyDescent="0.3">
      <c r="B9" t="s">
        <v>1054</v>
      </c>
    </row>
    <row r="10" spans="2:2" x14ac:dyDescent="0.3">
      <c r="B10" t="s">
        <v>1055</v>
      </c>
    </row>
    <row r="11" spans="2:2" x14ac:dyDescent="0.3">
      <c r="B11" t="s">
        <v>1056</v>
      </c>
    </row>
    <row r="12" spans="2:2" x14ac:dyDescent="0.3">
      <c r="B12" t="s">
        <v>1057</v>
      </c>
    </row>
    <row r="13" spans="2:2" x14ac:dyDescent="0.3">
      <c r="B13" t="s">
        <v>1058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FF06-5C60-442D-9A84-4F487D7AF144}">
  <dimension ref="A1:Z321"/>
  <sheetViews>
    <sheetView topLeftCell="A62" zoomScale="119" zoomScaleNormal="132" workbookViewId="0">
      <selection activeCell="U1" sqref="U1:W1048576"/>
    </sheetView>
  </sheetViews>
  <sheetFormatPr defaultColWidth="8.88671875" defaultRowHeight="14.4" x14ac:dyDescent="0.3"/>
  <cols>
    <col min="1" max="1" width="13.109375" style="1" customWidth="1"/>
    <col min="2" max="2" width="12" style="1" bestFit="1" customWidth="1"/>
    <col min="3" max="3" width="16.88671875" style="1" bestFit="1" customWidth="1"/>
    <col min="4" max="4" width="14.6640625" style="1" bestFit="1" customWidth="1"/>
    <col min="5" max="5" width="9.33203125" style="1" bestFit="1" customWidth="1"/>
    <col min="6" max="6" width="25.5546875" style="1" bestFit="1" customWidth="1"/>
    <col min="7" max="7" width="21.44140625" style="1" bestFit="1" customWidth="1"/>
    <col min="8" max="8" width="8.44140625" style="1" bestFit="1" customWidth="1"/>
    <col min="9" max="9" width="17.21875" style="1" bestFit="1" customWidth="1"/>
    <col min="10" max="10" width="10" style="1" bestFit="1" customWidth="1"/>
    <col min="11" max="11" width="15.5546875" style="1" bestFit="1" customWidth="1"/>
    <col min="12" max="12" width="34.109375" style="1" bestFit="1" customWidth="1"/>
    <col min="13" max="13" width="14.109375" style="1" bestFit="1" customWidth="1"/>
    <col min="14" max="14" width="18" style="1" bestFit="1" customWidth="1"/>
    <col min="15" max="15" width="19.109375" style="1" bestFit="1" customWidth="1"/>
    <col min="16" max="16" width="15.5546875" style="1" bestFit="1" customWidth="1"/>
    <col min="17" max="17" width="14.6640625" style="1" bestFit="1" customWidth="1"/>
    <col min="18" max="18" width="20.88671875" style="1" bestFit="1" customWidth="1"/>
    <col min="19" max="19" width="22.77734375" style="3" bestFit="1" customWidth="1"/>
    <col min="20" max="20" width="10.44140625" style="1" bestFit="1" customWidth="1"/>
    <col min="21" max="21" width="6.6640625" style="1" bestFit="1" customWidth="1"/>
    <col min="22" max="22" width="19.6640625" style="1" bestFit="1" customWidth="1"/>
    <col min="23" max="23" width="16.77734375" bestFit="1" customWidth="1"/>
  </cols>
  <sheetData>
    <row r="1" spans="1:26" x14ac:dyDescent="0.3">
      <c r="A1" s="1" t="s">
        <v>0</v>
      </c>
      <c r="B1" s="1" t="s">
        <v>1</v>
      </c>
      <c r="C1" s="1" t="s">
        <v>1060</v>
      </c>
      <c r="D1" s="1" t="s">
        <v>2</v>
      </c>
      <c r="E1" s="1" t="s">
        <v>1061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1063</v>
      </c>
      <c r="K1" s="1" t="s">
        <v>7</v>
      </c>
      <c r="L1" s="1" t="s">
        <v>8</v>
      </c>
      <c r="M1" s="1" t="s">
        <v>1059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3" t="s">
        <v>14</v>
      </c>
      <c r="T1" s="1" t="s">
        <v>15</v>
      </c>
      <c r="U1" s="1" t="s">
        <v>23</v>
      </c>
      <c r="V1" s="1" t="s">
        <v>1081</v>
      </c>
      <c r="W1" s="1" t="s">
        <v>1082</v>
      </c>
    </row>
    <row r="2" spans="1:26" x14ac:dyDescent="0.3">
      <c r="A2" s="1" t="s">
        <v>59</v>
      </c>
      <c r="B2" s="1" t="s">
        <v>60</v>
      </c>
      <c r="C2" s="73" t="str">
        <f>cdata[[#This Row],[First Name]]&amp;" "&amp;cdata[[#This Row],[Last Name]]</f>
        <v>Allen Perl</v>
      </c>
      <c r="D2" s="1" t="s">
        <v>61</v>
      </c>
      <c r="E2" s="73" t="str">
        <f>IF(OR(cdata[[#This Row],[Gender_Code]] = "Mr.", cdata[[#This Row],[Gender_Code]]="Master."), "Male","Female")</f>
        <v>Male</v>
      </c>
      <c r="F2" s="1" t="s">
        <v>62</v>
      </c>
      <c r="G2" s="1" t="s">
        <v>63</v>
      </c>
      <c r="H2" s="1" t="s">
        <v>64</v>
      </c>
      <c r="I2" s="1" t="s">
        <v>65</v>
      </c>
      <c r="J2" s="73" t="str">
        <f>VLOOKUP(cdata[[#This Row],[COUNTRY_CODE]], cudata[], 2,0)</f>
        <v>Italy</v>
      </c>
      <c r="K2" s="1">
        <v>6040</v>
      </c>
      <c r="L2" s="1" t="s">
        <v>66</v>
      </c>
      <c r="M2" s="1" t="s">
        <v>1074</v>
      </c>
      <c r="N2" s="1" t="s">
        <v>67</v>
      </c>
      <c r="O2" s="1" t="s">
        <v>68</v>
      </c>
      <c r="P2" s="1" t="s">
        <v>69</v>
      </c>
      <c r="Q2" s="1" t="s">
        <v>70</v>
      </c>
      <c r="R2" s="1">
        <v>22867928</v>
      </c>
      <c r="S2" s="3">
        <v>5179760000000000</v>
      </c>
      <c r="T2" s="1">
        <v>10003</v>
      </c>
      <c r="U2" s="1">
        <v>27</v>
      </c>
      <c r="V2" s="73">
        <f>COUNTIFS(sdata[CUST_ID],cdata[[#This Row],[CUST_ID]])</f>
        <v>6</v>
      </c>
      <c r="W2" s="73">
        <f>SUMIFS(sdata[ORDER_VALUE],sdata[CUST_ID],cdata[[#This Row],[CUST_ID]])</f>
        <v>288.15000000000003</v>
      </c>
    </row>
    <row r="3" spans="1:26" x14ac:dyDescent="0.3">
      <c r="A3" s="1" t="s">
        <v>85</v>
      </c>
      <c r="B3" s="1" t="s">
        <v>86</v>
      </c>
      <c r="C3" s="73" t="str">
        <f>cdata[[#This Row],[First Name]]&amp;" "&amp;cdata[[#This Row],[Last Name]]</f>
        <v>Anthony Whitney</v>
      </c>
      <c r="D3" s="1" t="s">
        <v>61</v>
      </c>
      <c r="E3" s="73" t="str">
        <f>IF(OR(cdata[[#This Row],[Gender_Code]] = "Mr.", cdata[[#This Row],[Gender_Code]]="Master."), "Male","Female")</f>
        <v>Male</v>
      </c>
      <c r="F3" s="1" t="s">
        <v>87</v>
      </c>
      <c r="G3" s="1" t="s">
        <v>88</v>
      </c>
      <c r="H3" s="73" t="str">
        <f>I3</f>
        <v>DE</v>
      </c>
      <c r="I3" s="1" t="s">
        <v>89</v>
      </c>
      <c r="J3" s="73" t="str">
        <f>VLOOKUP(cdata[[#This Row],[COUNTRY_CODE]], cudata[], 2,0)</f>
        <v>Denmark</v>
      </c>
      <c r="K3" s="1">
        <v>88480</v>
      </c>
      <c r="L3" s="1" t="s">
        <v>90</v>
      </c>
      <c r="M3" s="1" t="s">
        <v>1075</v>
      </c>
      <c r="N3" s="1" t="s">
        <v>91</v>
      </c>
      <c r="O3" s="1" t="s">
        <v>92</v>
      </c>
      <c r="P3" s="1" t="s">
        <v>93</v>
      </c>
      <c r="Q3" s="1" t="s">
        <v>65</v>
      </c>
      <c r="R3" s="1" t="s">
        <v>94</v>
      </c>
      <c r="S3" s="3">
        <v>4469930000000000</v>
      </c>
      <c r="T3" s="1">
        <v>10007</v>
      </c>
      <c r="U3" s="1">
        <v>0</v>
      </c>
      <c r="V3" s="73">
        <f>COUNTIFS(sdata[CUST_ID],cdata[[#This Row],[CUST_ID]])</f>
        <v>1</v>
      </c>
      <c r="W3" s="73">
        <f>SUMIFS(sdata[ORDER_VALUE],sdata[CUST_ID],cdata[[#This Row],[CUST_ID]])</f>
        <v>65.8</v>
      </c>
    </row>
    <row r="4" spans="1:26" x14ac:dyDescent="0.3">
      <c r="A4" s="1" t="s">
        <v>100</v>
      </c>
      <c r="B4" s="1" t="s">
        <v>101</v>
      </c>
      <c r="C4" s="73" t="str">
        <f>cdata[[#This Row],[First Name]]&amp;" "&amp;cdata[[#This Row],[Last Name]]</f>
        <v>Thomas Owens</v>
      </c>
      <c r="D4" s="1" t="s">
        <v>61</v>
      </c>
      <c r="E4" s="73" t="str">
        <f>IF(OR(cdata[[#This Row],[Gender_Code]] = "Mr.", cdata[[#This Row],[Gender_Code]]="Master."), "Male","Female")</f>
        <v>Male</v>
      </c>
      <c r="F4" s="1" t="s">
        <v>102</v>
      </c>
      <c r="G4" s="1" t="s">
        <v>103</v>
      </c>
      <c r="H4" s="1" t="s">
        <v>104</v>
      </c>
      <c r="I4" s="1" t="s">
        <v>65</v>
      </c>
      <c r="J4" s="73" t="str">
        <f>VLOOKUP(cdata[[#This Row],[COUNTRY_CODE]], cudata[], 2,0)</f>
        <v>Italy</v>
      </c>
      <c r="K4" s="1">
        <v>88041</v>
      </c>
      <c r="L4" s="1" t="s">
        <v>105</v>
      </c>
      <c r="M4" s="1" t="s">
        <v>1076</v>
      </c>
      <c r="N4" s="1" t="s">
        <v>106</v>
      </c>
      <c r="O4" s="1" t="s">
        <v>92</v>
      </c>
      <c r="P4" s="1" t="s">
        <v>83</v>
      </c>
      <c r="Q4" s="1" t="s">
        <v>107</v>
      </c>
      <c r="R4" s="3">
        <v>148000000000000</v>
      </c>
      <c r="S4" s="3">
        <v>4662810000000000</v>
      </c>
      <c r="T4" s="1">
        <v>10015</v>
      </c>
      <c r="U4" s="1">
        <v>60</v>
      </c>
      <c r="V4" s="73">
        <f>COUNTIFS(sdata[CUST_ID],cdata[[#This Row],[CUST_ID]])</f>
        <v>4</v>
      </c>
      <c r="W4" s="73">
        <f>SUMIFS(sdata[ORDER_VALUE],sdata[CUST_ID],cdata[[#This Row],[CUST_ID]])</f>
        <v>143.13</v>
      </c>
    </row>
    <row r="5" spans="1:26" x14ac:dyDescent="0.3">
      <c r="A5" s="1" t="s">
        <v>85</v>
      </c>
      <c r="B5" s="1" t="s">
        <v>115</v>
      </c>
      <c r="C5" s="73" t="str">
        <f>cdata[[#This Row],[First Name]]&amp;" "&amp;cdata[[#This Row],[Last Name]]</f>
        <v>Anthony Carr</v>
      </c>
      <c r="D5" s="1" t="s">
        <v>61</v>
      </c>
      <c r="E5" s="73" t="str">
        <f>IF(OR(cdata[[#This Row],[Gender_Code]] = "Mr.", cdata[[#This Row],[Gender_Code]]="Master."), "Male","Female")</f>
        <v>Male</v>
      </c>
      <c r="F5" s="1" t="s">
        <v>116</v>
      </c>
      <c r="G5" s="1" t="s">
        <v>117</v>
      </c>
      <c r="H5" s="73" t="str">
        <f t="shared" ref="H5:H6" si="0">I5</f>
        <v>ES</v>
      </c>
      <c r="I5" s="1" t="s">
        <v>118</v>
      </c>
      <c r="J5" s="73" t="str">
        <f>VLOOKUP(cdata[[#This Row],[COUNTRY_CODE]], cudata[], 2,0)</f>
        <v>Spain</v>
      </c>
      <c r="K5" s="1">
        <v>37511</v>
      </c>
      <c r="L5" s="1" t="s">
        <v>119</v>
      </c>
      <c r="M5" s="1" t="s">
        <v>1077</v>
      </c>
      <c r="N5" s="1" t="s">
        <v>120</v>
      </c>
      <c r="O5" s="1" t="s">
        <v>121</v>
      </c>
      <c r="P5" s="1" t="s">
        <v>122</v>
      </c>
      <c r="Q5" s="1" t="s">
        <v>65</v>
      </c>
      <c r="R5" s="1" t="s">
        <v>123</v>
      </c>
      <c r="S5" s="3">
        <v>6011480000000000</v>
      </c>
      <c r="T5" s="1">
        <v>10019</v>
      </c>
      <c r="U5" s="1">
        <v>53</v>
      </c>
      <c r="V5" s="73">
        <f>COUNTIFS(sdata[CUST_ID],cdata[[#This Row],[CUST_ID]])</f>
        <v>5</v>
      </c>
      <c r="W5" s="73">
        <f>SUMIFS(sdata[ORDER_VALUE],sdata[CUST_ID],cdata[[#This Row],[CUST_ID]])</f>
        <v>118.09</v>
      </c>
    </row>
    <row r="6" spans="1:26" x14ac:dyDescent="0.3">
      <c r="A6" s="1" t="s">
        <v>128</v>
      </c>
      <c r="B6" s="1" t="s">
        <v>129</v>
      </c>
      <c r="C6" s="73" t="str">
        <f>cdata[[#This Row],[First Name]]&amp;" "&amp;cdata[[#This Row],[Last Name]]</f>
        <v>Melvin Schmitz</v>
      </c>
      <c r="D6" s="1" t="s">
        <v>61</v>
      </c>
      <c r="E6" s="73" t="str">
        <f>IF(OR(cdata[[#This Row],[Gender_Code]] = "Mr.", cdata[[#This Row],[Gender_Code]]="Master."), "Male","Female")</f>
        <v>Male</v>
      </c>
      <c r="F6" s="1" t="s">
        <v>130</v>
      </c>
      <c r="G6" s="1" t="s">
        <v>131</v>
      </c>
      <c r="H6" s="73" t="str">
        <f t="shared" si="0"/>
        <v>ES</v>
      </c>
      <c r="I6" s="1" t="s">
        <v>118</v>
      </c>
      <c r="J6" s="73" t="str">
        <f>VLOOKUP(cdata[[#This Row],[COUNTRY_CODE]], cudata[], 2,0)</f>
        <v>Spain</v>
      </c>
      <c r="K6" s="1">
        <v>3569</v>
      </c>
      <c r="L6" s="1" t="s">
        <v>132</v>
      </c>
      <c r="M6" s="1" t="s">
        <v>1078</v>
      </c>
      <c r="N6" s="1" t="s">
        <v>133</v>
      </c>
      <c r="O6" s="1" t="s">
        <v>92</v>
      </c>
      <c r="P6" s="1" t="s">
        <v>82</v>
      </c>
      <c r="Q6" s="1" t="s">
        <v>65</v>
      </c>
      <c r="R6" s="1" t="s">
        <v>134</v>
      </c>
      <c r="S6" s="3">
        <v>4172780000000000</v>
      </c>
      <c r="T6" s="1">
        <v>10027</v>
      </c>
      <c r="U6" s="1">
        <v>32</v>
      </c>
      <c r="V6" s="73">
        <f>COUNTIFS(sdata[CUST_ID],cdata[[#This Row],[CUST_ID]])</f>
        <v>4</v>
      </c>
      <c r="W6" s="73">
        <f>SUMIFS(sdata[ORDER_VALUE],sdata[CUST_ID],cdata[[#This Row],[CUST_ID]])</f>
        <v>105.72</v>
      </c>
    </row>
    <row r="7" spans="1:26" x14ac:dyDescent="0.3">
      <c r="A7" s="1" t="s">
        <v>139</v>
      </c>
      <c r="B7" s="1" t="s">
        <v>140</v>
      </c>
      <c r="C7" s="73" t="str">
        <f>cdata[[#This Row],[First Name]]&amp;" "&amp;cdata[[#This Row],[Last Name]]</f>
        <v>John Hoffman</v>
      </c>
      <c r="D7" s="1" t="s">
        <v>61</v>
      </c>
      <c r="E7" s="73" t="str">
        <f>IF(OR(cdata[[#This Row],[Gender_Code]] = "Mr.", cdata[[#This Row],[Gender_Code]]="Master."), "Male","Female")</f>
        <v>Male</v>
      </c>
      <c r="F7" s="1" t="s">
        <v>141</v>
      </c>
      <c r="G7" s="1" t="s">
        <v>142</v>
      </c>
      <c r="H7" s="1" t="s">
        <v>143</v>
      </c>
      <c r="I7" s="1" t="s">
        <v>144</v>
      </c>
      <c r="J7" s="73" t="str">
        <f>VLOOKUP(cdata[[#This Row],[COUNTRY_CODE]], cudata[], 2,0)</f>
        <v>America</v>
      </c>
      <c r="K7" s="1">
        <v>44311</v>
      </c>
      <c r="L7" s="1" t="s">
        <v>145</v>
      </c>
      <c r="M7" s="1" t="s">
        <v>1077</v>
      </c>
      <c r="N7" s="1" t="s">
        <v>146</v>
      </c>
      <c r="O7" s="1" t="s">
        <v>147</v>
      </c>
      <c r="P7" s="1" t="s">
        <v>148</v>
      </c>
      <c r="Q7" s="1" t="s">
        <v>65</v>
      </c>
      <c r="R7" s="1" t="s">
        <v>149</v>
      </c>
      <c r="S7" s="3">
        <v>377308000000000</v>
      </c>
      <c r="T7" s="1">
        <v>10031</v>
      </c>
      <c r="U7" s="1">
        <v>46</v>
      </c>
      <c r="V7" s="73">
        <f>COUNTIFS(sdata[CUST_ID],cdata[[#This Row],[CUST_ID]])</f>
        <v>1</v>
      </c>
      <c r="W7" s="73">
        <f>SUMIFS(sdata[ORDER_VALUE],sdata[CUST_ID],cdata[[#This Row],[CUST_ID]])</f>
        <v>24.66</v>
      </c>
      <c r="Z7" s="72"/>
    </row>
    <row r="8" spans="1:26" x14ac:dyDescent="0.3">
      <c r="A8" s="1" t="s">
        <v>152</v>
      </c>
      <c r="B8" s="1" t="s">
        <v>153</v>
      </c>
      <c r="C8" s="73" t="str">
        <f>cdata[[#This Row],[First Name]]&amp;" "&amp;cdata[[#This Row],[Last Name]]</f>
        <v>Muriel Exley</v>
      </c>
      <c r="D8" s="1" t="s">
        <v>154</v>
      </c>
      <c r="E8" s="73" t="str">
        <f>IF(OR(cdata[[#This Row],[Gender_Code]] = "Mr.", cdata[[#This Row],[Gender_Code]]="Master."), "Male","Female")</f>
        <v>Female</v>
      </c>
      <c r="F8" s="1" t="s">
        <v>155</v>
      </c>
      <c r="G8" s="1" t="s">
        <v>156</v>
      </c>
      <c r="H8" s="1" t="s">
        <v>157</v>
      </c>
      <c r="I8" s="1" t="s">
        <v>65</v>
      </c>
      <c r="J8" s="73" t="str">
        <f>VLOOKUP(cdata[[#This Row],[COUNTRY_CODE]], cudata[], 2,0)</f>
        <v>Italy</v>
      </c>
      <c r="K8" s="1">
        <v>38030</v>
      </c>
      <c r="L8" s="1" t="s">
        <v>158</v>
      </c>
      <c r="M8" s="1" t="s">
        <v>1077</v>
      </c>
      <c r="N8" s="1" t="s">
        <v>159</v>
      </c>
      <c r="O8" s="1" t="s">
        <v>121</v>
      </c>
      <c r="P8" s="1" t="s">
        <v>160</v>
      </c>
      <c r="Q8" s="1" t="s">
        <v>107</v>
      </c>
      <c r="R8" s="3">
        <v>267000000000000</v>
      </c>
      <c r="S8" s="3">
        <v>6012000000000000</v>
      </c>
      <c r="T8" s="1">
        <v>10035</v>
      </c>
      <c r="U8" s="1">
        <v>46</v>
      </c>
      <c r="V8" s="73">
        <f>COUNTIFS(sdata[CUST_ID],cdata[[#This Row],[CUST_ID]])</f>
        <v>1</v>
      </c>
      <c r="W8" s="73">
        <f>SUMIFS(sdata[ORDER_VALUE],sdata[CUST_ID],cdata[[#This Row],[CUST_ID]])</f>
        <v>49.16</v>
      </c>
      <c r="Z8" s="72"/>
    </row>
    <row r="9" spans="1:26" x14ac:dyDescent="0.3">
      <c r="A9" s="1" t="s">
        <v>162</v>
      </c>
      <c r="B9" s="1" t="s">
        <v>163</v>
      </c>
      <c r="C9" s="73" t="str">
        <f>cdata[[#This Row],[First Name]]&amp;" "&amp;cdata[[#This Row],[Last Name]]</f>
        <v>James Moyle</v>
      </c>
      <c r="D9" s="1" t="s">
        <v>61</v>
      </c>
      <c r="E9" s="73" t="str">
        <f>IF(OR(cdata[[#This Row],[Gender_Code]] = "Mr.", cdata[[#This Row],[Gender_Code]]="Master."), "Male","Female")</f>
        <v>Male</v>
      </c>
      <c r="F9" s="1" t="s">
        <v>164</v>
      </c>
      <c r="G9" s="1" t="s">
        <v>165</v>
      </c>
      <c r="H9" s="1" t="s">
        <v>166</v>
      </c>
      <c r="I9" s="1" t="s">
        <v>144</v>
      </c>
      <c r="J9" s="73" t="str">
        <f>VLOOKUP(cdata[[#This Row],[COUNTRY_CODE]], cudata[], 2,0)</f>
        <v>America</v>
      </c>
      <c r="K9" s="1">
        <v>12204</v>
      </c>
      <c r="L9" s="1" t="s">
        <v>167</v>
      </c>
      <c r="M9" s="1" t="s">
        <v>1075</v>
      </c>
      <c r="N9" s="1" t="s">
        <v>168</v>
      </c>
      <c r="O9" s="1" t="s">
        <v>68</v>
      </c>
      <c r="P9" s="1" t="s">
        <v>150</v>
      </c>
      <c r="Q9" s="1" t="s">
        <v>65</v>
      </c>
      <c r="R9" s="1" t="s">
        <v>169</v>
      </c>
      <c r="S9" s="3">
        <v>5155200000000000</v>
      </c>
      <c r="T9" s="1">
        <v>10039</v>
      </c>
      <c r="U9" s="1">
        <v>72</v>
      </c>
      <c r="V9" s="73">
        <f>COUNTIFS(sdata[CUST_ID],cdata[[#This Row],[CUST_ID]])</f>
        <v>3</v>
      </c>
      <c r="W9" s="73">
        <f>SUMIFS(sdata[ORDER_VALUE],sdata[CUST_ID],cdata[[#This Row],[CUST_ID]])</f>
        <v>624.85</v>
      </c>
      <c r="Z9" s="72"/>
    </row>
    <row r="10" spans="1:26" x14ac:dyDescent="0.3">
      <c r="A10" s="1" t="s">
        <v>173</v>
      </c>
      <c r="B10" s="1" t="s">
        <v>174</v>
      </c>
      <c r="C10" s="73" t="str">
        <f>cdata[[#This Row],[First Name]]&amp;" "&amp;cdata[[#This Row],[Last Name]]</f>
        <v>Calvin Shupe</v>
      </c>
      <c r="D10" s="1" t="s">
        <v>61</v>
      </c>
      <c r="E10" s="73" t="str">
        <f>IF(OR(cdata[[#This Row],[Gender_Code]] = "Mr.", cdata[[#This Row],[Gender_Code]]="Master."), "Male","Female")</f>
        <v>Male</v>
      </c>
      <c r="F10" s="1" t="s">
        <v>175</v>
      </c>
      <c r="G10" s="1" t="s">
        <v>176</v>
      </c>
      <c r="H10" s="1" t="s">
        <v>177</v>
      </c>
      <c r="I10" s="1" t="s">
        <v>65</v>
      </c>
      <c r="J10" s="73" t="str">
        <f>VLOOKUP(cdata[[#This Row],[COUNTRY_CODE]], cudata[], 2,0)</f>
        <v>Italy</v>
      </c>
      <c r="K10" s="1">
        <v>23100</v>
      </c>
      <c r="L10" s="1" t="s">
        <v>178</v>
      </c>
      <c r="M10" s="1" t="s">
        <v>1074</v>
      </c>
      <c r="N10" s="1" t="s">
        <v>179</v>
      </c>
      <c r="O10" s="1" t="s">
        <v>92</v>
      </c>
      <c r="P10" s="1" t="s">
        <v>180</v>
      </c>
      <c r="Q10" s="1" t="s">
        <v>65</v>
      </c>
      <c r="R10" s="1" t="s">
        <v>181</v>
      </c>
      <c r="S10" s="3">
        <v>4308570000000000</v>
      </c>
      <c r="T10" s="1">
        <v>10047</v>
      </c>
      <c r="U10" s="1">
        <v>49</v>
      </c>
      <c r="V10" s="73">
        <f>COUNTIFS(sdata[CUST_ID],cdata[[#This Row],[CUST_ID]])</f>
        <v>1</v>
      </c>
      <c r="W10" s="73">
        <f>SUMIFS(sdata[ORDER_VALUE],sdata[CUST_ID],cdata[[#This Row],[CUST_ID]])</f>
        <v>45.66</v>
      </c>
      <c r="Z10" s="72"/>
    </row>
    <row r="11" spans="1:26" x14ac:dyDescent="0.3">
      <c r="A11" s="1" t="s">
        <v>183</v>
      </c>
      <c r="B11" s="1" t="s">
        <v>184</v>
      </c>
      <c r="C11" s="73" t="str">
        <f>cdata[[#This Row],[First Name]]&amp;" "&amp;cdata[[#This Row],[Last Name]]</f>
        <v>Alfonso Frazier</v>
      </c>
      <c r="D11" s="1" t="s">
        <v>61</v>
      </c>
      <c r="E11" s="73" t="str">
        <f>IF(OR(cdata[[#This Row],[Gender_Code]] = "Mr.", cdata[[#This Row],[Gender_Code]]="Master."), "Male","Female")</f>
        <v>Male</v>
      </c>
      <c r="F11" s="1" t="s">
        <v>185</v>
      </c>
      <c r="G11" s="1" t="s">
        <v>186</v>
      </c>
      <c r="H11" s="1" t="s">
        <v>187</v>
      </c>
      <c r="I11" s="1" t="s">
        <v>144</v>
      </c>
      <c r="J11" s="73" t="str">
        <f>VLOOKUP(cdata[[#This Row],[COUNTRY_CODE]], cudata[], 2,0)</f>
        <v>America</v>
      </c>
      <c r="K11" s="1">
        <v>87109</v>
      </c>
      <c r="L11" s="1" t="s">
        <v>188</v>
      </c>
      <c r="M11" s="1" t="s">
        <v>1075</v>
      </c>
      <c r="N11" s="1" t="s">
        <v>189</v>
      </c>
      <c r="O11" s="1" t="s">
        <v>147</v>
      </c>
      <c r="P11" s="1" t="s">
        <v>191</v>
      </c>
      <c r="Q11" s="1" t="s">
        <v>107</v>
      </c>
      <c r="R11" s="3">
        <v>176000000000000</v>
      </c>
      <c r="S11" s="3">
        <v>340583000000000</v>
      </c>
      <c r="T11" s="1">
        <v>10051</v>
      </c>
      <c r="U11" s="1">
        <v>47</v>
      </c>
      <c r="V11" s="73">
        <f>COUNTIFS(sdata[CUST_ID],cdata[[#This Row],[CUST_ID]])</f>
        <v>7</v>
      </c>
      <c r="W11" s="73">
        <f>SUMIFS(sdata[ORDER_VALUE],sdata[CUST_ID],cdata[[#This Row],[CUST_ID]])</f>
        <v>195.91</v>
      </c>
      <c r="Z11" s="72"/>
    </row>
    <row r="12" spans="1:26" x14ac:dyDescent="0.3">
      <c r="A12" s="1" t="s">
        <v>199</v>
      </c>
      <c r="B12" s="1" t="s">
        <v>200</v>
      </c>
      <c r="C12" s="73" t="str">
        <f>cdata[[#This Row],[First Name]]&amp;" "&amp;cdata[[#This Row],[Last Name]]</f>
        <v>Reda Fullilove</v>
      </c>
      <c r="D12" s="1" t="s">
        <v>154</v>
      </c>
      <c r="E12" s="73" t="str">
        <f>IF(OR(cdata[[#This Row],[Gender_Code]] = "Mr.", cdata[[#This Row],[Gender_Code]]="Master."), "Male","Female")</f>
        <v>Female</v>
      </c>
      <c r="F12" s="1" t="s">
        <v>201</v>
      </c>
      <c r="G12" s="1" t="s">
        <v>202</v>
      </c>
      <c r="H12" s="73" t="str">
        <f t="shared" ref="H12:H13" si="1">I12</f>
        <v>ES</v>
      </c>
      <c r="I12" s="1" t="s">
        <v>118</v>
      </c>
      <c r="J12" s="73" t="str">
        <f>VLOOKUP(cdata[[#This Row],[COUNTRY_CODE]], cudata[], 2,0)</f>
        <v>Spain</v>
      </c>
      <c r="K12" s="1">
        <v>3728</v>
      </c>
      <c r="L12" s="1" t="s">
        <v>203</v>
      </c>
      <c r="M12" s="1" t="s">
        <v>1078</v>
      </c>
      <c r="N12" s="1" t="s">
        <v>204</v>
      </c>
      <c r="O12" s="1" t="s">
        <v>205</v>
      </c>
      <c r="P12" s="1" t="s">
        <v>206</v>
      </c>
      <c r="Q12" s="1" t="s">
        <v>65</v>
      </c>
      <c r="R12" s="1" t="s">
        <v>207</v>
      </c>
      <c r="S12" s="3">
        <v>36050000000000</v>
      </c>
      <c r="T12" s="1">
        <v>10055</v>
      </c>
      <c r="U12" s="1">
        <v>24</v>
      </c>
      <c r="V12" s="73">
        <f>COUNTIFS(sdata[CUST_ID],cdata[[#This Row],[CUST_ID]])</f>
        <v>3</v>
      </c>
      <c r="W12" s="73">
        <f>SUMIFS(sdata[ORDER_VALUE],sdata[CUST_ID],cdata[[#This Row],[CUST_ID]])</f>
        <v>385.19000000000005</v>
      </c>
      <c r="Z12" s="72"/>
    </row>
    <row r="13" spans="1:26" x14ac:dyDescent="0.3">
      <c r="A13" s="1" t="s">
        <v>210</v>
      </c>
      <c r="B13" s="1" t="s">
        <v>211</v>
      </c>
      <c r="C13" s="73" t="str">
        <f>cdata[[#This Row],[First Name]]&amp;" "&amp;cdata[[#This Row],[Last Name]]</f>
        <v>Cecil Games</v>
      </c>
      <c r="D13" s="1" t="s">
        <v>61</v>
      </c>
      <c r="E13" s="73" t="str">
        <f>IF(OR(cdata[[#This Row],[Gender_Code]] = "Mr.", cdata[[#This Row],[Gender_Code]]="Master."), "Male","Female")</f>
        <v>Male</v>
      </c>
      <c r="F13" s="1" t="s">
        <v>212</v>
      </c>
      <c r="G13" s="1" t="s">
        <v>213</v>
      </c>
      <c r="H13" s="73" t="str">
        <f t="shared" si="1"/>
        <v>ES</v>
      </c>
      <c r="I13" s="1" t="s">
        <v>118</v>
      </c>
      <c r="J13" s="73" t="str">
        <f>VLOOKUP(cdata[[#This Row],[COUNTRY_CODE]], cudata[], 2,0)</f>
        <v>Spain</v>
      </c>
      <c r="K13" s="1">
        <v>37340</v>
      </c>
      <c r="L13" s="1" t="s">
        <v>214</v>
      </c>
      <c r="M13" s="1" t="s">
        <v>1077</v>
      </c>
      <c r="N13" s="1" t="s">
        <v>215</v>
      </c>
      <c r="O13" s="1" t="s">
        <v>92</v>
      </c>
      <c r="P13" s="1" t="s">
        <v>216</v>
      </c>
      <c r="Q13" s="1" t="s">
        <v>107</v>
      </c>
      <c r="R13" s="3">
        <v>210000000000000</v>
      </c>
      <c r="S13" s="3">
        <v>4621260000000000</v>
      </c>
      <c r="T13" s="1">
        <v>10059</v>
      </c>
      <c r="U13" s="1">
        <v>32</v>
      </c>
      <c r="V13" s="73">
        <f>COUNTIFS(sdata[CUST_ID],cdata[[#This Row],[CUST_ID]])</f>
        <v>2</v>
      </c>
      <c r="W13" s="73">
        <f>SUMIFS(sdata[ORDER_VALUE],sdata[CUST_ID],cdata[[#This Row],[CUST_ID]])</f>
        <v>179.53</v>
      </c>
    </row>
    <row r="14" spans="1:26" x14ac:dyDescent="0.3">
      <c r="A14" s="1" t="s">
        <v>220</v>
      </c>
      <c r="B14" s="1" t="s">
        <v>221</v>
      </c>
      <c r="C14" s="73" t="str">
        <f>cdata[[#This Row],[First Name]]&amp;" "&amp;cdata[[#This Row],[Last Name]]</f>
        <v>Edward Turner</v>
      </c>
      <c r="D14" s="1" t="s">
        <v>61</v>
      </c>
      <c r="E14" s="73" t="str">
        <f>IF(OR(cdata[[#This Row],[Gender_Code]] = "Mr.", cdata[[#This Row],[Gender_Code]]="Master."), "Male","Female")</f>
        <v>Male</v>
      </c>
      <c r="F14" s="1" t="s">
        <v>222</v>
      </c>
      <c r="G14" s="1" t="s">
        <v>223</v>
      </c>
      <c r="H14" s="1" t="s">
        <v>224</v>
      </c>
      <c r="I14" s="1" t="s">
        <v>144</v>
      </c>
      <c r="J14" s="73" t="str">
        <f>VLOOKUP(cdata[[#This Row],[COUNTRY_CODE]], cudata[], 2,0)</f>
        <v>America</v>
      </c>
      <c r="K14" s="1">
        <v>71301</v>
      </c>
      <c r="L14" s="1" t="s">
        <v>225</v>
      </c>
      <c r="M14" s="1" t="s">
        <v>1076</v>
      </c>
      <c r="N14" s="1" t="s">
        <v>226</v>
      </c>
      <c r="O14" s="1" t="s">
        <v>205</v>
      </c>
      <c r="P14" s="1" t="s">
        <v>227</v>
      </c>
      <c r="Q14" s="1" t="s">
        <v>107</v>
      </c>
      <c r="R14" s="3">
        <v>754000000000000</v>
      </c>
      <c r="S14" s="3">
        <v>36139400000000</v>
      </c>
      <c r="T14" s="1">
        <v>10063</v>
      </c>
      <c r="U14" s="1">
        <v>65</v>
      </c>
      <c r="V14" s="73">
        <f>COUNTIFS(sdata[CUST_ID],cdata[[#This Row],[CUST_ID]])</f>
        <v>3</v>
      </c>
      <c r="W14" s="73">
        <f>SUMIFS(sdata[ORDER_VALUE],sdata[CUST_ID],cdata[[#This Row],[CUST_ID]])</f>
        <v>710.77</v>
      </c>
    </row>
    <row r="15" spans="1:26" x14ac:dyDescent="0.3">
      <c r="A15" s="1" t="s">
        <v>231</v>
      </c>
      <c r="B15" s="1" t="s">
        <v>232</v>
      </c>
      <c r="C15" s="73" t="str">
        <f>cdata[[#This Row],[First Name]]&amp;" "&amp;cdata[[#This Row],[Last Name]]</f>
        <v>Amy Randle</v>
      </c>
      <c r="D15" s="1" t="s">
        <v>154</v>
      </c>
      <c r="E15" s="73" t="str">
        <f>IF(OR(cdata[[#This Row],[Gender_Code]] = "Mr.", cdata[[#This Row],[Gender_Code]]="Master."), "Male","Female")</f>
        <v>Female</v>
      </c>
      <c r="F15" s="1" t="s">
        <v>233</v>
      </c>
      <c r="G15" s="1" t="s">
        <v>234</v>
      </c>
      <c r="H15" s="73" t="str">
        <f>I15</f>
        <v>ES</v>
      </c>
      <c r="I15" s="1" t="s">
        <v>118</v>
      </c>
      <c r="J15" s="73" t="str">
        <f>VLOOKUP(cdata[[#This Row],[COUNTRY_CODE]], cudata[], 2,0)</f>
        <v>Spain</v>
      </c>
      <c r="K15" s="1">
        <v>7210</v>
      </c>
      <c r="L15" s="1" t="s">
        <v>235</v>
      </c>
      <c r="M15" s="1" t="s">
        <v>1076</v>
      </c>
      <c r="N15" s="1" t="s">
        <v>236</v>
      </c>
      <c r="O15" s="1" t="s">
        <v>92</v>
      </c>
      <c r="P15" s="1" t="s">
        <v>237</v>
      </c>
      <c r="Q15" s="1" t="s">
        <v>70</v>
      </c>
      <c r="R15" s="1">
        <v>515250001</v>
      </c>
      <c r="S15" s="3">
        <v>4594160000000000</v>
      </c>
      <c r="T15" s="1">
        <v>10067</v>
      </c>
      <c r="U15" s="1">
        <v>28</v>
      </c>
      <c r="V15" s="73">
        <f>COUNTIFS(sdata[CUST_ID],cdata[[#This Row],[CUST_ID]])</f>
        <v>2</v>
      </c>
      <c r="W15" s="73">
        <f>SUMIFS(sdata[ORDER_VALUE],sdata[CUST_ID],cdata[[#This Row],[CUST_ID]])</f>
        <v>435.87</v>
      </c>
    </row>
    <row r="16" spans="1:26" x14ac:dyDescent="0.3">
      <c r="A16" s="1" t="s">
        <v>239</v>
      </c>
      <c r="B16" s="1" t="s">
        <v>240</v>
      </c>
      <c r="C16" s="73" t="str">
        <f>cdata[[#This Row],[First Name]]&amp;" "&amp;cdata[[#This Row],[Last Name]]</f>
        <v>Rafael Middleton</v>
      </c>
      <c r="D16" s="1" t="s">
        <v>61</v>
      </c>
      <c r="E16" s="73" t="str">
        <f>IF(OR(cdata[[#This Row],[Gender_Code]] = "Mr.", cdata[[#This Row],[Gender_Code]]="Master."), "Male","Female")</f>
        <v>Male</v>
      </c>
      <c r="F16" s="1" t="s">
        <v>241</v>
      </c>
      <c r="G16" s="1" t="s">
        <v>242</v>
      </c>
      <c r="H16" s="1" t="s">
        <v>243</v>
      </c>
      <c r="I16" s="1" t="s">
        <v>144</v>
      </c>
      <c r="J16" s="73" t="str">
        <f>VLOOKUP(cdata[[#This Row],[COUNTRY_CODE]], cudata[], 2,0)</f>
        <v>America</v>
      </c>
      <c r="K16" s="1">
        <v>20222</v>
      </c>
      <c r="L16" s="1" t="s">
        <v>244</v>
      </c>
      <c r="M16" s="1" t="s">
        <v>1074</v>
      </c>
      <c r="N16" s="1" t="s">
        <v>245</v>
      </c>
      <c r="O16" s="1" t="s">
        <v>246</v>
      </c>
      <c r="P16" s="1" t="s">
        <v>247</v>
      </c>
      <c r="Q16" s="1" t="s">
        <v>70</v>
      </c>
      <c r="R16" s="1">
        <v>530990002</v>
      </c>
      <c r="S16" s="3">
        <v>3528920000000000</v>
      </c>
      <c r="T16" s="1">
        <v>10075</v>
      </c>
      <c r="U16" s="1">
        <v>73</v>
      </c>
      <c r="V16" s="73">
        <f>COUNTIFS(sdata[CUST_ID],cdata[[#This Row],[CUST_ID]])</f>
        <v>3</v>
      </c>
      <c r="W16" s="73">
        <f>SUMIFS(sdata[ORDER_VALUE],sdata[CUST_ID],cdata[[#This Row],[CUST_ID]])</f>
        <v>519.73</v>
      </c>
    </row>
    <row r="17" spans="1:23" x14ac:dyDescent="0.3">
      <c r="A17" s="1" t="s">
        <v>249</v>
      </c>
      <c r="B17" s="1" t="s">
        <v>250</v>
      </c>
      <c r="C17" s="73" t="str">
        <f>cdata[[#This Row],[First Name]]&amp;" "&amp;cdata[[#This Row],[Last Name]]</f>
        <v>Earl Bruner</v>
      </c>
      <c r="D17" s="1" t="s">
        <v>61</v>
      </c>
      <c r="E17" s="73" t="str">
        <f>IF(OR(cdata[[#This Row],[Gender_Code]] = "Mr.", cdata[[#This Row],[Gender_Code]]="Master."), "Male","Female")</f>
        <v>Male</v>
      </c>
      <c r="F17" s="1" t="s">
        <v>251</v>
      </c>
      <c r="G17" s="1" t="s">
        <v>252</v>
      </c>
      <c r="H17" s="1" t="s">
        <v>253</v>
      </c>
      <c r="I17" s="1" t="s">
        <v>254</v>
      </c>
      <c r="J17" s="73" t="str">
        <f>VLOOKUP(cdata[[#This Row],[COUNTRY_CODE]], cudata[], 2,0)</f>
        <v>Canada</v>
      </c>
      <c r="K17" s="1" t="s">
        <v>255</v>
      </c>
      <c r="L17" s="1" t="s">
        <v>256</v>
      </c>
      <c r="M17" s="1" t="s">
        <v>1075</v>
      </c>
      <c r="N17" s="1" t="s">
        <v>257</v>
      </c>
      <c r="O17" s="1" t="s">
        <v>147</v>
      </c>
      <c r="P17" s="1" t="s">
        <v>258</v>
      </c>
      <c r="Q17" s="1" t="s">
        <v>118</v>
      </c>
      <c r="R17" s="1" t="s">
        <v>259</v>
      </c>
      <c r="S17" s="3">
        <v>377233000000000</v>
      </c>
      <c r="T17" s="1">
        <v>10079</v>
      </c>
      <c r="U17" s="1">
        <v>19</v>
      </c>
      <c r="V17" s="73">
        <f>COUNTIFS(sdata[CUST_ID],cdata[[#This Row],[CUST_ID]])</f>
        <v>1</v>
      </c>
      <c r="W17" s="73">
        <f>SUMIFS(sdata[ORDER_VALUE],sdata[CUST_ID],cdata[[#This Row],[CUST_ID]])</f>
        <v>20.37</v>
      </c>
    </row>
    <row r="18" spans="1:23" x14ac:dyDescent="0.3">
      <c r="A18" s="1" t="s">
        <v>261</v>
      </c>
      <c r="B18" s="1" t="s">
        <v>262</v>
      </c>
      <c r="C18" s="73" t="str">
        <f>cdata[[#This Row],[First Name]]&amp;" "&amp;cdata[[#This Row],[Last Name]]</f>
        <v>Linda Garcia</v>
      </c>
      <c r="D18" s="1" t="s">
        <v>154</v>
      </c>
      <c r="E18" s="73" t="str">
        <f>IF(OR(cdata[[#This Row],[Gender_Code]] = "Mr.", cdata[[#This Row],[Gender_Code]]="Master."), "Male","Female")</f>
        <v>Female</v>
      </c>
      <c r="F18" s="1" t="s">
        <v>263</v>
      </c>
      <c r="G18" s="1" t="s">
        <v>264</v>
      </c>
      <c r="H18" s="1" t="s">
        <v>265</v>
      </c>
      <c r="I18" s="1" t="s">
        <v>65</v>
      </c>
      <c r="J18" s="73" t="str">
        <f>VLOOKUP(cdata[[#This Row],[COUNTRY_CODE]], cudata[], 2,0)</f>
        <v>Italy</v>
      </c>
      <c r="K18" s="1">
        <v>37060</v>
      </c>
      <c r="L18" s="1" t="s">
        <v>266</v>
      </c>
      <c r="M18" s="1" t="s">
        <v>1076</v>
      </c>
      <c r="N18" s="1" t="s">
        <v>267</v>
      </c>
      <c r="O18" s="1" t="s">
        <v>246</v>
      </c>
      <c r="P18" s="1" t="s">
        <v>268</v>
      </c>
      <c r="Q18" s="1" t="s">
        <v>70</v>
      </c>
      <c r="R18" s="1">
        <v>22868164</v>
      </c>
      <c r="S18" s="3">
        <v>3528900000000000</v>
      </c>
      <c r="T18" s="1">
        <v>10083</v>
      </c>
      <c r="U18" s="1">
        <v>40</v>
      </c>
      <c r="V18" s="73">
        <f>COUNTIFS(sdata[CUST_ID],cdata[[#This Row],[CUST_ID]])</f>
        <v>1</v>
      </c>
      <c r="W18" s="73">
        <f>SUMIFS(sdata[ORDER_VALUE],sdata[CUST_ID],cdata[[#This Row],[CUST_ID]])</f>
        <v>560</v>
      </c>
    </row>
    <row r="19" spans="1:23" x14ac:dyDescent="0.3">
      <c r="A19" s="1" t="s">
        <v>270</v>
      </c>
      <c r="B19" s="1" t="s">
        <v>271</v>
      </c>
      <c r="C19" s="73" t="str">
        <f>cdata[[#This Row],[First Name]]&amp;" "&amp;cdata[[#This Row],[Last Name]]</f>
        <v>Quinn Perry</v>
      </c>
      <c r="D19" s="1" t="s">
        <v>272</v>
      </c>
      <c r="E19" s="73" t="str">
        <f>IF(OR(cdata[[#This Row],[Gender_Code]] = "Mr.", cdata[[#This Row],[Gender_Code]]="Master."), "Male","Female")</f>
        <v>Male</v>
      </c>
      <c r="F19" s="1" t="s">
        <v>273</v>
      </c>
      <c r="G19" s="1" t="s">
        <v>274</v>
      </c>
      <c r="H19" s="1" t="s">
        <v>275</v>
      </c>
      <c r="I19" s="1" t="s">
        <v>144</v>
      </c>
      <c r="J19" s="73" t="str">
        <f>VLOOKUP(cdata[[#This Row],[COUNTRY_CODE]], cudata[], 2,0)</f>
        <v>America</v>
      </c>
      <c r="K19" s="1">
        <v>79109</v>
      </c>
      <c r="L19" s="1" t="s">
        <v>276</v>
      </c>
      <c r="M19" s="1" t="s">
        <v>1074</v>
      </c>
      <c r="N19" s="1" t="s">
        <v>277</v>
      </c>
      <c r="O19" s="1" t="s">
        <v>147</v>
      </c>
      <c r="P19" s="1" t="s">
        <v>278</v>
      </c>
      <c r="Q19" s="1" t="s">
        <v>65</v>
      </c>
      <c r="R19" s="1" t="s">
        <v>279</v>
      </c>
      <c r="S19" s="3">
        <v>343640000000000</v>
      </c>
      <c r="T19" s="1">
        <v>10091</v>
      </c>
      <c r="U19" s="1">
        <v>40</v>
      </c>
      <c r="V19" s="73">
        <f>COUNTIFS(sdata[CUST_ID],cdata[[#This Row],[CUST_ID]])</f>
        <v>5</v>
      </c>
      <c r="W19" s="73">
        <f>SUMIFS(sdata[ORDER_VALUE],sdata[CUST_ID],cdata[[#This Row],[CUST_ID]])</f>
        <v>104.8</v>
      </c>
    </row>
    <row r="20" spans="1:23" x14ac:dyDescent="0.3">
      <c r="A20" s="1" t="s">
        <v>282</v>
      </c>
      <c r="B20" s="1" t="s">
        <v>283</v>
      </c>
      <c r="C20" s="73" t="str">
        <f>cdata[[#This Row],[First Name]]&amp;" "&amp;cdata[[#This Row],[Last Name]]</f>
        <v>Kristin Mendoza</v>
      </c>
      <c r="D20" s="1" t="s">
        <v>154</v>
      </c>
      <c r="E20" s="73" t="str">
        <f>IF(OR(cdata[[#This Row],[Gender_Code]] = "Mr.", cdata[[#This Row],[Gender_Code]]="Master."), "Male","Female")</f>
        <v>Female</v>
      </c>
      <c r="F20" s="1" t="s">
        <v>284</v>
      </c>
      <c r="G20" s="1" t="s">
        <v>285</v>
      </c>
      <c r="H20" s="1" t="s">
        <v>254</v>
      </c>
      <c r="I20" s="1" t="s">
        <v>144</v>
      </c>
      <c r="J20" s="73" t="str">
        <f>VLOOKUP(cdata[[#This Row],[COUNTRY_CODE]], cudata[], 2,0)</f>
        <v>America</v>
      </c>
      <c r="K20" s="1">
        <v>92805</v>
      </c>
      <c r="L20" s="1" t="s">
        <v>286</v>
      </c>
      <c r="M20" s="1" t="s">
        <v>1074</v>
      </c>
      <c r="N20" s="1" t="s">
        <v>287</v>
      </c>
      <c r="O20" s="1" t="s">
        <v>205</v>
      </c>
      <c r="P20" s="1" t="s">
        <v>227</v>
      </c>
      <c r="Q20" s="1" t="s">
        <v>107</v>
      </c>
      <c r="R20" s="3">
        <v>700000000000000</v>
      </c>
      <c r="S20" s="3">
        <v>36980300000000</v>
      </c>
      <c r="T20" s="1">
        <v>10095</v>
      </c>
      <c r="U20" s="1">
        <v>55</v>
      </c>
      <c r="V20" s="73">
        <f>COUNTIFS(sdata[CUST_ID],cdata[[#This Row],[CUST_ID]])</f>
        <v>8</v>
      </c>
      <c r="W20" s="73">
        <f>SUMIFS(sdata[ORDER_VALUE],sdata[CUST_ID],cdata[[#This Row],[CUST_ID]])</f>
        <v>788.25</v>
      </c>
    </row>
    <row r="21" spans="1:23" x14ac:dyDescent="0.3">
      <c r="A21" s="1" t="s">
        <v>291</v>
      </c>
      <c r="B21" s="1" t="s">
        <v>292</v>
      </c>
      <c r="C21" s="73" t="str">
        <f>cdata[[#This Row],[First Name]]&amp;" "&amp;cdata[[#This Row],[Last Name]]</f>
        <v>Michael Gordon</v>
      </c>
      <c r="D21" s="1" t="s">
        <v>61</v>
      </c>
      <c r="E21" s="73" t="str">
        <f>IF(OR(cdata[[#This Row],[Gender_Code]] = "Mr.", cdata[[#This Row],[Gender_Code]]="Master."), "Male","Female")</f>
        <v>Male</v>
      </c>
      <c r="F21" s="1" t="s">
        <v>293</v>
      </c>
      <c r="G21" s="1" t="s">
        <v>294</v>
      </c>
      <c r="H21" s="1" t="s">
        <v>295</v>
      </c>
      <c r="I21" s="1" t="s">
        <v>65</v>
      </c>
      <c r="J21" s="73" t="str">
        <f>VLOOKUP(cdata[[#This Row],[COUNTRY_CODE]], cudata[], 2,0)</f>
        <v>Italy</v>
      </c>
      <c r="K21" s="1">
        <v>60123</v>
      </c>
      <c r="L21" s="1" t="s">
        <v>296</v>
      </c>
      <c r="M21" s="1" t="s">
        <v>1078</v>
      </c>
      <c r="N21" s="1" t="s">
        <v>297</v>
      </c>
      <c r="O21" s="1" t="s">
        <v>205</v>
      </c>
      <c r="P21" s="1" t="s">
        <v>69</v>
      </c>
      <c r="Q21" s="1" t="s">
        <v>70</v>
      </c>
      <c r="R21" s="1">
        <v>316290001</v>
      </c>
      <c r="S21" s="3">
        <v>36205100000000</v>
      </c>
      <c r="T21" s="1">
        <v>10099</v>
      </c>
      <c r="U21" s="1">
        <v>63</v>
      </c>
      <c r="V21" s="73">
        <f>COUNTIFS(sdata[CUST_ID],cdata[[#This Row],[CUST_ID]])</f>
        <v>1</v>
      </c>
      <c r="W21" s="73">
        <f>SUMIFS(sdata[ORDER_VALUE],sdata[CUST_ID],cdata[[#This Row],[CUST_ID]])</f>
        <v>33.340000000000003</v>
      </c>
    </row>
    <row r="22" spans="1:23" x14ac:dyDescent="0.3">
      <c r="A22" s="1" t="s">
        <v>298</v>
      </c>
      <c r="B22" s="1" t="s">
        <v>299</v>
      </c>
      <c r="C22" s="73" t="str">
        <f>cdata[[#This Row],[First Name]]&amp;" "&amp;cdata[[#This Row],[Last Name]]</f>
        <v>Phyllis White</v>
      </c>
      <c r="D22" s="1" t="s">
        <v>154</v>
      </c>
      <c r="E22" s="73" t="str">
        <f>IF(OR(cdata[[#This Row],[Gender_Code]] = "Mr.", cdata[[#This Row],[Gender_Code]]="Master."), "Male","Female")</f>
        <v>Female</v>
      </c>
      <c r="F22" s="1" t="s">
        <v>300</v>
      </c>
      <c r="G22" s="1" t="s">
        <v>301</v>
      </c>
      <c r="H22" s="1" t="s">
        <v>302</v>
      </c>
      <c r="I22" s="1" t="s">
        <v>303</v>
      </c>
      <c r="J22" s="73" t="str">
        <f>VLOOKUP(cdata[[#This Row],[COUNTRY_CODE]], cudata[], 2,0)</f>
        <v>Australia</v>
      </c>
      <c r="K22" s="1">
        <v>5255</v>
      </c>
      <c r="L22" s="1" t="s">
        <v>304</v>
      </c>
      <c r="M22" s="1" t="s">
        <v>1075</v>
      </c>
      <c r="N22" s="1" t="s">
        <v>305</v>
      </c>
      <c r="O22" s="1" t="s">
        <v>147</v>
      </c>
      <c r="P22" s="1" t="s">
        <v>306</v>
      </c>
      <c r="Q22" s="1" t="s">
        <v>65</v>
      </c>
      <c r="R22" s="1" t="s">
        <v>307</v>
      </c>
      <c r="S22" s="3">
        <v>377663000000000</v>
      </c>
      <c r="T22" s="1">
        <v>10103</v>
      </c>
      <c r="U22" s="1">
        <v>51</v>
      </c>
      <c r="V22" s="73">
        <f>COUNTIFS(sdata[CUST_ID],cdata[[#This Row],[CUST_ID]])</f>
        <v>4</v>
      </c>
      <c r="W22" s="73">
        <f>SUMIFS(sdata[ORDER_VALUE],sdata[CUST_ID],cdata[[#This Row],[CUST_ID]])</f>
        <v>100.39</v>
      </c>
    </row>
    <row r="23" spans="1:23" x14ac:dyDescent="0.3">
      <c r="A23" s="1" t="s">
        <v>310</v>
      </c>
      <c r="B23" s="1" t="s">
        <v>311</v>
      </c>
      <c r="C23" s="73" t="str">
        <f>cdata[[#This Row],[First Name]]&amp;" "&amp;cdata[[#This Row],[Last Name]]</f>
        <v>Katherine Mullins</v>
      </c>
      <c r="D23" s="1" t="s">
        <v>154</v>
      </c>
      <c r="E23" s="73" t="str">
        <f>IF(OR(cdata[[#This Row],[Gender_Code]] = "Mr.", cdata[[#This Row],[Gender_Code]]="Master."), "Male","Female")</f>
        <v>Female</v>
      </c>
      <c r="F23" s="1" t="s">
        <v>312</v>
      </c>
      <c r="G23" s="1" t="s">
        <v>313</v>
      </c>
      <c r="H23" s="1" t="s">
        <v>254</v>
      </c>
      <c r="I23" s="1" t="s">
        <v>144</v>
      </c>
      <c r="J23" s="73" t="str">
        <f>VLOOKUP(cdata[[#This Row],[COUNTRY_CODE]], cudata[], 2,0)</f>
        <v>America</v>
      </c>
      <c r="K23" s="1">
        <v>94508</v>
      </c>
      <c r="L23" s="1" t="s">
        <v>314</v>
      </c>
      <c r="M23" s="1" t="s">
        <v>1074</v>
      </c>
      <c r="N23" s="1" t="s">
        <v>315</v>
      </c>
      <c r="O23" s="1" t="s">
        <v>205</v>
      </c>
      <c r="P23" s="1" t="s">
        <v>195</v>
      </c>
      <c r="Q23" s="1" t="s">
        <v>118</v>
      </c>
      <c r="R23" s="1" t="s">
        <v>316</v>
      </c>
      <c r="S23" s="3">
        <v>36025400000000</v>
      </c>
      <c r="T23" s="1">
        <v>10107</v>
      </c>
      <c r="U23" s="1">
        <v>64</v>
      </c>
      <c r="V23" s="73">
        <f>COUNTIFS(sdata[CUST_ID],cdata[[#This Row],[CUST_ID]])</f>
        <v>4</v>
      </c>
      <c r="W23" s="73">
        <f>SUMIFS(sdata[ORDER_VALUE],sdata[CUST_ID],cdata[[#This Row],[CUST_ID]])</f>
        <v>97.960000000000008</v>
      </c>
    </row>
    <row r="24" spans="1:23" x14ac:dyDescent="0.3">
      <c r="A24" s="1" t="s">
        <v>317</v>
      </c>
      <c r="B24" s="1" t="s">
        <v>318</v>
      </c>
      <c r="C24" s="73" t="str">
        <f>cdata[[#This Row],[First Name]]&amp;" "&amp;cdata[[#This Row],[Last Name]]</f>
        <v>Lisa Guest</v>
      </c>
      <c r="D24" s="1" t="s">
        <v>154</v>
      </c>
      <c r="E24" s="73" t="str">
        <f>IF(OR(cdata[[#This Row],[Gender_Code]] = "Mr.", cdata[[#This Row],[Gender_Code]]="Master."), "Male","Female")</f>
        <v>Female</v>
      </c>
      <c r="F24" s="1" t="s">
        <v>319</v>
      </c>
      <c r="G24" s="1" t="s">
        <v>320</v>
      </c>
      <c r="H24" s="1" t="s">
        <v>321</v>
      </c>
      <c r="I24" s="1" t="s">
        <v>65</v>
      </c>
      <c r="J24" s="73" t="str">
        <f>VLOOKUP(cdata[[#This Row],[COUNTRY_CODE]], cudata[], 2,0)</f>
        <v>Italy</v>
      </c>
      <c r="K24" s="1">
        <v>30020</v>
      </c>
      <c r="L24" s="1" t="s">
        <v>322</v>
      </c>
      <c r="M24" s="1" t="s">
        <v>1074</v>
      </c>
      <c r="N24" s="1" t="s">
        <v>323</v>
      </c>
      <c r="O24" s="1" t="s">
        <v>205</v>
      </c>
      <c r="P24" s="1" t="s">
        <v>324</v>
      </c>
      <c r="Q24" s="1" t="s">
        <v>118</v>
      </c>
      <c r="R24" s="1" t="s">
        <v>325</v>
      </c>
      <c r="S24" s="3">
        <v>36644800000000</v>
      </c>
      <c r="T24" s="1">
        <v>10111</v>
      </c>
      <c r="U24" s="1">
        <v>19</v>
      </c>
      <c r="V24" s="73">
        <f>COUNTIFS(sdata[CUST_ID],cdata[[#This Row],[CUST_ID]])</f>
        <v>2</v>
      </c>
      <c r="W24" s="73">
        <f>SUMIFS(sdata[ORDER_VALUE],sdata[CUST_ID],cdata[[#This Row],[CUST_ID]])</f>
        <v>53.32</v>
      </c>
    </row>
    <row r="25" spans="1:23" x14ac:dyDescent="0.3">
      <c r="A25" s="1" t="s">
        <v>327</v>
      </c>
      <c r="B25" s="1" t="s">
        <v>328</v>
      </c>
      <c r="C25" s="73" t="str">
        <f>cdata[[#This Row],[First Name]]&amp;" "&amp;cdata[[#This Row],[Last Name]]</f>
        <v>Scott Lawson</v>
      </c>
      <c r="D25" s="1" t="s">
        <v>61</v>
      </c>
      <c r="E25" s="73" t="str">
        <f>IF(OR(cdata[[#This Row],[Gender_Code]] = "Mr.", cdata[[#This Row],[Gender_Code]]="Master."), "Male","Female")</f>
        <v>Male</v>
      </c>
      <c r="F25" s="1" t="s">
        <v>329</v>
      </c>
      <c r="G25" s="1" t="s">
        <v>330</v>
      </c>
      <c r="H25" s="1" t="s">
        <v>331</v>
      </c>
      <c r="I25" s="1" t="s">
        <v>144</v>
      </c>
      <c r="J25" s="73" t="str">
        <f>VLOOKUP(cdata[[#This Row],[COUNTRY_CODE]], cudata[], 2,0)</f>
        <v>America</v>
      </c>
      <c r="K25" s="1">
        <v>60002</v>
      </c>
      <c r="L25" s="1" t="s">
        <v>332</v>
      </c>
      <c r="M25" s="1" t="s">
        <v>1074</v>
      </c>
      <c r="N25" s="1" t="s">
        <v>333</v>
      </c>
      <c r="O25" s="1" t="s">
        <v>246</v>
      </c>
      <c r="P25" s="1" t="s">
        <v>334</v>
      </c>
      <c r="Q25" s="1" t="s">
        <v>254</v>
      </c>
      <c r="R25" s="1">
        <v>518957246</v>
      </c>
      <c r="S25" s="3">
        <v>3528450000000000</v>
      </c>
      <c r="T25" s="1">
        <v>10115</v>
      </c>
      <c r="U25" s="1">
        <v>0</v>
      </c>
      <c r="V25" s="73">
        <f>COUNTIFS(sdata[CUST_ID],cdata[[#This Row],[CUST_ID]])</f>
        <v>2</v>
      </c>
      <c r="W25" s="73">
        <f>SUMIFS(sdata[ORDER_VALUE],sdata[CUST_ID],cdata[[#This Row],[CUST_ID]])</f>
        <v>134.05000000000001</v>
      </c>
    </row>
    <row r="26" spans="1:23" x14ac:dyDescent="0.3">
      <c r="A26" s="1" t="s">
        <v>336</v>
      </c>
      <c r="B26" s="1" t="s">
        <v>337</v>
      </c>
      <c r="C26" s="73" t="str">
        <f>cdata[[#This Row],[First Name]]&amp;" "&amp;cdata[[#This Row],[Last Name]]</f>
        <v>Robert Bilbo</v>
      </c>
      <c r="D26" s="1" t="s">
        <v>61</v>
      </c>
      <c r="E26" s="73" t="str">
        <f>IF(OR(cdata[[#This Row],[Gender_Code]] = "Mr.", cdata[[#This Row],[Gender_Code]]="Master."), "Male","Female")</f>
        <v>Male</v>
      </c>
      <c r="F26" s="1" t="s">
        <v>338</v>
      </c>
      <c r="G26" s="1" t="s">
        <v>339</v>
      </c>
      <c r="H26" s="1" t="s">
        <v>340</v>
      </c>
      <c r="I26" s="1" t="s">
        <v>65</v>
      </c>
      <c r="J26" s="73" t="str">
        <f>VLOOKUP(cdata[[#This Row],[COUNTRY_CODE]], cudata[], 2,0)</f>
        <v>Italy</v>
      </c>
      <c r="K26" s="1">
        <v>22070</v>
      </c>
      <c r="L26" s="1" t="s">
        <v>341</v>
      </c>
      <c r="M26" s="1" t="s">
        <v>1078</v>
      </c>
      <c r="N26" s="1" t="s">
        <v>342</v>
      </c>
      <c r="O26" s="1" t="s">
        <v>246</v>
      </c>
      <c r="P26" s="1" t="s">
        <v>343</v>
      </c>
      <c r="Q26" s="1" t="s">
        <v>65</v>
      </c>
      <c r="R26" s="1" t="s">
        <v>344</v>
      </c>
      <c r="S26" s="3">
        <v>3528080000000000</v>
      </c>
      <c r="T26" s="1">
        <v>10119</v>
      </c>
      <c r="U26" s="1">
        <v>49</v>
      </c>
      <c r="V26" s="73">
        <f>COUNTIFS(sdata[CUST_ID],cdata[[#This Row],[CUST_ID]])</f>
        <v>1</v>
      </c>
      <c r="W26" s="73">
        <f>SUMIFS(sdata[ORDER_VALUE],sdata[CUST_ID],cdata[[#This Row],[CUST_ID]])</f>
        <v>39.74</v>
      </c>
    </row>
    <row r="27" spans="1:23" x14ac:dyDescent="0.3">
      <c r="A27" s="1" t="s">
        <v>345</v>
      </c>
      <c r="B27" s="1" t="s">
        <v>346</v>
      </c>
      <c r="C27" s="73" t="str">
        <f>cdata[[#This Row],[First Name]]&amp;" "&amp;cdata[[#This Row],[Last Name]]</f>
        <v>Ahmed Richard</v>
      </c>
      <c r="D27" s="1" t="s">
        <v>61</v>
      </c>
      <c r="E27" s="73" t="str">
        <f>IF(OR(cdata[[#This Row],[Gender_Code]] = "Mr.", cdata[[#This Row],[Gender_Code]]="Master."), "Male","Female")</f>
        <v>Male</v>
      </c>
      <c r="F27" s="1" t="s">
        <v>347</v>
      </c>
      <c r="G27" s="1" t="s">
        <v>348</v>
      </c>
      <c r="H27" s="1" t="s">
        <v>331</v>
      </c>
      <c r="I27" s="1" t="s">
        <v>144</v>
      </c>
      <c r="J27" s="73" t="str">
        <f>VLOOKUP(cdata[[#This Row],[COUNTRY_CODE]], cudata[], 2,0)</f>
        <v>America</v>
      </c>
      <c r="K27" s="1">
        <v>54911</v>
      </c>
      <c r="L27" s="1" t="s">
        <v>349</v>
      </c>
      <c r="M27" s="1" t="s">
        <v>1076</v>
      </c>
      <c r="N27" s="1" t="s">
        <v>350</v>
      </c>
      <c r="O27" s="1" t="s">
        <v>246</v>
      </c>
      <c r="P27" s="1" t="s">
        <v>351</v>
      </c>
      <c r="Q27" s="1" t="s">
        <v>70</v>
      </c>
      <c r="R27" s="1">
        <v>229990001</v>
      </c>
      <c r="S27" s="3">
        <v>3528230000000000</v>
      </c>
      <c r="T27" s="1">
        <v>10123</v>
      </c>
      <c r="U27" s="1">
        <v>20</v>
      </c>
      <c r="V27" s="73">
        <f>COUNTIFS(sdata[CUST_ID],cdata[[#This Row],[CUST_ID]])</f>
        <v>5</v>
      </c>
      <c r="W27" s="73">
        <f>SUMIFS(sdata[ORDER_VALUE],sdata[CUST_ID],cdata[[#This Row],[CUST_ID]])</f>
        <v>360.37</v>
      </c>
    </row>
    <row r="28" spans="1:23" x14ac:dyDescent="0.3">
      <c r="A28" s="1" t="s">
        <v>352</v>
      </c>
      <c r="B28" s="1" t="s">
        <v>353</v>
      </c>
      <c r="C28" s="73" t="str">
        <f>cdata[[#This Row],[First Name]]&amp;" "&amp;cdata[[#This Row],[Last Name]]</f>
        <v>Ray Hornsby</v>
      </c>
      <c r="D28" s="1" t="s">
        <v>61</v>
      </c>
      <c r="E28" s="73" t="str">
        <f>IF(OR(cdata[[#This Row],[Gender_Code]] = "Mr.", cdata[[#This Row],[Gender_Code]]="Master."), "Male","Female")</f>
        <v>Male</v>
      </c>
      <c r="F28" s="1" t="s">
        <v>354</v>
      </c>
      <c r="G28" s="1" t="s">
        <v>355</v>
      </c>
      <c r="H28" s="73" t="str">
        <f>I28</f>
        <v>ES</v>
      </c>
      <c r="I28" s="1" t="s">
        <v>118</v>
      </c>
      <c r="J28" s="73" t="str">
        <f>VLOOKUP(cdata[[#This Row],[COUNTRY_CODE]], cudata[], 2,0)</f>
        <v>Spain</v>
      </c>
      <c r="K28" s="1">
        <v>29753</v>
      </c>
      <c r="L28" s="1" t="s">
        <v>356</v>
      </c>
      <c r="M28" s="1" t="s">
        <v>1075</v>
      </c>
      <c r="N28" s="1" t="s">
        <v>357</v>
      </c>
      <c r="O28" s="1" t="s">
        <v>92</v>
      </c>
      <c r="P28" s="1" t="s">
        <v>182</v>
      </c>
      <c r="Q28" s="1" t="s">
        <v>65</v>
      </c>
      <c r="R28" s="1" t="s">
        <v>358</v>
      </c>
      <c r="S28" s="3">
        <v>4839450000000000</v>
      </c>
      <c r="T28" s="1">
        <v>10127</v>
      </c>
      <c r="U28" s="1">
        <v>49</v>
      </c>
      <c r="V28" s="73">
        <f>COUNTIFS(sdata[CUST_ID],cdata[[#This Row],[CUST_ID]])</f>
        <v>1</v>
      </c>
      <c r="W28" s="73">
        <f>SUMIFS(sdata[ORDER_VALUE],sdata[CUST_ID],cdata[[#This Row],[CUST_ID]])</f>
        <v>17.29</v>
      </c>
    </row>
    <row r="29" spans="1:23" x14ac:dyDescent="0.3">
      <c r="A29" s="1" t="s">
        <v>359</v>
      </c>
      <c r="B29" s="1" t="s">
        <v>360</v>
      </c>
      <c r="C29" s="73" t="str">
        <f>cdata[[#This Row],[First Name]]&amp;" "&amp;cdata[[#This Row],[Last Name]]</f>
        <v>Jason Glass</v>
      </c>
      <c r="D29" s="1" t="s">
        <v>361</v>
      </c>
      <c r="E29" s="73" t="str">
        <f>IF(OR(cdata[[#This Row],[Gender_Code]] = "Mr.", cdata[[#This Row],[Gender_Code]]="Master."), "Male","Female")</f>
        <v>Female</v>
      </c>
      <c r="F29" s="1" t="s">
        <v>362</v>
      </c>
      <c r="G29" s="1" t="s">
        <v>363</v>
      </c>
      <c r="H29" s="1" t="s">
        <v>364</v>
      </c>
      <c r="I29" s="1" t="s">
        <v>303</v>
      </c>
      <c r="J29" s="73" t="str">
        <f>VLOOKUP(cdata[[#This Row],[COUNTRY_CODE]], cudata[], 2,0)</f>
        <v>Australia</v>
      </c>
      <c r="K29" s="1">
        <v>2284</v>
      </c>
      <c r="L29" s="1" t="s">
        <v>365</v>
      </c>
      <c r="M29" s="1" t="s">
        <v>1074</v>
      </c>
      <c r="N29" s="1" t="s">
        <v>366</v>
      </c>
      <c r="O29" s="1" t="s">
        <v>205</v>
      </c>
      <c r="P29" s="1" t="s">
        <v>367</v>
      </c>
      <c r="Q29" s="1" t="s">
        <v>65</v>
      </c>
      <c r="R29" s="1" t="s">
        <v>368</v>
      </c>
      <c r="S29" s="3">
        <v>36383400000000</v>
      </c>
      <c r="T29" s="1">
        <v>10131</v>
      </c>
      <c r="U29" s="1">
        <v>78</v>
      </c>
      <c r="V29" s="73">
        <f>COUNTIFS(sdata[CUST_ID],cdata[[#This Row],[CUST_ID]])</f>
        <v>3</v>
      </c>
      <c r="W29" s="73">
        <f>SUMIFS(sdata[ORDER_VALUE],sdata[CUST_ID],cdata[[#This Row],[CUST_ID]])</f>
        <v>512.72</v>
      </c>
    </row>
    <row r="30" spans="1:23" x14ac:dyDescent="0.3">
      <c r="A30" s="1" t="s">
        <v>371</v>
      </c>
      <c r="B30" s="1" t="s">
        <v>299</v>
      </c>
      <c r="C30" s="73" t="str">
        <f>cdata[[#This Row],[First Name]]&amp;" "&amp;cdata[[#This Row],[Last Name]]</f>
        <v>Natalie White</v>
      </c>
      <c r="D30" s="1" t="s">
        <v>154</v>
      </c>
      <c r="E30" s="73" t="str">
        <f>IF(OR(cdata[[#This Row],[Gender_Code]] = "Mr.", cdata[[#This Row],[Gender_Code]]="Master."), "Male","Female")</f>
        <v>Female</v>
      </c>
      <c r="F30" s="1" t="s">
        <v>372</v>
      </c>
      <c r="G30" s="1" t="s">
        <v>373</v>
      </c>
      <c r="H30" s="1" t="s">
        <v>275</v>
      </c>
      <c r="I30" s="1" t="s">
        <v>144</v>
      </c>
      <c r="J30" s="73" t="str">
        <f>VLOOKUP(cdata[[#This Row],[COUNTRY_CODE]], cudata[], 2,0)</f>
        <v>America</v>
      </c>
      <c r="K30" s="1">
        <v>76011</v>
      </c>
      <c r="L30" s="1" t="s">
        <v>374</v>
      </c>
      <c r="M30" s="1" t="s">
        <v>1078</v>
      </c>
      <c r="N30" s="1" t="s">
        <v>375</v>
      </c>
      <c r="O30" s="1" t="s">
        <v>92</v>
      </c>
      <c r="P30" s="1" t="s">
        <v>376</v>
      </c>
      <c r="Q30" s="1" t="s">
        <v>118</v>
      </c>
      <c r="R30" s="1" t="s">
        <v>377</v>
      </c>
      <c r="S30" s="3">
        <v>4658070000000000</v>
      </c>
      <c r="T30" s="1">
        <v>10135</v>
      </c>
      <c r="U30" s="1">
        <v>0</v>
      </c>
      <c r="V30" s="73">
        <f>COUNTIFS(sdata[CUST_ID],cdata[[#This Row],[CUST_ID]])</f>
        <v>2</v>
      </c>
      <c r="W30" s="73">
        <f>SUMIFS(sdata[ORDER_VALUE],sdata[CUST_ID],cdata[[#This Row],[CUST_ID]])</f>
        <v>501.78</v>
      </c>
    </row>
    <row r="31" spans="1:23" x14ac:dyDescent="0.3">
      <c r="A31" s="1" t="s">
        <v>379</v>
      </c>
      <c r="B31" s="1" t="s">
        <v>380</v>
      </c>
      <c r="C31" s="73" t="str">
        <f>cdata[[#This Row],[First Name]]&amp;" "&amp;cdata[[#This Row],[Last Name]]</f>
        <v>Donna Klock</v>
      </c>
      <c r="D31" s="1" t="s">
        <v>154</v>
      </c>
      <c r="E31" s="73" t="str">
        <f>IF(OR(cdata[[#This Row],[Gender_Code]] = "Mr.", cdata[[#This Row],[Gender_Code]]="Master."), "Male","Female")</f>
        <v>Female</v>
      </c>
      <c r="F31" s="1" t="s">
        <v>381</v>
      </c>
      <c r="G31" s="1" t="s">
        <v>373</v>
      </c>
      <c r="H31" s="1" t="s">
        <v>382</v>
      </c>
      <c r="I31" s="1" t="s">
        <v>144</v>
      </c>
      <c r="J31" s="73" t="str">
        <f>VLOOKUP(cdata[[#This Row],[COUNTRY_CODE]], cudata[], 2,0)</f>
        <v>America</v>
      </c>
      <c r="K31" s="1">
        <v>68002</v>
      </c>
      <c r="L31" s="1" t="s">
        <v>383</v>
      </c>
      <c r="M31" s="1" t="s">
        <v>1074</v>
      </c>
      <c r="N31" s="1" t="s">
        <v>384</v>
      </c>
      <c r="O31" s="1" t="s">
        <v>92</v>
      </c>
      <c r="P31" s="1" t="s">
        <v>385</v>
      </c>
      <c r="Q31" s="1" t="s">
        <v>70</v>
      </c>
      <c r="R31" s="1">
        <v>492230001</v>
      </c>
      <c r="S31" s="3">
        <v>4136050000000000</v>
      </c>
      <c r="T31" s="1">
        <v>10139</v>
      </c>
      <c r="U31" s="1">
        <v>53</v>
      </c>
      <c r="V31" s="73">
        <f>COUNTIFS(sdata[CUST_ID],cdata[[#This Row],[CUST_ID]])</f>
        <v>4</v>
      </c>
      <c r="W31" s="73">
        <f>SUMIFS(sdata[ORDER_VALUE],sdata[CUST_ID],cdata[[#This Row],[CUST_ID]])</f>
        <v>137.28</v>
      </c>
    </row>
    <row r="32" spans="1:23" x14ac:dyDescent="0.3">
      <c r="A32" s="1" t="s">
        <v>387</v>
      </c>
      <c r="B32" s="1" t="s">
        <v>388</v>
      </c>
      <c r="C32" s="73" t="str">
        <f>cdata[[#This Row],[First Name]]&amp;" "&amp;cdata[[#This Row],[Last Name]]</f>
        <v>Donald Velazquez</v>
      </c>
      <c r="D32" s="1" t="s">
        <v>61</v>
      </c>
      <c r="E32" s="73" t="str">
        <f>IF(OR(cdata[[#This Row],[Gender_Code]] = "Mr.", cdata[[#This Row],[Gender_Code]]="Master."), "Male","Female")</f>
        <v>Male</v>
      </c>
      <c r="F32" s="1" t="s">
        <v>389</v>
      </c>
      <c r="G32" s="1" t="s">
        <v>390</v>
      </c>
      <c r="H32" s="73" t="str">
        <f>I32</f>
        <v>DE</v>
      </c>
      <c r="I32" s="1" t="s">
        <v>89</v>
      </c>
      <c r="J32" s="73" t="str">
        <f>VLOOKUP(cdata[[#This Row],[COUNTRY_CODE]], cudata[], 2,0)</f>
        <v>Denmark</v>
      </c>
      <c r="K32" s="1">
        <v>6431</v>
      </c>
      <c r="L32" s="1" t="s">
        <v>391</v>
      </c>
      <c r="M32" s="1" t="s">
        <v>1075</v>
      </c>
      <c r="N32" s="1" t="s">
        <v>392</v>
      </c>
      <c r="O32" s="1" t="s">
        <v>246</v>
      </c>
      <c r="P32" s="1" t="s">
        <v>227</v>
      </c>
      <c r="Q32" s="1" t="s">
        <v>65</v>
      </c>
      <c r="R32" s="1" t="s">
        <v>393</v>
      </c>
      <c r="S32" s="3">
        <v>3528670000000000</v>
      </c>
      <c r="T32" s="1">
        <v>10147</v>
      </c>
      <c r="U32" s="1">
        <v>19</v>
      </c>
      <c r="V32" s="73">
        <f>COUNTIFS(sdata[CUST_ID],cdata[[#This Row],[CUST_ID]])</f>
        <v>2</v>
      </c>
      <c r="W32" s="73">
        <f>SUMIFS(sdata[ORDER_VALUE],sdata[CUST_ID],cdata[[#This Row],[CUST_ID]])</f>
        <v>100.14</v>
      </c>
    </row>
    <row r="33" spans="1:23" x14ac:dyDescent="0.3">
      <c r="A33" s="1" t="s">
        <v>396</v>
      </c>
      <c r="B33" s="1" t="s">
        <v>397</v>
      </c>
      <c r="C33" s="73" t="str">
        <f>cdata[[#This Row],[First Name]]&amp;" "&amp;cdata[[#This Row],[Last Name]]</f>
        <v>Harry Brumback</v>
      </c>
      <c r="D33" s="1" t="s">
        <v>61</v>
      </c>
      <c r="E33" s="73" t="str">
        <f>IF(OR(cdata[[#This Row],[Gender_Code]] = "Mr.", cdata[[#This Row],[Gender_Code]]="Master."), "Male","Female")</f>
        <v>Male</v>
      </c>
      <c r="F33" s="1" t="s">
        <v>398</v>
      </c>
      <c r="G33" s="1" t="s">
        <v>399</v>
      </c>
      <c r="H33" s="1" t="s">
        <v>400</v>
      </c>
      <c r="I33" s="1" t="s">
        <v>144</v>
      </c>
      <c r="J33" s="73" t="str">
        <f>VLOOKUP(cdata[[#This Row],[COUNTRY_CODE]], cudata[], 2,0)</f>
        <v>America</v>
      </c>
      <c r="K33" s="1">
        <v>27203</v>
      </c>
      <c r="L33" s="1" t="s">
        <v>401</v>
      </c>
      <c r="M33" s="1" t="s">
        <v>1078</v>
      </c>
      <c r="N33" s="1" t="s">
        <v>402</v>
      </c>
      <c r="O33" s="1" t="s">
        <v>121</v>
      </c>
      <c r="P33" s="1" t="s">
        <v>403</v>
      </c>
      <c r="Q33" s="1" t="s">
        <v>107</v>
      </c>
      <c r="R33" s="3">
        <v>783000000000000</v>
      </c>
      <c r="S33" s="3">
        <v>6011920000000000</v>
      </c>
      <c r="T33" s="1">
        <v>10151</v>
      </c>
      <c r="U33" s="1">
        <v>75</v>
      </c>
      <c r="V33" s="73">
        <f>COUNTIFS(sdata[CUST_ID],cdata[[#This Row],[CUST_ID]])</f>
        <v>3</v>
      </c>
      <c r="W33" s="73">
        <f>SUMIFS(sdata[ORDER_VALUE],sdata[CUST_ID],cdata[[#This Row],[CUST_ID]])</f>
        <v>313.19</v>
      </c>
    </row>
    <row r="34" spans="1:23" x14ac:dyDescent="0.3">
      <c r="A34" s="1" t="s">
        <v>404</v>
      </c>
      <c r="B34" s="1" t="s">
        <v>405</v>
      </c>
      <c r="C34" s="73" t="str">
        <f>cdata[[#This Row],[First Name]]&amp;" "&amp;cdata[[#This Row],[Last Name]]</f>
        <v>Harold Magee</v>
      </c>
      <c r="D34" s="1" t="s">
        <v>61</v>
      </c>
      <c r="E34" s="73" t="str">
        <f>IF(OR(cdata[[#This Row],[Gender_Code]] = "Mr.", cdata[[#This Row],[Gender_Code]]="Master."), "Male","Female")</f>
        <v>Male</v>
      </c>
      <c r="F34" s="1" t="s">
        <v>406</v>
      </c>
      <c r="G34" s="1" t="s">
        <v>407</v>
      </c>
      <c r="H34" s="1" t="s">
        <v>408</v>
      </c>
      <c r="I34" s="1" t="s">
        <v>144</v>
      </c>
      <c r="J34" s="73" t="str">
        <f>VLOOKUP(cdata[[#This Row],[COUNTRY_CODE]], cudata[], 2,0)</f>
        <v>America</v>
      </c>
      <c r="K34" s="1">
        <v>23005</v>
      </c>
      <c r="L34" s="1" t="s">
        <v>409</v>
      </c>
      <c r="M34" s="1" t="s">
        <v>1076</v>
      </c>
      <c r="N34" s="1" t="s">
        <v>410</v>
      </c>
      <c r="O34" s="1" t="s">
        <v>147</v>
      </c>
      <c r="P34" s="1" t="s">
        <v>113</v>
      </c>
      <c r="Q34" s="1" t="s">
        <v>411</v>
      </c>
      <c r="R34" s="1" t="s">
        <v>412</v>
      </c>
      <c r="S34" s="3">
        <v>375518000000000</v>
      </c>
      <c r="T34" s="1">
        <v>10155</v>
      </c>
      <c r="U34" s="1">
        <v>40</v>
      </c>
      <c r="V34" s="73">
        <f>COUNTIFS(sdata[CUST_ID],cdata[[#This Row],[CUST_ID]])</f>
        <v>5</v>
      </c>
      <c r="W34" s="73">
        <f>SUMIFS(sdata[ORDER_VALUE],sdata[CUST_ID],cdata[[#This Row],[CUST_ID]])</f>
        <v>129.82</v>
      </c>
    </row>
    <row r="35" spans="1:23" x14ac:dyDescent="0.3">
      <c r="A35" s="1" t="s">
        <v>415</v>
      </c>
      <c r="B35" s="1" t="s">
        <v>416</v>
      </c>
      <c r="C35" s="73" t="str">
        <f>cdata[[#This Row],[First Name]]&amp;" "&amp;cdata[[#This Row],[Last Name]]</f>
        <v>Melba Whitehead</v>
      </c>
      <c r="D35" s="1" t="s">
        <v>154</v>
      </c>
      <c r="E35" s="73" t="str">
        <f>IF(OR(cdata[[#This Row],[Gender_Code]] = "Mr.", cdata[[#This Row],[Gender_Code]]="Master."), "Male","Female")</f>
        <v>Female</v>
      </c>
      <c r="F35" s="1" t="s">
        <v>417</v>
      </c>
      <c r="G35" s="1" t="s">
        <v>418</v>
      </c>
      <c r="H35" s="1" t="s">
        <v>364</v>
      </c>
      <c r="I35" s="1" t="s">
        <v>303</v>
      </c>
      <c r="J35" s="73" t="str">
        <f>VLOOKUP(cdata[[#This Row],[COUNTRY_CODE]], cudata[], 2,0)</f>
        <v>Australia</v>
      </c>
      <c r="K35" s="1">
        <v>2077</v>
      </c>
      <c r="L35" s="1" t="s">
        <v>419</v>
      </c>
      <c r="M35" s="1" t="s">
        <v>1077</v>
      </c>
      <c r="N35" s="1" t="s">
        <v>420</v>
      </c>
      <c r="O35" s="1" t="s">
        <v>147</v>
      </c>
      <c r="P35" s="1" t="s">
        <v>367</v>
      </c>
      <c r="Q35" s="1" t="s">
        <v>118</v>
      </c>
      <c r="R35" s="1" t="s">
        <v>421</v>
      </c>
      <c r="S35" s="3">
        <v>340547000000000</v>
      </c>
      <c r="T35" s="1">
        <v>10159</v>
      </c>
      <c r="U35" s="1">
        <v>53</v>
      </c>
      <c r="V35" s="73">
        <f>COUNTIFS(sdata[CUST_ID],cdata[[#This Row],[CUST_ID]])</f>
        <v>5</v>
      </c>
      <c r="W35" s="73">
        <f>SUMIFS(sdata[ORDER_VALUE],sdata[CUST_ID],cdata[[#This Row],[CUST_ID]])</f>
        <v>891.47</v>
      </c>
    </row>
    <row r="36" spans="1:23" x14ac:dyDescent="0.3">
      <c r="A36" s="1" t="s">
        <v>424</v>
      </c>
      <c r="B36" s="1" t="s">
        <v>425</v>
      </c>
      <c r="C36" s="73" t="str">
        <f>cdata[[#This Row],[First Name]]&amp;" "&amp;cdata[[#This Row],[Last Name]]</f>
        <v>Ivan Case</v>
      </c>
      <c r="D36" s="1" t="s">
        <v>61</v>
      </c>
      <c r="E36" s="73" t="str">
        <f>IF(OR(cdata[[#This Row],[Gender_Code]] = "Mr.", cdata[[#This Row],[Gender_Code]]="Master."), "Male","Female")</f>
        <v>Male</v>
      </c>
      <c r="F36" s="1" t="s">
        <v>426</v>
      </c>
      <c r="G36" s="1" t="s">
        <v>427</v>
      </c>
      <c r="H36" s="1" t="s">
        <v>275</v>
      </c>
      <c r="I36" s="1" t="s">
        <v>144</v>
      </c>
      <c r="J36" s="73" t="str">
        <f>VLOOKUP(cdata[[#This Row],[COUNTRY_CODE]], cudata[], 2,0)</f>
        <v>America</v>
      </c>
      <c r="K36" s="1">
        <v>75751</v>
      </c>
      <c r="L36" s="1" t="s">
        <v>428</v>
      </c>
      <c r="M36" s="1" t="s">
        <v>1078</v>
      </c>
      <c r="N36" s="1" t="s">
        <v>429</v>
      </c>
      <c r="O36" s="1" t="s">
        <v>205</v>
      </c>
      <c r="P36" s="1" t="s">
        <v>95</v>
      </c>
      <c r="Q36" s="1" t="s">
        <v>70</v>
      </c>
      <c r="R36" s="1">
        <v>23868154</v>
      </c>
      <c r="S36" s="3">
        <v>36851600000000</v>
      </c>
      <c r="T36" s="1">
        <v>10163</v>
      </c>
      <c r="U36" s="1">
        <v>27</v>
      </c>
      <c r="V36" s="73">
        <f>COUNTIFS(sdata[CUST_ID],cdata[[#This Row],[CUST_ID]])</f>
        <v>2</v>
      </c>
      <c r="W36" s="73">
        <f>SUMIFS(sdata[ORDER_VALUE],sdata[CUST_ID],cdata[[#This Row],[CUST_ID]])</f>
        <v>472.97</v>
      </c>
    </row>
    <row r="37" spans="1:23" x14ac:dyDescent="0.3">
      <c r="A37" s="1" t="s">
        <v>431</v>
      </c>
      <c r="B37" s="1" t="s">
        <v>432</v>
      </c>
      <c r="C37" s="73" t="str">
        <f>cdata[[#This Row],[First Name]]&amp;" "&amp;cdata[[#This Row],[Last Name]]</f>
        <v>Bob Davenport</v>
      </c>
      <c r="D37" s="1" t="s">
        <v>61</v>
      </c>
      <c r="E37" s="73" t="str">
        <f>IF(OR(cdata[[#This Row],[Gender_Code]] = "Mr.", cdata[[#This Row],[Gender_Code]]="Master."), "Male","Female")</f>
        <v>Male</v>
      </c>
      <c r="F37" s="1" t="s">
        <v>433</v>
      </c>
      <c r="G37" s="1" t="s">
        <v>434</v>
      </c>
      <c r="H37" s="1" t="s">
        <v>435</v>
      </c>
      <c r="I37" s="1" t="s">
        <v>144</v>
      </c>
      <c r="J37" s="73" t="str">
        <f>VLOOKUP(cdata[[#This Row],[COUNTRY_CODE]], cudata[], 2,0)</f>
        <v>America</v>
      </c>
      <c r="K37" s="1">
        <v>30345</v>
      </c>
      <c r="L37" s="1" t="s">
        <v>436</v>
      </c>
      <c r="M37" s="1" t="s">
        <v>1075</v>
      </c>
      <c r="N37" s="1" t="s">
        <v>437</v>
      </c>
      <c r="O37" s="1" t="s">
        <v>121</v>
      </c>
      <c r="P37" s="1" t="s">
        <v>209</v>
      </c>
      <c r="Q37" s="1" t="s">
        <v>107</v>
      </c>
      <c r="R37" s="3">
        <v>128000000000000</v>
      </c>
      <c r="S37" s="3">
        <v>6011110000000000</v>
      </c>
      <c r="T37" s="1">
        <v>10167</v>
      </c>
      <c r="U37" s="1">
        <v>0</v>
      </c>
      <c r="V37" s="73">
        <f>COUNTIFS(sdata[CUST_ID],cdata[[#This Row],[CUST_ID]])</f>
        <v>1</v>
      </c>
      <c r="W37" s="73">
        <f>SUMIFS(sdata[ORDER_VALUE],sdata[CUST_ID],cdata[[#This Row],[CUST_ID]])</f>
        <v>267.24</v>
      </c>
    </row>
    <row r="38" spans="1:23" x14ac:dyDescent="0.3">
      <c r="A38" s="1" t="s">
        <v>438</v>
      </c>
      <c r="B38" s="1" t="s">
        <v>439</v>
      </c>
      <c r="C38" s="73" t="str">
        <f>cdata[[#This Row],[First Name]]&amp;" "&amp;cdata[[#This Row],[Last Name]]</f>
        <v>Jennifer Howard</v>
      </c>
      <c r="D38" s="1" t="s">
        <v>154</v>
      </c>
      <c r="E38" s="73" t="str">
        <f>IF(OR(cdata[[#This Row],[Gender_Code]] = "Mr.", cdata[[#This Row],[Gender_Code]]="Master."), "Male","Female")</f>
        <v>Female</v>
      </c>
      <c r="F38" s="1" t="s">
        <v>440</v>
      </c>
      <c r="G38" s="1" t="s">
        <v>434</v>
      </c>
      <c r="H38" s="1" t="s">
        <v>435</v>
      </c>
      <c r="I38" s="1" t="s">
        <v>144</v>
      </c>
      <c r="J38" s="73" t="str">
        <f>VLOOKUP(cdata[[#This Row],[COUNTRY_CODE]], cudata[], 2,0)</f>
        <v>America</v>
      </c>
      <c r="K38" s="1">
        <v>30329</v>
      </c>
      <c r="L38" s="1" t="s">
        <v>441</v>
      </c>
      <c r="M38" s="1" t="s">
        <v>1074</v>
      </c>
      <c r="N38" s="1" t="s">
        <v>442</v>
      </c>
      <c r="O38" s="1" t="s">
        <v>121</v>
      </c>
      <c r="P38" s="1" t="s">
        <v>269</v>
      </c>
      <c r="Q38" s="1" t="s">
        <v>65</v>
      </c>
      <c r="R38" s="1" t="s">
        <v>443</v>
      </c>
      <c r="S38" s="3">
        <v>6011560000000000</v>
      </c>
      <c r="T38" s="1">
        <v>10171</v>
      </c>
      <c r="U38" s="1">
        <v>0</v>
      </c>
      <c r="V38" s="73">
        <f>COUNTIFS(sdata[CUST_ID],cdata[[#This Row],[CUST_ID]])</f>
        <v>3</v>
      </c>
      <c r="W38" s="73">
        <f>SUMIFS(sdata[ORDER_VALUE],sdata[CUST_ID],cdata[[#This Row],[CUST_ID]])</f>
        <v>84.76</v>
      </c>
    </row>
    <row r="39" spans="1:23" x14ac:dyDescent="0.3">
      <c r="A39" s="1" t="s">
        <v>445</v>
      </c>
      <c r="B39" s="1" t="s">
        <v>446</v>
      </c>
      <c r="C39" s="73" t="str">
        <f>cdata[[#This Row],[First Name]]&amp;" "&amp;cdata[[#This Row],[Last Name]]</f>
        <v>Jana Hall</v>
      </c>
      <c r="D39" s="1" t="s">
        <v>154</v>
      </c>
      <c r="E39" s="73" t="str">
        <f>IF(OR(cdata[[#This Row],[Gender_Code]] = "Mr.", cdata[[#This Row],[Gender_Code]]="Master."), "Male","Female")</f>
        <v>Female</v>
      </c>
      <c r="F39" s="1" t="s">
        <v>447</v>
      </c>
      <c r="G39" s="1" t="s">
        <v>448</v>
      </c>
      <c r="H39" s="1" t="s">
        <v>449</v>
      </c>
      <c r="I39" s="1" t="s">
        <v>144</v>
      </c>
      <c r="J39" s="73" t="str">
        <f>VLOOKUP(cdata[[#This Row],[COUNTRY_CODE]], cudata[], 2,0)</f>
        <v>America</v>
      </c>
      <c r="K39" s="1">
        <v>8401</v>
      </c>
      <c r="L39" s="1" t="s">
        <v>450</v>
      </c>
      <c r="M39" s="1" t="s">
        <v>1076</v>
      </c>
      <c r="N39" s="1" t="s">
        <v>451</v>
      </c>
      <c r="O39" s="1" t="s">
        <v>147</v>
      </c>
      <c r="P39" s="1" t="s">
        <v>452</v>
      </c>
      <c r="Q39" s="1" t="s">
        <v>118</v>
      </c>
      <c r="R39" s="1" t="s">
        <v>453</v>
      </c>
      <c r="S39" s="3">
        <v>370602000000000</v>
      </c>
      <c r="T39" s="1">
        <v>10179</v>
      </c>
      <c r="U39" s="1">
        <v>30</v>
      </c>
      <c r="V39" s="73">
        <f>COUNTIFS(sdata[CUST_ID],cdata[[#This Row],[CUST_ID]])</f>
        <v>2</v>
      </c>
      <c r="W39" s="73">
        <f>SUMIFS(sdata[ORDER_VALUE],sdata[CUST_ID],cdata[[#This Row],[CUST_ID]])</f>
        <v>79.67</v>
      </c>
    </row>
    <row r="40" spans="1:23" x14ac:dyDescent="0.3">
      <c r="A40" s="1" t="s">
        <v>454</v>
      </c>
      <c r="B40" s="1" t="s">
        <v>455</v>
      </c>
      <c r="C40" s="73" t="str">
        <f>cdata[[#This Row],[First Name]]&amp;" "&amp;cdata[[#This Row],[Last Name]]</f>
        <v>Arlene Cruz</v>
      </c>
      <c r="D40" s="1" t="s">
        <v>154</v>
      </c>
      <c r="E40" s="73" t="str">
        <f>IF(OR(cdata[[#This Row],[Gender_Code]] = "Mr.", cdata[[#This Row],[Gender_Code]]="Master."), "Male","Female")</f>
        <v>Female</v>
      </c>
      <c r="F40" s="1" t="s">
        <v>456</v>
      </c>
      <c r="G40" s="1" t="s">
        <v>457</v>
      </c>
      <c r="H40" s="1" t="s">
        <v>458</v>
      </c>
      <c r="I40" s="1" t="s">
        <v>144</v>
      </c>
      <c r="J40" s="73" t="str">
        <f>VLOOKUP(cdata[[#This Row],[COUNTRY_CODE]], cudata[], 2,0)</f>
        <v>America</v>
      </c>
      <c r="K40" s="1">
        <v>98002</v>
      </c>
      <c r="L40" s="1" t="s">
        <v>459</v>
      </c>
      <c r="M40" s="1" t="s">
        <v>1076</v>
      </c>
      <c r="N40" s="1" t="s">
        <v>460</v>
      </c>
      <c r="O40" s="1" t="s">
        <v>246</v>
      </c>
      <c r="P40" s="1" t="s">
        <v>335</v>
      </c>
      <c r="Q40" s="1" t="s">
        <v>65</v>
      </c>
      <c r="R40" s="1" t="s">
        <v>461</v>
      </c>
      <c r="S40" s="3">
        <v>3528030000000000</v>
      </c>
      <c r="T40" s="1">
        <v>10183</v>
      </c>
      <c r="U40" s="1">
        <v>35</v>
      </c>
      <c r="V40" s="73">
        <f>COUNTIFS(sdata[CUST_ID],cdata[[#This Row],[CUST_ID]])</f>
        <v>2</v>
      </c>
      <c r="W40" s="73">
        <f>SUMIFS(sdata[ORDER_VALUE],sdata[CUST_ID],cdata[[#This Row],[CUST_ID]])</f>
        <v>73.449999999999989</v>
      </c>
    </row>
    <row r="41" spans="1:23" x14ac:dyDescent="0.3">
      <c r="A41" s="1" t="s">
        <v>462</v>
      </c>
      <c r="B41" s="1" t="s">
        <v>463</v>
      </c>
      <c r="C41" s="73" t="str">
        <f>cdata[[#This Row],[First Name]]&amp;" "&amp;cdata[[#This Row],[Last Name]]</f>
        <v>Mildred Carey</v>
      </c>
      <c r="D41" s="1" t="s">
        <v>154</v>
      </c>
      <c r="E41" s="73" t="str">
        <f>IF(OR(cdata[[#This Row],[Gender_Code]] = "Mr.", cdata[[#This Row],[Gender_Code]]="Master."), "Male","Female")</f>
        <v>Female</v>
      </c>
      <c r="F41" s="1" t="s">
        <v>464</v>
      </c>
      <c r="G41" s="1" t="s">
        <v>465</v>
      </c>
      <c r="H41" s="73" t="str">
        <f>I41</f>
        <v>FR</v>
      </c>
      <c r="I41" s="1" t="s">
        <v>107</v>
      </c>
      <c r="J41" s="73" t="str">
        <f>VLOOKUP(cdata[[#This Row],[COUNTRY_CODE]], cudata[], 2,0)</f>
        <v>France</v>
      </c>
      <c r="K41" s="1">
        <v>93600</v>
      </c>
      <c r="L41" s="1" t="s">
        <v>466</v>
      </c>
      <c r="M41" s="1" t="s">
        <v>1076</v>
      </c>
      <c r="N41" s="1" t="s">
        <v>467</v>
      </c>
      <c r="O41" s="1" t="s">
        <v>147</v>
      </c>
      <c r="P41" s="1" t="s">
        <v>180</v>
      </c>
      <c r="Q41" s="1" t="s">
        <v>118</v>
      </c>
      <c r="R41" s="1" t="s">
        <v>468</v>
      </c>
      <c r="S41" s="3">
        <v>343374000000000</v>
      </c>
      <c r="T41" s="1">
        <v>10187</v>
      </c>
      <c r="U41" s="1">
        <v>75</v>
      </c>
      <c r="V41" s="73">
        <f>COUNTIFS(sdata[CUST_ID],cdata[[#This Row],[CUST_ID]])</f>
        <v>4</v>
      </c>
      <c r="W41" s="73">
        <f>SUMIFS(sdata[ORDER_VALUE],sdata[CUST_ID],cdata[[#This Row],[CUST_ID]])</f>
        <v>891.83999999999992</v>
      </c>
    </row>
    <row r="42" spans="1:23" x14ac:dyDescent="0.3">
      <c r="A42" s="1" t="s">
        <v>469</v>
      </c>
      <c r="B42" s="1" t="s">
        <v>470</v>
      </c>
      <c r="C42" s="73" t="str">
        <f>cdata[[#This Row],[First Name]]&amp;" "&amp;cdata[[#This Row],[Last Name]]</f>
        <v>Yasmin Cole</v>
      </c>
      <c r="D42" s="1" t="s">
        <v>154</v>
      </c>
      <c r="E42" s="73" t="str">
        <f>IF(OR(cdata[[#This Row],[Gender_Code]] = "Mr.", cdata[[#This Row],[Gender_Code]]="Master."), "Male","Female")</f>
        <v>Female</v>
      </c>
      <c r="F42" s="1" t="s">
        <v>471</v>
      </c>
      <c r="G42" s="1" t="s">
        <v>472</v>
      </c>
      <c r="H42" s="1" t="s">
        <v>275</v>
      </c>
      <c r="I42" s="1" t="s">
        <v>144</v>
      </c>
      <c r="J42" s="73" t="str">
        <f>VLOOKUP(cdata[[#This Row],[COUNTRY_CODE]], cudata[], 2,0)</f>
        <v>America</v>
      </c>
      <c r="K42" s="1">
        <v>78664</v>
      </c>
      <c r="L42" s="1" t="s">
        <v>473</v>
      </c>
      <c r="M42" s="1" t="s">
        <v>1075</v>
      </c>
      <c r="N42" s="1" t="s">
        <v>474</v>
      </c>
      <c r="O42" s="1" t="s">
        <v>92</v>
      </c>
      <c r="P42" s="1" t="s">
        <v>195</v>
      </c>
      <c r="Q42" s="1" t="s">
        <v>118</v>
      </c>
      <c r="R42" s="1" t="s">
        <v>475</v>
      </c>
      <c r="S42" s="3">
        <v>4761930000000000</v>
      </c>
      <c r="T42" s="1">
        <v>10195</v>
      </c>
      <c r="U42" s="1">
        <v>68</v>
      </c>
      <c r="V42" s="73">
        <f>COUNTIFS(sdata[CUST_ID],cdata[[#This Row],[CUST_ID]])</f>
        <v>5</v>
      </c>
      <c r="W42" s="73">
        <f>SUMIFS(sdata[ORDER_VALUE],sdata[CUST_ID],cdata[[#This Row],[CUST_ID]])</f>
        <v>1268.6399999999999</v>
      </c>
    </row>
    <row r="43" spans="1:23" x14ac:dyDescent="0.3">
      <c r="A43" s="1" t="s">
        <v>478</v>
      </c>
      <c r="B43" s="1" t="s">
        <v>479</v>
      </c>
      <c r="C43" s="73" t="str">
        <f>cdata[[#This Row],[First Name]]&amp;" "&amp;cdata[[#This Row],[Last Name]]</f>
        <v>Jodi Bugg</v>
      </c>
      <c r="D43" s="1" t="s">
        <v>154</v>
      </c>
      <c r="E43" s="73" t="str">
        <f>IF(OR(cdata[[#This Row],[Gender_Code]] = "Mr.", cdata[[#This Row],[Gender_Code]]="Master."), "Male","Female")</f>
        <v>Female</v>
      </c>
      <c r="F43" s="1" t="s">
        <v>480</v>
      </c>
      <c r="G43" s="1" t="s">
        <v>481</v>
      </c>
      <c r="H43" s="1" t="s">
        <v>157</v>
      </c>
      <c r="I43" s="1" t="s">
        <v>65</v>
      </c>
      <c r="J43" s="73" t="str">
        <f>VLOOKUP(cdata[[#This Row],[COUNTRY_CODE]], cudata[], 2,0)</f>
        <v>Italy</v>
      </c>
      <c r="K43" s="1">
        <v>38063</v>
      </c>
      <c r="L43" s="1" t="s">
        <v>482</v>
      </c>
      <c r="M43" s="1" t="s">
        <v>1074</v>
      </c>
      <c r="N43" s="1" t="s">
        <v>483</v>
      </c>
      <c r="O43" s="1" t="s">
        <v>147</v>
      </c>
      <c r="P43" s="1" t="s">
        <v>114</v>
      </c>
      <c r="Q43" s="1" t="s">
        <v>107</v>
      </c>
      <c r="R43" s="3">
        <v>253000000000000</v>
      </c>
      <c r="S43" s="3">
        <v>344866000000000</v>
      </c>
      <c r="T43" s="1">
        <v>10203</v>
      </c>
      <c r="U43" s="1">
        <v>38</v>
      </c>
      <c r="V43" s="73">
        <f>COUNTIFS(sdata[CUST_ID],cdata[[#This Row],[CUST_ID]])</f>
        <v>2</v>
      </c>
      <c r="W43" s="73">
        <f>SUMIFS(sdata[ORDER_VALUE],sdata[CUST_ID],cdata[[#This Row],[CUST_ID]])</f>
        <v>51.26</v>
      </c>
    </row>
    <row r="44" spans="1:23" x14ac:dyDescent="0.3">
      <c r="A44" s="1" t="s">
        <v>484</v>
      </c>
      <c r="B44" s="1" t="s">
        <v>485</v>
      </c>
      <c r="C44" s="73" t="str">
        <f>cdata[[#This Row],[First Name]]&amp;" "&amp;cdata[[#This Row],[Last Name]]</f>
        <v>Henry Williams</v>
      </c>
      <c r="D44" s="1" t="s">
        <v>61</v>
      </c>
      <c r="E44" s="73" t="str">
        <f>IF(OR(cdata[[#This Row],[Gender_Code]] = "Mr.", cdata[[#This Row],[Gender_Code]]="Master."), "Male","Female")</f>
        <v>Male</v>
      </c>
      <c r="F44" s="1" t="s">
        <v>486</v>
      </c>
      <c r="G44" s="1" t="s">
        <v>487</v>
      </c>
      <c r="H44" s="1" t="s">
        <v>488</v>
      </c>
      <c r="I44" s="1" t="s">
        <v>303</v>
      </c>
      <c r="J44" s="73" t="str">
        <f>VLOOKUP(cdata[[#This Row],[COUNTRY_CODE]], cudata[], 2,0)</f>
        <v>Australia</v>
      </c>
      <c r="K44" s="1">
        <v>4361</v>
      </c>
      <c r="L44" s="1" t="s">
        <v>489</v>
      </c>
      <c r="M44" s="1" t="s">
        <v>1074</v>
      </c>
      <c r="N44" s="1" t="s">
        <v>490</v>
      </c>
      <c r="O44" s="1" t="s">
        <v>147</v>
      </c>
      <c r="P44" s="1" t="s">
        <v>491</v>
      </c>
      <c r="Q44" s="1" t="s">
        <v>411</v>
      </c>
      <c r="R44" s="1" t="s">
        <v>492</v>
      </c>
      <c r="S44" s="3">
        <v>342963000000000</v>
      </c>
      <c r="T44" s="1">
        <v>10207</v>
      </c>
      <c r="U44" s="1">
        <v>70</v>
      </c>
      <c r="V44" s="73">
        <f>COUNTIFS(sdata[CUST_ID],cdata[[#This Row],[CUST_ID]])</f>
        <v>1</v>
      </c>
      <c r="W44" s="73">
        <f>SUMIFS(sdata[ORDER_VALUE],sdata[CUST_ID],cdata[[#This Row],[CUST_ID]])</f>
        <v>22.85</v>
      </c>
    </row>
    <row r="45" spans="1:23" x14ac:dyDescent="0.3">
      <c r="A45" s="1" t="s">
        <v>59</v>
      </c>
      <c r="B45" s="1" t="s">
        <v>493</v>
      </c>
      <c r="C45" s="73" t="str">
        <f>cdata[[#This Row],[First Name]]&amp;" "&amp;cdata[[#This Row],[Last Name]]</f>
        <v>Allen Rice</v>
      </c>
      <c r="D45" s="1" t="s">
        <v>61</v>
      </c>
      <c r="E45" s="73" t="str">
        <f>IF(OR(cdata[[#This Row],[Gender_Code]] = "Mr.", cdata[[#This Row],[Gender_Code]]="Master."), "Male","Female")</f>
        <v>Male</v>
      </c>
      <c r="F45" s="1" t="s">
        <v>494</v>
      </c>
      <c r="G45" s="1" t="s">
        <v>495</v>
      </c>
      <c r="H45" s="1" t="s">
        <v>302</v>
      </c>
      <c r="I45" s="1" t="s">
        <v>65</v>
      </c>
      <c r="J45" s="73" t="str">
        <f>VLOOKUP(cdata[[#This Row],[COUNTRY_CODE]], cudata[], 2,0)</f>
        <v>Italy</v>
      </c>
      <c r="K45" s="1">
        <v>84010</v>
      </c>
      <c r="L45" s="1" t="s">
        <v>496</v>
      </c>
      <c r="M45" s="1" t="s">
        <v>1075</v>
      </c>
      <c r="N45" s="1" t="s">
        <v>497</v>
      </c>
      <c r="O45" s="1" t="s">
        <v>92</v>
      </c>
      <c r="P45" s="1" t="s">
        <v>413</v>
      </c>
      <c r="Q45" s="1" t="s">
        <v>411</v>
      </c>
      <c r="R45" s="1" t="s">
        <v>498</v>
      </c>
      <c r="S45" s="3">
        <v>4433280000000000</v>
      </c>
      <c r="T45" s="1">
        <v>10211</v>
      </c>
      <c r="U45" s="1">
        <v>0</v>
      </c>
      <c r="V45" s="73">
        <f>COUNTIFS(sdata[CUST_ID],cdata[[#This Row],[CUST_ID]])</f>
        <v>3</v>
      </c>
      <c r="W45" s="73">
        <f>SUMIFS(sdata[ORDER_VALUE],sdata[CUST_ID],cdata[[#This Row],[CUST_ID]])</f>
        <v>342.38</v>
      </c>
    </row>
    <row r="46" spans="1:23" x14ac:dyDescent="0.3">
      <c r="A46" s="1" t="s">
        <v>499</v>
      </c>
      <c r="B46" s="1" t="s">
        <v>500</v>
      </c>
      <c r="C46" s="73" t="str">
        <f>cdata[[#This Row],[First Name]]&amp;" "&amp;cdata[[#This Row],[Last Name]]</f>
        <v>Bradford Claassen</v>
      </c>
      <c r="D46" s="1" t="s">
        <v>61</v>
      </c>
      <c r="E46" s="73" t="str">
        <f>IF(OR(cdata[[#This Row],[Gender_Code]] = "Mr.", cdata[[#This Row],[Gender_Code]]="Master."), "Male","Female")</f>
        <v>Male</v>
      </c>
      <c r="F46" s="1" t="s">
        <v>501</v>
      </c>
      <c r="G46" s="1" t="s">
        <v>502</v>
      </c>
      <c r="H46" s="1" t="s">
        <v>503</v>
      </c>
      <c r="I46" s="1" t="s">
        <v>65</v>
      </c>
      <c r="J46" s="73" t="str">
        <f>VLOOKUP(cdata[[#This Row],[COUNTRY_CODE]], cudata[], 2,0)</f>
        <v>Italy</v>
      </c>
      <c r="K46" s="1">
        <v>12071</v>
      </c>
      <c r="L46" s="1" t="s">
        <v>504</v>
      </c>
      <c r="M46" s="1" t="s">
        <v>1076</v>
      </c>
      <c r="N46" s="1" t="s">
        <v>505</v>
      </c>
      <c r="O46" s="1" t="s">
        <v>246</v>
      </c>
      <c r="P46" s="1" t="s">
        <v>268</v>
      </c>
      <c r="Q46" s="1" t="s">
        <v>107</v>
      </c>
      <c r="R46" s="3">
        <v>796000000000000</v>
      </c>
      <c r="S46" s="3">
        <v>3528170000000000</v>
      </c>
      <c r="T46" s="1">
        <v>10215</v>
      </c>
      <c r="U46" s="1">
        <v>0</v>
      </c>
      <c r="V46" s="73">
        <f>COUNTIFS(sdata[CUST_ID],cdata[[#This Row],[CUST_ID]])</f>
        <v>2</v>
      </c>
      <c r="W46" s="73">
        <f>SUMIFS(sdata[ORDER_VALUE],sdata[CUST_ID],cdata[[#This Row],[CUST_ID]])</f>
        <v>246.61</v>
      </c>
    </row>
    <row r="47" spans="1:23" x14ac:dyDescent="0.3">
      <c r="A47" s="1" t="s">
        <v>507</v>
      </c>
      <c r="B47" s="1" t="s">
        <v>221</v>
      </c>
      <c r="C47" s="73" t="str">
        <f>cdata[[#This Row],[First Name]]&amp;" "&amp;cdata[[#This Row],[Last Name]]</f>
        <v>Elizabeth Turner</v>
      </c>
      <c r="D47" s="1" t="s">
        <v>154</v>
      </c>
      <c r="E47" s="73" t="str">
        <f>IF(OR(cdata[[#This Row],[Gender_Code]] = "Mr.", cdata[[#This Row],[Gender_Code]]="Master."), "Male","Female")</f>
        <v>Female</v>
      </c>
      <c r="F47" s="1" t="s">
        <v>508</v>
      </c>
      <c r="G47" s="1" t="s">
        <v>509</v>
      </c>
      <c r="H47" s="1" t="s">
        <v>510</v>
      </c>
      <c r="I47" s="1" t="s">
        <v>65</v>
      </c>
      <c r="J47" s="73" t="str">
        <f>VLOOKUP(cdata[[#This Row],[COUNTRY_CODE]], cudata[], 2,0)</f>
        <v>Italy</v>
      </c>
      <c r="K47" s="1">
        <v>29100</v>
      </c>
      <c r="L47" s="1" t="s">
        <v>511</v>
      </c>
      <c r="M47" s="1" t="s">
        <v>1077</v>
      </c>
      <c r="N47" s="1" t="s">
        <v>512</v>
      </c>
      <c r="O47" s="1" t="s">
        <v>147</v>
      </c>
      <c r="P47" s="1" t="s">
        <v>258</v>
      </c>
      <c r="Q47" s="1" t="s">
        <v>118</v>
      </c>
      <c r="R47" s="1" t="s">
        <v>513</v>
      </c>
      <c r="S47" s="3">
        <v>344368000000000</v>
      </c>
      <c r="T47" s="1">
        <v>10219</v>
      </c>
      <c r="U47" s="1">
        <v>45</v>
      </c>
      <c r="V47" s="73">
        <f>COUNTIFS(sdata[CUST_ID],cdata[[#This Row],[CUST_ID]])</f>
        <v>2</v>
      </c>
      <c r="W47" s="73">
        <f>SUMIFS(sdata[ORDER_VALUE],sdata[CUST_ID],cdata[[#This Row],[CUST_ID]])</f>
        <v>49.260000000000005</v>
      </c>
    </row>
    <row r="48" spans="1:23" x14ac:dyDescent="0.3">
      <c r="A48" s="1" t="s">
        <v>515</v>
      </c>
      <c r="B48" s="1" t="s">
        <v>516</v>
      </c>
      <c r="C48" s="73" t="str">
        <f>cdata[[#This Row],[First Name]]&amp;" "&amp;cdata[[#This Row],[Last Name]]</f>
        <v>Dwight Armenta</v>
      </c>
      <c r="D48" s="1" t="s">
        <v>61</v>
      </c>
      <c r="E48" s="73" t="str">
        <f>IF(OR(cdata[[#This Row],[Gender_Code]] = "Mr.", cdata[[#This Row],[Gender_Code]]="Master."), "Male","Female")</f>
        <v>Male</v>
      </c>
      <c r="F48" s="1" t="s">
        <v>517</v>
      </c>
      <c r="G48" s="1" t="s">
        <v>518</v>
      </c>
      <c r="H48" s="1" t="s">
        <v>254</v>
      </c>
      <c r="I48" s="1" t="s">
        <v>144</v>
      </c>
      <c r="J48" s="73" t="str">
        <f>VLOOKUP(cdata[[#This Row],[COUNTRY_CODE]], cudata[], 2,0)</f>
        <v>America</v>
      </c>
      <c r="K48" s="1">
        <v>93307</v>
      </c>
      <c r="L48" s="1" t="s">
        <v>519</v>
      </c>
      <c r="M48" s="1" t="s">
        <v>1078</v>
      </c>
      <c r="N48" s="1" t="s">
        <v>520</v>
      </c>
      <c r="O48" s="1" t="s">
        <v>205</v>
      </c>
      <c r="P48" s="1" t="s">
        <v>93</v>
      </c>
      <c r="Q48" s="1" t="s">
        <v>254</v>
      </c>
      <c r="R48" s="1">
        <v>321140626</v>
      </c>
      <c r="S48" s="3">
        <v>36846700000000</v>
      </c>
      <c r="T48" s="1">
        <v>10223</v>
      </c>
      <c r="U48" s="1">
        <v>24</v>
      </c>
      <c r="V48" s="73">
        <f>COUNTIFS(sdata[CUST_ID],cdata[[#This Row],[CUST_ID]])</f>
        <v>3</v>
      </c>
      <c r="W48" s="73">
        <f>SUMIFS(sdata[ORDER_VALUE],sdata[CUST_ID],cdata[[#This Row],[CUST_ID]])</f>
        <v>225.99</v>
      </c>
    </row>
    <row r="49" spans="1:23" x14ac:dyDescent="0.3">
      <c r="A49" s="1" t="s">
        <v>291</v>
      </c>
      <c r="B49" s="1" t="s">
        <v>523</v>
      </c>
      <c r="C49" s="73" t="str">
        <f>cdata[[#This Row],[First Name]]&amp;" "&amp;cdata[[#This Row],[Last Name]]</f>
        <v>Michael Pritchard</v>
      </c>
      <c r="D49" s="1" t="s">
        <v>61</v>
      </c>
      <c r="E49" s="73" t="str">
        <f>IF(OR(cdata[[#This Row],[Gender_Code]] = "Mr.", cdata[[#This Row],[Gender_Code]]="Master."), "Male","Female")</f>
        <v>Male</v>
      </c>
      <c r="F49" s="1" t="s">
        <v>524</v>
      </c>
      <c r="G49" s="1" t="s">
        <v>525</v>
      </c>
      <c r="H49" s="1" t="s">
        <v>526</v>
      </c>
      <c r="I49" s="1" t="s">
        <v>303</v>
      </c>
      <c r="J49" s="73" t="str">
        <f>VLOOKUP(cdata[[#This Row],[COUNTRY_CODE]], cudata[], 2,0)</f>
        <v>Australia</v>
      </c>
      <c r="K49" s="1">
        <v>3340</v>
      </c>
      <c r="L49" s="1" t="s">
        <v>527</v>
      </c>
      <c r="M49" s="1" t="s">
        <v>1077</v>
      </c>
      <c r="N49" s="1" t="s">
        <v>528</v>
      </c>
      <c r="O49" s="1" t="s">
        <v>205</v>
      </c>
      <c r="P49" s="1" t="s">
        <v>160</v>
      </c>
      <c r="Q49" s="1" t="s">
        <v>254</v>
      </c>
      <c r="R49" s="1">
        <v>329443600</v>
      </c>
      <c r="S49" s="3">
        <v>36204600000000</v>
      </c>
      <c r="T49" s="1">
        <v>10227</v>
      </c>
      <c r="U49" s="1">
        <v>36</v>
      </c>
      <c r="V49" s="73">
        <f>COUNTIFS(sdata[CUST_ID],cdata[[#This Row],[CUST_ID]])</f>
        <v>2</v>
      </c>
      <c r="W49" s="73">
        <f>SUMIFS(sdata[ORDER_VALUE],sdata[CUST_ID],cdata[[#This Row],[CUST_ID]])</f>
        <v>366</v>
      </c>
    </row>
    <row r="50" spans="1:23" x14ac:dyDescent="0.3">
      <c r="A50" s="1" t="s">
        <v>507</v>
      </c>
      <c r="B50" s="1" t="s">
        <v>529</v>
      </c>
      <c r="C50" s="73" t="str">
        <f>cdata[[#This Row],[First Name]]&amp;" "&amp;cdata[[#This Row],[Last Name]]</f>
        <v>Elizabeth Martinez</v>
      </c>
      <c r="D50" s="1" t="s">
        <v>154</v>
      </c>
      <c r="E50" s="73" t="str">
        <f>IF(OR(cdata[[#This Row],[Gender_Code]] = "Mr.", cdata[[#This Row],[Gender_Code]]="Master."), "Male","Female")</f>
        <v>Female</v>
      </c>
      <c r="F50" s="1" t="s">
        <v>530</v>
      </c>
      <c r="G50" s="1" t="s">
        <v>531</v>
      </c>
      <c r="H50" s="1" t="s">
        <v>243</v>
      </c>
      <c r="I50" s="1" t="s">
        <v>144</v>
      </c>
      <c r="J50" s="73" t="str">
        <f>VLOOKUP(cdata[[#This Row],[COUNTRY_CODE]], cudata[], 2,0)</f>
        <v>America</v>
      </c>
      <c r="K50" s="1">
        <v>21202</v>
      </c>
      <c r="L50" s="1" t="s">
        <v>532</v>
      </c>
      <c r="M50" s="1" t="s">
        <v>1076</v>
      </c>
      <c r="N50" s="1" t="s">
        <v>533</v>
      </c>
      <c r="O50" s="1" t="s">
        <v>205</v>
      </c>
      <c r="P50" s="1" t="s">
        <v>534</v>
      </c>
      <c r="Q50" s="1" t="s">
        <v>65</v>
      </c>
      <c r="R50" s="1" t="s">
        <v>535</v>
      </c>
      <c r="S50" s="3">
        <v>36165000000000</v>
      </c>
      <c r="T50" s="1">
        <v>10231</v>
      </c>
      <c r="U50" s="1">
        <v>73</v>
      </c>
      <c r="V50" s="73">
        <f>COUNTIFS(sdata[CUST_ID],cdata[[#This Row],[CUST_ID]])</f>
        <v>2</v>
      </c>
      <c r="W50" s="73">
        <f>SUMIFS(sdata[ORDER_VALUE],sdata[CUST_ID],cdata[[#This Row],[CUST_ID]])</f>
        <v>431.39</v>
      </c>
    </row>
    <row r="51" spans="1:23" x14ac:dyDescent="0.3">
      <c r="A51" s="1" t="s">
        <v>536</v>
      </c>
      <c r="B51" s="1" t="s">
        <v>537</v>
      </c>
      <c r="C51" s="73" t="str">
        <f>cdata[[#This Row],[First Name]]&amp;" "&amp;cdata[[#This Row],[Last Name]]</f>
        <v>Mary Bates</v>
      </c>
      <c r="D51" s="1" t="s">
        <v>154</v>
      </c>
      <c r="E51" s="73" t="str">
        <f>IF(OR(cdata[[#This Row],[Gender_Code]] = "Mr.", cdata[[#This Row],[Gender_Code]]="Master."), "Male","Female")</f>
        <v>Female</v>
      </c>
      <c r="F51" s="1" t="s">
        <v>538</v>
      </c>
      <c r="G51" s="1" t="s">
        <v>531</v>
      </c>
      <c r="H51" s="1" t="s">
        <v>243</v>
      </c>
      <c r="I51" s="1" t="s">
        <v>144</v>
      </c>
      <c r="J51" s="73" t="str">
        <f>VLOOKUP(cdata[[#This Row],[COUNTRY_CODE]], cudata[], 2,0)</f>
        <v>America</v>
      </c>
      <c r="K51" s="1">
        <v>21201</v>
      </c>
      <c r="L51" s="1" t="s">
        <v>539</v>
      </c>
      <c r="M51" s="1" t="s">
        <v>1075</v>
      </c>
      <c r="N51" s="1" t="s">
        <v>540</v>
      </c>
      <c r="O51" s="1" t="s">
        <v>205</v>
      </c>
      <c r="P51" s="1" t="s">
        <v>197</v>
      </c>
      <c r="Q51" s="1" t="s">
        <v>118</v>
      </c>
      <c r="R51" s="1" t="s">
        <v>541</v>
      </c>
      <c r="S51" s="3">
        <v>36810400000000</v>
      </c>
      <c r="T51" s="1">
        <v>10235</v>
      </c>
      <c r="U51" s="1">
        <v>0</v>
      </c>
      <c r="V51" s="73">
        <f>COUNTIFS(sdata[CUST_ID],cdata[[#This Row],[CUST_ID]])</f>
        <v>2</v>
      </c>
      <c r="W51" s="73">
        <f>SUMIFS(sdata[ORDER_VALUE],sdata[CUST_ID],cdata[[#This Row],[CUST_ID]])</f>
        <v>79.739999999999995</v>
      </c>
    </row>
    <row r="52" spans="1:23" x14ac:dyDescent="0.3">
      <c r="A52" s="1" t="s">
        <v>542</v>
      </c>
      <c r="B52" s="1" t="s">
        <v>543</v>
      </c>
      <c r="C52" s="73" t="str">
        <f>cdata[[#This Row],[First Name]]&amp;" "&amp;cdata[[#This Row],[Last Name]]</f>
        <v>Mandy Fernandez</v>
      </c>
      <c r="D52" s="1" t="s">
        <v>154</v>
      </c>
      <c r="E52" s="73" t="str">
        <f>IF(OR(cdata[[#This Row],[Gender_Code]] = "Mr.", cdata[[#This Row],[Gender_Code]]="Master."), "Male","Female")</f>
        <v>Female</v>
      </c>
      <c r="F52" s="1" t="s">
        <v>544</v>
      </c>
      <c r="G52" s="1" t="s">
        <v>545</v>
      </c>
      <c r="H52" s="1" t="s">
        <v>364</v>
      </c>
      <c r="I52" s="1" t="s">
        <v>303</v>
      </c>
      <c r="J52" s="73" t="str">
        <f>VLOOKUP(cdata[[#This Row],[COUNTRY_CODE]], cudata[], 2,0)</f>
        <v>Australia</v>
      </c>
      <c r="K52" s="1">
        <v>2486</v>
      </c>
      <c r="L52" s="1" t="s">
        <v>546</v>
      </c>
      <c r="M52" s="1" t="s">
        <v>1075</v>
      </c>
      <c r="N52" s="1" t="s">
        <v>547</v>
      </c>
      <c r="O52" s="1" t="s">
        <v>68</v>
      </c>
      <c r="P52" s="1" t="s">
        <v>308</v>
      </c>
      <c r="Q52" s="1" t="s">
        <v>118</v>
      </c>
      <c r="R52" s="1" t="s">
        <v>548</v>
      </c>
      <c r="S52" s="3">
        <v>5167670000000000</v>
      </c>
      <c r="T52" s="1">
        <v>10239</v>
      </c>
      <c r="U52" s="1">
        <v>42</v>
      </c>
      <c r="V52" s="73">
        <f>COUNTIFS(sdata[CUST_ID],cdata[[#This Row],[CUST_ID]])</f>
        <v>1</v>
      </c>
      <c r="W52" s="73">
        <f>SUMIFS(sdata[ORDER_VALUE],sdata[CUST_ID],cdata[[#This Row],[CUST_ID]])</f>
        <v>32.99</v>
      </c>
    </row>
    <row r="53" spans="1:23" x14ac:dyDescent="0.3">
      <c r="A53" s="1" t="s">
        <v>549</v>
      </c>
      <c r="B53" s="1" t="s">
        <v>550</v>
      </c>
      <c r="C53" s="73" t="str">
        <f>cdata[[#This Row],[First Name]]&amp;" "&amp;cdata[[#This Row],[Last Name]]</f>
        <v>Megan Mauro</v>
      </c>
      <c r="D53" s="1" t="s">
        <v>154</v>
      </c>
      <c r="E53" s="73" t="str">
        <f>IF(OR(cdata[[#This Row],[Gender_Code]] = "Mr.", cdata[[#This Row],[Gender_Code]]="Master."), "Male","Female")</f>
        <v>Female</v>
      </c>
      <c r="F53" s="1" t="s">
        <v>551</v>
      </c>
      <c r="G53" s="1" t="s">
        <v>552</v>
      </c>
      <c r="H53" s="1" t="s">
        <v>553</v>
      </c>
      <c r="I53" s="1" t="s">
        <v>144</v>
      </c>
      <c r="J53" s="73" t="str">
        <f>VLOOKUP(cdata[[#This Row],[COUNTRY_CODE]], cudata[], 2,0)</f>
        <v>America</v>
      </c>
      <c r="K53" s="1">
        <v>29812</v>
      </c>
      <c r="L53" s="1" t="s">
        <v>554</v>
      </c>
      <c r="M53" s="1" t="s">
        <v>1075</v>
      </c>
      <c r="N53" s="1" t="s">
        <v>555</v>
      </c>
      <c r="O53" s="1" t="s">
        <v>92</v>
      </c>
      <c r="P53" s="1" t="s">
        <v>248</v>
      </c>
      <c r="Q53" s="1" t="s">
        <v>254</v>
      </c>
      <c r="R53" s="1">
        <v>391138112</v>
      </c>
      <c r="S53" s="3">
        <v>4770340000000000</v>
      </c>
      <c r="T53" s="1">
        <v>10243</v>
      </c>
      <c r="U53" s="1">
        <v>48</v>
      </c>
      <c r="V53" s="73">
        <f>COUNTIFS(sdata[CUST_ID],cdata[[#This Row],[CUST_ID]])</f>
        <v>1</v>
      </c>
      <c r="W53" s="73">
        <f>SUMIFS(sdata[ORDER_VALUE],sdata[CUST_ID],cdata[[#This Row],[CUST_ID]])</f>
        <v>41.89</v>
      </c>
    </row>
    <row r="54" spans="1:23" x14ac:dyDescent="0.3">
      <c r="A54" s="1" t="s">
        <v>139</v>
      </c>
      <c r="B54" s="1" t="s">
        <v>556</v>
      </c>
      <c r="C54" s="73" t="str">
        <f>cdata[[#This Row],[First Name]]&amp;" "&amp;cdata[[#This Row],[Last Name]]</f>
        <v>John Riley</v>
      </c>
      <c r="D54" s="1" t="s">
        <v>61</v>
      </c>
      <c r="E54" s="73" t="str">
        <f>IF(OR(cdata[[#This Row],[Gender_Code]] = "Mr.", cdata[[#This Row],[Gender_Code]]="Master."), "Male","Female")</f>
        <v>Male</v>
      </c>
      <c r="F54" s="1" t="s">
        <v>557</v>
      </c>
      <c r="G54" s="1" t="s">
        <v>558</v>
      </c>
      <c r="H54" s="73" t="str">
        <f>I54</f>
        <v>DE</v>
      </c>
      <c r="I54" s="1" t="s">
        <v>89</v>
      </c>
      <c r="J54" s="73" t="str">
        <f>VLOOKUP(cdata[[#This Row],[COUNTRY_CODE]], cudata[], 2,0)</f>
        <v>Denmark</v>
      </c>
      <c r="K54" s="1">
        <v>22885</v>
      </c>
      <c r="L54" s="1" t="s">
        <v>559</v>
      </c>
      <c r="M54" s="1" t="s">
        <v>1074</v>
      </c>
      <c r="N54" s="1" t="s">
        <v>560</v>
      </c>
      <c r="O54" s="1" t="s">
        <v>121</v>
      </c>
      <c r="P54" s="1" t="s">
        <v>192</v>
      </c>
      <c r="Q54" s="1" t="s">
        <v>70</v>
      </c>
      <c r="R54" s="1">
        <v>441590001</v>
      </c>
      <c r="S54" s="3">
        <v>6011000000000000</v>
      </c>
      <c r="T54" s="1">
        <v>10247</v>
      </c>
      <c r="U54" s="1">
        <v>40</v>
      </c>
      <c r="V54" s="73">
        <f>COUNTIFS(sdata[CUST_ID],cdata[[#This Row],[CUST_ID]])</f>
        <v>1</v>
      </c>
      <c r="W54" s="73">
        <f>SUMIFS(sdata[ORDER_VALUE],sdata[CUST_ID],cdata[[#This Row],[CUST_ID]])</f>
        <v>100.5</v>
      </c>
    </row>
    <row r="55" spans="1:23" x14ac:dyDescent="0.3">
      <c r="A55" s="1" t="s">
        <v>561</v>
      </c>
      <c r="B55" s="1" t="s">
        <v>562</v>
      </c>
      <c r="C55" s="73" t="str">
        <f>cdata[[#This Row],[First Name]]&amp;" "&amp;cdata[[#This Row],[Last Name]]</f>
        <v>Felix Myers</v>
      </c>
      <c r="D55" s="1" t="s">
        <v>61</v>
      </c>
      <c r="E55" s="73" t="str">
        <f>IF(OR(cdata[[#This Row],[Gender_Code]] = "Mr.", cdata[[#This Row],[Gender_Code]]="Master."), "Male","Female")</f>
        <v>Male</v>
      </c>
      <c r="F55" s="1" t="s">
        <v>563</v>
      </c>
      <c r="G55" s="1" t="s">
        <v>564</v>
      </c>
      <c r="H55" s="1" t="s">
        <v>565</v>
      </c>
      <c r="I55" s="1" t="s">
        <v>65</v>
      </c>
      <c r="J55" s="73" t="str">
        <f>VLOOKUP(cdata[[#This Row],[COUNTRY_CODE]], cudata[], 2,0)</f>
        <v>Italy</v>
      </c>
      <c r="K55" s="1">
        <v>7020</v>
      </c>
      <c r="L55" s="1" t="s">
        <v>566</v>
      </c>
      <c r="M55" s="1" t="s">
        <v>1076</v>
      </c>
      <c r="N55" s="1" t="s">
        <v>567</v>
      </c>
      <c r="O55" s="1" t="s">
        <v>92</v>
      </c>
      <c r="P55" s="1" t="s">
        <v>82</v>
      </c>
      <c r="Q55" s="1" t="s">
        <v>411</v>
      </c>
      <c r="R55" s="1" t="s">
        <v>568</v>
      </c>
      <c r="S55" s="3">
        <v>4907840000000000</v>
      </c>
      <c r="T55" s="1">
        <v>10251</v>
      </c>
      <c r="U55" s="1">
        <v>52</v>
      </c>
      <c r="V55" s="73">
        <f>COUNTIFS(sdata[CUST_ID],cdata[[#This Row],[CUST_ID]])</f>
        <v>3</v>
      </c>
      <c r="W55" s="73">
        <f>SUMIFS(sdata[ORDER_VALUE],sdata[CUST_ID],cdata[[#This Row],[CUST_ID]])</f>
        <v>132.23000000000002</v>
      </c>
    </row>
    <row r="56" spans="1:23" x14ac:dyDescent="0.3">
      <c r="A56" s="1" t="s">
        <v>570</v>
      </c>
      <c r="B56" s="1" t="s">
        <v>571</v>
      </c>
      <c r="C56" s="73" t="str">
        <f>cdata[[#This Row],[First Name]]&amp;" "&amp;cdata[[#This Row],[Last Name]]</f>
        <v>Frank Westra</v>
      </c>
      <c r="D56" s="1" t="s">
        <v>61</v>
      </c>
      <c r="E56" s="73" t="str">
        <f>IF(OR(cdata[[#This Row],[Gender_Code]] = "Mr.", cdata[[#This Row],[Gender_Code]]="Master."), "Male","Female")</f>
        <v>Male</v>
      </c>
      <c r="F56" s="1" t="s">
        <v>572</v>
      </c>
      <c r="G56" s="1" t="s">
        <v>573</v>
      </c>
      <c r="H56" s="1" t="s">
        <v>224</v>
      </c>
      <c r="I56" s="1" t="s">
        <v>144</v>
      </c>
      <c r="J56" s="73" t="str">
        <f>VLOOKUP(cdata[[#This Row],[COUNTRY_CODE]], cudata[], 2,0)</f>
        <v>America</v>
      </c>
      <c r="K56" s="1">
        <v>70806</v>
      </c>
      <c r="L56" s="1" t="s">
        <v>574</v>
      </c>
      <c r="M56" s="1" t="s">
        <v>1074</v>
      </c>
      <c r="N56" s="1" t="s">
        <v>575</v>
      </c>
      <c r="O56" s="1" t="s">
        <v>92</v>
      </c>
      <c r="P56" s="1" t="s">
        <v>576</v>
      </c>
      <c r="Q56" s="1" t="s">
        <v>107</v>
      </c>
      <c r="R56" s="3">
        <v>739000000000000</v>
      </c>
      <c r="S56" s="3">
        <v>4784850000000000</v>
      </c>
      <c r="T56" s="1">
        <v>10259</v>
      </c>
      <c r="U56" s="1">
        <v>24</v>
      </c>
      <c r="V56" s="73">
        <f>COUNTIFS(sdata[CUST_ID],cdata[[#This Row],[CUST_ID]])</f>
        <v>2</v>
      </c>
      <c r="W56" s="73">
        <f>SUMIFS(sdata[ORDER_VALUE],sdata[CUST_ID],cdata[[#This Row],[CUST_ID]])</f>
        <v>305.89</v>
      </c>
    </row>
    <row r="57" spans="1:23" x14ac:dyDescent="0.3">
      <c r="A57" s="1" t="s">
        <v>578</v>
      </c>
      <c r="B57" s="1" t="s">
        <v>101</v>
      </c>
      <c r="C57" s="73" t="str">
        <f>cdata[[#This Row],[First Name]]&amp;" "&amp;cdata[[#This Row],[Last Name]]</f>
        <v>Jack Owens</v>
      </c>
      <c r="D57" s="1" t="s">
        <v>61</v>
      </c>
      <c r="E57" s="73" t="str">
        <f>IF(OR(cdata[[#This Row],[Gender_Code]] = "Mr.", cdata[[#This Row],[Gender_Code]]="Master."), "Male","Female")</f>
        <v>Male</v>
      </c>
      <c r="F57" s="1" t="s">
        <v>579</v>
      </c>
      <c r="G57" s="1" t="s">
        <v>580</v>
      </c>
      <c r="H57" s="73" t="str">
        <f>I57</f>
        <v>ES</v>
      </c>
      <c r="I57" s="1" t="s">
        <v>118</v>
      </c>
      <c r="J57" s="73" t="str">
        <f>VLOOKUP(cdata[[#This Row],[COUNTRY_CODE]], cudata[], 2,0)</f>
        <v>Spain</v>
      </c>
      <c r="K57" s="1">
        <v>20200</v>
      </c>
      <c r="L57" s="1" t="s">
        <v>581</v>
      </c>
      <c r="M57" s="1" t="s">
        <v>1074</v>
      </c>
      <c r="N57" s="1" t="s">
        <v>582</v>
      </c>
      <c r="O57" s="1" t="s">
        <v>121</v>
      </c>
      <c r="P57" s="1" t="s">
        <v>281</v>
      </c>
      <c r="Q57" s="1" t="s">
        <v>107</v>
      </c>
      <c r="R57" s="3">
        <v>163000000000000</v>
      </c>
      <c r="S57" s="3">
        <v>6011770000000000</v>
      </c>
      <c r="T57" s="1">
        <v>10263</v>
      </c>
      <c r="U57" s="1">
        <v>69</v>
      </c>
      <c r="V57" s="73">
        <f>COUNTIFS(sdata[CUST_ID],cdata[[#This Row],[CUST_ID]])</f>
        <v>1</v>
      </c>
      <c r="W57" s="73">
        <f>SUMIFS(sdata[ORDER_VALUE],sdata[CUST_ID],cdata[[#This Row],[CUST_ID]])</f>
        <v>192.48</v>
      </c>
    </row>
    <row r="58" spans="1:23" x14ac:dyDescent="0.3">
      <c r="A58" s="1" t="s">
        <v>583</v>
      </c>
      <c r="B58" s="1" t="s">
        <v>584</v>
      </c>
      <c r="C58" s="73" t="str">
        <f>cdata[[#This Row],[First Name]]&amp;" "&amp;cdata[[#This Row],[Last Name]]</f>
        <v>Therese Pickering</v>
      </c>
      <c r="D58" s="1" t="s">
        <v>154</v>
      </c>
      <c r="E58" s="73" t="str">
        <f>IF(OR(cdata[[#This Row],[Gender_Code]] = "Mr.", cdata[[#This Row],[Gender_Code]]="Master."), "Male","Female")</f>
        <v>Female</v>
      </c>
      <c r="F58" s="1" t="s">
        <v>585</v>
      </c>
      <c r="G58" s="1" t="s">
        <v>586</v>
      </c>
      <c r="H58" s="1" t="s">
        <v>587</v>
      </c>
      <c r="I58" s="1" t="s">
        <v>144</v>
      </c>
      <c r="J58" s="73" t="str">
        <f>VLOOKUP(cdata[[#This Row],[COUNTRY_CODE]], cudata[], 2,0)</f>
        <v>America</v>
      </c>
      <c r="K58" s="1">
        <v>58622</v>
      </c>
      <c r="L58" s="1" t="s">
        <v>588</v>
      </c>
      <c r="M58" s="1" t="s">
        <v>1074</v>
      </c>
      <c r="N58" s="1" t="s">
        <v>589</v>
      </c>
      <c r="O58" s="1" t="s">
        <v>147</v>
      </c>
      <c r="P58" s="1" t="s">
        <v>590</v>
      </c>
      <c r="Q58" s="1" t="s">
        <v>107</v>
      </c>
      <c r="R58" s="3">
        <v>215000000000000</v>
      </c>
      <c r="S58" s="3">
        <v>344896000000000</v>
      </c>
      <c r="T58" s="1">
        <v>10271</v>
      </c>
      <c r="U58" s="1">
        <v>31</v>
      </c>
      <c r="V58" s="73">
        <f>COUNTIFS(sdata[CUST_ID],cdata[[#This Row],[CUST_ID]])</f>
        <v>2</v>
      </c>
      <c r="W58" s="73">
        <f>SUMIFS(sdata[ORDER_VALUE],sdata[CUST_ID],cdata[[#This Row],[CUST_ID]])</f>
        <v>61.08</v>
      </c>
    </row>
    <row r="59" spans="1:23" x14ac:dyDescent="0.3">
      <c r="A59" s="1" t="s">
        <v>336</v>
      </c>
      <c r="B59" s="1" t="s">
        <v>591</v>
      </c>
      <c r="C59" s="73" t="str">
        <f>cdata[[#This Row],[First Name]]&amp;" "&amp;cdata[[#This Row],[Last Name]]</f>
        <v>Robert Ojeda</v>
      </c>
      <c r="D59" s="1" t="s">
        <v>61</v>
      </c>
      <c r="E59" s="73" t="str">
        <f>IF(OR(cdata[[#This Row],[Gender_Code]] = "Mr.", cdata[[#This Row],[Gender_Code]]="Master."), "Male","Female")</f>
        <v>Male</v>
      </c>
      <c r="F59" s="1" t="s">
        <v>592</v>
      </c>
      <c r="G59" s="1" t="s">
        <v>593</v>
      </c>
      <c r="H59" s="1" t="s">
        <v>594</v>
      </c>
      <c r="I59" s="1" t="s">
        <v>144</v>
      </c>
      <c r="J59" s="73" t="str">
        <f>VLOOKUP(cdata[[#This Row],[COUNTRY_CODE]], cudata[], 2,0)</f>
        <v>America</v>
      </c>
      <c r="K59" s="1">
        <v>62220</v>
      </c>
      <c r="L59" s="1" t="s">
        <v>595</v>
      </c>
      <c r="M59" s="1" t="s">
        <v>1076</v>
      </c>
      <c r="N59" s="1" t="s">
        <v>596</v>
      </c>
      <c r="O59" s="1" t="s">
        <v>246</v>
      </c>
      <c r="P59" s="1" t="s">
        <v>452</v>
      </c>
      <c r="Q59" s="1" t="s">
        <v>107</v>
      </c>
      <c r="R59" s="3">
        <v>229000000000000</v>
      </c>
      <c r="S59" s="3">
        <v>3528360000000000</v>
      </c>
      <c r="T59" s="1">
        <v>10275</v>
      </c>
      <c r="U59" s="1">
        <v>76</v>
      </c>
      <c r="V59" s="73">
        <f>COUNTIFS(sdata[CUST_ID],cdata[[#This Row],[CUST_ID]])</f>
        <v>2</v>
      </c>
      <c r="W59" s="73">
        <f>SUMIFS(sdata[ORDER_VALUE],sdata[CUST_ID],cdata[[#This Row],[CUST_ID]])</f>
        <v>369.53</v>
      </c>
    </row>
    <row r="60" spans="1:23" x14ac:dyDescent="0.3">
      <c r="A60" s="1" t="s">
        <v>100</v>
      </c>
      <c r="B60" s="1" t="s">
        <v>597</v>
      </c>
      <c r="C60" s="73" t="str">
        <f>cdata[[#This Row],[First Name]]&amp;" "&amp;cdata[[#This Row],[Last Name]]</f>
        <v>Thomas Farris</v>
      </c>
      <c r="D60" s="1" t="s">
        <v>61</v>
      </c>
      <c r="E60" s="73" t="str">
        <f>IF(OR(cdata[[#This Row],[Gender_Code]] = "Mr.", cdata[[#This Row],[Gender_Code]]="Master."), "Male","Female")</f>
        <v>Male</v>
      </c>
      <c r="F60" s="1" t="s">
        <v>598</v>
      </c>
      <c r="G60" s="1" t="s">
        <v>599</v>
      </c>
      <c r="H60" s="1" t="s">
        <v>243</v>
      </c>
      <c r="I60" s="1" t="s">
        <v>144</v>
      </c>
      <c r="J60" s="73" t="str">
        <f>VLOOKUP(cdata[[#This Row],[COUNTRY_CODE]], cudata[], 2,0)</f>
        <v>America</v>
      </c>
      <c r="K60" s="1">
        <v>20705</v>
      </c>
      <c r="L60" s="1" t="s">
        <v>600</v>
      </c>
      <c r="M60" s="1" t="s">
        <v>1074</v>
      </c>
      <c r="N60" s="1" t="s">
        <v>601</v>
      </c>
      <c r="O60" s="1" t="s">
        <v>205</v>
      </c>
      <c r="P60" s="1" t="s">
        <v>602</v>
      </c>
      <c r="Q60" s="1" t="s">
        <v>254</v>
      </c>
      <c r="R60" s="1">
        <v>751454315</v>
      </c>
      <c r="S60" s="3">
        <v>36185500000000</v>
      </c>
      <c r="T60" s="1">
        <v>10283</v>
      </c>
      <c r="U60" s="1">
        <v>68</v>
      </c>
      <c r="V60" s="73">
        <f>COUNTIFS(sdata[CUST_ID],cdata[[#This Row],[CUST_ID]])</f>
        <v>4</v>
      </c>
      <c r="W60" s="73">
        <f>SUMIFS(sdata[ORDER_VALUE],sdata[CUST_ID],cdata[[#This Row],[CUST_ID]])</f>
        <v>801.18</v>
      </c>
    </row>
    <row r="61" spans="1:23" x14ac:dyDescent="0.3">
      <c r="A61" s="1" t="s">
        <v>604</v>
      </c>
      <c r="B61" s="1" t="s">
        <v>605</v>
      </c>
      <c r="C61" s="73" t="str">
        <f>cdata[[#This Row],[First Name]]&amp;" "&amp;cdata[[#This Row],[Last Name]]</f>
        <v>Joseph Shafer</v>
      </c>
      <c r="D61" s="1" t="s">
        <v>61</v>
      </c>
      <c r="E61" s="73" t="str">
        <f>IF(OR(cdata[[#This Row],[Gender_Code]] = "Mr.", cdata[[#This Row],[Gender_Code]]="Master."), "Male","Female")</f>
        <v>Male</v>
      </c>
      <c r="F61" s="1" t="s">
        <v>606</v>
      </c>
      <c r="G61" s="1" t="s">
        <v>599</v>
      </c>
      <c r="H61" s="1" t="s">
        <v>243</v>
      </c>
      <c r="I61" s="1" t="s">
        <v>144</v>
      </c>
      <c r="J61" s="73" t="str">
        <f>VLOOKUP(cdata[[#This Row],[COUNTRY_CODE]], cudata[], 2,0)</f>
        <v>America</v>
      </c>
      <c r="K61" s="1">
        <v>20705</v>
      </c>
      <c r="L61" s="1" t="s">
        <v>607</v>
      </c>
      <c r="M61" s="1" t="s">
        <v>1077</v>
      </c>
      <c r="N61" s="1" t="s">
        <v>608</v>
      </c>
      <c r="O61" s="1" t="s">
        <v>246</v>
      </c>
      <c r="P61" s="1" t="s">
        <v>602</v>
      </c>
      <c r="Q61" s="1" t="s">
        <v>70</v>
      </c>
      <c r="R61" s="1">
        <v>577430003</v>
      </c>
      <c r="S61" s="3">
        <v>3528220000000000</v>
      </c>
      <c r="T61" s="1">
        <v>10287</v>
      </c>
      <c r="U61" s="1">
        <v>72</v>
      </c>
      <c r="V61" s="73">
        <f>COUNTIFS(sdata[CUST_ID],cdata[[#This Row],[CUST_ID]])</f>
        <v>1</v>
      </c>
      <c r="W61" s="73">
        <f>SUMIFS(sdata[ORDER_VALUE],sdata[CUST_ID],cdata[[#This Row],[CUST_ID]])</f>
        <v>126.46</v>
      </c>
    </row>
    <row r="62" spans="1:23" x14ac:dyDescent="0.3">
      <c r="A62" s="1" t="s">
        <v>609</v>
      </c>
      <c r="B62" s="1" t="s">
        <v>610</v>
      </c>
      <c r="C62" s="73" t="str">
        <f>cdata[[#This Row],[First Name]]&amp;" "&amp;cdata[[#This Row],[Last Name]]</f>
        <v>Hoyt Ramos</v>
      </c>
      <c r="D62" s="1" t="s">
        <v>61</v>
      </c>
      <c r="E62" s="73" t="str">
        <f>IF(OR(cdata[[#This Row],[Gender_Code]] = "Mr.", cdata[[#This Row],[Gender_Code]]="Master."), "Male","Female")</f>
        <v>Male</v>
      </c>
      <c r="F62" s="1" t="s">
        <v>611</v>
      </c>
      <c r="G62" s="1" t="s">
        <v>612</v>
      </c>
      <c r="H62" s="1" t="s">
        <v>613</v>
      </c>
      <c r="I62" s="1" t="s">
        <v>144</v>
      </c>
      <c r="J62" s="73" t="str">
        <f>VLOOKUP(cdata[[#This Row],[COUNTRY_CODE]], cudata[], 2,0)</f>
        <v>America</v>
      </c>
      <c r="K62" s="1">
        <v>97701</v>
      </c>
      <c r="L62" s="1" t="s">
        <v>614</v>
      </c>
      <c r="M62" s="1" t="s">
        <v>1078</v>
      </c>
      <c r="N62" s="1" t="s">
        <v>615</v>
      </c>
      <c r="O62" s="1" t="s">
        <v>68</v>
      </c>
      <c r="P62" s="1" t="s">
        <v>306</v>
      </c>
      <c r="Q62" s="1" t="s">
        <v>65</v>
      </c>
      <c r="R62" s="1" t="s">
        <v>616</v>
      </c>
      <c r="S62" s="3">
        <v>5171300000000000</v>
      </c>
      <c r="T62" s="1">
        <v>10291</v>
      </c>
      <c r="U62" s="1">
        <v>79</v>
      </c>
      <c r="V62" s="73">
        <f>COUNTIFS(sdata[CUST_ID],cdata[[#This Row],[CUST_ID]])</f>
        <v>2</v>
      </c>
      <c r="W62" s="73">
        <f>SUMIFS(sdata[ORDER_VALUE],sdata[CUST_ID],cdata[[#This Row],[CUST_ID]])</f>
        <v>470.78</v>
      </c>
    </row>
    <row r="63" spans="1:23" x14ac:dyDescent="0.3">
      <c r="A63" s="1" t="s">
        <v>478</v>
      </c>
      <c r="B63" s="1" t="s">
        <v>618</v>
      </c>
      <c r="C63" s="73" t="str">
        <f>cdata[[#This Row],[First Name]]&amp;" "&amp;cdata[[#This Row],[Last Name]]</f>
        <v>Jodi Stanley</v>
      </c>
      <c r="D63" s="1" t="s">
        <v>154</v>
      </c>
      <c r="E63" s="73" t="str">
        <f>IF(OR(cdata[[#This Row],[Gender_Code]] = "Mr.", cdata[[#This Row],[Gender_Code]]="Master."), "Male","Female")</f>
        <v>Female</v>
      </c>
      <c r="F63" s="1" t="s">
        <v>619</v>
      </c>
      <c r="G63" s="1" t="s">
        <v>620</v>
      </c>
      <c r="H63" s="1" t="s">
        <v>621</v>
      </c>
      <c r="I63" s="1" t="s">
        <v>144</v>
      </c>
      <c r="J63" s="73" t="str">
        <f>VLOOKUP(cdata[[#This Row],[COUNTRY_CODE]], cudata[], 2,0)</f>
        <v>America</v>
      </c>
      <c r="K63" s="1">
        <v>19020</v>
      </c>
      <c r="L63" s="1" t="s">
        <v>622</v>
      </c>
      <c r="M63" s="1" t="s">
        <v>1074</v>
      </c>
      <c r="N63" s="1" t="s">
        <v>623</v>
      </c>
      <c r="O63" s="1" t="s">
        <v>246</v>
      </c>
      <c r="P63" s="1" t="s">
        <v>180</v>
      </c>
      <c r="Q63" s="1" t="s">
        <v>254</v>
      </c>
      <c r="R63" s="1">
        <v>904601168</v>
      </c>
      <c r="S63" s="3">
        <v>3528100000000000</v>
      </c>
      <c r="T63" s="1">
        <v>10295</v>
      </c>
      <c r="U63" s="1">
        <v>48</v>
      </c>
      <c r="V63" s="73">
        <f>COUNTIFS(sdata[CUST_ID],cdata[[#This Row],[CUST_ID]])</f>
        <v>3</v>
      </c>
      <c r="W63" s="73">
        <f>SUMIFS(sdata[ORDER_VALUE],sdata[CUST_ID],cdata[[#This Row],[CUST_ID]])</f>
        <v>53.29</v>
      </c>
    </row>
    <row r="64" spans="1:23" x14ac:dyDescent="0.3">
      <c r="A64" s="1" t="s">
        <v>624</v>
      </c>
      <c r="B64" s="1" t="s">
        <v>625</v>
      </c>
      <c r="C64" s="73" t="str">
        <f>cdata[[#This Row],[First Name]]&amp;" "&amp;cdata[[#This Row],[Last Name]]</f>
        <v>Betty Grimes</v>
      </c>
      <c r="D64" s="1" t="s">
        <v>154</v>
      </c>
      <c r="E64" s="73" t="str">
        <f>IF(OR(cdata[[#This Row],[Gender_Code]] = "Mr.", cdata[[#This Row],[Gender_Code]]="Master."), "Male","Female")</f>
        <v>Female</v>
      </c>
      <c r="F64" s="1" t="s">
        <v>626</v>
      </c>
      <c r="G64" s="1" t="s">
        <v>627</v>
      </c>
      <c r="H64" s="73" t="str">
        <f>I64</f>
        <v>DE</v>
      </c>
      <c r="I64" s="1" t="s">
        <v>89</v>
      </c>
      <c r="J64" s="73" t="str">
        <f>VLOOKUP(cdata[[#This Row],[COUNTRY_CODE]], cudata[], 2,0)</f>
        <v>Denmark</v>
      </c>
      <c r="K64" s="1">
        <v>83471</v>
      </c>
      <c r="L64" s="1" t="s">
        <v>628</v>
      </c>
      <c r="M64" s="1" t="s">
        <v>1076</v>
      </c>
      <c r="N64" s="1" t="s">
        <v>629</v>
      </c>
      <c r="O64" s="1" t="s">
        <v>205</v>
      </c>
      <c r="P64" s="1" t="s">
        <v>289</v>
      </c>
      <c r="Q64" s="1" t="s">
        <v>254</v>
      </c>
      <c r="R64" s="1">
        <v>777215385</v>
      </c>
      <c r="S64" s="3">
        <v>36322900000000</v>
      </c>
      <c r="T64" s="1">
        <v>10299</v>
      </c>
      <c r="U64" s="1">
        <v>41</v>
      </c>
      <c r="V64" s="73">
        <f>COUNTIFS(sdata[CUST_ID],cdata[[#This Row],[CUST_ID]])</f>
        <v>4</v>
      </c>
      <c r="W64" s="73">
        <f>SUMIFS(sdata[ORDER_VALUE],sdata[CUST_ID],cdata[[#This Row],[CUST_ID]])</f>
        <v>190.2</v>
      </c>
    </row>
    <row r="65" spans="1:23" x14ac:dyDescent="0.3">
      <c r="A65" s="1" t="s">
        <v>630</v>
      </c>
      <c r="B65" s="1" t="s">
        <v>631</v>
      </c>
      <c r="C65" s="73" t="str">
        <f>cdata[[#This Row],[First Name]]&amp;" "&amp;cdata[[#This Row],[Last Name]]</f>
        <v>Tony Brooks</v>
      </c>
      <c r="D65" s="1" t="s">
        <v>61</v>
      </c>
      <c r="E65" s="73" t="str">
        <f>IF(OR(cdata[[#This Row],[Gender_Code]] = "Mr.", cdata[[#This Row],[Gender_Code]]="Master."), "Male","Female")</f>
        <v>Male</v>
      </c>
      <c r="F65" s="1" t="s">
        <v>632</v>
      </c>
      <c r="G65" s="1" t="s">
        <v>633</v>
      </c>
      <c r="H65" s="1" t="s">
        <v>634</v>
      </c>
      <c r="I65" s="1" t="s">
        <v>65</v>
      </c>
      <c r="J65" s="73" t="str">
        <f>VLOOKUP(cdata[[#This Row],[COUNTRY_CODE]], cudata[], 2,0)</f>
        <v>Italy</v>
      </c>
      <c r="K65" s="1">
        <v>43042</v>
      </c>
      <c r="L65" s="1" t="s">
        <v>635</v>
      </c>
      <c r="M65" s="1" t="s">
        <v>1076</v>
      </c>
      <c r="N65" s="1" t="s">
        <v>636</v>
      </c>
      <c r="O65" s="1" t="s">
        <v>147</v>
      </c>
      <c r="P65" s="1" t="s">
        <v>77</v>
      </c>
      <c r="Q65" s="1" t="s">
        <v>254</v>
      </c>
      <c r="R65" s="1">
        <v>935314484</v>
      </c>
      <c r="S65" s="3">
        <v>373017000000000</v>
      </c>
      <c r="T65" s="1">
        <v>10303</v>
      </c>
      <c r="U65" s="1">
        <v>22</v>
      </c>
      <c r="V65" s="73">
        <f>COUNTIFS(sdata[CUST_ID],cdata[[#This Row],[CUST_ID]])</f>
        <v>3</v>
      </c>
      <c r="W65" s="73">
        <f>SUMIFS(sdata[ORDER_VALUE],sdata[CUST_ID],cdata[[#This Row],[CUST_ID]])</f>
        <v>516.68000000000006</v>
      </c>
    </row>
    <row r="66" spans="1:23" x14ac:dyDescent="0.3">
      <c r="A66" s="1" t="s">
        <v>291</v>
      </c>
      <c r="B66" s="1" t="s">
        <v>637</v>
      </c>
      <c r="C66" s="73" t="str">
        <f>cdata[[#This Row],[First Name]]&amp;" "&amp;cdata[[#This Row],[Last Name]]</f>
        <v>Michael Reed</v>
      </c>
      <c r="D66" s="1" t="s">
        <v>61</v>
      </c>
      <c r="E66" s="73" t="str">
        <f>IF(OR(cdata[[#This Row],[Gender_Code]] = "Mr.", cdata[[#This Row],[Gender_Code]]="Master."), "Male","Female")</f>
        <v>Male</v>
      </c>
      <c r="F66" s="1" t="s">
        <v>638</v>
      </c>
      <c r="G66" s="1" t="s">
        <v>639</v>
      </c>
      <c r="H66" s="1" t="s">
        <v>408</v>
      </c>
      <c r="I66" s="1" t="s">
        <v>65</v>
      </c>
      <c r="J66" s="73" t="str">
        <f>VLOOKUP(cdata[[#This Row],[COUNTRY_CODE]], cudata[], 2,0)</f>
        <v>Italy</v>
      </c>
      <c r="K66" s="1">
        <v>21010</v>
      </c>
      <c r="L66" s="1" t="s">
        <v>640</v>
      </c>
      <c r="M66" s="1" t="s">
        <v>1077</v>
      </c>
      <c r="N66" s="1" t="s">
        <v>641</v>
      </c>
      <c r="O66" s="1" t="s">
        <v>121</v>
      </c>
      <c r="P66" s="1" t="s">
        <v>238</v>
      </c>
      <c r="Q66" s="1" t="s">
        <v>107</v>
      </c>
      <c r="R66" s="3">
        <v>283000000000000</v>
      </c>
      <c r="S66" s="3">
        <v>6011470000000000</v>
      </c>
      <c r="T66" s="1">
        <v>10307</v>
      </c>
      <c r="U66" s="1">
        <v>0</v>
      </c>
      <c r="V66" s="73">
        <f>COUNTIFS(sdata[CUST_ID],cdata[[#This Row],[CUST_ID]])</f>
        <v>4</v>
      </c>
      <c r="W66" s="73">
        <f>SUMIFS(sdata[ORDER_VALUE],sdata[CUST_ID],cdata[[#This Row],[CUST_ID]])</f>
        <v>517.51</v>
      </c>
    </row>
    <row r="67" spans="1:23" x14ac:dyDescent="0.3">
      <c r="A67" s="1" t="s">
        <v>642</v>
      </c>
      <c r="B67" s="1" t="s">
        <v>643</v>
      </c>
      <c r="C67" s="73" t="str">
        <f>cdata[[#This Row],[First Name]]&amp;" "&amp;cdata[[#This Row],[Last Name]]</f>
        <v>Rosemary Herbert</v>
      </c>
      <c r="D67" s="1" t="s">
        <v>154</v>
      </c>
      <c r="E67" s="73" t="str">
        <f>IF(OR(cdata[[#This Row],[Gender_Code]] = "Mr.", cdata[[#This Row],[Gender_Code]]="Master."), "Male","Female")</f>
        <v>Female</v>
      </c>
      <c r="F67" s="1" t="s">
        <v>644</v>
      </c>
      <c r="G67" s="1" t="s">
        <v>645</v>
      </c>
      <c r="H67" s="1" t="s">
        <v>254</v>
      </c>
      <c r="I67" s="1" t="s">
        <v>144</v>
      </c>
      <c r="J67" s="73" t="str">
        <f>VLOOKUP(cdata[[#This Row],[COUNTRY_CODE]], cudata[], 2,0)</f>
        <v>America</v>
      </c>
      <c r="K67" s="1">
        <v>90210</v>
      </c>
      <c r="L67" s="1" t="s">
        <v>646</v>
      </c>
      <c r="M67" s="1" t="s">
        <v>1075</v>
      </c>
      <c r="N67" s="1" t="s">
        <v>647</v>
      </c>
      <c r="O67" s="1" t="s">
        <v>147</v>
      </c>
      <c r="P67" s="1" t="s">
        <v>182</v>
      </c>
      <c r="Q67" s="1" t="s">
        <v>70</v>
      </c>
      <c r="R67" s="1">
        <v>22868377</v>
      </c>
      <c r="S67" s="3">
        <v>375512000000000</v>
      </c>
      <c r="T67" s="1">
        <v>10311</v>
      </c>
      <c r="U67" s="1">
        <v>40</v>
      </c>
      <c r="V67" s="73">
        <f>COUNTIFS(sdata[CUST_ID],cdata[[#This Row],[CUST_ID]])</f>
        <v>1</v>
      </c>
      <c r="W67" s="73">
        <f>SUMIFS(sdata[ORDER_VALUE],sdata[CUST_ID],cdata[[#This Row],[CUST_ID]])</f>
        <v>15.99</v>
      </c>
    </row>
    <row r="68" spans="1:23" x14ac:dyDescent="0.3">
      <c r="A68" s="1" t="s">
        <v>648</v>
      </c>
      <c r="B68" s="1" t="s">
        <v>649</v>
      </c>
      <c r="C68" s="73" t="str">
        <f>cdata[[#This Row],[First Name]]&amp;" "&amp;cdata[[#This Row],[Last Name]]</f>
        <v>Judy Larkin</v>
      </c>
      <c r="D68" s="1" t="s">
        <v>154</v>
      </c>
      <c r="E68" s="73" t="str">
        <f>IF(OR(cdata[[#This Row],[Gender_Code]] = "Mr.", cdata[[#This Row],[Gender_Code]]="Master."), "Male","Female")</f>
        <v>Female</v>
      </c>
      <c r="F68" s="1" t="s">
        <v>650</v>
      </c>
      <c r="G68" s="1" t="s">
        <v>651</v>
      </c>
      <c r="H68" s="1" t="s">
        <v>652</v>
      </c>
      <c r="I68" s="1" t="s">
        <v>65</v>
      </c>
      <c r="J68" s="73" t="str">
        <f>VLOOKUP(cdata[[#This Row],[COUNTRY_CODE]], cudata[], 2,0)</f>
        <v>Italy</v>
      </c>
      <c r="K68" s="1">
        <v>31056</v>
      </c>
      <c r="L68" s="1" t="s">
        <v>653</v>
      </c>
      <c r="M68" s="1" t="s">
        <v>1075</v>
      </c>
      <c r="N68" s="1" t="s">
        <v>654</v>
      </c>
      <c r="O68" s="1" t="s">
        <v>205</v>
      </c>
      <c r="P68" s="1" t="s">
        <v>150</v>
      </c>
      <c r="Q68" s="1" t="s">
        <v>107</v>
      </c>
      <c r="R68" s="3">
        <v>115000000000000</v>
      </c>
      <c r="S68" s="3">
        <v>36526200000000</v>
      </c>
      <c r="T68" s="1">
        <v>10315</v>
      </c>
      <c r="U68" s="1">
        <v>0</v>
      </c>
      <c r="V68" s="73">
        <f>COUNTIFS(sdata[CUST_ID],cdata[[#This Row],[CUST_ID]])</f>
        <v>2</v>
      </c>
      <c r="W68" s="73">
        <f>SUMIFS(sdata[ORDER_VALUE],sdata[CUST_ID],cdata[[#This Row],[CUST_ID]])</f>
        <v>168.92</v>
      </c>
    </row>
    <row r="69" spans="1:23" x14ac:dyDescent="0.3">
      <c r="A69" s="1" t="s">
        <v>648</v>
      </c>
      <c r="B69" s="1" t="s">
        <v>655</v>
      </c>
      <c r="C69" s="73" t="str">
        <f>cdata[[#This Row],[First Name]]&amp;" "&amp;cdata[[#This Row],[Last Name]]</f>
        <v>Judy Hopping</v>
      </c>
      <c r="D69" s="1" t="s">
        <v>154</v>
      </c>
      <c r="E69" s="73" t="str">
        <f>IF(OR(cdata[[#This Row],[Gender_Code]] = "Mr.", cdata[[#This Row],[Gender_Code]]="Master."), "Male","Female")</f>
        <v>Female</v>
      </c>
      <c r="F69" s="1" t="s">
        <v>656</v>
      </c>
      <c r="G69" s="1" t="s">
        <v>657</v>
      </c>
      <c r="H69" s="73" t="str">
        <f t="shared" ref="H69:H70" si="2">I69</f>
        <v>FR</v>
      </c>
      <c r="I69" s="1" t="s">
        <v>107</v>
      </c>
      <c r="J69" s="73" t="str">
        <f>VLOOKUP(cdata[[#This Row],[COUNTRY_CODE]], cudata[], 2,0)</f>
        <v>France</v>
      </c>
      <c r="K69" s="1">
        <v>64200</v>
      </c>
      <c r="L69" s="1" t="s">
        <v>658</v>
      </c>
      <c r="M69" s="1" t="s">
        <v>1075</v>
      </c>
      <c r="N69" s="1" t="s">
        <v>659</v>
      </c>
      <c r="O69" s="1" t="s">
        <v>68</v>
      </c>
      <c r="P69" s="1" t="s">
        <v>660</v>
      </c>
      <c r="Q69" s="1" t="s">
        <v>107</v>
      </c>
      <c r="R69" s="3">
        <v>702000000000000</v>
      </c>
      <c r="S69" s="3">
        <v>5159490000000000</v>
      </c>
      <c r="T69" s="1">
        <v>10319</v>
      </c>
      <c r="U69" s="1">
        <v>26</v>
      </c>
      <c r="V69" s="73">
        <f>COUNTIFS(sdata[CUST_ID],cdata[[#This Row],[CUST_ID]])</f>
        <v>4</v>
      </c>
      <c r="W69" s="73">
        <f>SUMIFS(sdata[ORDER_VALUE],sdata[CUST_ID],cdata[[#This Row],[CUST_ID]])</f>
        <v>746.40000000000009</v>
      </c>
    </row>
    <row r="70" spans="1:23" x14ac:dyDescent="0.3">
      <c r="A70" s="1" t="s">
        <v>604</v>
      </c>
      <c r="B70" s="1" t="s">
        <v>661</v>
      </c>
      <c r="C70" s="73" t="str">
        <f>cdata[[#This Row],[First Name]]&amp;" "&amp;cdata[[#This Row],[Last Name]]</f>
        <v>Joseph Rogers</v>
      </c>
      <c r="D70" s="1" t="s">
        <v>61</v>
      </c>
      <c r="E70" s="73" t="str">
        <f>IF(OR(cdata[[#This Row],[Gender_Code]] = "Mr.", cdata[[#This Row],[Gender_Code]]="Master."), "Male","Female")</f>
        <v>Male</v>
      </c>
      <c r="F70" s="1" t="s">
        <v>662</v>
      </c>
      <c r="G70" s="1" t="s">
        <v>663</v>
      </c>
      <c r="H70" s="73" t="str">
        <f t="shared" si="2"/>
        <v>DE</v>
      </c>
      <c r="I70" s="1" t="s">
        <v>89</v>
      </c>
      <c r="J70" s="73" t="str">
        <f>VLOOKUP(cdata[[#This Row],[COUNTRY_CODE]], cudata[], 2,0)</f>
        <v>Denmark</v>
      </c>
      <c r="K70" s="1">
        <v>56370</v>
      </c>
      <c r="L70" s="1" t="s">
        <v>664</v>
      </c>
      <c r="M70" s="1" t="s">
        <v>1076</v>
      </c>
      <c r="N70" s="1" t="s">
        <v>665</v>
      </c>
      <c r="O70" s="1" t="s">
        <v>205</v>
      </c>
      <c r="P70" s="1" t="s">
        <v>69</v>
      </c>
      <c r="Q70" s="1" t="s">
        <v>118</v>
      </c>
      <c r="R70" s="1" t="s">
        <v>666</v>
      </c>
      <c r="S70" s="3">
        <v>36501600000000</v>
      </c>
      <c r="T70" s="1">
        <v>10323</v>
      </c>
      <c r="U70" s="1">
        <v>0</v>
      </c>
      <c r="V70" s="73">
        <f>COUNTIFS(sdata[CUST_ID],cdata[[#This Row],[CUST_ID]])</f>
        <v>2</v>
      </c>
      <c r="W70" s="73">
        <f>SUMIFS(sdata[ORDER_VALUE],sdata[CUST_ID],cdata[[#This Row],[CUST_ID]])</f>
        <v>76.460000000000008</v>
      </c>
    </row>
    <row r="71" spans="1:23" x14ac:dyDescent="0.3">
      <c r="A71" s="1" t="s">
        <v>162</v>
      </c>
      <c r="B71" s="1" t="s">
        <v>667</v>
      </c>
      <c r="C71" s="73" t="str">
        <f>cdata[[#This Row],[First Name]]&amp;" "&amp;cdata[[#This Row],[Last Name]]</f>
        <v>James Sales</v>
      </c>
      <c r="D71" s="1" t="s">
        <v>361</v>
      </c>
      <c r="E71" s="73" t="str">
        <f>IF(OR(cdata[[#This Row],[Gender_Code]] = "Mr.", cdata[[#This Row],[Gender_Code]]="Master."), "Male","Female")</f>
        <v>Female</v>
      </c>
      <c r="F71" s="1" t="s">
        <v>668</v>
      </c>
      <c r="G71" s="1" t="s">
        <v>669</v>
      </c>
      <c r="H71" s="1" t="s">
        <v>670</v>
      </c>
      <c r="I71" s="1" t="s">
        <v>144</v>
      </c>
      <c r="J71" s="73" t="str">
        <f>VLOOKUP(cdata[[#This Row],[COUNTRY_CODE]], cudata[], 2,0)</f>
        <v>America</v>
      </c>
      <c r="K71" s="1">
        <v>59102</v>
      </c>
      <c r="L71" s="1" t="s">
        <v>671</v>
      </c>
      <c r="M71" s="1" t="s">
        <v>1077</v>
      </c>
      <c r="N71" s="1" t="s">
        <v>672</v>
      </c>
      <c r="O71" s="1" t="s">
        <v>92</v>
      </c>
      <c r="P71" s="1" t="s">
        <v>673</v>
      </c>
      <c r="Q71" s="1" t="s">
        <v>107</v>
      </c>
      <c r="R71" s="3">
        <v>250000000000000</v>
      </c>
      <c r="S71" s="3">
        <v>4638110000000000</v>
      </c>
      <c r="T71" s="1">
        <v>10327</v>
      </c>
      <c r="U71" s="1">
        <v>65</v>
      </c>
      <c r="V71" s="73">
        <f>COUNTIFS(sdata[CUST_ID],cdata[[#This Row],[CUST_ID]])</f>
        <v>5</v>
      </c>
      <c r="W71" s="73">
        <f>SUMIFS(sdata[ORDER_VALUE],sdata[CUST_ID],cdata[[#This Row],[CUST_ID]])</f>
        <v>1185.3400000000001</v>
      </c>
    </row>
    <row r="72" spans="1:23" x14ac:dyDescent="0.3">
      <c r="A72" s="1" t="s">
        <v>675</v>
      </c>
      <c r="B72" s="1" t="s">
        <v>676</v>
      </c>
      <c r="C72" s="73" t="str">
        <f>cdata[[#This Row],[First Name]]&amp;" "&amp;cdata[[#This Row],[Last Name]]</f>
        <v>Charles Pickett</v>
      </c>
      <c r="D72" s="1" t="s">
        <v>61</v>
      </c>
      <c r="E72" s="73" t="str">
        <f>IF(OR(cdata[[#This Row],[Gender_Code]] = "Mr.", cdata[[#This Row],[Gender_Code]]="Master."), "Male","Female")</f>
        <v>Male</v>
      </c>
      <c r="F72" s="1" t="s">
        <v>677</v>
      </c>
      <c r="G72" s="1" t="s">
        <v>678</v>
      </c>
      <c r="H72" s="1" t="s">
        <v>679</v>
      </c>
      <c r="I72" s="1" t="s">
        <v>144</v>
      </c>
      <c r="J72" s="73" t="str">
        <f>VLOOKUP(cdata[[#This Row],[COUNTRY_CODE]], cudata[], 2,0)</f>
        <v>America</v>
      </c>
      <c r="K72" s="1">
        <v>99740</v>
      </c>
      <c r="L72" s="1" t="s">
        <v>680</v>
      </c>
      <c r="M72" s="1" t="s">
        <v>1074</v>
      </c>
      <c r="N72" s="1" t="s">
        <v>681</v>
      </c>
      <c r="O72" s="1" t="s">
        <v>121</v>
      </c>
      <c r="P72" s="1" t="s">
        <v>334</v>
      </c>
      <c r="Q72" s="1" t="s">
        <v>118</v>
      </c>
      <c r="R72" s="1" t="s">
        <v>682</v>
      </c>
      <c r="S72" s="3">
        <v>6011160000000000</v>
      </c>
      <c r="T72" s="1">
        <v>10331</v>
      </c>
      <c r="U72" s="1">
        <v>64</v>
      </c>
      <c r="V72" s="73">
        <f>COUNTIFS(sdata[CUST_ID],cdata[[#This Row],[CUST_ID]])</f>
        <v>1</v>
      </c>
      <c r="W72" s="73">
        <f>SUMIFS(sdata[ORDER_VALUE],sdata[CUST_ID],cdata[[#This Row],[CUST_ID]])</f>
        <v>10</v>
      </c>
    </row>
    <row r="73" spans="1:23" x14ac:dyDescent="0.3">
      <c r="A73" s="1" t="s">
        <v>683</v>
      </c>
      <c r="B73" s="1" t="s">
        <v>684</v>
      </c>
      <c r="C73" s="73" t="str">
        <f>cdata[[#This Row],[First Name]]&amp;" "&amp;cdata[[#This Row],[Last Name]]</f>
        <v>Margaret Shelton</v>
      </c>
      <c r="D73" s="1" t="s">
        <v>154</v>
      </c>
      <c r="E73" s="73" t="str">
        <f>IF(OR(cdata[[#This Row],[Gender_Code]] = "Mr.", cdata[[#This Row],[Gender_Code]]="Master."), "Male","Female")</f>
        <v>Female</v>
      </c>
      <c r="F73" s="1" t="s">
        <v>685</v>
      </c>
      <c r="G73" s="1" t="s">
        <v>686</v>
      </c>
      <c r="H73" s="1" t="s">
        <v>687</v>
      </c>
      <c r="I73" s="1" t="s">
        <v>144</v>
      </c>
      <c r="J73" s="73" t="str">
        <f>VLOOKUP(cdata[[#This Row],[COUNTRY_CODE]], cudata[], 2,0)</f>
        <v>America</v>
      </c>
      <c r="K73" s="1">
        <v>35222</v>
      </c>
      <c r="L73" s="1" t="s">
        <v>688</v>
      </c>
      <c r="M73" s="1" t="s">
        <v>1075</v>
      </c>
      <c r="N73" s="1" t="s">
        <v>689</v>
      </c>
      <c r="O73" s="1" t="s">
        <v>121</v>
      </c>
      <c r="P73" s="1" t="s">
        <v>690</v>
      </c>
      <c r="Q73" s="1" t="s">
        <v>254</v>
      </c>
      <c r="R73" s="1">
        <v>944146232</v>
      </c>
      <c r="S73" s="3">
        <v>6011530000000000</v>
      </c>
      <c r="T73" s="1">
        <v>10335</v>
      </c>
      <c r="U73" s="1">
        <v>45</v>
      </c>
      <c r="V73" s="73">
        <f>COUNTIFS(sdata[CUST_ID],cdata[[#This Row],[CUST_ID]])</f>
        <v>2</v>
      </c>
      <c r="W73" s="73">
        <f>SUMIFS(sdata[ORDER_VALUE],sdata[CUST_ID],cdata[[#This Row],[CUST_ID]])</f>
        <v>79.02000000000001</v>
      </c>
    </row>
    <row r="74" spans="1:23" x14ac:dyDescent="0.3">
      <c r="A74" s="1" t="s">
        <v>692</v>
      </c>
      <c r="B74" s="1" t="s">
        <v>693</v>
      </c>
      <c r="C74" s="73" t="str">
        <f>cdata[[#This Row],[First Name]]&amp;" "&amp;cdata[[#This Row],[Last Name]]</f>
        <v>Rebecca Uresti</v>
      </c>
      <c r="D74" s="1" t="s">
        <v>154</v>
      </c>
      <c r="E74" s="73" t="str">
        <f>IF(OR(cdata[[#This Row],[Gender_Code]] = "Mr.", cdata[[#This Row],[Gender_Code]]="Master."), "Male","Female")</f>
        <v>Female</v>
      </c>
      <c r="F74" s="1" t="s">
        <v>694</v>
      </c>
      <c r="G74" s="1" t="s">
        <v>686</v>
      </c>
      <c r="H74" s="1" t="s">
        <v>687</v>
      </c>
      <c r="I74" s="1" t="s">
        <v>144</v>
      </c>
      <c r="J74" s="73" t="str">
        <f>VLOOKUP(cdata[[#This Row],[COUNTRY_CODE]], cudata[], 2,0)</f>
        <v>America</v>
      </c>
      <c r="K74" s="1">
        <v>35203</v>
      </c>
      <c r="L74" s="1" t="s">
        <v>695</v>
      </c>
      <c r="M74" s="1" t="s">
        <v>1077</v>
      </c>
      <c r="N74" s="1" t="s">
        <v>696</v>
      </c>
      <c r="O74" s="1" t="s">
        <v>92</v>
      </c>
      <c r="P74" s="1" t="s">
        <v>367</v>
      </c>
      <c r="Q74" s="1" t="s">
        <v>411</v>
      </c>
      <c r="R74" s="1" t="s">
        <v>697</v>
      </c>
      <c r="S74" s="3">
        <v>4446370000000000</v>
      </c>
      <c r="T74" s="1">
        <v>10339</v>
      </c>
      <c r="U74" s="1">
        <v>55</v>
      </c>
      <c r="V74" s="73">
        <f>COUNTIFS(sdata[CUST_ID],cdata[[#This Row],[CUST_ID]])</f>
        <v>1</v>
      </c>
      <c r="W74" s="73">
        <f>SUMIFS(sdata[ORDER_VALUE],sdata[CUST_ID],cdata[[#This Row],[CUST_ID]])</f>
        <v>8.49</v>
      </c>
    </row>
    <row r="75" spans="1:23" x14ac:dyDescent="0.3">
      <c r="A75" s="1" t="s">
        <v>698</v>
      </c>
      <c r="B75" s="1" t="s">
        <v>699</v>
      </c>
      <c r="C75" s="73" t="str">
        <f>cdata[[#This Row],[First Name]]&amp;" "&amp;cdata[[#This Row],[Last Name]]</f>
        <v>Emma Perez</v>
      </c>
      <c r="D75" s="1" t="s">
        <v>154</v>
      </c>
      <c r="E75" s="73" t="str">
        <f>IF(OR(cdata[[#This Row],[Gender_Code]] = "Mr.", cdata[[#This Row],[Gender_Code]]="Master."), "Male","Female")</f>
        <v>Female</v>
      </c>
      <c r="F75" s="1" t="s">
        <v>700</v>
      </c>
      <c r="G75" s="1" t="s">
        <v>701</v>
      </c>
      <c r="H75" s="1" t="s">
        <v>702</v>
      </c>
      <c r="I75" s="1" t="s">
        <v>144</v>
      </c>
      <c r="J75" s="73" t="str">
        <f>VLOOKUP(cdata[[#This Row],[COUNTRY_CODE]], cudata[], 2,0)</f>
        <v>America</v>
      </c>
      <c r="K75" s="1">
        <v>57718</v>
      </c>
      <c r="L75" s="1" t="s">
        <v>703</v>
      </c>
      <c r="M75" s="1" t="s">
        <v>1074</v>
      </c>
      <c r="N75" s="1" t="s">
        <v>704</v>
      </c>
      <c r="O75" s="1" t="s">
        <v>147</v>
      </c>
      <c r="P75" s="1" t="s">
        <v>268</v>
      </c>
      <c r="Q75" s="1" t="s">
        <v>107</v>
      </c>
      <c r="R75" s="3">
        <v>159000000000000</v>
      </c>
      <c r="S75" s="3">
        <v>344168000000000</v>
      </c>
      <c r="T75" s="1">
        <v>10343</v>
      </c>
      <c r="U75" s="1">
        <v>58</v>
      </c>
      <c r="V75" s="73">
        <f>COUNTIFS(sdata[CUST_ID],cdata[[#This Row],[CUST_ID]])</f>
        <v>1</v>
      </c>
      <c r="W75" s="73">
        <f>SUMIFS(sdata[ORDER_VALUE],sdata[CUST_ID],cdata[[#This Row],[CUST_ID]])</f>
        <v>33.33</v>
      </c>
    </row>
    <row r="76" spans="1:23" x14ac:dyDescent="0.3">
      <c r="A76" s="1" t="s">
        <v>705</v>
      </c>
      <c r="B76" s="1" t="s">
        <v>562</v>
      </c>
      <c r="C76" s="73" t="str">
        <f>cdata[[#This Row],[First Name]]&amp;" "&amp;cdata[[#This Row],[Last Name]]</f>
        <v>Reynaldo Myers</v>
      </c>
      <c r="D76" s="1" t="s">
        <v>61</v>
      </c>
      <c r="E76" s="73" t="str">
        <f>IF(OR(cdata[[#This Row],[Gender_Code]] = "Mr.", cdata[[#This Row],[Gender_Code]]="Master."), "Male","Female")</f>
        <v>Male</v>
      </c>
      <c r="F76" s="1" t="s">
        <v>706</v>
      </c>
      <c r="G76" s="1" t="s">
        <v>707</v>
      </c>
      <c r="H76" s="1" t="s">
        <v>364</v>
      </c>
      <c r="I76" s="1" t="s">
        <v>303</v>
      </c>
      <c r="J76" s="73" t="str">
        <f>VLOOKUP(cdata[[#This Row],[COUNTRY_CODE]], cudata[], 2,0)</f>
        <v>Australia</v>
      </c>
      <c r="K76" s="1">
        <v>2774</v>
      </c>
      <c r="L76" s="1" t="s">
        <v>708</v>
      </c>
      <c r="M76" s="1" t="s">
        <v>1075</v>
      </c>
      <c r="N76" s="1" t="s">
        <v>709</v>
      </c>
      <c r="O76" s="1" t="s">
        <v>147</v>
      </c>
      <c r="P76" s="1" t="s">
        <v>491</v>
      </c>
      <c r="Q76" s="1" t="s">
        <v>107</v>
      </c>
      <c r="R76" s="3">
        <v>814000000000000</v>
      </c>
      <c r="S76" s="3">
        <v>372006000000000</v>
      </c>
      <c r="T76" s="1">
        <v>10347</v>
      </c>
      <c r="U76" s="1">
        <v>54</v>
      </c>
      <c r="V76" s="73">
        <f>COUNTIFS(sdata[CUST_ID],cdata[[#This Row],[CUST_ID]])</f>
        <v>2</v>
      </c>
      <c r="W76" s="73">
        <f>SUMIFS(sdata[ORDER_VALUE],sdata[CUST_ID],cdata[[#This Row],[CUST_ID]])</f>
        <v>58.19</v>
      </c>
    </row>
    <row r="77" spans="1:23" x14ac:dyDescent="0.3">
      <c r="A77" s="1" t="s">
        <v>438</v>
      </c>
      <c r="B77" s="1" t="s">
        <v>710</v>
      </c>
      <c r="C77" s="73" t="str">
        <f>cdata[[#This Row],[First Name]]&amp;" "&amp;cdata[[#This Row],[Last Name]]</f>
        <v>Jennifer Becker</v>
      </c>
      <c r="D77" s="1" t="s">
        <v>154</v>
      </c>
      <c r="E77" s="73" t="str">
        <f>IF(OR(cdata[[#This Row],[Gender_Code]] = "Mr.", cdata[[#This Row],[Gender_Code]]="Master."), "Male","Female")</f>
        <v>Female</v>
      </c>
      <c r="F77" s="1" t="s">
        <v>711</v>
      </c>
      <c r="G77" s="1" t="s">
        <v>712</v>
      </c>
      <c r="H77" s="1" t="s">
        <v>594</v>
      </c>
      <c r="I77" s="1" t="s">
        <v>144</v>
      </c>
      <c r="J77" s="73" t="str">
        <f>VLOOKUP(cdata[[#This Row],[COUNTRY_CODE]], cudata[], 2,0)</f>
        <v>America</v>
      </c>
      <c r="K77" s="1">
        <v>61701</v>
      </c>
      <c r="L77" s="1" t="s">
        <v>713</v>
      </c>
      <c r="M77" s="1" t="s">
        <v>1074</v>
      </c>
      <c r="N77" s="1" t="s">
        <v>714</v>
      </c>
      <c r="O77" s="1" t="s">
        <v>246</v>
      </c>
      <c r="P77" s="1" t="s">
        <v>602</v>
      </c>
      <c r="Q77" s="1" t="s">
        <v>107</v>
      </c>
      <c r="R77" s="3">
        <v>169000000000000</v>
      </c>
      <c r="S77" s="3">
        <v>3528370000000000</v>
      </c>
      <c r="T77" s="1">
        <v>10351</v>
      </c>
      <c r="U77" s="1">
        <v>24</v>
      </c>
      <c r="V77" s="73">
        <f>COUNTIFS(sdata[CUST_ID],cdata[[#This Row],[CUST_ID]])</f>
        <v>1</v>
      </c>
      <c r="W77" s="73">
        <f>SUMIFS(sdata[ORDER_VALUE],sdata[CUST_ID],cdata[[#This Row],[CUST_ID]])</f>
        <v>165.72</v>
      </c>
    </row>
    <row r="78" spans="1:23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1:23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1:23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 x14ac:dyDescent="0.3">
      <c r="A83" t="s">
        <v>1062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 x14ac:dyDescent="0.3">
      <c r="A84" t="s">
        <v>1079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 x14ac:dyDescent="0.3">
      <c r="A85" t="s">
        <v>1080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22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22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22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22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22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1:22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22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22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22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1:22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22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spans="1:22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</row>
    <row r="194" spans="1:22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</row>
    <row r="195" spans="1:22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</row>
    <row r="196" spans="1:22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</row>
    <row r="197" spans="1:22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</row>
    <row r="198" spans="1:22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</row>
    <row r="199" spans="1:22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</row>
    <row r="200" spans="1:22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</row>
    <row r="201" spans="1:22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2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2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2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2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2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2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2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1:21" x14ac:dyDescent="0.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1:21" x14ac:dyDescent="0.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 x14ac:dyDescent="0.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 x14ac:dyDescent="0.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1:21" x14ac:dyDescent="0.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 x14ac:dyDescent="0.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1:21" x14ac:dyDescent="0.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 x14ac:dyDescent="0.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 x14ac:dyDescent="0.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x14ac:dyDescent="0.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 x14ac:dyDescent="0.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x14ac:dyDescent="0.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x14ac:dyDescent="0.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x14ac:dyDescent="0.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 x14ac:dyDescent="0.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 x14ac:dyDescent="0.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x14ac:dyDescent="0.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 x14ac:dyDescent="0.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 x14ac:dyDescent="0.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 x14ac:dyDescent="0.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 x14ac:dyDescent="0.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 x14ac:dyDescent="0.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 x14ac:dyDescent="0.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 x14ac:dyDescent="0.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 x14ac:dyDescent="0.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 x14ac:dyDescent="0.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 x14ac:dyDescent="0.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 x14ac:dyDescent="0.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 x14ac:dyDescent="0.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 x14ac:dyDescent="0.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 x14ac:dyDescent="0.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 x14ac:dyDescent="0.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 x14ac:dyDescent="0.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 x14ac:dyDescent="0.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x14ac:dyDescent="0.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x14ac:dyDescent="0.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x14ac:dyDescent="0.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x14ac:dyDescent="0.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x14ac:dyDescent="0.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x14ac:dyDescent="0.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x14ac:dyDescent="0.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x14ac:dyDescent="0.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x14ac:dyDescent="0.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x14ac:dyDescent="0.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x14ac:dyDescent="0.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x14ac:dyDescent="0.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x14ac:dyDescent="0.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x14ac:dyDescent="0.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 x14ac:dyDescent="0.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 x14ac:dyDescent="0.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 x14ac:dyDescent="0.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 x14ac:dyDescent="0.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 x14ac:dyDescent="0.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x14ac:dyDescent="0.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 x14ac:dyDescent="0.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 x14ac:dyDescent="0.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 x14ac:dyDescent="0.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 x14ac:dyDescent="0.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 x14ac:dyDescent="0.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 x14ac:dyDescent="0.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 x14ac:dyDescent="0.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 x14ac:dyDescent="0.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63A9-A86E-4B9B-99F2-5B2C613A2058}">
  <dimension ref="A1:D8"/>
  <sheetViews>
    <sheetView zoomScale="146" workbookViewId="0">
      <selection activeCell="D7" sqref="D7"/>
    </sheetView>
  </sheetViews>
  <sheetFormatPr defaultRowHeight="14.4" x14ac:dyDescent="0.3"/>
  <cols>
    <col min="1" max="1" width="13.5546875" customWidth="1"/>
    <col min="2" max="2" width="14.33203125" customWidth="1"/>
  </cols>
  <sheetData>
    <row r="1" spans="1:4" x14ac:dyDescent="0.3">
      <c r="A1" t="s">
        <v>1064</v>
      </c>
      <c r="B1" t="s">
        <v>1065</v>
      </c>
    </row>
    <row r="2" spans="1:4" x14ac:dyDescent="0.3">
      <c r="A2" s="72" t="s">
        <v>65</v>
      </c>
      <c r="B2" t="s">
        <v>1071</v>
      </c>
    </row>
    <row r="3" spans="1:4" x14ac:dyDescent="0.3">
      <c r="A3" s="72" t="s">
        <v>89</v>
      </c>
      <c r="B3" t="s">
        <v>1070</v>
      </c>
    </row>
    <row r="4" spans="1:4" x14ac:dyDescent="0.3">
      <c r="A4" s="72" t="s">
        <v>118</v>
      </c>
      <c r="B4" t="s">
        <v>1072</v>
      </c>
      <c r="D4" t="s">
        <v>1073</v>
      </c>
    </row>
    <row r="5" spans="1:4" x14ac:dyDescent="0.3">
      <c r="A5" s="72" t="s">
        <v>144</v>
      </c>
      <c r="B5" t="s">
        <v>1066</v>
      </c>
    </row>
    <row r="6" spans="1:4" x14ac:dyDescent="0.3">
      <c r="A6" s="72" t="s">
        <v>254</v>
      </c>
      <c r="B6" t="s">
        <v>1067</v>
      </c>
    </row>
    <row r="7" spans="1:4" x14ac:dyDescent="0.3">
      <c r="A7" s="72" t="s">
        <v>303</v>
      </c>
      <c r="B7" t="s">
        <v>1068</v>
      </c>
    </row>
    <row r="8" spans="1:4" x14ac:dyDescent="0.3">
      <c r="A8" s="72" t="s">
        <v>107</v>
      </c>
      <c r="B8" t="s">
        <v>1069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7AB5-0755-4C32-A426-21CCA9CFBE28}">
  <dimension ref="A1:BI200"/>
  <sheetViews>
    <sheetView topLeftCell="A154" zoomScale="119" zoomScaleNormal="132" workbookViewId="0">
      <selection activeCell="T13" sqref="T13"/>
    </sheetView>
  </sheetViews>
  <sheetFormatPr defaultColWidth="8.88671875" defaultRowHeight="14.4" x14ac:dyDescent="0.3"/>
  <cols>
    <col min="1" max="1" width="12.109375" style="1" bestFit="1" customWidth="1"/>
    <col min="2" max="2" width="12" style="1" bestFit="1" customWidth="1"/>
    <col min="3" max="3" width="14.6640625" style="1" bestFit="1" customWidth="1"/>
    <col min="4" max="4" width="25.5546875" style="1" bestFit="1" customWidth="1"/>
    <col min="5" max="5" width="21.44140625" style="1" bestFit="1" customWidth="1"/>
    <col min="6" max="6" width="8.44140625" style="1" bestFit="1" customWidth="1"/>
    <col min="7" max="7" width="17.21875" style="1" bestFit="1" customWidth="1"/>
    <col min="8" max="8" width="15.5546875" style="1" bestFit="1" customWidth="1"/>
    <col min="9" max="9" width="34.109375" style="1" bestFit="1" customWidth="1"/>
    <col min="10" max="10" width="18" style="1" bestFit="1" customWidth="1"/>
    <col min="11" max="11" width="19.109375" style="1" bestFit="1" customWidth="1"/>
    <col min="12" max="12" width="15.5546875" style="1" bestFit="1" customWidth="1"/>
    <col min="13" max="13" width="14.6640625" style="1" bestFit="1" customWidth="1"/>
    <col min="14" max="14" width="20.88671875" style="1" bestFit="1" customWidth="1"/>
    <col min="15" max="15" width="22.77734375" style="1" bestFit="1" customWidth="1"/>
    <col min="16" max="16" width="10.44140625" style="1" bestFit="1" customWidth="1"/>
    <col min="17" max="17" width="6.6640625" style="1" bestFit="1" customWidth="1"/>
    <col min="18" max="18" width="11.77734375" bestFit="1" customWidth="1"/>
    <col min="19" max="19" width="14.44140625" style="1" bestFit="1" customWidth="1"/>
    <col min="20" max="20" width="14.33203125" style="1" bestFit="1" customWidth="1"/>
    <col min="21" max="21" width="19.21875" style="1" bestFit="1" customWidth="1"/>
    <col min="22" max="22" width="19.6640625" style="1" bestFit="1" customWidth="1"/>
    <col min="23" max="23" width="22.33203125" style="1" bestFit="1" customWidth="1"/>
    <col min="24" max="24" width="19.5546875" style="1" bestFit="1" customWidth="1"/>
    <col min="25" max="25" width="15.77734375" style="2" bestFit="1" customWidth="1"/>
    <col min="26" max="26" width="10.88671875" bestFit="1" customWidth="1"/>
    <col min="27" max="27" width="25" style="1" bestFit="1" customWidth="1"/>
    <col min="28" max="28" width="20.109375" style="1" bestFit="1" customWidth="1"/>
    <col min="29" max="29" width="14.109375" style="1" bestFit="1" customWidth="1"/>
    <col min="30" max="30" width="14.33203125" style="1" bestFit="1" customWidth="1"/>
    <col min="31" max="31" width="12.109375" style="1" bestFit="1" customWidth="1"/>
    <col min="32" max="32" width="9.44140625" style="1" bestFit="1" customWidth="1"/>
    <col min="33" max="33" width="10.109375" style="1" bestFit="1" customWidth="1"/>
    <col min="34" max="34" width="8.5546875" style="1" bestFit="1" customWidth="1"/>
    <col min="35" max="35" width="12.21875" style="1" bestFit="1" customWidth="1"/>
    <col min="36" max="36" width="8.33203125" style="1" bestFit="1" customWidth="1"/>
    <col min="37" max="37" width="12.6640625" style="1" bestFit="1" customWidth="1"/>
    <col min="38" max="38" width="17.44140625" style="1" bestFit="1" customWidth="1"/>
    <col min="39" max="39" width="7" style="1" bestFit="1" customWidth="1"/>
    <col min="40" max="40" width="7.5546875" style="1" bestFit="1" customWidth="1"/>
    <col min="41" max="41" width="11.6640625" style="1" bestFit="1" customWidth="1"/>
    <col min="42" max="42" width="13.44140625" style="1" bestFit="1" customWidth="1"/>
    <col min="43" max="43" width="7.77734375" style="1" bestFit="1" customWidth="1"/>
    <col min="44" max="45" width="10.33203125" style="1" bestFit="1" customWidth="1"/>
    <col min="46" max="46" width="11.77734375" style="1" bestFit="1" customWidth="1"/>
    <col min="47" max="47" width="15.109375" style="1" bestFit="1" customWidth="1"/>
    <col min="48" max="48" width="11.5546875" style="1" bestFit="1" customWidth="1"/>
    <col min="49" max="49" width="9.21875" style="1" bestFit="1" customWidth="1"/>
    <col min="50" max="50" width="18.44140625" style="1" bestFit="1" customWidth="1"/>
    <col min="51" max="51" width="13.33203125" style="1" bestFit="1" customWidth="1"/>
    <col min="52" max="52" width="14.21875" style="1" bestFit="1" customWidth="1"/>
    <col min="53" max="53" width="14.6640625" style="1" bestFit="1" customWidth="1"/>
    <col min="54" max="54" width="7.6640625" style="1" bestFit="1" customWidth="1"/>
    <col min="55" max="55" width="15.77734375" style="1" bestFit="1" customWidth="1"/>
    <col min="56" max="56" width="14.6640625" style="1" bestFit="1" customWidth="1"/>
    <col min="57" max="57" width="13.44140625" style="1" bestFit="1" customWidth="1"/>
    <col min="58" max="58" width="10.88671875" style="1" bestFit="1" customWidth="1"/>
    <col min="59" max="59" width="8.44140625" style="1" bestFit="1" customWidth="1"/>
    <col min="60" max="60" width="15.5546875" style="1" bestFit="1" customWidth="1"/>
    <col min="61" max="61" width="8.6640625" style="1" customWidth="1"/>
    <col min="62" max="62" width="15.88671875" customWidth="1"/>
  </cols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761</v>
      </c>
      <c r="BI1"/>
    </row>
    <row r="2" spans="1:61" x14ac:dyDescent="0.3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>
        <v>6040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>
        <v>22867928</v>
      </c>
      <c r="O2" s="3">
        <v>5179760000000000</v>
      </c>
      <c r="P2" s="1">
        <v>10003</v>
      </c>
      <c r="Q2" s="1">
        <v>27</v>
      </c>
      <c r="R2" s="1">
        <v>1106</v>
      </c>
      <c r="S2" s="4">
        <v>0</v>
      </c>
      <c r="T2" s="4">
        <v>2.0210648148148148E-2</v>
      </c>
      <c r="U2" s="1">
        <v>29.79</v>
      </c>
      <c r="V2" s="1" t="s">
        <v>71</v>
      </c>
      <c r="W2" s="4">
        <v>0</v>
      </c>
      <c r="X2" s="2">
        <v>42578</v>
      </c>
      <c r="Y2" s="1">
        <v>134.24</v>
      </c>
      <c r="Z2" s="1" t="s">
        <v>72</v>
      </c>
      <c r="AA2" s="1" t="s">
        <v>73</v>
      </c>
      <c r="AB2" s="1" t="s">
        <v>74</v>
      </c>
      <c r="AC2" s="1" t="s">
        <v>75</v>
      </c>
      <c r="AD2" s="1" t="s">
        <v>76</v>
      </c>
      <c r="AE2" s="1">
        <v>0</v>
      </c>
      <c r="AF2" s="1">
        <v>0</v>
      </c>
      <c r="AG2" s="1">
        <v>1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1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1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f>SUM(sdata[[#This Row],[Baby Food]:[Spices]])</f>
        <v>4</v>
      </c>
      <c r="BI2"/>
    </row>
    <row r="3" spans="1:61" x14ac:dyDescent="0.3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>
        <v>6040</v>
      </c>
      <c r="I3" s="1" t="s">
        <v>66</v>
      </c>
      <c r="J3" s="1" t="s">
        <v>67</v>
      </c>
      <c r="K3" s="1" t="s">
        <v>68</v>
      </c>
      <c r="L3" s="1" t="s">
        <v>69</v>
      </c>
      <c r="M3" s="1" t="s">
        <v>70</v>
      </c>
      <c r="N3" s="1">
        <v>22867928</v>
      </c>
      <c r="O3" s="3">
        <v>5151800000000000</v>
      </c>
      <c r="P3" s="1">
        <v>10003</v>
      </c>
      <c r="Q3" s="1">
        <v>27</v>
      </c>
      <c r="R3" s="1">
        <v>2948</v>
      </c>
      <c r="S3" s="4">
        <v>0</v>
      </c>
      <c r="T3" s="4">
        <v>9.6597222222222223E-3</v>
      </c>
      <c r="U3" s="1">
        <v>17.87</v>
      </c>
      <c r="V3" s="1" t="s">
        <v>77</v>
      </c>
      <c r="W3" s="4">
        <v>0</v>
      </c>
      <c r="X3" s="2">
        <v>42456</v>
      </c>
      <c r="Y3" s="1">
        <v>53.4</v>
      </c>
      <c r="Z3" s="1" t="s">
        <v>78</v>
      </c>
      <c r="AA3" s="1" t="s">
        <v>73</v>
      </c>
      <c r="AB3" s="1" t="s">
        <v>74</v>
      </c>
      <c r="AC3" s="1" t="s">
        <v>75</v>
      </c>
      <c r="AD3" s="1" t="s">
        <v>76</v>
      </c>
      <c r="AE3" s="1">
        <v>0</v>
      </c>
      <c r="AF3" s="1">
        <v>0</v>
      </c>
      <c r="AG3" s="1">
        <v>1</v>
      </c>
      <c r="AH3" s="1">
        <v>0</v>
      </c>
      <c r="AI3" s="1">
        <v>1</v>
      </c>
      <c r="AJ3" s="1">
        <v>0</v>
      </c>
      <c r="AK3" s="1">
        <v>0</v>
      </c>
      <c r="AL3" s="1">
        <v>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1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f>SUM(sdata[[#This Row],[Baby Food]:[Spices]])</f>
        <v>4</v>
      </c>
      <c r="BI3"/>
    </row>
    <row r="4" spans="1:61" x14ac:dyDescent="0.3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>
        <v>6040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22867928</v>
      </c>
      <c r="O4" s="3">
        <v>5172170000000000</v>
      </c>
      <c r="P4" s="1">
        <v>10003</v>
      </c>
      <c r="Q4" s="1">
        <v>27</v>
      </c>
      <c r="R4" s="1">
        <v>3323</v>
      </c>
      <c r="S4" s="4">
        <v>0</v>
      </c>
      <c r="T4" s="4">
        <v>2.7155092592592592E-2</v>
      </c>
      <c r="U4" s="1">
        <v>31.88</v>
      </c>
      <c r="V4" s="1" t="s">
        <v>79</v>
      </c>
      <c r="W4" s="4">
        <v>0</v>
      </c>
      <c r="X4" s="2">
        <v>42640</v>
      </c>
      <c r="Y4" s="1">
        <v>26.25</v>
      </c>
      <c r="Z4" s="1" t="s">
        <v>72</v>
      </c>
      <c r="AA4" s="1" t="s">
        <v>80</v>
      </c>
      <c r="AB4" s="1" t="s">
        <v>74</v>
      </c>
      <c r="AC4" s="1" t="s">
        <v>81</v>
      </c>
      <c r="AD4" s="1" t="s">
        <v>76</v>
      </c>
      <c r="AE4" s="1">
        <v>0</v>
      </c>
      <c r="AF4" s="1">
        <v>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f>SUM(sdata[[#This Row],[Baby Food]:[Spices]])</f>
        <v>3</v>
      </c>
      <c r="BI4"/>
    </row>
    <row r="5" spans="1:61" x14ac:dyDescent="0.3">
      <c r="A5" s="1" t="s">
        <v>59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>
        <v>6040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>
        <v>22867928</v>
      </c>
      <c r="O5" s="3">
        <v>5159250000000000</v>
      </c>
      <c r="P5" s="1">
        <v>10003</v>
      </c>
      <c r="Q5" s="1">
        <v>27</v>
      </c>
      <c r="R5" s="1">
        <v>7498</v>
      </c>
      <c r="S5" s="4">
        <v>0</v>
      </c>
      <c r="T5" s="4">
        <v>1.384375E-2</v>
      </c>
      <c r="U5" s="1">
        <v>18.45</v>
      </c>
      <c r="V5" s="1" t="s">
        <v>82</v>
      </c>
      <c r="W5" s="4">
        <v>0</v>
      </c>
      <c r="X5" s="2">
        <v>42430</v>
      </c>
      <c r="Y5" s="1">
        <v>5.65</v>
      </c>
      <c r="Z5" s="1" t="s">
        <v>72</v>
      </c>
      <c r="AA5" s="1" t="s">
        <v>73</v>
      </c>
      <c r="AB5" s="1" t="s">
        <v>74</v>
      </c>
      <c r="AC5" s="1" t="s">
        <v>81</v>
      </c>
      <c r="AD5" s="1" t="s">
        <v>76</v>
      </c>
      <c r="AE5" s="1">
        <v>0</v>
      </c>
      <c r="AF5" s="1">
        <v>0</v>
      </c>
      <c r="AG5" s="1">
        <v>0</v>
      </c>
      <c r="AH5" s="1">
        <v>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f>SUM(sdata[[#This Row],[Baby Food]:[Spices]])</f>
        <v>2</v>
      </c>
      <c r="BI5"/>
    </row>
    <row r="6" spans="1:61" x14ac:dyDescent="0.3">
      <c r="A6" s="1" t="s">
        <v>59</v>
      </c>
      <c r="B6" s="1" t="s">
        <v>60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>
        <v>6040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>
        <v>22867928</v>
      </c>
      <c r="O6" s="3">
        <v>5139430000000000</v>
      </c>
      <c r="P6" s="1">
        <v>10003</v>
      </c>
      <c r="Q6" s="1">
        <v>27</v>
      </c>
      <c r="R6" s="1">
        <v>7973</v>
      </c>
      <c r="S6" s="4">
        <v>0</v>
      </c>
      <c r="T6" s="4">
        <v>5.2824074074074067E-3</v>
      </c>
      <c r="U6" s="1">
        <v>23.12</v>
      </c>
      <c r="V6" s="1" t="s">
        <v>83</v>
      </c>
      <c r="W6" s="4">
        <v>0</v>
      </c>
      <c r="X6" s="2">
        <v>42373</v>
      </c>
      <c r="Y6" s="1">
        <v>44.43</v>
      </c>
      <c r="Z6" s="1" t="s">
        <v>72</v>
      </c>
      <c r="AA6" s="1" t="s">
        <v>73</v>
      </c>
      <c r="AB6" s="1" t="s">
        <v>74</v>
      </c>
      <c r="AC6" s="1" t="s">
        <v>81</v>
      </c>
      <c r="AD6" s="1" t="s">
        <v>76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f>SUM(sdata[[#This Row],[Baby Food]:[Spices]])</f>
        <v>1</v>
      </c>
      <c r="BI6"/>
    </row>
    <row r="7" spans="1:61" x14ac:dyDescent="0.3">
      <c r="A7" s="1" t="s">
        <v>59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>
        <v>6040</v>
      </c>
      <c r="I7" s="1" t="s">
        <v>66</v>
      </c>
      <c r="J7" s="1" t="s">
        <v>67</v>
      </c>
      <c r="K7" s="1" t="s">
        <v>68</v>
      </c>
      <c r="L7" s="1" t="s">
        <v>69</v>
      </c>
      <c r="M7" s="1" t="s">
        <v>70</v>
      </c>
      <c r="N7" s="1">
        <v>22867928</v>
      </c>
      <c r="O7" s="3">
        <v>5121840000000000</v>
      </c>
      <c r="P7" s="1">
        <v>10003</v>
      </c>
      <c r="Q7" s="1">
        <v>27</v>
      </c>
      <c r="R7" s="1">
        <v>9107</v>
      </c>
      <c r="S7" s="4">
        <v>0</v>
      </c>
      <c r="T7" s="4">
        <v>5.2824074074074067E-3</v>
      </c>
      <c r="U7" s="1">
        <v>22.77</v>
      </c>
      <c r="V7" s="1" t="s">
        <v>84</v>
      </c>
      <c r="W7" s="4">
        <v>0</v>
      </c>
      <c r="X7" s="2">
        <v>42372</v>
      </c>
      <c r="Y7" s="1">
        <v>24.18</v>
      </c>
      <c r="Z7" s="1" t="s">
        <v>72</v>
      </c>
      <c r="AA7" s="1" t="s">
        <v>73</v>
      </c>
      <c r="AB7" s="1" t="s">
        <v>74</v>
      </c>
      <c r="AC7" s="1" t="s">
        <v>81</v>
      </c>
      <c r="AD7" s="1" t="s">
        <v>76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1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f>SUM(sdata[[#This Row],[Baby Food]:[Spices]])</f>
        <v>1</v>
      </c>
      <c r="BI7"/>
    </row>
    <row r="8" spans="1:61" x14ac:dyDescent="0.3">
      <c r="A8" s="1" t="s">
        <v>85</v>
      </c>
      <c r="B8" s="1" t="s">
        <v>86</v>
      </c>
      <c r="C8" s="1" t="s">
        <v>61</v>
      </c>
      <c r="D8" s="1" t="s">
        <v>87</v>
      </c>
      <c r="E8" s="1" t="s">
        <v>88</v>
      </c>
      <c r="G8" s="1" t="s">
        <v>89</v>
      </c>
      <c r="H8" s="1">
        <v>88480</v>
      </c>
      <c r="I8" s="1" t="s">
        <v>90</v>
      </c>
      <c r="J8" s="1" t="s">
        <v>91</v>
      </c>
      <c r="K8" s="1" t="s">
        <v>92</v>
      </c>
      <c r="L8" s="1" t="s">
        <v>93</v>
      </c>
      <c r="M8" s="1" t="s">
        <v>65</v>
      </c>
      <c r="N8" s="1" t="s">
        <v>94</v>
      </c>
      <c r="O8" s="3">
        <v>4469930000000000</v>
      </c>
      <c r="P8" s="1">
        <v>10007</v>
      </c>
      <c r="Q8" s="1" t="s">
        <v>96</v>
      </c>
      <c r="R8" s="1">
        <v>7441</v>
      </c>
      <c r="S8" s="4">
        <v>0</v>
      </c>
      <c r="T8" s="4">
        <v>2.7155092592592592E-2</v>
      </c>
      <c r="U8" s="1">
        <v>11.05</v>
      </c>
      <c r="V8" s="1" t="s">
        <v>95</v>
      </c>
      <c r="W8" s="4">
        <v>0</v>
      </c>
      <c r="X8" s="2">
        <v>42427</v>
      </c>
      <c r="Y8" s="1">
        <v>65.8</v>
      </c>
      <c r="Z8" s="1" t="s">
        <v>72</v>
      </c>
      <c r="AA8" s="1" t="s">
        <v>80</v>
      </c>
      <c r="AB8" s="1" t="s">
        <v>97</v>
      </c>
      <c r="AC8" s="1" t="s">
        <v>98</v>
      </c>
      <c r="AD8" s="1" t="s">
        <v>99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</v>
      </c>
      <c r="AU8" s="1">
        <v>0</v>
      </c>
      <c r="AV8" s="1">
        <v>1</v>
      </c>
      <c r="AW8" s="1">
        <v>0</v>
      </c>
      <c r="AX8" s="1">
        <v>0</v>
      </c>
      <c r="AY8" s="1">
        <v>0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1</v>
      </c>
      <c r="BG8" s="1">
        <v>0</v>
      </c>
      <c r="BH8" s="1">
        <f>SUM(sdata[[#This Row],[Baby Food]:[Spices]])</f>
        <v>5</v>
      </c>
      <c r="BI8"/>
    </row>
    <row r="9" spans="1:61" x14ac:dyDescent="0.3">
      <c r="A9" s="1" t="s">
        <v>100</v>
      </c>
      <c r="B9" s="1" t="s">
        <v>101</v>
      </c>
      <c r="C9" s="1" t="s">
        <v>61</v>
      </c>
      <c r="D9" s="1" t="s">
        <v>102</v>
      </c>
      <c r="E9" s="1" t="s">
        <v>103</v>
      </c>
      <c r="F9" s="1" t="s">
        <v>104</v>
      </c>
      <c r="G9" s="1" t="s">
        <v>65</v>
      </c>
      <c r="H9" s="1">
        <v>88041</v>
      </c>
      <c r="I9" s="1" t="s">
        <v>105</v>
      </c>
      <c r="J9" s="1" t="s">
        <v>106</v>
      </c>
      <c r="K9" s="1" t="s">
        <v>92</v>
      </c>
      <c r="L9" s="1" t="s">
        <v>83</v>
      </c>
      <c r="M9" s="1" t="s">
        <v>107</v>
      </c>
      <c r="N9" s="3">
        <v>148000000000000</v>
      </c>
      <c r="O9" s="3">
        <v>4662810000000000</v>
      </c>
      <c r="P9" s="1">
        <v>10015</v>
      </c>
      <c r="Q9" s="1">
        <v>60</v>
      </c>
      <c r="R9" s="1">
        <v>627</v>
      </c>
      <c r="S9" s="4">
        <v>3.2928240740740737E-2</v>
      </c>
      <c r="T9" s="4">
        <v>3.2932870370370369E-2</v>
      </c>
      <c r="U9" s="1">
        <v>6.37</v>
      </c>
      <c r="V9" s="1" t="s">
        <v>108</v>
      </c>
      <c r="W9" s="4">
        <v>3.2928240740740737E-2</v>
      </c>
      <c r="X9" s="2">
        <v>42498</v>
      </c>
      <c r="Y9" s="1">
        <v>40.340000000000003</v>
      </c>
      <c r="Z9" s="1" t="s">
        <v>72</v>
      </c>
      <c r="AA9" s="1" t="s">
        <v>73</v>
      </c>
      <c r="AB9" s="1" t="s">
        <v>109</v>
      </c>
      <c r="AC9" s="1" t="s">
        <v>81</v>
      </c>
      <c r="AD9" s="1" t="s">
        <v>110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1</v>
      </c>
      <c r="AP9" s="1">
        <v>0</v>
      </c>
      <c r="AQ9" s="1">
        <v>1</v>
      </c>
      <c r="AR9" s="1">
        <v>1</v>
      </c>
      <c r="AS9" s="1">
        <v>0</v>
      </c>
      <c r="AT9" s="1">
        <v>0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f>SUM(sdata[[#This Row],[Baby Food]:[Spices]])</f>
        <v>4</v>
      </c>
      <c r="BI9"/>
    </row>
    <row r="10" spans="1:61" x14ac:dyDescent="0.3">
      <c r="A10" s="1" t="s">
        <v>100</v>
      </c>
      <c r="B10" s="1" t="s">
        <v>101</v>
      </c>
      <c r="C10" s="1" t="s">
        <v>61</v>
      </c>
      <c r="D10" s="1" t="s">
        <v>102</v>
      </c>
      <c r="E10" s="1" t="s">
        <v>103</v>
      </c>
      <c r="F10" s="1" t="s">
        <v>104</v>
      </c>
      <c r="G10" s="1" t="s">
        <v>65</v>
      </c>
      <c r="H10" s="1">
        <v>88041</v>
      </c>
      <c r="I10" s="1" t="s">
        <v>105</v>
      </c>
      <c r="J10" s="1" t="s">
        <v>106</v>
      </c>
      <c r="K10" s="1" t="s">
        <v>92</v>
      </c>
      <c r="L10" s="1" t="s">
        <v>83</v>
      </c>
      <c r="M10" s="1" t="s">
        <v>107</v>
      </c>
      <c r="N10" s="3">
        <v>148000000000000</v>
      </c>
      <c r="O10" s="3">
        <v>4016650000000000</v>
      </c>
      <c r="P10" s="1">
        <v>10015</v>
      </c>
      <c r="Q10" s="1">
        <v>60</v>
      </c>
      <c r="R10" s="1">
        <v>1209</v>
      </c>
      <c r="S10" s="4">
        <v>0</v>
      </c>
      <c r="T10" s="4">
        <v>3.0493055555555551E-2</v>
      </c>
      <c r="U10" s="1">
        <v>23.37</v>
      </c>
      <c r="V10" s="1" t="s">
        <v>111</v>
      </c>
      <c r="W10" s="4">
        <v>0</v>
      </c>
      <c r="X10" s="2">
        <v>42427</v>
      </c>
      <c r="Y10" s="1">
        <v>18.809999999999999</v>
      </c>
      <c r="Z10" s="1" t="s">
        <v>112</v>
      </c>
      <c r="AA10" s="1" t="s">
        <v>73</v>
      </c>
      <c r="AB10" s="1" t="s">
        <v>109</v>
      </c>
      <c r="AC10" s="1" t="s">
        <v>81</v>
      </c>
      <c r="AD10" s="1" t="s">
        <v>110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f>SUM(sdata[[#This Row],[Baby Food]:[Spices]])</f>
        <v>1</v>
      </c>
      <c r="BI10"/>
    </row>
    <row r="11" spans="1:61" x14ac:dyDescent="0.3">
      <c r="A11" s="1" t="s">
        <v>100</v>
      </c>
      <c r="B11" s="1" t="s">
        <v>101</v>
      </c>
      <c r="C11" s="1" t="s">
        <v>61</v>
      </c>
      <c r="D11" s="1" t="s">
        <v>102</v>
      </c>
      <c r="E11" s="1" t="s">
        <v>103</v>
      </c>
      <c r="F11" s="1" t="s">
        <v>104</v>
      </c>
      <c r="G11" s="1" t="s">
        <v>65</v>
      </c>
      <c r="H11" s="1">
        <v>88041</v>
      </c>
      <c r="I11" s="1" t="s">
        <v>105</v>
      </c>
      <c r="J11" s="1" t="s">
        <v>106</v>
      </c>
      <c r="K11" s="1" t="s">
        <v>92</v>
      </c>
      <c r="L11" s="1" t="s">
        <v>83</v>
      </c>
      <c r="M11" s="1" t="s">
        <v>107</v>
      </c>
      <c r="N11" s="3">
        <v>148000000000000</v>
      </c>
      <c r="O11" s="3">
        <v>4563880000000000</v>
      </c>
      <c r="P11" s="1">
        <v>10015</v>
      </c>
      <c r="Q11" s="1">
        <v>60</v>
      </c>
      <c r="R11" s="1">
        <v>1556</v>
      </c>
      <c r="S11" s="4">
        <v>0</v>
      </c>
      <c r="T11" s="4">
        <v>2.5519675925925925E-2</v>
      </c>
      <c r="U11" s="1">
        <v>19.809999999999999</v>
      </c>
      <c r="V11" s="1" t="s">
        <v>113</v>
      </c>
      <c r="W11" s="4">
        <v>0</v>
      </c>
      <c r="X11" s="2">
        <v>42648</v>
      </c>
      <c r="Y11" s="1">
        <v>34.04</v>
      </c>
      <c r="Z11" s="1" t="s">
        <v>72</v>
      </c>
      <c r="AA11" s="1" t="s">
        <v>73</v>
      </c>
      <c r="AB11" s="1" t="s">
        <v>109</v>
      </c>
      <c r="AC11" s="1" t="s">
        <v>81</v>
      </c>
      <c r="AD11" s="1" t="s">
        <v>110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</v>
      </c>
      <c r="BD11" s="1">
        <v>0</v>
      </c>
      <c r="BE11" s="1">
        <v>0</v>
      </c>
      <c r="BF11" s="1">
        <v>0</v>
      </c>
      <c r="BG11" s="1">
        <v>0</v>
      </c>
      <c r="BH11" s="1">
        <f>SUM(sdata[[#This Row],[Baby Food]:[Spices]])</f>
        <v>1</v>
      </c>
      <c r="BI11"/>
    </row>
    <row r="12" spans="1:61" x14ac:dyDescent="0.3">
      <c r="A12" s="1" t="s">
        <v>100</v>
      </c>
      <c r="B12" s="1" t="s">
        <v>101</v>
      </c>
      <c r="C12" s="1" t="s">
        <v>61</v>
      </c>
      <c r="D12" s="1" t="s">
        <v>102</v>
      </c>
      <c r="E12" s="1" t="s">
        <v>103</v>
      </c>
      <c r="F12" s="1" t="s">
        <v>104</v>
      </c>
      <c r="G12" s="1" t="s">
        <v>65</v>
      </c>
      <c r="H12" s="1">
        <v>88041</v>
      </c>
      <c r="I12" s="1" t="s">
        <v>105</v>
      </c>
      <c r="J12" s="1" t="s">
        <v>106</v>
      </c>
      <c r="K12" s="1" t="s">
        <v>92</v>
      </c>
      <c r="L12" s="1" t="s">
        <v>83</v>
      </c>
      <c r="M12" s="1" t="s">
        <v>107</v>
      </c>
      <c r="N12" s="3">
        <v>148000000000000</v>
      </c>
      <c r="O12" s="3">
        <v>4621020000000000</v>
      </c>
      <c r="P12" s="1">
        <v>10015</v>
      </c>
      <c r="Q12" s="1">
        <v>60</v>
      </c>
      <c r="R12" s="1">
        <v>8633</v>
      </c>
      <c r="S12" s="4">
        <v>0</v>
      </c>
      <c r="T12" s="4">
        <v>1.2090277777777778E-2</v>
      </c>
      <c r="U12" s="1">
        <v>11.15</v>
      </c>
      <c r="V12" s="1" t="s">
        <v>114</v>
      </c>
      <c r="W12" s="4">
        <v>0</v>
      </c>
      <c r="X12" s="2">
        <v>42602</v>
      </c>
      <c r="Y12" s="1">
        <v>49.94</v>
      </c>
      <c r="Z12" s="1" t="s">
        <v>112</v>
      </c>
      <c r="AA12" s="1" t="s">
        <v>73</v>
      </c>
      <c r="AB12" s="1" t="s">
        <v>109</v>
      </c>
      <c r="AC12" s="1" t="s">
        <v>81</v>
      </c>
      <c r="AD12" s="1" t="s">
        <v>110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1">
        <v>0</v>
      </c>
      <c r="AQ12" s="1">
        <v>1</v>
      </c>
      <c r="AR12" s="1">
        <v>1</v>
      </c>
      <c r="AS12" s="1">
        <v>0</v>
      </c>
      <c r="AT12" s="1">
        <v>0</v>
      </c>
      <c r="AU12" s="1">
        <v>1</v>
      </c>
      <c r="AV12" s="1">
        <v>0</v>
      </c>
      <c r="AW12" s="1">
        <v>0</v>
      </c>
      <c r="AX12" s="1">
        <v>0</v>
      </c>
      <c r="AY12" s="1">
        <v>1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f>SUM(sdata[[#This Row],[Baby Food]:[Spices]])</f>
        <v>5</v>
      </c>
      <c r="BI12"/>
    </row>
    <row r="13" spans="1:61" x14ac:dyDescent="0.3">
      <c r="A13" s="1" t="s">
        <v>85</v>
      </c>
      <c r="B13" s="1" t="s">
        <v>115</v>
      </c>
      <c r="C13" s="1" t="s">
        <v>61</v>
      </c>
      <c r="D13" s="1" t="s">
        <v>116</v>
      </c>
      <c r="E13" s="1" t="s">
        <v>117</v>
      </c>
      <c r="G13" s="1" t="s">
        <v>118</v>
      </c>
      <c r="H13" s="1">
        <v>37511</v>
      </c>
      <c r="I13" s="1" t="s">
        <v>119</v>
      </c>
      <c r="J13" s="1" t="s">
        <v>120</v>
      </c>
      <c r="K13" s="1" t="s">
        <v>121</v>
      </c>
      <c r="L13" s="1" t="s">
        <v>122</v>
      </c>
      <c r="M13" s="1" t="s">
        <v>65</v>
      </c>
      <c r="N13" s="1" t="s">
        <v>123</v>
      </c>
      <c r="O13" s="3">
        <v>6011480000000000</v>
      </c>
      <c r="P13" s="1">
        <v>10019</v>
      </c>
      <c r="Q13" s="1">
        <v>53</v>
      </c>
      <c r="R13" s="1">
        <v>792</v>
      </c>
      <c r="S13" s="4">
        <v>0</v>
      </c>
      <c r="T13" s="4">
        <v>3.3291666666666664E-2</v>
      </c>
      <c r="U13" s="1">
        <v>9.2200000000000006</v>
      </c>
      <c r="V13" s="1" t="s">
        <v>124</v>
      </c>
      <c r="W13" s="4">
        <v>0</v>
      </c>
      <c r="X13" s="2">
        <v>42420</v>
      </c>
      <c r="Y13" s="1">
        <v>28.35</v>
      </c>
      <c r="Z13" s="1" t="s">
        <v>72</v>
      </c>
      <c r="AA13" s="1" t="s">
        <v>73</v>
      </c>
      <c r="AB13" s="1" t="s">
        <v>109</v>
      </c>
      <c r="AC13" s="1" t="s">
        <v>81</v>
      </c>
      <c r="AD13" s="1" t="s">
        <v>110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f>SUM(sdata[[#This Row],[Baby Food]:[Spices]])</f>
        <v>1</v>
      </c>
      <c r="BI13"/>
    </row>
    <row r="14" spans="1:61" x14ac:dyDescent="0.3">
      <c r="A14" s="1" t="s">
        <v>85</v>
      </c>
      <c r="B14" s="1" t="s">
        <v>115</v>
      </c>
      <c r="C14" s="1" t="s">
        <v>61</v>
      </c>
      <c r="D14" s="1" t="s">
        <v>116</v>
      </c>
      <c r="E14" s="1" t="s">
        <v>117</v>
      </c>
      <c r="G14" s="1" t="s">
        <v>118</v>
      </c>
      <c r="H14" s="1">
        <v>37511</v>
      </c>
      <c r="I14" s="1" t="s">
        <v>119</v>
      </c>
      <c r="J14" s="1" t="s">
        <v>120</v>
      </c>
      <c r="K14" s="1" t="s">
        <v>121</v>
      </c>
      <c r="L14" s="1" t="s">
        <v>122</v>
      </c>
      <c r="M14" s="1" t="s">
        <v>65</v>
      </c>
      <c r="N14" s="1" t="s">
        <v>123</v>
      </c>
      <c r="O14" s="3">
        <v>6011530000000000</v>
      </c>
      <c r="P14" s="1">
        <v>10019</v>
      </c>
      <c r="Q14" s="1">
        <v>53</v>
      </c>
      <c r="R14" s="1">
        <v>1257</v>
      </c>
      <c r="S14" s="4">
        <v>0</v>
      </c>
      <c r="T14" s="4">
        <v>3.2923611111111105E-2</v>
      </c>
      <c r="U14" s="1">
        <v>13.33</v>
      </c>
      <c r="V14" s="1" t="s">
        <v>125</v>
      </c>
      <c r="W14" s="4">
        <v>0</v>
      </c>
      <c r="X14" s="2">
        <v>42602</v>
      </c>
      <c r="Y14" s="1">
        <v>29.82</v>
      </c>
      <c r="Z14" s="1" t="s">
        <v>72</v>
      </c>
      <c r="AA14" s="1" t="s">
        <v>73</v>
      </c>
      <c r="AB14" s="1" t="s">
        <v>109</v>
      </c>
      <c r="AC14" s="1" t="s">
        <v>81</v>
      </c>
      <c r="AD14" s="1" t="s">
        <v>110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1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</v>
      </c>
      <c r="BD14" s="1">
        <v>0</v>
      </c>
      <c r="BE14" s="1">
        <v>0</v>
      </c>
      <c r="BF14" s="1">
        <v>0</v>
      </c>
      <c r="BG14" s="1">
        <v>0</v>
      </c>
      <c r="BH14" s="1">
        <f>SUM(sdata[[#This Row],[Baby Food]:[Spices]])</f>
        <v>2</v>
      </c>
      <c r="BI14"/>
    </row>
    <row r="15" spans="1:61" x14ac:dyDescent="0.3">
      <c r="A15" s="1" t="s">
        <v>85</v>
      </c>
      <c r="B15" s="1" t="s">
        <v>115</v>
      </c>
      <c r="C15" s="1" t="s">
        <v>61</v>
      </c>
      <c r="D15" s="1" t="s">
        <v>116</v>
      </c>
      <c r="E15" s="1" t="s">
        <v>117</v>
      </c>
      <c r="G15" s="1" t="s">
        <v>118</v>
      </c>
      <c r="H15" s="1">
        <v>37511</v>
      </c>
      <c r="I15" s="1" t="s">
        <v>119</v>
      </c>
      <c r="J15" s="1" t="s">
        <v>120</v>
      </c>
      <c r="K15" s="1" t="s">
        <v>121</v>
      </c>
      <c r="L15" s="1" t="s">
        <v>122</v>
      </c>
      <c r="M15" s="1" t="s">
        <v>65</v>
      </c>
      <c r="N15" s="1" t="s">
        <v>123</v>
      </c>
      <c r="O15" s="3">
        <v>6011080000000000</v>
      </c>
      <c r="P15" s="1">
        <v>10019</v>
      </c>
      <c r="Q15" s="1">
        <v>53</v>
      </c>
      <c r="R15" s="1">
        <v>2488</v>
      </c>
      <c r="S15" s="4">
        <v>0</v>
      </c>
      <c r="T15" s="4">
        <v>9.6597222222222223E-3</v>
      </c>
      <c r="U15" s="1">
        <v>2.87</v>
      </c>
      <c r="V15" s="1" t="s">
        <v>77</v>
      </c>
      <c r="W15" s="4">
        <v>0</v>
      </c>
      <c r="X15" s="2">
        <v>42456</v>
      </c>
      <c r="Y15" s="1">
        <v>14.36</v>
      </c>
      <c r="Z15" s="1" t="s">
        <v>72</v>
      </c>
      <c r="AA15" s="1" t="s">
        <v>73</v>
      </c>
      <c r="AB15" s="1" t="s">
        <v>109</v>
      </c>
      <c r="AC15" s="1" t="s">
        <v>81</v>
      </c>
      <c r="AD15" s="1" t="s">
        <v>110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1</v>
      </c>
      <c r="AP15" s="1">
        <v>0</v>
      </c>
      <c r="AQ15" s="1">
        <v>1</v>
      </c>
      <c r="AR15" s="1">
        <v>1</v>
      </c>
      <c r="AS15" s="1">
        <v>0</v>
      </c>
      <c r="AT15" s="1">
        <v>0</v>
      </c>
      <c r="AU15" s="1">
        <v>1</v>
      </c>
      <c r="AV15" s="1">
        <v>0</v>
      </c>
      <c r="AW15" s="1">
        <v>0</v>
      </c>
      <c r="AX15" s="1">
        <v>0</v>
      </c>
      <c r="AY15" s="1">
        <v>1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f>SUM(sdata[[#This Row],[Baby Food]:[Spices]])</f>
        <v>5</v>
      </c>
      <c r="BI15"/>
    </row>
    <row r="16" spans="1:61" x14ac:dyDescent="0.3">
      <c r="A16" s="1" t="s">
        <v>85</v>
      </c>
      <c r="B16" s="1" t="s">
        <v>115</v>
      </c>
      <c r="C16" s="1" t="s">
        <v>61</v>
      </c>
      <c r="D16" s="1" t="s">
        <v>116</v>
      </c>
      <c r="E16" s="1" t="s">
        <v>117</v>
      </c>
      <c r="G16" s="1" t="s">
        <v>118</v>
      </c>
      <c r="H16" s="1">
        <v>37511</v>
      </c>
      <c r="I16" s="1" t="s">
        <v>119</v>
      </c>
      <c r="J16" s="1" t="s">
        <v>120</v>
      </c>
      <c r="K16" s="1" t="s">
        <v>121</v>
      </c>
      <c r="L16" s="1" t="s">
        <v>122</v>
      </c>
      <c r="M16" s="1" t="s">
        <v>65</v>
      </c>
      <c r="N16" s="1" t="s">
        <v>123</v>
      </c>
      <c r="O16" s="3">
        <v>6011110000000000</v>
      </c>
      <c r="P16" s="1">
        <v>10019</v>
      </c>
      <c r="Q16" s="1">
        <v>53</v>
      </c>
      <c r="R16" s="1">
        <v>2836</v>
      </c>
      <c r="S16" s="4">
        <v>0</v>
      </c>
      <c r="T16" s="4">
        <v>2.0210648148148148E-2</v>
      </c>
      <c r="U16" s="1">
        <v>6.05</v>
      </c>
      <c r="V16" s="1" t="s">
        <v>71</v>
      </c>
      <c r="W16" s="4">
        <v>0</v>
      </c>
      <c r="X16" s="2">
        <v>42578</v>
      </c>
      <c r="Y16" s="1">
        <v>9.06</v>
      </c>
      <c r="Z16" s="1" t="s">
        <v>126</v>
      </c>
      <c r="AA16" s="1" t="s">
        <v>73</v>
      </c>
      <c r="AB16" s="1" t="s">
        <v>109</v>
      </c>
      <c r="AC16" s="1" t="s">
        <v>81</v>
      </c>
      <c r="AD16" s="1" t="s">
        <v>110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1</v>
      </c>
      <c r="AR16" s="1">
        <v>1</v>
      </c>
      <c r="AS16" s="1">
        <v>0</v>
      </c>
      <c r="AT16" s="1">
        <v>0</v>
      </c>
      <c r="AU16" s="1">
        <v>1</v>
      </c>
      <c r="AV16" s="1">
        <v>0</v>
      </c>
      <c r="AW16" s="1">
        <v>0</v>
      </c>
      <c r="AX16" s="1">
        <v>0</v>
      </c>
      <c r="AY16" s="1">
        <v>1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f>SUM(sdata[[#This Row],[Baby Food]:[Spices]])</f>
        <v>5</v>
      </c>
      <c r="BI16"/>
    </row>
    <row r="17" spans="1:61" x14ac:dyDescent="0.3">
      <c r="A17" s="1" t="s">
        <v>85</v>
      </c>
      <c r="B17" s="1" t="s">
        <v>115</v>
      </c>
      <c r="C17" s="1" t="s">
        <v>61</v>
      </c>
      <c r="D17" s="1" t="s">
        <v>116</v>
      </c>
      <c r="E17" s="1" t="s">
        <v>117</v>
      </c>
      <c r="G17" s="1" t="s">
        <v>118</v>
      </c>
      <c r="H17" s="1">
        <v>37511</v>
      </c>
      <c r="I17" s="1" t="s">
        <v>119</v>
      </c>
      <c r="J17" s="1" t="s">
        <v>120</v>
      </c>
      <c r="K17" s="1" t="s">
        <v>121</v>
      </c>
      <c r="L17" s="1" t="s">
        <v>122</v>
      </c>
      <c r="M17" s="1" t="s">
        <v>65</v>
      </c>
      <c r="N17" s="1" t="s">
        <v>123</v>
      </c>
      <c r="O17" s="3">
        <v>6011940000000000</v>
      </c>
      <c r="P17" s="1">
        <v>10019</v>
      </c>
      <c r="Q17" s="1">
        <v>53</v>
      </c>
      <c r="R17" s="1">
        <v>5456</v>
      </c>
      <c r="S17" s="4">
        <v>0</v>
      </c>
      <c r="T17" s="4">
        <v>3.5241898148148147E-2</v>
      </c>
      <c r="U17" s="1">
        <v>23.37</v>
      </c>
      <c r="V17" s="1" t="s">
        <v>127</v>
      </c>
      <c r="W17" s="4">
        <v>0</v>
      </c>
      <c r="X17" s="2">
        <v>42646</v>
      </c>
      <c r="Y17" s="1">
        <v>36.5</v>
      </c>
      <c r="Z17" s="1" t="s">
        <v>72</v>
      </c>
      <c r="AA17" s="1" t="s">
        <v>73</v>
      </c>
      <c r="AB17" s="1" t="s">
        <v>109</v>
      </c>
      <c r="AC17" s="1" t="s">
        <v>81</v>
      </c>
      <c r="AD17" s="1" t="s">
        <v>110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f>SUM(sdata[[#This Row],[Baby Food]:[Spices]])</f>
        <v>1</v>
      </c>
      <c r="BI17"/>
    </row>
    <row r="18" spans="1:61" x14ac:dyDescent="0.3">
      <c r="A18" s="1" t="s">
        <v>128</v>
      </c>
      <c r="B18" s="1" t="s">
        <v>129</v>
      </c>
      <c r="C18" s="1" t="s">
        <v>61</v>
      </c>
      <c r="D18" s="1" t="s">
        <v>130</v>
      </c>
      <c r="E18" s="1" t="s">
        <v>131</v>
      </c>
      <c r="G18" s="1" t="s">
        <v>118</v>
      </c>
      <c r="H18" s="1">
        <v>3569</v>
      </c>
      <c r="I18" s="1" t="s">
        <v>132</v>
      </c>
      <c r="J18" s="1" t="s">
        <v>133</v>
      </c>
      <c r="K18" s="1" t="s">
        <v>92</v>
      </c>
      <c r="L18" s="1" t="s">
        <v>82</v>
      </c>
      <c r="M18" s="1" t="s">
        <v>65</v>
      </c>
      <c r="N18" s="1" t="s">
        <v>134</v>
      </c>
      <c r="O18" s="3">
        <v>4172780000000000</v>
      </c>
      <c r="P18" s="1">
        <v>10027</v>
      </c>
      <c r="Q18" s="1">
        <v>32</v>
      </c>
      <c r="R18" s="1">
        <v>139</v>
      </c>
      <c r="S18" s="4">
        <v>0</v>
      </c>
      <c r="T18" s="4">
        <v>2.3435185185185187E-2</v>
      </c>
      <c r="U18" s="1">
        <v>24.08</v>
      </c>
      <c r="V18" s="1" t="s">
        <v>135</v>
      </c>
      <c r="W18" s="4">
        <v>0</v>
      </c>
      <c r="X18" s="2">
        <v>42724</v>
      </c>
      <c r="Y18" s="1">
        <v>10.11</v>
      </c>
      <c r="Z18" s="1" t="s">
        <v>72</v>
      </c>
      <c r="AA18" s="1" t="s">
        <v>73</v>
      </c>
      <c r="AB18" s="1" t="s">
        <v>109</v>
      </c>
      <c r="AC18" s="1" t="s">
        <v>81</v>
      </c>
      <c r="AD18" s="1" t="s">
        <v>76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</v>
      </c>
      <c r="AP18" s="1">
        <v>0</v>
      </c>
      <c r="AQ18" s="1">
        <v>1</v>
      </c>
      <c r="AR18" s="1">
        <v>1</v>
      </c>
      <c r="AS18" s="1">
        <v>0</v>
      </c>
      <c r="AT18" s="1">
        <v>0</v>
      </c>
      <c r="AU18" s="1">
        <v>1</v>
      </c>
      <c r="AV18" s="1">
        <v>0</v>
      </c>
      <c r="AW18" s="1">
        <v>0</v>
      </c>
      <c r="AX18" s="1">
        <v>0</v>
      </c>
      <c r="AY18" s="1">
        <v>1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f>SUM(sdata[[#This Row],[Baby Food]:[Spices]])</f>
        <v>5</v>
      </c>
      <c r="BI18"/>
    </row>
    <row r="19" spans="1:61" x14ac:dyDescent="0.3">
      <c r="A19" s="1" t="s">
        <v>128</v>
      </c>
      <c r="B19" s="1" t="s">
        <v>129</v>
      </c>
      <c r="C19" s="1" t="s">
        <v>61</v>
      </c>
      <c r="D19" s="1" t="s">
        <v>130</v>
      </c>
      <c r="E19" s="1" t="s">
        <v>131</v>
      </c>
      <c r="G19" s="1" t="s">
        <v>118</v>
      </c>
      <c r="H19" s="1">
        <v>3569</v>
      </c>
      <c r="I19" s="1" t="s">
        <v>132</v>
      </c>
      <c r="J19" s="1" t="s">
        <v>133</v>
      </c>
      <c r="K19" s="1" t="s">
        <v>92</v>
      </c>
      <c r="L19" s="1" t="s">
        <v>82</v>
      </c>
      <c r="M19" s="1" t="s">
        <v>65</v>
      </c>
      <c r="N19" s="1" t="s">
        <v>134</v>
      </c>
      <c r="O19" s="3">
        <v>4235920000000000</v>
      </c>
      <c r="P19" s="1">
        <v>10027</v>
      </c>
      <c r="Q19" s="1">
        <v>32</v>
      </c>
      <c r="R19" s="1">
        <v>831</v>
      </c>
      <c r="S19" s="4">
        <v>0</v>
      </c>
      <c r="T19" s="4">
        <v>2.3605324074074074E-2</v>
      </c>
      <c r="U19" s="1">
        <v>7.02</v>
      </c>
      <c r="V19" s="1" t="s">
        <v>136</v>
      </c>
      <c r="W19" s="4">
        <v>0</v>
      </c>
      <c r="X19" s="2">
        <v>42699</v>
      </c>
      <c r="Y19" s="1">
        <v>42.16</v>
      </c>
      <c r="Z19" s="1" t="s">
        <v>112</v>
      </c>
      <c r="AA19" s="1" t="s">
        <v>73</v>
      </c>
      <c r="AB19" s="1" t="s">
        <v>109</v>
      </c>
      <c r="AC19" s="1" t="s">
        <v>81</v>
      </c>
      <c r="AD19" s="1" t="s">
        <v>76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f>SUM(sdata[[#This Row],[Baby Food]:[Spices]])</f>
        <v>1</v>
      </c>
      <c r="BI19"/>
    </row>
    <row r="20" spans="1:61" x14ac:dyDescent="0.3">
      <c r="A20" s="1" t="s">
        <v>128</v>
      </c>
      <c r="B20" s="1" t="s">
        <v>129</v>
      </c>
      <c r="C20" s="1" t="s">
        <v>61</v>
      </c>
      <c r="D20" s="1" t="s">
        <v>130</v>
      </c>
      <c r="E20" s="1" t="s">
        <v>131</v>
      </c>
      <c r="G20" s="1" t="s">
        <v>118</v>
      </c>
      <c r="H20" s="1">
        <v>3569</v>
      </c>
      <c r="I20" s="1" t="s">
        <v>132</v>
      </c>
      <c r="J20" s="1" t="s">
        <v>133</v>
      </c>
      <c r="K20" s="1" t="s">
        <v>92</v>
      </c>
      <c r="L20" s="1" t="s">
        <v>82</v>
      </c>
      <c r="M20" s="1" t="s">
        <v>65</v>
      </c>
      <c r="N20" s="1" t="s">
        <v>134</v>
      </c>
      <c r="O20" s="3">
        <v>4988190000000000</v>
      </c>
      <c r="P20" s="1">
        <v>10027</v>
      </c>
      <c r="Q20" s="1">
        <v>32</v>
      </c>
      <c r="R20" s="1">
        <v>6961</v>
      </c>
      <c r="S20" s="4">
        <v>0</v>
      </c>
      <c r="T20" s="4">
        <v>2.0210648148148148E-2</v>
      </c>
      <c r="U20" s="1">
        <v>11.45</v>
      </c>
      <c r="V20" s="1" t="s">
        <v>137</v>
      </c>
      <c r="W20" s="4">
        <v>0</v>
      </c>
      <c r="X20" s="2">
        <v>42574</v>
      </c>
      <c r="Y20" s="1">
        <v>48.35</v>
      </c>
      <c r="Z20" s="1" t="s">
        <v>78</v>
      </c>
      <c r="AA20" s="1" t="s">
        <v>73</v>
      </c>
      <c r="AB20" s="1" t="s">
        <v>109</v>
      </c>
      <c r="AC20" s="1" t="s">
        <v>81</v>
      </c>
      <c r="AD20" s="1" t="s">
        <v>76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1</v>
      </c>
      <c r="AP20" s="1">
        <v>0</v>
      </c>
      <c r="AQ20" s="1">
        <v>1</v>
      </c>
      <c r="AR20" s="1">
        <v>0</v>
      </c>
      <c r="AS20" s="1">
        <v>0</v>
      </c>
      <c r="AT20" s="1">
        <v>0</v>
      </c>
      <c r="AU20" s="1">
        <v>1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f>SUM(sdata[[#This Row],[Baby Food]:[Spices]])</f>
        <v>3</v>
      </c>
      <c r="BI20"/>
    </row>
    <row r="21" spans="1:61" x14ac:dyDescent="0.3">
      <c r="A21" s="1" t="s">
        <v>128</v>
      </c>
      <c r="B21" s="1" t="s">
        <v>129</v>
      </c>
      <c r="C21" s="1" t="s">
        <v>61</v>
      </c>
      <c r="D21" s="1" t="s">
        <v>130</v>
      </c>
      <c r="E21" s="1" t="s">
        <v>131</v>
      </c>
      <c r="G21" s="1" t="s">
        <v>118</v>
      </c>
      <c r="H21" s="1">
        <v>3569</v>
      </c>
      <c r="I21" s="1" t="s">
        <v>132</v>
      </c>
      <c r="J21" s="1" t="s">
        <v>133</v>
      </c>
      <c r="K21" s="1" t="s">
        <v>92</v>
      </c>
      <c r="L21" s="1" t="s">
        <v>82</v>
      </c>
      <c r="M21" s="1" t="s">
        <v>65</v>
      </c>
      <c r="N21" s="1" t="s">
        <v>134</v>
      </c>
      <c r="O21" s="3">
        <v>4644860000000000</v>
      </c>
      <c r="P21" s="1">
        <v>10027</v>
      </c>
      <c r="Q21" s="1">
        <v>32</v>
      </c>
      <c r="R21" s="1">
        <v>8622</v>
      </c>
      <c r="S21" s="4">
        <v>0</v>
      </c>
      <c r="T21" s="4">
        <v>5.3171296296296291E-3</v>
      </c>
      <c r="U21" s="1">
        <v>9.51</v>
      </c>
      <c r="V21" s="1" t="s">
        <v>138</v>
      </c>
      <c r="W21" s="4">
        <v>0</v>
      </c>
      <c r="X21" s="2">
        <v>42688</v>
      </c>
      <c r="Y21" s="1">
        <v>5.0999999999999996</v>
      </c>
      <c r="Z21" s="1" t="s">
        <v>126</v>
      </c>
      <c r="AA21" s="1" t="s">
        <v>73</v>
      </c>
      <c r="AB21" s="1" t="s">
        <v>109</v>
      </c>
      <c r="AC21" s="1" t="s">
        <v>81</v>
      </c>
      <c r="AD21" s="1" t="s">
        <v>76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1</v>
      </c>
      <c r="AP21" s="1">
        <v>0</v>
      </c>
      <c r="AQ21" s="1">
        <v>1</v>
      </c>
      <c r="AR21" s="1">
        <v>0</v>
      </c>
      <c r="AS21" s="1">
        <v>0</v>
      </c>
      <c r="AT21" s="1">
        <v>0</v>
      </c>
      <c r="AU21" s="1">
        <v>1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f>SUM(sdata[[#This Row],[Baby Food]:[Spices]])</f>
        <v>3</v>
      </c>
      <c r="BI21"/>
    </row>
    <row r="22" spans="1:61" x14ac:dyDescent="0.3">
      <c r="A22" s="1" t="s">
        <v>139</v>
      </c>
      <c r="B22" s="1" t="s">
        <v>140</v>
      </c>
      <c r="C22" s="1" t="s">
        <v>61</v>
      </c>
      <c r="D22" s="1" t="s">
        <v>141</v>
      </c>
      <c r="E22" s="1" t="s">
        <v>142</v>
      </c>
      <c r="F22" s="1" t="s">
        <v>143</v>
      </c>
      <c r="G22" s="1" t="s">
        <v>144</v>
      </c>
      <c r="H22" s="1">
        <v>44311</v>
      </c>
      <c r="I22" s="1" t="s">
        <v>145</v>
      </c>
      <c r="J22" s="1" t="s">
        <v>146</v>
      </c>
      <c r="K22" s="1" t="s">
        <v>147</v>
      </c>
      <c r="L22" s="1" t="s">
        <v>148</v>
      </c>
      <c r="M22" s="1" t="s">
        <v>65</v>
      </c>
      <c r="N22" s="1" t="s">
        <v>149</v>
      </c>
      <c r="O22" s="3">
        <v>377308000000000</v>
      </c>
      <c r="P22" s="1">
        <v>10031</v>
      </c>
      <c r="Q22" s="1">
        <v>46</v>
      </c>
      <c r="R22" s="1">
        <v>1369</v>
      </c>
      <c r="S22" s="4">
        <v>0</v>
      </c>
      <c r="T22" s="4">
        <v>2.2810185185185183E-2</v>
      </c>
      <c r="U22" s="1">
        <v>21.97</v>
      </c>
      <c r="V22" s="1" t="s">
        <v>150</v>
      </c>
      <c r="W22" s="4">
        <v>0</v>
      </c>
      <c r="X22" s="2">
        <v>42384</v>
      </c>
      <c r="Y22" s="1">
        <v>24.66</v>
      </c>
      <c r="Z22" s="1" t="s">
        <v>72</v>
      </c>
      <c r="AA22" s="1" t="s">
        <v>73</v>
      </c>
      <c r="AB22" s="1" t="s">
        <v>109</v>
      </c>
      <c r="AC22" s="1" t="s">
        <v>81</v>
      </c>
      <c r="AD22" s="1" t="s">
        <v>151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1</v>
      </c>
      <c r="AP22" s="1">
        <v>0</v>
      </c>
      <c r="AQ22" s="1">
        <v>1</v>
      </c>
      <c r="AR22" s="1">
        <v>1</v>
      </c>
      <c r="AS22" s="1">
        <v>0</v>
      </c>
      <c r="AT22" s="1">
        <v>0</v>
      </c>
      <c r="AU22" s="1">
        <v>1</v>
      </c>
      <c r="AV22" s="1">
        <v>0</v>
      </c>
      <c r="AW22" s="1">
        <v>0</v>
      </c>
      <c r="AX22" s="1">
        <v>0</v>
      </c>
      <c r="AY22" s="1">
        <v>1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f>SUM(sdata[[#This Row],[Baby Food]:[Spices]])</f>
        <v>5</v>
      </c>
      <c r="BI22"/>
    </row>
    <row r="23" spans="1:61" x14ac:dyDescent="0.3">
      <c r="A23" s="1" t="s">
        <v>152</v>
      </c>
      <c r="B23" s="1" t="s">
        <v>153</v>
      </c>
      <c r="C23" s="1" t="s">
        <v>154</v>
      </c>
      <c r="D23" s="1" t="s">
        <v>155</v>
      </c>
      <c r="E23" s="1" t="s">
        <v>156</v>
      </c>
      <c r="F23" s="1" t="s">
        <v>157</v>
      </c>
      <c r="G23" s="1" t="s">
        <v>65</v>
      </c>
      <c r="H23" s="1">
        <v>38030</v>
      </c>
      <c r="I23" s="1" t="s">
        <v>158</v>
      </c>
      <c r="J23" s="1" t="s">
        <v>159</v>
      </c>
      <c r="K23" s="1" t="s">
        <v>121</v>
      </c>
      <c r="L23" s="1" t="s">
        <v>160</v>
      </c>
      <c r="M23" s="1" t="s">
        <v>107</v>
      </c>
      <c r="N23" s="3">
        <v>267000000000000</v>
      </c>
      <c r="O23" s="3">
        <v>6012000000000000</v>
      </c>
      <c r="P23" s="1">
        <v>10035</v>
      </c>
      <c r="Q23" s="1">
        <v>46</v>
      </c>
      <c r="R23" s="1">
        <v>5328</v>
      </c>
      <c r="S23" s="4">
        <v>0</v>
      </c>
      <c r="T23" s="4">
        <v>2.2745370370370371E-2</v>
      </c>
      <c r="U23" s="1">
        <v>33.85</v>
      </c>
      <c r="V23" s="1" t="s">
        <v>161</v>
      </c>
      <c r="W23" s="4">
        <v>0</v>
      </c>
      <c r="X23" s="2">
        <v>42566</v>
      </c>
      <c r="Y23" s="1">
        <v>49.16</v>
      </c>
      <c r="Z23" s="1" t="s">
        <v>72</v>
      </c>
      <c r="AA23" s="1" t="s">
        <v>73</v>
      </c>
      <c r="AB23" s="1" t="s">
        <v>109</v>
      </c>
      <c r="AC23" s="1" t="s">
        <v>81</v>
      </c>
      <c r="AD23" s="1" t="s">
        <v>151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f>SUM(sdata[[#This Row],[Baby Food]:[Spices]])</f>
        <v>1</v>
      </c>
      <c r="BI23"/>
    </row>
    <row r="24" spans="1:61" x14ac:dyDescent="0.3">
      <c r="A24" s="1" t="s">
        <v>162</v>
      </c>
      <c r="B24" s="1" t="s">
        <v>163</v>
      </c>
      <c r="C24" s="1" t="s">
        <v>61</v>
      </c>
      <c r="D24" s="1" t="s">
        <v>164</v>
      </c>
      <c r="E24" s="1" t="s">
        <v>165</v>
      </c>
      <c r="F24" s="1" t="s">
        <v>166</v>
      </c>
      <c r="G24" s="1" t="s">
        <v>144</v>
      </c>
      <c r="H24" s="1">
        <v>12204</v>
      </c>
      <c r="I24" s="1" t="s">
        <v>167</v>
      </c>
      <c r="J24" s="1" t="s">
        <v>168</v>
      </c>
      <c r="K24" s="1" t="s">
        <v>68</v>
      </c>
      <c r="L24" s="1" t="s">
        <v>150</v>
      </c>
      <c r="M24" s="1" t="s">
        <v>65</v>
      </c>
      <c r="N24" s="1" t="s">
        <v>169</v>
      </c>
      <c r="O24" s="3">
        <v>5155200000000000</v>
      </c>
      <c r="P24" s="1">
        <v>10039</v>
      </c>
      <c r="Q24" s="1">
        <v>72</v>
      </c>
      <c r="R24" s="1">
        <v>421</v>
      </c>
      <c r="S24" s="4">
        <v>0</v>
      </c>
      <c r="T24" s="4">
        <v>2.3435185185185187E-2</v>
      </c>
      <c r="U24" s="1">
        <v>22.77</v>
      </c>
      <c r="V24" s="1" t="s">
        <v>170</v>
      </c>
      <c r="W24" s="4">
        <v>0</v>
      </c>
      <c r="X24" s="2">
        <v>42724</v>
      </c>
      <c r="Y24" s="1">
        <v>224.71</v>
      </c>
      <c r="Z24" s="1" t="s">
        <v>72</v>
      </c>
      <c r="AA24" s="1" t="s">
        <v>80</v>
      </c>
      <c r="AB24" s="1" t="s">
        <v>74</v>
      </c>
      <c r="AC24" s="1" t="s">
        <v>98</v>
      </c>
      <c r="AD24" s="1" t="s">
        <v>110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</v>
      </c>
      <c r="AV24" s="1">
        <v>1</v>
      </c>
      <c r="AW24" s="1">
        <v>1</v>
      </c>
      <c r="AX24" s="1">
        <v>0</v>
      </c>
      <c r="AY24" s="1">
        <v>1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</v>
      </c>
      <c r="BG24" s="1">
        <v>0</v>
      </c>
      <c r="BH24" s="1">
        <f>SUM(sdata[[#This Row],[Baby Food]:[Spices]])</f>
        <v>7</v>
      </c>
      <c r="BI24"/>
    </row>
    <row r="25" spans="1:61" x14ac:dyDescent="0.3">
      <c r="A25" s="1" t="s">
        <v>162</v>
      </c>
      <c r="B25" s="1" t="s">
        <v>163</v>
      </c>
      <c r="C25" s="1" t="s">
        <v>61</v>
      </c>
      <c r="D25" s="1" t="s">
        <v>164</v>
      </c>
      <c r="E25" s="1" t="s">
        <v>165</v>
      </c>
      <c r="F25" s="1" t="s">
        <v>166</v>
      </c>
      <c r="G25" s="1" t="s">
        <v>144</v>
      </c>
      <c r="H25" s="1">
        <v>12204</v>
      </c>
      <c r="I25" s="1" t="s">
        <v>167</v>
      </c>
      <c r="J25" s="1" t="s">
        <v>168</v>
      </c>
      <c r="K25" s="1" t="s">
        <v>68</v>
      </c>
      <c r="L25" s="1" t="s">
        <v>150</v>
      </c>
      <c r="M25" s="1" t="s">
        <v>65</v>
      </c>
      <c r="N25" s="1" t="s">
        <v>169</v>
      </c>
      <c r="O25" s="3">
        <v>5179760000000000</v>
      </c>
      <c r="P25" s="1">
        <v>10039</v>
      </c>
      <c r="Q25" s="1">
        <v>72</v>
      </c>
      <c r="R25" s="1">
        <v>5317</v>
      </c>
      <c r="S25" s="4">
        <v>0</v>
      </c>
      <c r="T25" s="4">
        <v>2.3803240740740739E-2</v>
      </c>
      <c r="U25" s="1">
        <v>5.85</v>
      </c>
      <c r="V25" s="1" t="s">
        <v>171</v>
      </c>
      <c r="W25" s="4">
        <v>0</v>
      </c>
      <c r="X25" s="2">
        <v>42723</v>
      </c>
      <c r="Y25" s="1">
        <v>235.6</v>
      </c>
      <c r="Z25" s="1" t="s">
        <v>72</v>
      </c>
      <c r="AA25" s="1" t="s">
        <v>80</v>
      </c>
      <c r="AB25" s="1" t="s">
        <v>74</v>
      </c>
      <c r="AC25" s="1" t="s">
        <v>98</v>
      </c>
      <c r="AD25" s="1" t="s">
        <v>110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1</v>
      </c>
      <c r="AU25" s="1">
        <v>0</v>
      </c>
      <c r="AV25" s="1">
        <v>1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f>SUM(sdata[[#This Row],[Baby Food]:[Spices]])</f>
        <v>4</v>
      </c>
      <c r="BI25"/>
    </row>
    <row r="26" spans="1:61" x14ac:dyDescent="0.3">
      <c r="A26" s="1" t="s">
        <v>162</v>
      </c>
      <c r="B26" s="1" t="s">
        <v>163</v>
      </c>
      <c r="C26" s="1" t="s">
        <v>61</v>
      </c>
      <c r="D26" s="1" t="s">
        <v>164</v>
      </c>
      <c r="E26" s="1" t="s">
        <v>165</v>
      </c>
      <c r="F26" s="1" t="s">
        <v>166</v>
      </c>
      <c r="G26" s="1" t="s">
        <v>144</v>
      </c>
      <c r="H26" s="1">
        <v>12204</v>
      </c>
      <c r="I26" s="1" t="s">
        <v>167</v>
      </c>
      <c r="J26" s="1" t="s">
        <v>168</v>
      </c>
      <c r="K26" s="1" t="s">
        <v>68</v>
      </c>
      <c r="L26" s="1" t="s">
        <v>150</v>
      </c>
      <c r="M26" s="1" t="s">
        <v>65</v>
      </c>
      <c r="N26" s="1" t="s">
        <v>169</v>
      </c>
      <c r="O26" s="3">
        <v>5128950000000000</v>
      </c>
      <c r="P26" s="1">
        <v>10039</v>
      </c>
      <c r="Q26" s="1">
        <v>72</v>
      </c>
      <c r="R26" s="1">
        <v>5855</v>
      </c>
      <c r="S26" s="4">
        <v>0</v>
      </c>
      <c r="T26" s="4">
        <v>2.3436342592592595E-2</v>
      </c>
      <c r="U26" s="1">
        <v>17.2</v>
      </c>
      <c r="V26" s="1" t="s">
        <v>172</v>
      </c>
      <c r="W26" s="4">
        <v>0</v>
      </c>
      <c r="X26" s="2">
        <v>42520</v>
      </c>
      <c r="Y26" s="1">
        <v>164.54</v>
      </c>
      <c r="Z26" s="1" t="s">
        <v>72</v>
      </c>
      <c r="AA26" s="1" t="s">
        <v>80</v>
      </c>
      <c r="AB26" s="1" t="s">
        <v>74</v>
      </c>
      <c r="AC26" s="1" t="s">
        <v>98</v>
      </c>
      <c r="AD26" s="1" t="s">
        <v>110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f>SUM(sdata[[#This Row],[Baby Food]:[Spices]])</f>
        <v>6</v>
      </c>
      <c r="BI26"/>
    </row>
    <row r="27" spans="1:61" x14ac:dyDescent="0.3">
      <c r="A27" s="1" t="s">
        <v>173</v>
      </c>
      <c r="B27" s="1" t="s">
        <v>174</v>
      </c>
      <c r="C27" s="1" t="s">
        <v>61</v>
      </c>
      <c r="D27" s="1" t="s">
        <v>175</v>
      </c>
      <c r="E27" s="1" t="s">
        <v>176</v>
      </c>
      <c r="F27" s="1" t="s">
        <v>177</v>
      </c>
      <c r="G27" s="1" t="s">
        <v>65</v>
      </c>
      <c r="H27" s="1">
        <v>23100</v>
      </c>
      <c r="I27" s="1" t="s">
        <v>178</v>
      </c>
      <c r="J27" s="1" t="s">
        <v>179</v>
      </c>
      <c r="K27" s="1" t="s">
        <v>92</v>
      </c>
      <c r="L27" s="1" t="s">
        <v>180</v>
      </c>
      <c r="M27" s="1" t="s">
        <v>65</v>
      </c>
      <c r="N27" s="1" t="s">
        <v>181</v>
      </c>
      <c r="O27" s="3">
        <v>4308570000000000</v>
      </c>
      <c r="P27" s="1">
        <v>10047</v>
      </c>
      <c r="Q27" s="1">
        <v>49</v>
      </c>
      <c r="R27" s="1">
        <v>529</v>
      </c>
      <c r="S27" s="4">
        <v>0</v>
      </c>
      <c r="T27" s="4">
        <v>3.3094907407407406E-2</v>
      </c>
      <c r="U27" s="1">
        <v>9</v>
      </c>
      <c r="V27" s="1" t="s">
        <v>182</v>
      </c>
      <c r="W27" s="4">
        <v>0</v>
      </c>
      <c r="X27" s="2">
        <v>42536</v>
      </c>
      <c r="Y27" s="1">
        <v>45.66</v>
      </c>
      <c r="Z27" s="1" t="s">
        <v>72</v>
      </c>
      <c r="AA27" s="1" t="s">
        <v>73</v>
      </c>
      <c r="AB27" s="1" t="s">
        <v>109</v>
      </c>
      <c r="AC27" s="1" t="s">
        <v>81</v>
      </c>
      <c r="AD27" s="1" t="s">
        <v>151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1</v>
      </c>
      <c r="AP27" s="1">
        <v>0</v>
      </c>
      <c r="AQ27" s="1">
        <v>0</v>
      </c>
      <c r="AR27" s="1">
        <v>1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f>SUM(sdata[[#This Row],[Baby Food]:[Spices]])</f>
        <v>2</v>
      </c>
      <c r="BI27"/>
    </row>
    <row r="28" spans="1:61" x14ac:dyDescent="0.3">
      <c r="A28" s="1" t="s">
        <v>183</v>
      </c>
      <c r="B28" s="1" t="s">
        <v>184</v>
      </c>
      <c r="C28" s="1" t="s">
        <v>61</v>
      </c>
      <c r="D28" s="1" t="s">
        <v>185</v>
      </c>
      <c r="E28" s="1" t="s">
        <v>186</v>
      </c>
      <c r="F28" s="1" t="s">
        <v>187</v>
      </c>
      <c r="G28" s="1" t="s">
        <v>144</v>
      </c>
      <c r="H28" s="1">
        <v>87109</v>
      </c>
      <c r="I28" s="1" t="s">
        <v>188</v>
      </c>
      <c r="J28" s="1" t="s">
        <v>189</v>
      </c>
      <c r="K28" s="1" t="s">
        <v>190</v>
      </c>
      <c r="L28" s="1" t="s">
        <v>191</v>
      </c>
      <c r="M28" s="1" t="s">
        <v>107</v>
      </c>
      <c r="N28" s="3">
        <v>176000000000000</v>
      </c>
      <c r="O28" s="3">
        <v>340583000000000</v>
      </c>
      <c r="P28" s="1">
        <v>10051</v>
      </c>
      <c r="Q28" s="1">
        <v>47</v>
      </c>
      <c r="R28" s="1">
        <v>1352</v>
      </c>
      <c r="S28" s="4">
        <v>0</v>
      </c>
      <c r="T28" s="4">
        <v>1.9393518518518518E-2</v>
      </c>
      <c r="U28" s="1">
        <v>13.33</v>
      </c>
      <c r="V28" s="1" t="s">
        <v>192</v>
      </c>
      <c r="W28" s="4">
        <v>0</v>
      </c>
      <c r="X28" s="2">
        <v>42652</v>
      </c>
      <c r="Y28" s="1">
        <v>18.989999999999998</v>
      </c>
      <c r="Z28" s="1" t="s">
        <v>72</v>
      </c>
      <c r="AA28" s="1" t="s">
        <v>73</v>
      </c>
      <c r="AB28" s="1" t="s">
        <v>109</v>
      </c>
      <c r="AC28" s="1" t="s">
        <v>81</v>
      </c>
      <c r="AD28" s="1" t="s">
        <v>151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1</v>
      </c>
      <c r="AP28" s="1">
        <v>0</v>
      </c>
      <c r="AQ28" s="1">
        <v>1</v>
      </c>
      <c r="AR28" s="1">
        <v>1</v>
      </c>
      <c r="AS28" s="1">
        <v>0</v>
      </c>
      <c r="AT28" s="1">
        <v>0</v>
      </c>
      <c r="AU28" s="1">
        <v>1</v>
      </c>
      <c r="AV28" s="1">
        <v>0</v>
      </c>
      <c r="AW28" s="1">
        <v>0</v>
      </c>
      <c r="AX28" s="1">
        <v>0</v>
      </c>
      <c r="AY28" s="1">
        <v>1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f>SUM(sdata[[#This Row],[Baby Food]:[Spices]])</f>
        <v>5</v>
      </c>
      <c r="BI28"/>
    </row>
    <row r="29" spans="1:61" x14ac:dyDescent="0.3">
      <c r="A29" s="1" t="s">
        <v>183</v>
      </c>
      <c r="B29" s="1" t="s">
        <v>184</v>
      </c>
      <c r="C29" s="1" t="s">
        <v>61</v>
      </c>
      <c r="D29" s="1" t="s">
        <v>185</v>
      </c>
      <c r="E29" s="1" t="s">
        <v>186</v>
      </c>
      <c r="F29" s="1" t="s">
        <v>187</v>
      </c>
      <c r="G29" s="1" t="s">
        <v>144</v>
      </c>
      <c r="H29" s="1">
        <v>87109</v>
      </c>
      <c r="I29" s="1" t="s">
        <v>188</v>
      </c>
      <c r="J29" s="1" t="s">
        <v>189</v>
      </c>
      <c r="K29" s="1" t="s">
        <v>190</v>
      </c>
      <c r="L29" s="1" t="s">
        <v>191</v>
      </c>
      <c r="M29" s="1" t="s">
        <v>107</v>
      </c>
      <c r="N29" s="3">
        <v>176000000000000</v>
      </c>
      <c r="O29" s="3">
        <v>378254000000000</v>
      </c>
      <c r="P29" s="1">
        <v>10051</v>
      </c>
      <c r="Q29" s="1">
        <v>47</v>
      </c>
      <c r="R29" s="1">
        <v>3079</v>
      </c>
      <c r="S29" s="4">
        <v>0</v>
      </c>
      <c r="T29" s="4">
        <v>1.3729166666666667E-2</v>
      </c>
      <c r="U29" s="1">
        <v>7.85</v>
      </c>
      <c r="V29" s="1" t="s">
        <v>193</v>
      </c>
      <c r="W29" s="4">
        <v>0</v>
      </c>
      <c r="X29" s="2">
        <v>42441</v>
      </c>
      <c r="Y29" s="1">
        <v>43.14</v>
      </c>
      <c r="Z29" s="1" t="s">
        <v>72</v>
      </c>
      <c r="AA29" s="1" t="s">
        <v>73</v>
      </c>
      <c r="AB29" s="1" t="s">
        <v>109</v>
      </c>
      <c r="AC29" s="1" t="s">
        <v>81</v>
      </c>
      <c r="AD29" s="1" t="s">
        <v>151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1</v>
      </c>
      <c r="AP29" s="1">
        <v>0</v>
      </c>
      <c r="AQ29" s="1">
        <v>1</v>
      </c>
      <c r="AR29" s="1">
        <v>1</v>
      </c>
      <c r="AS29" s="1">
        <v>0</v>
      </c>
      <c r="AT29" s="1">
        <v>0</v>
      </c>
      <c r="AU29" s="1">
        <v>1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f>SUM(sdata[[#This Row],[Baby Food]:[Spices]])</f>
        <v>4</v>
      </c>
      <c r="BI29"/>
    </row>
    <row r="30" spans="1:61" x14ac:dyDescent="0.3">
      <c r="A30" s="1" t="s">
        <v>183</v>
      </c>
      <c r="B30" s="1" t="s">
        <v>184</v>
      </c>
      <c r="C30" s="1" t="s">
        <v>61</v>
      </c>
      <c r="D30" s="1" t="s">
        <v>185</v>
      </c>
      <c r="E30" s="1" t="s">
        <v>186</v>
      </c>
      <c r="F30" s="1" t="s">
        <v>187</v>
      </c>
      <c r="G30" s="1" t="s">
        <v>144</v>
      </c>
      <c r="H30" s="1">
        <v>87109</v>
      </c>
      <c r="I30" s="1" t="s">
        <v>188</v>
      </c>
      <c r="J30" s="1" t="s">
        <v>189</v>
      </c>
      <c r="K30" s="1" t="s">
        <v>190</v>
      </c>
      <c r="L30" s="1" t="s">
        <v>191</v>
      </c>
      <c r="M30" s="1" t="s">
        <v>107</v>
      </c>
      <c r="N30" s="3">
        <v>176000000000000</v>
      </c>
      <c r="O30" s="3">
        <v>340232000000000</v>
      </c>
      <c r="P30" s="1">
        <v>10051</v>
      </c>
      <c r="Q30" s="1">
        <v>47</v>
      </c>
      <c r="R30" s="1">
        <v>5296</v>
      </c>
      <c r="S30" s="4">
        <v>0</v>
      </c>
      <c r="T30" s="4">
        <v>3.0747685185185183E-2</v>
      </c>
      <c r="U30" s="1">
        <v>48.52</v>
      </c>
      <c r="V30" s="1" t="s">
        <v>194</v>
      </c>
      <c r="W30" s="4">
        <v>0</v>
      </c>
      <c r="X30" s="2">
        <v>42724</v>
      </c>
      <c r="Y30" s="1">
        <v>27.45</v>
      </c>
      <c r="Z30" s="1" t="s">
        <v>72</v>
      </c>
      <c r="AA30" s="1" t="s">
        <v>73</v>
      </c>
      <c r="AB30" s="1" t="s">
        <v>109</v>
      </c>
      <c r="AC30" s="1" t="s">
        <v>81</v>
      </c>
      <c r="AD30" s="1" t="s">
        <v>151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1</v>
      </c>
      <c r="AP30" s="1">
        <v>0</v>
      </c>
      <c r="AQ30" s="1">
        <v>1</v>
      </c>
      <c r="AR30" s="1">
        <v>1</v>
      </c>
      <c r="AS30" s="1">
        <v>0</v>
      </c>
      <c r="AT30" s="1">
        <v>0</v>
      </c>
      <c r="AU30" s="1">
        <v>1</v>
      </c>
      <c r="AV30" s="1">
        <v>0</v>
      </c>
      <c r="AW30" s="1">
        <v>0</v>
      </c>
      <c r="AX30" s="1">
        <v>0</v>
      </c>
      <c r="AY30" s="1">
        <v>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f>SUM(sdata[[#This Row],[Baby Food]:[Spices]])</f>
        <v>5</v>
      </c>
      <c r="BI30"/>
    </row>
    <row r="31" spans="1:61" x14ac:dyDescent="0.3">
      <c r="A31" s="1" t="s">
        <v>183</v>
      </c>
      <c r="B31" s="1" t="s">
        <v>184</v>
      </c>
      <c r="C31" s="1" t="s">
        <v>61</v>
      </c>
      <c r="D31" s="1" t="s">
        <v>185</v>
      </c>
      <c r="E31" s="1" t="s">
        <v>186</v>
      </c>
      <c r="F31" s="1" t="s">
        <v>187</v>
      </c>
      <c r="G31" s="1" t="s">
        <v>144</v>
      </c>
      <c r="H31" s="1">
        <v>87109</v>
      </c>
      <c r="I31" s="1" t="s">
        <v>188</v>
      </c>
      <c r="J31" s="1" t="s">
        <v>189</v>
      </c>
      <c r="K31" s="1" t="s">
        <v>190</v>
      </c>
      <c r="L31" s="1" t="s">
        <v>191</v>
      </c>
      <c r="M31" s="1" t="s">
        <v>107</v>
      </c>
      <c r="N31" s="3">
        <v>176000000000000</v>
      </c>
      <c r="O31" s="3">
        <v>345077000000000</v>
      </c>
      <c r="P31" s="1">
        <v>10051</v>
      </c>
      <c r="Q31" s="1">
        <v>47</v>
      </c>
      <c r="R31" s="1">
        <v>5312</v>
      </c>
      <c r="S31" s="4">
        <v>0</v>
      </c>
      <c r="T31" s="4">
        <v>5.2824074074074067E-3</v>
      </c>
      <c r="U31" s="1">
        <v>17.600000000000001</v>
      </c>
      <c r="V31" s="1" t="s">
        <v>195</v>
      </c>
      <c r="W31" s="4">
        <v>0</v>
      </c>
      <c r="X31" s="2">
        <v>42376</v>
      </c>
      <c r="Y31" s="1">
        <v>27.45</v>
      </c>
      <c r="Z31" s="1" t="s">
        <v>72</v>
      </c>
      <c r="AA31" s="1" t="s">
        <v>73</v>
      </c>
      <c r="AB31" s="1" t="s">
        <v>109</v>
      </c>
      <c r="AC31" s="1" t="s">
        <v>81</v>
      </c>
      <c r="AD31" s="1" t="s">
        <v>151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</v>
      </c>
      <c r="AP31" s="1">
        <v>0</v>
      </c>
      <c r="AQ31" s="1">
        <v>1</v>
      </c>
      <c r="AR31" s="1">
        <v>1</v>
      </c>
      <c r="AS31" s="1">
        <v>0</v>
      </c>
      <c r="AT31" s="1">
        <v>0</v>
      </c>
      <c r="AU31" s="1">
        <v>1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f>SUM(sdata[[#This Row],[Baby Food]:[Spices]])</f>
        <v>4</v>
      </c>
      <c r="BI31"/>
    </row>
    <row r="32" spans="1:61" x14ac:dyDescent="0.3">
      <c r="A32" s="1" t="s">
        <v>183</v>
      </c>
      <c r="B32" s="1" t="s">
        <v>184</v>
      </c>
      <c r="C32" s="1" t="s">
        <v>61</v>
      </c>
      <c r="D32" s="1" t="s">
        <v>185</v>
      </c>
      <c r="E32" s="1" t="s">
        <v>186</v>
      </c>
      <c r="F32" s="1" t="s">
        <v>187</v>
      </c>
      <c r="G32" s="1" t="s">
        <v>144</v>
      </c>
      <c r="H32" s="1">
        <v>87109</v>
      </c>
      <c r="I32" s="1" t="s">
        <v>188</v>
      </c>
      <c r="J32" s="1" t="s">
        <v>189</v>
      </c>
      <c r="K32" s="1" t="s">
        <v>190</v>
      </c>
      <c r="L32" s="1" t="s">
        <v>191</v>
      </c>
      <c r="M32" s="1" t="s">
        <v>107</v>
      </c>
      <c r="N32" s="3">
        <v>176000000000000</v>
      </c>
      <c r="O32" s="3">
        <v>377264000000000</v>
      </c>
      <c r="P32" s="1">
        <v>10051</v>
      </c>
      <c r="Q32" s="1">
        <v>47</v>
      </c>
      <c r="R32" s="1">
        <v>6481</v>
      </c>
      <c r="S32" s="4">
        <v>0</v>
      </c>
      <c r="T32" s="4">
        <v>2.2744212962962963E-2</v>
      </c>
      <c r="U32" s="1">
        <v>17.87</v>
      </c>
      <c r="V32" s="1" t="s">
        <v>196</v>
      </c>
      <c r="W32" s="4">
        <v>0</v>
      </c>
      <c r="X32" s="2">
        <v>42536</v>
      </c>
      <c r="Y32" s="1">
        <v>28.6</v>
      </c>
      <c r="Z32" s="1" t="s">
        <v>112</v>
      </c>
      <c r="AA32" s="1" t="s">
        <v>73</v>
      </c>
      <c r="AB32" s="1" t="s">
        <v>109</v>
      </c>
      <c r="AC32" s="1" t="s">
        <v>81</v>
      </c>
      <c r="AD32" s="1" t="s">
        <v>151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f>SUM(sdata[[#This Row],[Baby Food]:[Spices]])</f>
        <v>1</v>
      </c>
      <c r="BI32"/>
    </row>
    <row r="33" spans="1:61" x14ac:dyDescent="0.3">
      <c r="A33" s="1" t="s">
        <v>183</v>
      </c>
      <c r="B33" s="1" t="s">
        <v>184</v>
      </c>
      <c r="C33" s="1" t="s">
        <v>61</v>
      </c>
      <c r="D33" s="1" t="s">
        <v>185</v>
      </c>
      <c r="E33" s="1" t="s">
        <v>186</v>
      </c>
      <c r="F33" s="1" t="s">
        <v>187</v>
      </c>
      <c r="G33" s="1" t="s">
        <v>144</v>
      </c>
      <c r="H33" s="1">
        <v>87109</v>
      </c>
      <c r="I33" s="1" t="s">
        <v>188</v>
      </c>
      <c r="J33" s="1" t="s">
        <v>189</v>
      </c>
      <c r="K33" s="1" t="s">
        <v>190</v>
      </c>
      <c r="L33" s="1" t="s">
        <v>191</v>
      </c>
      <c r="M33" s="1" t="s">
        <v>107</v>
      </c>
      <c r="N33" s="3">
        <v>176000000000000</v>
      </c>
      <c r="O33" s="3">
        <v>374980000000000</v>
      </c>
      <c r="P33" s="1">
        <v>10051</v>
      </c>
      <c r="Q33" s="1">
        <v>47</v>
      </c>
      <c r="R33" s="1">
        <v>6487</v>
      </c>
      <c r="S33" s="4">
        <v>0</v>
      </c>
      <c r="T33" s="4">
        <v>3.0493055555555551E-2</v>
      </c>
      <c r="U33" s="1">
        <v>17.87</v>
      </c>
      <c r="V33" s="1" t="s">
        <v>197</v>
      </c>
      <c r="W33" s="4">
        <v>0</v>
      </c>
      <c r="X33" s="2">
        <v>42716</v>
      </c>
      <c r="Y33" s="1">
        <v>42.24</v>
      </c>
      <c r="Z33" s="1" t="s">
        <v>72</v>
      </c>
      <c r="AA33" s="1" t="s">
        <v>73</v>
      </c>
      <c r="AB33" s="1" t="s">
        <v>109</v>
      </c>
      <c r="AC33" s="1" t="s">
        <v>81</v>
      </c>
      <c r="AD33" s="1" t="s">
        <v>151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f>SUM(sdata[[#This Row],[Baby Food]:[Spices]])</f>
        <v>1</v>
      </c>
      <c r="BI33"/>
    </row>
    <row r="34" spans="1:61" x14ac:dyDescent="0.3">
      <c r="A34" s="1" t="s">
        <v>183</v>
      </c>
      <c r="B34" s="1" t="s">
        <v>184</v>
      </c>
      <c r="C34" s="1" t="s">
        <v>61</v>
      </c>
      <c r="D34" s="1" t="s">
        <v>185</v>
      </c>
      <c r="E34" s="1" t="s">
        <v>186</v>
      </c>
      <c r="F34" s="1" t="s">
        <v>187</v>
      </c>
      <c r="G34" s="1" t="s">
        <v>144</v>
      </c>
      <c r="H34" s="1">
        <v>87109</v>
      </c>
      <c r="I34" s="1" t="s">
        <v>188</v>
      </c>
      <c r="J34" s="1" t="s">
        <v>189</v>
      </c>
      <c r="K34" s="1" t="s">
        <v>190</v>
      </c>
      <c r="L34" s="1" t="s">
        <v>191</v>
      </c>
      <c r="M34" s="1" t="s">
        <v>107</v>
      </c>
      <c r="N34" s="3">
        <v>176000000000000</v>
      </c>
      <c r="O34" s="3">
        <v>343230000000000</v>
      </c>
      <c r="P34" s="1">
        <v>10051</v>
      </c>
      <c r="Q34" s="1">
        <v>47</v>
      </c>
      <c r="R34" s="1">
        <v>7945</v>
      </c>
      <c r="S34" s="4">
        <v>0</v>
      </c>
      <c r="T34" s="4">
        <v>3.3247685185185186E-2</v>
      </c>
      <c r="U34" s="1">
        <v>21.97</v>
      </c>
      <c r="V34" s="1" t="s">
        <v>198</v>
      </c>
      <c r="W34" s="4">
        <v>0</v>
      </c>
      <c r="X34" s="2">
        <v>42485</v>
      </c>
      <c r="Y34" s="1">
        <v>8.0399999999999991</v>
      </c>
      <c r="Z34" s="1" t="s">
        <v>126</v>
      </c>
      <c r="AA34" s="1" t="s">
        <v>73</v>
      </c>
      <c r="AB34" s="1" t="s">
        <v>109</v>
      </c>
      <c r="AC34" s="1" t="s">
        <v>81</v>
      </c>
      <c r="AD34" s="1" t="s">
        <v>151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1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f>SUM(sdata[[#This Row],[Baby Food]:[Spices]])</f>
        <v>2</v>
      </c>
      <c r="BI34"/>
    </row>
    <row r="35" spans="1:61" x14ac:dyDescent="0.3">
      <c r="A35" s="1" t="s">
        <v>199</v>
      </c>
      <c r="B35" s="1" t="s">
        <v>200</v>
      </c>
      <c r="C35" s="1" t="s">
        <v>154</v>
      </c>
      <c r="D35" s="1" t="s">
        <v>201</v>
      </c>
      <c r="E35" s="1" t="s">
        <v>202</v>
      </c>
      <c r="G35" s="1" t="s">
        <v>118</v>
      </c>
      <c r="H35" s="1">
        <v>3728</v>
      </c>
      <c r="I35" s="1" t="s">
        <v>203</v>
      </c>
      <c r="J35" s="1" t="s">
        <v>204</v>
      </c>
      <c r="K35" s="1" t="s">
        <v>205</v>
      </c>
      <c r="L35" s="1" t="s">
        <v>206</v>
      </c>
      <c r="M35" s="1" t="s">
        <v>65</v>
      </c>
      <c r="N35" s="1" t="s">
        <v>207</v>
      </c>
      <c r="O35" s="3">
        <v>36050000000000</v>
      </c>
      <c r="P35" s="1">
        <v>10055</v>
      </c>
      <c r="Q35" s="1">
        <v>24</v>
      </c>
      <c r="R35" s="1">
        <v>925</v>
      </c>
      <c r="S35" s="4">
        <v>0</v>
      </c>
      <c r="T35" s="4">
        <v>3.3247685185185186E-2</v>
      </c>
      <c r="U35" s="1">
        <v>19.25</v>
      </c>
      <c r="V35" s="1" t="s">
        <v>208</v>
      </c>
      <c r="W35" s="4">
        <v>0</v>
      </c>
      <c r="X35" s="2">
        <v>42485</v>
      </c>
      <c r="Y35" s="1">
        <v>32.11</v>
      </c>
      <c r="Z35" s="1" t="s">
        <v>126</v>
      </c>
      <c r="AA35" s="1" t="s">
        <v>73</v>
      </c>
      <c r="AB35" s="1" t="s">
        <v>97</v>
      </c>
      <c r="AC35" s="1" t="s">
        <v>81</v>
      </c>
      <c r="AD35" s="1" t="s">
        <v>76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1</v>
      </c>
      <c r="AP35" s="1">
        <v>0</v>
      </c>
      <c r="AQ35" s="1">
        <v>1</v>
      </c>
      <c r="AR35" s="1">
        <v>1</v>
      </c>
      <c r="AS35" s="1">
        <v>0</v>
      </c>
      <c r="AT35" s="1">
        <v>0</v>
      </c>
      <c r="AU35" s="1">
        <v>1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f>SUM(sdata[[#This Row],[Baby Food]:[Spices]])</f>
        <v>4</v>
      </c>
      <c r="BI35"/>
    </row>
    <row r="36" spans="1:61" x14ac:dyDescent="0.3">
      <c r="A36" s="1" t="s">
        <v>199</v>
      </c>
      <c r="B36" s="1" t="s">
        <v>200</v>
      </c>
      <c r="C36" s="1" t="s">
        <v>154</v>
      </c>
      <c r="D36" s="1" t="s">
        <v>201</v>
      </c>
      <c r="E36" s="1" t="s">
        <v>202</v>
      </c>
      <c r="G36" s="1" t="s">
        <v>118</v>
      </c>
      <c r="H36" s="1">
        <v>3728</v>
      </c>
      <c r="I36" s="1" t="s">
        <v>203</v>
      </c>
      <c r="J36" s="1" t="s">
        <v>204</v>
      </c>
      <c r="K36" s="1" t="s">
        <v>205</v>
      </c>
      <c r="L36" s="1" t="s">
        <v>206</v>
      </c>
      <c r="M36" s="1" t="s">
        <v>65</v>
      </c>
      <c r="N36" s="1" t="s">
        <v>207</v>
      </c>
      <c r="O36" s="3">
        <v>36424900000000</v>
      </c>
      <c r="P36" s="1">
        <v>10055</v>
      </c>
      <c r="Q36" s="1">
        <v>24</v>
      </c>
      <c r="R36" s="1">
        <v>1282</v>
      </c>
      <c r="S36" s="4">
        <v>0</v>
      </c>
      <c r="T36" s="4">
        <v>3.3247685185185186E-2</v>
      </c>
      <c r="U36" s="1">
        <v>23.37</v>
      </c>
      <c r="V36" s="1" t="s">
        <v>208</v>
      </c>
      <c r="W36" s="4">
        <v>0</v>
      </c>
      <c r="X36" s="2">
        <v>42485</v>
      </c>
      <c r="Y36" s="1">
        <v>223.31</v>
      </c>
      <c r="Z36" s="1" t="s">
        <v>72</v>
      </c>
      <c r="AA36" s="1" t="s">
        <v>73</v>
      </c>
      <c r="AB36" s="1" t="s">
        <v>97</v>
      </c>
      <c r="AC36" s="1" t="s">
        <v>98</v>
      </c>
      <c r="AD36" s="1" t="s">
        <v>76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1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1</v>
      </c>
      <c r="BE36" s="1">
        <v>0</v>
      </c>
      <c r="BF36" s="1">
        <v>1</v>
      </c>
      <c r="BG36" s="1">
        <v>1</v>
      </c>
      <c r="BH36" s="1">
        <f>SUM(sdata[[#This Row],[Baby Food]:[Spices]])</f>
        <v>5</v>
      </c>
      <c r="BI36"/>
    </row>
    <row r="37" spans="1:61" x14ac:dyDescent="0.3">
      <c r="A37" s="1" t="s">
        <v>199</v>
      </c>
      <c r="B37" s="1" t="s">
        <v>200</v>
      </c>
      <c r="C37" s="1" t="s">
        <v>154</v>
      </c>
      <c r="D37" s="1" t="s">
        <v>201</v>
      </c>
      <c r="E37" s="1" t="s">
        <v>202</v>
      </c>
      <c r="G37" s="1" t="s">
        <v>118</v>
      </c>
      <c r="H37" s="1">
        <v>3728</v>
      </c>
      <c r="I37" s="1" t="s">
        <v>203</v>
      </c>
      <c r="J37" s="1" t="s">
        <v>204</v>
      </c>
      <c r="K37" s="1" t="s">
        <v>205</v>
      </c>
      <c r="L37" s="1" t="s">
        <v>206</v>
      </c>
      <c r="M37" s="1" t="s">
        <v>65</v>
      </c>
      <c r="N37" s="1" t="s">
        <v>207</v>
      </c>
      <c r="O37" s="3">
        <v>36295300000000</v>
      </c>
      <c r="P37" s="1">
        <v>10055</v>
      </c>
      <c r="Q37" s="1">
        <v>24</v>
      </c>
      <c r="R37" s="1">
        <v>4950</v>
      </c>
      <c r="S37" s="4">
        <v>0</v>
      </c>
      <c r="T37" s="4">
        <v>3.0493055555555551E-2</v>
      </c>
      <c r="U37" s="1">
        <v>18.45</v>
      </c>
      <c r="V37" s="1" t="s">
        <v>209</v>
      </c>
      <c r="W37" s="4">
        <v>0</v>
      </c>
      <c r="X37" s="2">
        <v>42670</v>
      </c>
      <c r="Y37" s="1">
        <v>129.77000000000001</v>
      </c>
      <c r="Z37" s="1" t="s">
        <v>72</v>
      </c>
      <c r="AA37" s="1" t="s">
        <v>73</v>
      </c>
      <c r="AB37" s="1" t="s">
        <v>97</v>
      </c>
      <c r="AC37" s="1" t="s">
        <v>75</v>
      </c>
      <c r="AD37" s="1" t="s">
        <v>76</v>
      </c>
      <c r="AE37" s="1">
        <v>1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</v>
      </c>
      <c r="AZ37" s="1">
        <v>0</v>
      </c>
      <c r="BA37" s="1">
        <v>0</v>
      </c>
      <c r="BB37" s="1">
        <v>0</v>
      </c>
      <c r="BC37" s="1">
        <v>1</v>
      </c>
      <c r="BD37" s="1">
        <v>0</v>
      </c>
      <c r="BE37" s="1">
        <v>0</v>
      </c>
      <c r="BF37" s="1">
        <v>0</v>
      </c>
      <c r="BG37" s="1">
        <v>0</v>
      </c>
      <c r="BH37" s="1">
        <f>SUM(sdata[[#This Row],[Baby Food]:[Spices]])</f>
        <v>4</v>
      </c>
      <c r="BI37"/>
    </row>
    <row r="38" spans="1:61" x14ac:dyDescent="0.3">
      <c r="A38" s="1" t="s">
        <v>210</v>
      </c>
      <c r="B38" s="1" t="s">
        <v>211</v>
      </c>
      <c r="C38" s="1" t="s">
        <v>61</v>
      </c>
      <c r="D38" s="1" t="s">
        <v>212</v>
      </c>
      <c r="E38" s="1" t="s">
        <v>213</v>
      </c>
      <c r="G38" s="1" t="s">
        <v>118</v>
      </c>
      <c r="H38" s="1">
        <v>37340</v>
      </c>
      <c r="I38" s="1" t="s">
        <v>214</v>
      </c>
      <c r="J38" s="1" t="s">
        <v>215</v>
      </c>
      <c r="K38" s="1" t="s">
        <v>92</v>
      </c>
      <c r="L38" s="1" t="s">
        <v>216</v>
      </c>
      <c r="M38" s="1" t="s">
        <v>107</v>
      </c>
      <c r="N38" s="3">
        <v>210000000000000</v>
      </c>
      <c r="O38" s="3">
        <v>4621260000000000</v>
      </c>
      <c r="P38" s="1">
        <v>10059</v>
      </c>
      <c r="Q38" s="1" t="s">
        <v>218</v>
      </c>
      <c r="R38" s="1">
        <v>1985</v>
      </c>
      <c r="S38" s="4">
        <v>0</v>
      </c>
      <c r="T38" s="4">
        <v>1.7784722222222223E-2</v>
      </c>
      <c r="U38" s="1">
        <v>21.97</v>
      </c>
      <c r="V38" s="1" t="s">
        <v>217</v>
      </c>
      <c r="W38" s="4">
        <v>0</v>
      </c>
      <c r="X38" s="2">
        <v>42459</v>
      </c>
      <c r="Y38" s="1">
        <v>5.91</v>
      </c>
      <c r="Z38" s="1" t="s">
        <v>126</v>
      </c>
      <c r="AA38" s="1" t="s">
        <v>73</v>
      </c>
      <c r="AB38" s="1" t="s">
        <v>97</v>
      </c>
      <c r="AC38" s="1" t="s">
        <v>81</v>
      </c>
      <c r="AD38" s="1" t="s">
        <v>99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f>SUM(sdata[[#This Row],[Baby Food]:[Spices]])</f>
        <v>1</v>
      </c>
      <c r="BI38"/>
    </row>
    <row r="39" spans="1:61" x14ac:dyDescent="0.3">
      <c r="A39" s="1" t="s">
        <v>210</v>
      </c>
      <c r="B39" s="1" t="s">
        <v>211</v>
      </c>
      <c r="C39" s="1" t="s">
        <v>61</v>
      </c>
      <c r="D39" s="1" t="s">
        <v>212</v>
      </c>
      <c r="E39" s="1" t="s">
        <v>213</v>
      </c>
      <c r="G39" s="1" t="s">
        <v>118</v>
      </c>
      <c r="H39" s="1">
        <v>37340</v>
      </c>
      <c r="I39" s="1" t="s">
        <v>214</v>
      </c>
      <c r="J39" s="1" t="s">
        <v>215</v>
      </c>
      <c r="K39" s="1" t="s">
        <v>92</v>
      </c>
      <c r="L39" s="1" t="s">
        <v>216</v>
      </c>
      <c r="M39" s="1" t="s">
        <v>107</v>
      </c>
      <c r="N39" s="3">
        <v>210000000000000</v>
      </c>
      <c r="O39" s="3">
        <v>4699080000000000</v>
      </c>
      <c r="P39" s="1">
        <v>10059</v>
      </c>
      <c r="Q39" s="1" t="s">
        <v>218</v>
      </c>
      <c r="R39" s="1">
        <v>3363</v>
      </c>
      <c r="S39" s="4">
        <v>0</v>
      </c>
      <c r="T39" s="4">
        <v>1.649074074074074E-2</v>
      </c>
      <c r="U39" s="1">
        <v>68.569999999999993</v>
      </c>
      <c r="V39" s="1" t="s">
        <v>219</v>
      </c>
      <c r="W39" s="4">
        <v>0</v>
      </c>
      <c r="X39" s="2">
        <v>42719</v>
      </c>
      <c r="Y39" s="1">
        <v>173.62</v>
      </c>
      <c r="Z39" s="1" t="s">
        <v>72</v>
      </c>
      <c r="AA39" s="1" t="s">
        <v>73</v>
      </c>
      <c r="AB39" s="1" t="s">
        <v>97</v>
      </c>
      <c r="AC39" s="1" t="s">
        <v>98</v>
      </c>
      <c r="AD39" s="1" t="s">
        <v>99</v>
      </c>
      <c r="AE39" s="1">
        <v>1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</v>
      </c>
      <c r="AW39" s="1">
        <v>1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>
        <v>0</v>
      </c>
      <c r="BF39" s="1">
        <v>0</v>
      </c>
      <c r="BG39" s="1">
        <v>0</v>
      </c>
      <c r="BH39" s="1">
        <f>SUM(sdata[[#This Row],[Baby Food]:[Spices]])</f>
        <v>5</v>
      </c>
      <c r="BI39"/>
    </row>
    <row r="40" spans="1:61" x14ac:dyDescent="0.3">
      <c r="A40" s="1" t="s">
        <v>220</v>
      </c>
      <c r="B40" s="1" t="s">
        <v>221</v>
      </c>
      <c r="C40" s="1" t="s">
        <v>61</v>
      </c>
      <c r="D40" s="1" t="s">
        <v>222</v>
      </c>
      <c r="E40" s="1" t="s">
        <v>223</v>
      </c>
      <c r="F40" s="1" t="s">
        <v>224</v>
      </c>
      <c r="G40" s="1" t="s">
        <v>144</v>
      </c>
      <c r="H40" s="1">
        <v>71301</v>
      </c>
      <c r="I40" s="1" t="s">
        <v>225</v>
      </c>
      <c r="J40" s="1" t="s">
        <v>226</v>
      </c>
      <c r="K40" s="1" t="s">
        <v>205</v>
      </c>
      <c r="L40" s="1" t="s">
        <v>227</v>
      </c>
      <c r="M40" s="1" t="s">
        <v>107</v>
      </c>
      <c r="N40" s="3">
        <v>754000000000000</v>
      </c>
      <c r="O40" s="3">
        <v>36139400000000</v>
      </c>
      <c r="P40" s="1">
        <v>10063</v>
      </c>
      <c r="Q40" s="1">
        <v>65</v>
      </c>
      <c r="R40" s="1">
        <v>564</v>
      </c>
      <c r="S40" s="4">
        <v>0</v>
      </c>
      <c r="T40" s="4">
        <v>4.0797453703703704E-2</v>
      </c>
      <c r="U40" s="1">
        <v>7.12</v>
      </c>
      <c r="V40" s="1" t="s">
        <v>228</v>
      </c>
      <c r="W40" s="4">
        <v>0</v>
      </c>
      <c r="X40" s="2">
        <v>42520</v>
      </c>
      <c r="Y40" s="1">
        <v>198.38</v>
      </c>
      <c r="Z40" s="1" t="s">
        <v>112</v>
      </c>
      <c r="AA40" s="1" t="s">
        <v>80</v>
      </c>
      <c r="AB40" s="1" t="s">
        <v>74</v>
      </c>
      <c r="AC40" s="1" t="s">
        <v>98</v>
      </c>
      <c r="AD40" s="1" t="s">
        <v>110</v>
      </c>
      <c r="AE40" s="1">
        <v>0</v>
      </c>
      <c r="AF40" s="1">
        <v>1</v>
      </c>
      <c r="AG40" s="1">
        <v>0</v>
      </c>
      <c r="AH40" s="1">
        <v>1</v>
      </c>
      <c r="AI40" s="1">
        <v>0</v>
      </c>
      <c r="AJ40" s="1">
        <v>0</v>
      </c>
      <c r="AK40" s="1">
        <v>1</v>
      </c>
      <c r="AL40" s="1">
        <v>0</v>
      </c>
      <c r="AM40" s="1">
        <v>1</v>
      </c>
      <c r="AN40" s="1">
        <v>1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1</v>
      </c>
      <c r="AW40" s="1">
        <v>0</v>
      </c>
      <c r="AX40" s="1">
        <v>0</v>
      </c>
      <c r="AY40" s="1">
        <v>0</v>
      </c>
      <c r="AZ40" s="1">
        <v>1</v>
      </c>
      <c r="BA40" s="1">
        <v>0</v>
      </c>
      <c r="BB40" s="1">
        <v>0</v>
      </c>
      <c r="BC40" s="1">
        <v>0</v>
      </c>
      <c r="BD40" s="1">
        <v>1</v>
      </c>
      <c r="BE40" s="1">
        <v>0</v>
      </c>
      <c r="BF40" s="1">
        <v>0</v>
      </c>
      <c r="BG40" s="1">
        <v>0</v>
      </c>
      <c r="BH40" s="1">
        <f>SUM(sdata[[#This Row],[Baby Food]:[Spices]])</f>
        <v>8</v>
      </c>
      <c r="BI40"/>
    </row>
    <row r="41" spans="1:61" x14ac:dyDescent="0.3">
      <c r="A41" s="1" t="s">
        <v>220</v>
      </c>
      <c r="B41" s="1" t="s">
        <v>221</v>
      </c>
      <c r="C41" s="1" t="s">
        <v>61</v>
      </c>
      <c r="D41" s="1" t="s">
        <v>222</v>
      </c>
      <c r="E41" s="1" t="s">
        <v>229</v>
      </c>
      <c r="F41" s="1" t="s">
        <v>224</v>
      </c>
      <c r="G41" s="1" t="s">
        <v>144</v>
      </c>
      <c r="H41" s="1">
        <v>71301</v>
      </c>
      <c r="I41" s="1" t="s">
        <v>225</v>
      </c>
      <c r="J41" s="1" t="s">
        <v>226</v>
      </c>
      <c r="K41" s="1" t="s">
        <v>205</v>
      </c>
      <c r="L41" s="1" t="s">
        <v>227</v>
      </c>
      <c r="M41" s="1" t="s">
        <v>107</v>
      </c>
      <c r="N41" s="3">
        <v>754000000000000</v>
      </c>
      <c r="O41" s="3">
        <v>36254100000000</v>
      </c>
      <c r="P41" s="1">
        <v>10063</v>
      </c>
      <c r="Q41" s="1">
        <v>65</v>
      </c>
      <c r="R41" s="1">
        <v>1506</v>
      </c>
      <c r="S41" s="4">
        <v>0</v>
      </c>
      <c r="T41" s="4">
        <v>2.3803240740740739E-2</v>
      </c>
      <c r="U41" s="1">
        <v>22.77</v>
      </c>
      <c r="V41" s="1" t="s">
        <v>230</v>
      </c>
      <c r="W41" s="4">
        <v>0</v>
      </c>
      <c r="X41" s="2">
        <v>42622</v>
      </c>
      <c r="Y41" s="1">
        <v>242.23</v>
      </c>
      <c r="Z41" s="1" t="s">
        <v>72</v>
      </c>
      <c r="AA41" s="1" t="s">
        <v>80</v>
      </c>
      <c r="AB41" s="1" t="s">
        <v>74</v>
      </c>
      <c r="AC41" s="1" t="s">
        <v>98</v>
      </c>
      <c r="AD41" s="1" t="s">
        <v>110</v>
      </c>
      <c r="AE41" s="1">
        <v>0</v>
      </c>
      <c r="AF41" s="1">
        <v>1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1</v>
      </c>
      <c r="AW41" s="1">
        <v>0</v>
      </c>
      <c r="AX41" s="1">
        <v>0</v>
      </c>
      <c r="AY41" s="1">
        <v>0</v>
      </c>
      <c r="AZ41" s="1">
        <v>1</v>
      </c>
      <c r="BA41" s="1">
        <v>0</v>
      </c>
      <c r="BB41" s="1">
        <v>1</v>
      </c>
      <c r="BC41" s="1">
        <v>0</v>
      </c>
      <c r="BD41" s="1">
        <v>0</v>
      </c>
      <c r="BE41" s="1">
        <v>0</v>
      </c>
      <c r="BF41" s="1">
        <v>1</v>
      </c>
      <c r="BG41" s="1">
        <v>1</v>
      </c>
      <c r="BH41" s="1">
        <f>SUM(sdata[[#This Row],[Baby Food]:[Spices]])</f>
        <v>9</v>
      </c>
      <c r="BI41"/>
    </row>
    <row r="42" spans="1:61" x14ac:dyDescent="0.3">
      <c r="A42" s="1" t="s">
        <v>220</v>
      </c>
      <c r="B42" s="1" t="s">
        <v>221</v>
      </c>
      <c r="C42" s="1" t="s">
        <v>61</v>
      </c>
      <c r="D42" s="1" t="s">
        <v>222</v>
      </c>
      <c r="E42" s="1" t="s">
        <v>229</v>
      </c>
      <c r="F42" s="1" t="s">
        <v>224</v>
      </c>
      <c r="G42" s="1" t="s">
        <v>144</v>
      </c>
      <c r="H42" s="1">
        <v>71301</v>
      </c>
      <c r="I42" s="1" t="s">
        <v>225</v>
      </c>
      <c r="J42" s="1" t="s">
        <v>226</v>
      </c>
      <c r="K42" s="1" t="s">
        <v>205</v>
      </c>
      <c r="L42" s="1" t="s">
        <v>227</v>
      </c>
      <c r="M42" s="1" t="s">
        <v>107</v>
      </c>
      <c r="N42" s="3">
        <v>754000000000000</v>
      </c>
      <c r="O42" s="3">
        <v>36237400000000</v>
      </c>
      <c r="P42" s="1">
        <v>10063</v>
      </c>
      <c r="Q42" s="1">
        <v>65</v>
      </c>
      <c r="R42" s="1">
        <v>3586</v>
      </c>
      <c r="S42" s="4">
        <v>0</v>
      </c>
      <c r="T42" s="4">
        <v>2.3803240740740739E-2</v>
      </c>
      <c r="U42" s="1">
        <v>11.45</v>
      </c>
      <c r="V42" s="1" t="s">
        <v>171</v>
      </c>
      <c r="W42" s="4">
        <v>0</v>
      </c>
      <c r="X42" s="2">
        <v>42723</v>
      </c>
      <c r="Y42" s="1">
        <v>270.16000000000003</v>
      </c>
      <c r="Z42" s="1" t="s">
        <v>72</v>
      </c>
      <c r="AA42" s="1" t="s">
        <v>80</v>
      </c>
      <c r="AB42" s="1" t="s">
        <v>74</v>
      </c>
      <c r="AC42" s="1" t="s">
        <v>98</v>
      </c>
      <c r="AD42" s="1" t="s">
        <v>110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1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</v>
      </c>
      <c r="BG42" s="1">
        <v>1</v>
      </c>
      <c r="BH42" s="1">
        <f>SUM(sdata[[#This Row],[Baby Food]:[Spices]])</f>
        <v>4</v>
      </c>
      <c r="BI42"/>
    </row>
    <row r="43" spans="1:61" x14ac:dyDescent="0.3">
      <c r="A43" s="1" t="s">
        <v>231</v>
      </c>
      <c r="B43" s="1" t="s">
        <v>232</v>
      </c>
      <c r="C43" s="1" t="s">
        <v>154</v>
      </c>
      <c r="D43" s="1" t="s">
        <v>233</v>
      </c>
      <c r="E43" s="1" t="s">
        <v>234</v>
      </c>
      <c r="G43" s="1" t="s">
        <v>118</v>
      </c>
      <c r="H43" s="1">
        <v>7210</v>
      </c>
      <c r="I43" s="1" t="s">
        <v>235</v>
      </c>
      <c r="J43" s="1" t="s">
        <v>236</v>
      </c>
      <c r="K43" s="1" t="s">
        <v>92</v>
      </c>
      <c r="L43" s="1" t="s">
        <v>237</v>
      </c>
      <c r="M43" s="1" t="s">
        <v>70</v>
      </c>
      <c r="N43" s="1">
        <v>515250001</v>
      </c>
      <c r="O43" s="3">
        <v>4594160000000000</v>
      </c>
      <c r="P43" s="1">
        <v>10067</v>
      </c>
      <c r="Q43" s="1">
        <v>28</v>
      </c>
      <c r="R43" s="1">
        <v>1042</v>
      </c>
      <c r="S43" s="4">
        <v>0</v>
      </c>
      <c r="T43" s="4">
        <v>3.9995370370370369E-2</v>
      </c>
      <c r="U43" s="1">
        <v>27.99</v>
      </c>
      <c r="V43" s="1" t="s">
        <v>238</v>
      </c>
      <c r="W43" s="4">
        <v>0</v>
      </c>
      <c r="X43" s="2">
        <v>42652</v>
      </c>
      <c r="Y43" s="1">
        <v>57.87</v>
      </c>
      <c r="Z43" s="1" t="s">
        <v>112</v>
      </c>
      <c r="AA43" s="1" t="s">
        <v>73</v>
      </c>
      <c r="AB43" s="1" t="s">
        <v>74</v>
      </c>
      <c r="AC43" s="1" t="s">
        <v>75</v>
      </c>
      <c r="AD43" s="1" t="s">
        <v>76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1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1</v>
      </c>
      <c r="AV43" s="1">
        <v>0</v>
      </c>
      <c r="AW43" s="1">
        <v>0</v>
      </c>
      <c r="AX43" s="1">
        <v>1</v>
      </c>
      <c r="AY43" s="1">
        <v>1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1</v>
      </c>
      <c r="BF43" s="1">
        <v>0</v>
      </c>
      <c r="BG43" s="1">
        <v>0</v>
      </c>
      <c r="BH43" s="1">
        <f>SUM(sdata[[#This Row],[Baby Food]:[Spices]])</f>
        <v>6</v>
      </c>
      <c r="BI43"/>
    </row>
    <row r="44" spans="1:61" x14ac:dyDescent="0.3">
      <c r="A44" s="1" t="s">
        <v>231</v>
      </c>
      <c r="B44" s="1" t="s">
        <v>232</v>
      </c>
      <c r="C44" s="1" t="s">
        <v>154</v>
      </c>
      <c r="D44" s="1" t="s">
        <v>233</v>
      </c>
      <c r="E44" s="1" t="s">
        <v>234</v>
      </c>
      <c r="G44" s="1" t="s">
        <v>118</v>
      </c>
      <c r="H44" s="1">
        <v>7210</v>
      </c>
      <c r="I44" s="1" t="s">
        <v>235</v>
      </c>
      <c r="J44" s="1" t="s">
        <v>236</v>
      </c>
      <c r="K44" s="1" t="s">
        <v>92</v>
      </c>
      <c r="L44" s="1" t="s">
        <v>237</v>
      </c>
      <c r="M44" s="1" t="s">
        <v>70</v>
      </c>
      <c r="N44" s="1">
        <v>515250001</v>
      </c>
      <c r="O44" s="3">
        <v>4630680000000000</v>
      </c>
      <c r="P44" s="1">
        <v>10067</v>
      </c>
      <c r="Q44" s="1">
        <v>28</v>
      </c>
      <c r="R44" s="1">
        <v>1239</v>
      </c>
      <c r="S44" s="4">
        <v>0</v>
      </c>
      <c r="T44" s="4">
        <v>2.0210648148148148E-2</v>
      </c>
      <c r="U44" s="1">
        <v>7.85</v>
      </c>
      <c r="V44" s="1" t="s">
        <v>122</v>
      </c>
      <c r="W44" s="4">
        <v>0</v>
      </c>
      <c r="X44" s="2">
        <v>42430</v>
      </c>
      <c r="Y44" s="1">
        <v>378</v>
      </c>
      <c r="Z44" s="1" t="s">
        <v>72</v>
      </c>
      <c r="AA44" s="1" t="s">
        <v>73</v>
      </c>
      <c r="AB44" s="1" t="s">
        <v>74</v>
      </c>
      <c r="AC44" s="1" t="s">
        <v>81</v>
      </c>
      <c r="AD44" s="1" t="s">
        <v>76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</v>
      </c>
      <c r="AP44" s="1">
        <v>0</v>
      </c>
      <c r="AQ44" s="1">
        <v>1</v>
      </c>
      <c r="AR44" s="1">
        <v>0</v>
      </c>
      <c r="AS44" s="1">
        <v>0</v>
      </c>
      <c r="AT44" s="1">
        <v>0</v>
      </c>
      <c r="AU44" s="1">
        <v>1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f>SUM(sdata[[#This Row],[Baby Food]:[Spices]])</f>
        <v>3</v>
      </c>
      <c r="BI44"/>
    </row>
    <row r="45" spans="1:61" x14ac:dyDescent="0.3">
      <c r="A45" s="1" t="s">
        <v>239</v>
      </c>
      <c r="B45" s="1" t="s">
        <v>240</v>
      </c>
      <c r="C45" s="1" t="s">
        <v>61</v>
      </c>
      <c r="D45" s="1" t="s">
        <v>241</v>
      </c>
      <c r="E45" s="1" t="s">
        <v>242</v>
      </c>
      <c r="F45" s="1" t="s">
        <v>243</v>
      </c>
      <c r="G45" s="1" t="s">
        <v>144</v>
      </c>
      <c r="H45" s="1">
        <v>20222</v>
      </c>
      <c r="I45" s="1" t="s">
        <v>244</v>
      </c>
      <c r="J45" s="1" t="s">
        <v>245</v>
      </c>
      <c r="K45" s="1" t="s">
        <v>246</v>
      </c>
      <c r="L45" s="1" t="s">
        <v>247</v>
      </c>
      <c r="M45" s="1" t="s">
        <v>70</v>
      </c>
      <c r="N45" s="1">
        <v>530990002</v>
      </c>
      <c r="O45" s="3">
        <v>3528920000000000</v>
      </c>
      <c r="P45" s="1">
        <v>10075</v>
      </c>
      <c r="Q45" s="1">
        <v>73</v>
      </c>
      <c r="R45" s="1">
        <v>670</v>
      </c>
      <c r="S45" s="4">
        <v>0</v>
      </c>
      <c r="T45" s="4">
        <v>2.7155092592592592E-2</v>
      </c>
      <c r="U45" s="1">
        <v>11.85</v>
      </c>
      <c r="V45" s="1" t="s">
        <v>95</v>
      </c>
      <c r="W45" s="4">
        <v>0</v>
      </c>
      <c r="X45" s="2">
        <v>42427</v>
      </c>
      <c r="Y45" s="1">
        <v>142.54</v>
      </c>
      <c r="Z45" s="1" t="s">
        <v>72</v>
      </c>
      <c r="AA45" s="1" t="s">
        <v>80</v>
      </c>
      <c r="AB45" s="1" t="s">
        <v>74</v>
      </c>
      <c r="AC45" s="1" t="s">
        <v>75</v>
      </c>
      <c r="AD45" s="1" t="s">
        <v>110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0</v>
      </c>
      <c r="AL45" s="1">
        <v>1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f>SUM(sdata[[#This Row],[Baby Food]:[Spices]])</f>
        <v>6</v>
      </c>
      <c r="BI45"/>
    </row>
    <row r="46" spans="1:61" x14ac:dyDescent="0.3">
      <c r="A46" s="1" t="s">
        <v>239</v>
      </c>
      <c r="B46" s="1" t="s">
        <v>240</v>
      </c>
      <c r="C46" s="1" t="s">
        <v>61</v>
      </c>
      <c r="D46" s="1" t="s">
        <v>241</v>
      </c>
      <c r="E46" s="1" t="s">
        <v>242</v>
      </c>
      <c r="F46" s="1" t="s">
        <v>243</v>
      </c>
      <c r="G46" s="1" t="s">
        <v>144</v>
      </c>
      <c r="H46" s="1">
        <v>20222</v>
      </c>
      <c r="I46" s="1" t="s">
        <v>244</v>
      </c>
      <c r="J46" s="1" t="s">
        <v>245</v>
      </c>
      <c r="K46" s="1" t="s">
        <v>246</v>
      </c>
      <c r="L46" s="1" t="s">
        <v>247</v>
      </c>
      <c r="M46" s="1" t="s">
        <v>70</v>
      </c>
      <c r="N46" s="1">
        <v>530990002</v>
      </c>
      <c r="O46" s="3">
        <v>3528680000000000</v>
      </c>
      <c r="P46" s="1">
        <v>10075</v>
      </c>
      <c r="Q46" s="1">
        <v>73</v>
      </c>
      <c r="R46" s="1">
        <v>2231</v>
      </c>
      <c r="S46" s="4">
        <v>0</v>
      </c>
      <c r="T46" s="4">
        <v>3.3291666666666664E-2</v>
      </c>
      <c r="U46" s="1">
        <v>9</v>
      </c>
      <c r="V46" s="1" t="s">
        <v>248</v>
      </c>
      <c r="W46" s="4">
        <v>0</v>
      </c>
      <c r="X46" s="2">
        <v>42729</v>
      </c>
      <c r="Y46" s="1">
        <v>197.81</v>
      </c>
      <c r="Z46" s="1" t="s">
        <v>72</v>
      </c>
      <c r="AA46" s="1" t="s">
        <v>80</v>
      </c>
      <c r="AB46" s="1" t="s">
        <v>74</v>
      </c>
      <c r="AC46" s="1" t="s">
        <v>98</v>
      </c>
      <c r="AD46" s="1" t="s">
        <v>110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1</v>
      </c>
      <c r="AU46" s="1">
        <v>0</v>
      </c>
      <c r="AV46" s="1">
        <v>1</v>
      </c>
      <c r="AW46" s="1">
        <v>0</v>
      </c>
      <c r="AX46" s="1">
        <v>0</v>
      </c>
      <c r="AY46" s="1">
        <v>0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1</v>
      </c>
      <c r="BH46" s="1">
        <f>SUM(sdata[[#This Row],[Baby Food]:[Spices]])</f>
        <v>4</v>
      </c>
      <c r="BI46"/>
    </row>
    <row r="47" spans="1:61" x14ac:dyDescent="0.3">
      <c r="A47" s="1" t="s">
        <v>239</v>
      </c>
      <c r="B47" s="1" t="s">
        <v>240</v>
      </c>
      <c r="C47" s="1" t="s">
        <v>61</v>
      </c>
      <c r="D47" s="1" t="s">
        <v>241</v>
      </c>
      <c r="E47" s="1" t="s">
        <v>242</v>
      </c>
      <c r="F47" s="1" t="s">
        <v>243</v>
      </c>
      <c r="G47" s="1" t="s">
        <v>144</v>
      </c>
      <c r="H47" s="1">
        <v>20222</v>
      </c>
      <c r="I47" s="1" t="s">
        <v>244</v>
      </c>
      <c r="J47" s="1" t="s">
        <v>245</v>
      </c>
      <c r="K47" s="1" t="s">
        <v>246</v>
      </c>
      <c r="L47" s="1" t="s">
        <v>247</v>
      </c>
      <c r="M47" s="1" t="s">
        <v>70</v>
      </c>
      <c r="N47" s="1">
        <v>530990002</v>
      </c>
      <c r="O47" s="3">
        <v>3528160000000000</v>
      </c>
      <c r="P47" s="1">
        <v>10075</v>
      </c>
      <c r="Q47" s="1">
        <v>73</v>
      </c>
      <c r="R47" s="1">
        <v>9068</v>
      </c>
      <c r="S47" s="4">
        <v>0</v>
      </c>
      <c r="T47" s="4">
        <v>5.2824074074074067E-3</v>
      </c>
      <c r="U47" s="1">
        <v>16.27</v>
      </c>
      <c r="V47" s="1" t="s">
        <v>84</v>
      </c>
      <c r="W47" s="4">
        <v>0</v>
      </c>
      <c r="X47" s="2">
        <v>42372</v>
      </c>
      <c r="Y47" s="1">
        <v>179.38</v>
      </c>
      <c r="Z47" s="1" t="s">
        <v>72</v>
      </c>
      <c r="AA47" s="1" t="s">
        <v>80</v>
      </c>
      <c r="AB47" s="1" t="s">
        <v>74</v>
      </c>
      <c r="AC47" s="1" t="s">
        <v>98</v>
      </c>
      <c r="AD47" s="1" t="s">
        <v>110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</v>
      </c>
      <c r="AO47" s="1">
        <v>0</v>
      </c>
      <c r="AP47" s="1">
        <v>0</v>
      </c>
      <c r="AQ47" s="1">
        <v>0</v>
      </c>
      <c r="AR47" s="1">
        <v>0</v>
      </c>
      <c r="AS47" s="1">
        <v>1</v>
      </c>
      <c r="AT47" s="1">
        <v>1</v>
      </c>
      <c r="AU47" s="1">
        <v>0</v>
      </c>
      <c r="AV47" s="1">
        <v>1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</v>
      </c>
      <c r="BG47" s="1">
        <v>0</v>
      </c>
      <c r="BH47" s="1">
        <f>SUM(sdata[[#This Row],[Baby Food]:[Spices]])</f>
        <v>5</v>
      </c>
      <c r="BI47"/>
    </row>
    <row r="48" spans="1:61" x14ac:dyDescent="0.3">
      <c r="A48" s="1" t="s">
        <v>249</v>
      </c>
      <c r="B48" s="1" t="s">
        <v>250</v>
      </c>
      <c r="C48" s="1" t="s">
        <v>61</v>
      </c>
      <c r="D48" s="1" t="s">
        <v>251</v>
      </c>
      <c r="E48" s="1" t="s">
        <v>252</v>
      </c>
      <c r="F48" s="1" t="s">
        <v>253</v>
      </c>
      <c r="G48" s="1" t="s">
        <v>254</v>
      </c>
      <c r="H48" s="1" t="s">
        <v>255</v>
      </c>
      <c r="I48" s="1" t="s">
        <v>256</v>
      </c>
      <c r="J48" s="1" t="s">
        <v>257</v>
      </c>
      <c r="K48" s="1" t="s">
        <v>147</v>
      </c>
      <c r="L48" s="1" t="s">
        <v>258</v>
      </c>
      <c r="M48" s="1" t="s">
        <v>118</v>
      </c>
      <c r="N48" s="1" t="s">
        <v>259</v>
      </c>
      <c r="O48" s="3">
        <v>377233000000000</v>
      </c>
      <c r="P48" s="1">
        <v>10079</v>
      </c>
      <c r="Q48" s="1">
        <v>19</v>
      </c>
      <c r="R48" s="1">
        <v>3545</v>
      </c>
      <c r="S48" s="4">
        <v>0</v>
      </c>
      <c r="T48" s="4">
        <v>4.0039351851851854E-2</v>
      </c>
      <c r="U48" s="1">
        <v>6.37</v>
      </c>
      <c r="V48" s="1" t="s">
        <v>260</v>
      </c>
      <c r="W48" s="4">
        <v>0</v>
      </c>
      <c r="X48" s="2">
        <v>42490</v>
      </c>
      <c r="Y48" s="1">
        <v>20.37</v>
      </c>
      <c r="Z48" s="1" t="s">
        <v>72</v>
      </c>
      <c r="AA48" s="1" t="s">
        <v>73</v>
      </c>
      <c r="AB48" s="1" t="s">
        <v>74</v>
      </c>
      <c r="AC48" s="1" t="s">
        <v>81</v>
      </c>
      <c r="AD48" s="1" t="s">
        <v>99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1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f>SUM(sdata[[#This Row],[Baby Food]:[Spices]])</f>
        <v>3</v>
      </c>
      <c r="BI48"/>
    </row>
    <row r="49" spans="1:61" x14ac:dyDescent="0.3">
      <c r="A49" s="1" t="s">
        <v>261</v>
      </c>
      <c r="B49" s="1" t="s">
        <v>262</v>
      </c>
      <c r="C49" s="1" t="s">
        <v>154</v>
      </c>
      <c r="D49" s="1" t="s">
        <v>263</v>
      </c>
      <c r="E49" s="1" t="s">
        <v>264</v>
      </c>
      <c r="F49" s="1" t="s">
        <v>265</v>
      </c>
      <c r="G49" s="1" t="s">
        <v>65</v>
      </c>
      <c r="H49" s="1">
        <v>37060</v>
      </c>
      <c r="I49" s="1" t="s">
        <v>266</v>
      </c>
      <c r="J49" s="1" t="s">
        <v>267</v>
      </c>
      <c r="K49" s="1" t="s">
        <v>246</v>
      </c>
      <c r="L49" s="1" t="s">
        <v>268</v>
      </c>
      <c r="M49" s="1" t="s">
        <v>70</v>
      </c>
      <c r="N49" s="1">
        <v>22868164</v>
      </c>
      <c r="O49" s="3">
        <v>3528900000000000</v>
      </c>
      <c r="P49" s="1">
        <v>10083</v>
      </c>
      <c r="Q49" s="1">
        <v>40</v>
      </c>
      <c r="R49" s="1">
        <v>1728</v>
      </c>
      <c r="S49" s="4">
        <v>0</v>
      </c>
      <c r="T49" s="4">
        <v>4.1391203703703701E-2</v>
      </c>
      <c r="U49" s="1">
        <v>17.87</v>
      </c>
      <c r="V49" s="1" t="s">
        <v>269</v>
      </c>
      <c r="W49" s="4">
        <v>0</v>
      </c>
      <c r="X49" s="2">
        <v>42731</v>
      </c>
      <c r="Y49" s="1">
        <v>560</v>
      </c>
      <c r="Z49" s="1" t="s">
        <v>72</v>
      </c>
      <c r="AA49" s="1" t="s">
        <v>73</v>
      </c>
      <c r="AB49" s="1" t="s">
        <v>109</v>
      </c>
      <c r="AC49" s="1" t="s">
        <v>81</v>
      </c>
      <c r="AD49" s="1" t="s">
        <v>76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f>SUM(sdata[[#This Row],[Baby Food]:[Spices]])</f>
        <v>1</v>
      </c>
      <c r="BI49"/>
    </row>
    <row r="50" spans="1:61" x14ac:dyDescent="0.3">
      <c r="A50" s="1" t="s">
        <v>270</v>
      </c>
      <c r="B50" s="1" t="s">
        <v>271</v>
      </c>
      <c r="C50" s="1" t="s">
        <v>272</v>
      </c>
      <c r="D50" s="1" t="s">
        <v>273</v>
      </c>
      <c r="E50" s="1" t="s">
        <v>274</v>
      </c>
      <c r="F50" s="1" t="s">
        <v>275</v>
      </c>
      <c r="G50" s="1" t="s">
        <v>144</v>
      </c>
      <c r="H50" s="1">
        <v>79109</v>
      </c>
      <c r="I50" s="1" t="s">
        <v>276</v>
      </c>
      <c r="J50" s="1" t="s">
        <v>277</v>
      </c>
      <c r="K50" s="1" t="s">
        <v>147</v>
      </c>
      <c r="L50" s="1" t="s">
        <v>278</v>
      </c>
      <c r="M50" s="1" t="s">
        <v>65</v>
      </c>
      <c r="N50" s="1" t="s">
        <v>279</v>
      </c>
      <c r="O50" s="3">
        <v>343640000000000</v>
      </c>
      <c r="P50" s="1">
        <v>10091</v>
      </c>
      <c r="Q50" s="1">
        <v>40</v>
      </c>
      <c r="R50" s="1">
        <v>3359</v>
      </c>
      <c r="S50" s="4">
        <v>0</v>
      </c>
      <c r="T50" s="4">
        <v>4.1391203703703701E-2</v>
      </c>
      <c r="U50" s="1">
        <v>68.569999999999993</v>
      </c>
      <c r="V50" s="1" t="s">
        <v>269</v>
      </c>
      <c r="W50" s="4">
        <v>0</v>
      </c>
      <c r="X50" s="2">
        <v>42731</v>
      </c>
      <c r="Y50" s="1">
        <v>24.08</v>
      </c>
      <c r="Z50" s="1" t="s">
        <v>72</v>
      </c>
      <c r="AA50" s="1" t="s">
        <v>73</v>
      </c>
      <c r="AB50" s="1" t="s">
        <v>109</v>
      </c>
      <c r="AC50" s="1" t="s">
        <v>81</v>
      </c>
      <c r="AD50" s="1" t="s">
        <v>76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1</v>
      </c>
      <c r="AP50" s="1">
        <v>0</v>
      </c>
      <c r="AQ50" s="1">
        <v>1</v>
      </c>
      <c r="AR50" s="1">
        <v>0</v>
      </c>
      <c r="AS50" s="1">
        <v>0</v>
      </c>
      <c r="AT50" s="1">
        <v>0</v>
      </c>
      <c r="AU50" s="1">
        <v>1</v>
      </c>
      <c r="AV50" s="1">
        <v>0</v>
      </c>
      <c r="AW50" s="1">
        <v>0</v>
      </c>
      <c r="AX50" s="1">
        <v>0</v>
      </c>
      <c r="AY50" s="1">
        <v>1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f>SUM(sdata[[#This Row],[Baby Food]:[Spices]])</f>
        <v>4</v>
      </c>
      <c r="BI50"/>
    </row>
    <row r="51" spans="1:61" x14ac:dyDescent="0.3">
      <c r="A51" s="1" t="s">
        <v>270</v>
      </c>
      <c r="B51" s="1" t="s">
        <v>271</v>
      </c>
      <c r="C51" s="1" t="s">
        <v>272</v>
      </c>
      <c r="D51" s="1" t="s">
        <v>273</v>
      </c>
      <c r="E51" s="1" t="s">
        <v>274</v>
      </c>
      <c r="F51" s="1" t="s">
        <v>275</v>
      </c>
      <c r="G51" s="1" t="s">
        <v>144</v>
      </c>
      <c r="H51" s="1">
        <v>79109</v>
      </c>
      <c r="I51" s="1" t="s">
        <v>276</v>
      </c>
      <c r="J51" s="1" t="s">
        <v>277</v>
      </c>
      <c r="K51" s="1" t="s">
        <v>147</v>
      </c>
      <c r="L51" s="1" t="s">
        <v>278</v>
      </c>
      <c r="M51" s="1" t="s">
        <v>65</v>
      </c>
      <c r="N51" s="1" t="s">
        <v>279</v>
      </c>
      <c r="O51" s="3">
        <v>374897000000000</v>
      </c>
      <c r="P51" s="1">
        <v>10091</v>
      </c>
      <c r="Q51" s="1">
        <v>40</v>
      </c>
      <c r="R51" s="1">
        <v>6717</v>
      </c>
      <c r="S51" s="4">
        <v>0</v>
      </c>
      <c r="T51" s="4">
        <v>9.6597222222222223E-3</v>
      </c>
      <c r="U51" s="1">
        <v>13.25</v>
      </c>
      <c r="V51" s="1" t="s">
        <v>280</v>
      </c>
      <c r="W51" s="4">
        <v>0</v>
      </c>
      <c r="X51" s="2">
        <v>42554</v>
      </c>
      <c r="Y51" s="1">
        <v>5.2</v>
      </c>
      <c r="Z51" s="1" t="s">
        <v>72</v>
      </c>
      <c r="AA51" s="1" t="s">
        <v>73</v>
      </c>
      <c r="AB51" s="1" t="s">
        <v>109</v>
      </c>
      <c r="AC51" s="1" t="s">
        <v>81</v>
      </c>
      <c r="AD51" s="1" t="s">
        <v>76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1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1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</v>
      </c>
      <c r="BF51" s="1">
        <v>0</v>
      </c>
      <c r="BG51" s="1">
        <v>0</v>
      </c>
      <c r="BH51" s="1">
        <f>SUM(sdata[[#This Row],[Baby Food]:[Spices]])</f>
        <v>3</v>
      </c>
      <c r="BI51"/>
    </row>
    <row r="52" spans="1:61" x14ac:dyDescent="0.3">
      <c r="A52" s="1" t="s">
        <v>270</v>
      </c>
      <c r="B52" s="1" t="s">
        <v>271</v>
      </c>
      <c r="C52" s="1" t="s">
        <v>272</v>
      </c>
      <c r="D52" s="1" t="s">
        <v>273</v>
      </c>
      <c r="E52" s="1" t="s">
        <v>274</v>
      </c>
      <c r="F52" s="1" t="s">
        <v>275</v>
      </c>
      <c r="G52" s="1" t="s">
        <v>144</v>
      </c>
      <c r="H52" s="1">
        <v>79109</v>
      </c>
      <c r="I52" s="1" t="s">
        <v>276</v>
      </c>
      <c r="J52" s="1" t="s">
        <v>277</v>
      </c>
      <c r="K52" s="1" t="s">
        <v>147</v>
      </c>
      <c r="L52" s="1" t="s">
        <v>278</v>
      </c>
      <c r="M52" s="1" t="s">
        <v>65</v>
      </c>
      <c r="N52" s="1" t="s">
        <v>279</v>
      </c>
      <c r="O52" s="3">
        <v>341829000000000</v>
      </c>
      <c r="P52" s="1">
        <v>10091</v>
      </c>
      <c r="Q52" s="1">
        <v>40</v>
      </c>
      <c r="R52" s="1">
        <v>7265</v>
      </c>
      <c r="S52" s="4">
        <v>0</v>
      </c>
      <c r="T52" s="4">
        <v>5.3171296296296291E-3</v>
      </c>
      <c r="U52" s="1">
        <v>7.45</v>
      </c>
      <c r="V52" s="1" t="s">
        <v>281</v>
      </c>
      <c r="W52" s="4">
        <v>0</v>
      </c>
      <c r="X52" s="2">
        <v>42704</v>
      </c>
      <c r="Y52" s="1">
        <v>35.159999999999997</v>
      </c>
      <c r="Z52" s="1" t="s">
        <v>126</v>
      </c>
      <c r="AA52" s="1" t="s">
        <v>73</v>
      </c>
      <c r="AB52" s="1" t="s">
        <v>109</v>
      </c>
      <c r="AC52" s="1" t="s">
        <v>81</v>
      </c>
      <c r="AD52" s="1" t="s">
        <v>76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1</v>
      </c>
      <c r="AP52" s="1">
        <v>0</v>
      </c>
      <c r="AQ52" s="1">
        <v>1</v>
      </c>
      <c r="AR52" s="1">
        <v>0</v>
      </c>
      <c r="AS52" s="1">
        <v>0</v>
      </c>
      <c r="AT52" s="1">
        <v>0</v>
      </c>
      <c r="AU52" s="1">
        <v>1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f>SUM(sdata[[#This Row],[Baby Food]:[Spices]])</f>
        <v>3</v>
      </c>
      <c r="BI52"/>
    </row>
    <row r="53" spans="1:61" x14ac:dyDescent="0.3">
      <c r="A53" s="1" t="s">
        <v>282</v>
      </c>
      <c r="B53" s="1" t="s">
        <v>283</v>
      </c>
      <c r="C53" s="1" t="s">
        <v>154</v>
      </c>
      <c r="D53" s="1" t="s">
        <v>284</v>
      </c>
      <c r="E53" s="1" t="s">
        <v>285</v>
      </c>
      <c r="F53" s="1" t="s">
        <v>254</v>
      </c>
      <c r="G53" s="1" t="s">
        <v>144</v>
      </c>
      <c r="H53" s="1">
        <v>92805</v>
      </c>
      <c r="I53" s="1" t="s">
        <v>286</v>
      </c>
      <c r="J53" s="1" t="s">
        <v>287</v>
      </c>
      <c r="K53" s="1" t="s">
        <v>205</v>
      </c>
      <c r="L53" s="1" t="s">
        <v>227</v>
      </c>
      <c r="M53" s="1" t="s">
        <v>107</v>
      </c>
      <c r="N53" s="3">
        <v>700000000000000</v>
      </c>
      <c r="O53" s="3">
        <v>36980300000000</v>
      </c>
      <c r="P53" s="1">
        <v>10095</v>
      </c>
      <c r="Q53" s="1" t="s">
        <v>288</v>
      </c>
      <c r="R53" s="1">
        <v>2162</v>
      </c>
      <c r="S53" s="4">
        <v>0</v>
      </c>
      <c r="T53" s="4">
        <v>3.0493055555555551E-2</v>
      </c>
      <c r="U53" s="1">
        <v>8.99</v>
      </c>
      <c r="V53" s="1" t="s">
        <v>111</v>
      </c>
      <c r="W53" s="4">
        <v>0</v>
      </c>
      <c r="X53" s="2">
        <v>42427</v>
      </c>
      <c r="Y53" s="1">
        <v>35.36</v>
      </c>
      <c r="Z53" s="1" t="s">
        <v>112</v>
      </c>
      <c r="AA53" s="1" t="s">
        <v>73</v>
      </c>
      <c r="AB53" s="1" t="s">
        <v>74</v>
      </c>
      <c r="AC53" s="1" t="s">
        <v>81</v>
      </c>
      <c r="AD53" s="1" t="s">
        <v>99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1</v>
      </c>
      <c r="AP53" s="1">
        <v>0</v>
      </c>
      <c r="AQ53" s="1">
        <v>1</v>
      </c>
      <c r="AR53" s="1">
        <v>1</v>
      </c>
      <c r="AS53" s="1">
        <v>0</v>
      </c>
      <c r="AT53" s="1">
        <v>0</v>
      </c>
      <c r="AU53" s="1">
        <v>1</v>
      </c>
      <c r="AV53" s="1">
        <v>0</v>
      </c>
      <c r="AW53" s="1">
        <v>0</v>
      </c>
      <c r="AX53" s="1">
        <v>0</v>
      </c>
      <c r="AY53" s="1">
        <v>1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f>SUM(sdata[[#This Row],[Baby Food]:[Spices]])</f>
        <v>5</v>
      </c>
      <c r="BI53"/>
    </row>
    <row r="54" spans="1:61" x14ac:dyDescent="0.3">
      <c r="A54" s="1" t="s">
        <v>282</v>
      </c>
      <c r="B54" s="1" t="s">
        <v>283</v>
      </c>
      <c r="C54" s="1" t="s">
        <v>154</v>
      </c>
      <c r="D54" s="1" t="s">
        <v>284</v>
      </c>
      <c r="E54" s="1" t="s">
        <v>285</v>
      </c>
      <c r="F54" s="1" t="s">
        <v>254</v>
      </c>
      <c r="G54" s="1" t="s">
        <v>144</v>
      </c>
      <c r="H54" s="1">
        <v>92805</v>
      </c>
      <c r="I54" s="1" t="s">
        <v>286</v>
      </c>
      <c r="J54" s="1" t="s">
        <v>287</v>
      </c>
      <c r="K54" s="1" t="s">
        <v>205</v>
      </c>
      <c r="L54" s="1" t="s">
        <v>227</v>
      </c>
      <c r="M54" s="1" t="s">
        <v>107</v>
      </c>
      <c r="N54" s="3">
        <v>700000000000000</v>
      </c>
      <c r="O54" s="3">
        <v>36944300000000</v>
      </c>
      <c r="P54" s="1">
        <v>10095</v>
      </c>
      <c r="Q54" s="1" t="s">
        <v>288</v>
      </c>
      <c r="R54" s="1">
        <v>3305</v>
      </c>
      <c r="S54" s="4">
        <v>0</v>
      </c>
      <c r="T54" s="4">
        <v>1.9393518518518518E-2</v>
      </c>
      <c r="U54" s="1">
        <v>33.99</v>
      </c>
      <c r="V54" s="1" t="s">
        <v>289</v>
      </c>
      <c r="W54" s="4">
        <v>0</v>
      </c>
      <c r="X54" s="2">
        <v>42649</v>
      </c>
      <c r="Y54" s="1">
        <v>24.92</v>
      </c>
      <c r="Z54" s="1" t="s">
        <v>72</v>
      </c>
      <c r="AA54" s="1" t="s">
        <v>73</v>
      </c>
      <c r="AB54" s="1" t="s">
        <v>74</v>
      </c>
      <c r="AC54" s="1" t="s">
        <v>81</v>
      </c>
      <c r="AD54" s="1" t="s">
        <v>99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1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f>SUM(sdata[[#This Row],[Baby Food]:[Spices]])</f>
        <v>1</v>
      </c>
      <c r="BI54"/>
    </row>
    <row r="55" spans="1:61" x14ac:dyDescent="0.3">
      <c r="A55" s="1" t="s">
        <v>282</v>
      </c>
      <c r="B55" s="1" t="s">
        <v>283</v>
      </c>
      <c r="C55" s="1" t="s">
        <v>154</v>
      </c>
      <c r="D55" s="1" t="s">
        <v>284</v>
      </c>
      <c r="E55" s="1" t="s">
        <v>285</v>
      </c>
      <c r="F55" s="1" t="s">
        <v>254</v>
      </c>
      <c r="G55" s="1" t="s">
        <v>144</v>
      </c>
      <c r="H55" s="1">
        <v>92805</v>
      </c>
      <c r="I55" s="1" t="s">
        <v>286</v>
      </c>
      <c r="J55" s="1" t="s">
        <v>287</v>
      </c>
      <c r="K55" s="1" t="s">
        <v>205</v>
      </c>
      <c r="L55" s="1" t="s">
        <v>227</v>
      </c>
      <c r="M55" s="1" t="s">
        <v>107</v>
      </c>
      <c r="N55" s="3">
        <v>700000000000000</v>
      </c>
      <c r="O55" s="3">
        <v>36624200000000</v>
      </c>
      <c r="P55" s="1">
        <v>10095</v>
      </c>
      <c r="Q55" s="1" t="s">
        <v>288</v>
      </c>
      <c r="R55" s="1">
        <v>3967</v>
      </c>
      <c r="S55" s="4">
        <v>0</v>
      </c>
      <c r="T55" s="4">
        <v>3.0493055555555551E-2</v>
      </c>
      <c r="U55" s="1">
        <v>11.88</v>
      </c>
      <c r="V55" s="1" t="s">
        <v>290</v>
      </c>
      <c r="W55" s="4">
        <v>0</v>
      </c>
      <c r="X55" s="2">
        <v>42716</v>
      </c>
      <c r="Y55" s="1">
        <v>281.82</v>
      </c>
      <c r="Z55" s="1" t="s">
        <v>72</v>
      </c>
      <c r="AA55" s="1" t="s">
        <v>73</v>
      </c>
      <c r="AB55" s="1" t="s">
        <v>74</v>
      </c>
      <c r="AC55" s="1" t="s">
        <v>98</v>
      </c>
      <c r="AD55" s="1" t="s">
        <v>99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</v>
      </c>
      <c r="AW55" s="1">
        <v>1</v>
      </c>
      <c r="AX55" s="1">
        <v>0</v>
      </c>
      <c r="AY55" s="1">
        <v>0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</v>
      </c>
      <c r="BG55" s="1">
        <v>0</v>
      </c>
      <c r="BH55" s="1">
        <f>SUM(sdata[[#This Row],[Baby Food]:[Spices]])</f>
        <v>5</v>
      </c>
      <c r="BI55"/>
    </row>
    <row r="56" spans="1:61" x14ac:dyDescent="0.3">
      <c r="A56" s="1" t="s">
        <v>282</v>
      </c>
      <c r="B56" s="1" t="s">
        <v>283</v>
      </c>
      <c r="C56" s="1" t="s">
        <v>154</v>
      </c>
      <c r="D56" s="1" t="s">
        <v>284</v>
      </c>
      <c r="E56" s="1" t="s">
        <v>285</v>
      </c>
      <c r="F56" s="1" t="s">
        <v>254</v>
      </c>
      <c r="G56" s="1" t="s">
        <v>144</v>
      </c>
      <c r="H56" s="1">
        <v>92805</v>
      </c>
      <c r="I56" s="1" t="s">
        <v>286</v>
      </c>
      <c r="J56" s="1" t="s">
        <v>287</v>
      </c>
      <c r="K56" s="1" t="s">
        <v>205</v>
      </c>
      <c r="L56" s="1" t="s">
        <v>227</v>
      </c>
      <c r="M56" s="1" t="s">
        <v>107</v>
      </c>
      <c r="N56" s="3">
        <v>700000000000000</v>
      </c>
      <c r="O56" s="3">
        <v>36309200000000</v>
      </c>
      <c r="P56" s="1">
        <v>10095</v>
      </c>
      <c r="Q56" s="1" t="s">
        <v>288</v>
      </c>
      <c r="R56" s="1">
        <v>4382</v>
      </c>
      <c r="S56" s="4">
        <v>0</v>
      </c>
      <c r="T56" s="4">
        <v>2.0210648148148148E-2</v>
      </c>
      <c r="U56" s="1">
        <v>19.850000000000001</v>
      </c>
      <c r="V56" s="1" t="s">
        <v>137</v>
      </c>
      <c r="W56" s="4">
        <v>0</v>
      </c>
      <c r="X56" s="2">
        <v>42574</v>
      </c>
      <c r="Y56" s="1">
        <v>6.33</v>
      </c>
      <c r="Z56" s="1" t="s">
        <v>112</v>
      </c>
      <c r="AA56" s="1" t="s">
        <v>73</v>
      </c>
      <c r="AB56" s="1" t="s">
        <v>74</v>
      </c>
      <c r="AC56" s="1" t="s">
        <v>81</v>
      </c>
      <c r="AD56" s="1" t="s">
        <v>99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1">
        <v>1</v>
      </c>
      <c r="AR56" s="1">
        <v>0</v>
      </c>
      <c r="AS56" s="1">
        <v>0</v>
      </c>
      <c r="AT56" s="1">
        <v>0</v>
      </c>
      <c r="AU56" s="1">
        <v>1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f>SUM(sdata[[#This Row],[Baby Food]:[Spices]])</f>
        <v>3</v>
      </c>
      <c r="BI56"/>
    </row>
    <row r="57" spans="1:61" x14ac:dyDescent="0.3">
      <c r="A57" s="1" t="s">
        <v>282</v>
      </c>
      <c r="B57" s="1" t="s">
        <v>283</v>
      </c>
      <c r="C57" s="1" t="s">
        <v>154</v>
      </c>
      <c r="D57" s="1" t="s">
        <v>284</v>
      </c>
      <c r="E57" s="1" t="s">
        <v>285</v>
      </c>
      <c r="F57" s="1" t="s">
        <v>254</v>
      </c>
      <c r="G57" s="1" t="s">
        <v>144</v>
      </c>
      <c r="H57" s="1">
        <v>92805</v>
      </c>
      <c r="I57" s="1" t="s">
        <v>286</v>
      </c>
      <c r="J57" s="1" t="s">
        <v>287</v>
      </c>
      <c r="K57" s="1" t="s">
        <v>205</v>
      </c>
      <c r="L57" s="1" t="s">
        <v>227</v>
      </c>
      <c r="M57" s="1" t="s">
        <v>107</v>
      </c>
      <c r="N57" s="3">
        <v>700000000000000</v>
      </c>
      <c r="O57" s="3">
        <v>36522500000000</v>
      </c>
      <c r="P57" s="1">
        <v>10095</v>
      </c>
      <c r="Q57" s="1" t="s">
        <v>288</v>
      </c>
      <c r="R57" s="1">
        <v>6009</v>
      </c>
      <c r="S57" s="4">
        <v>0</v>
      </c>
      <c r="T57" s="4">
        <v>5.2824074074074067E-3</v>
      </c>
      <c r="U57" s="1">
        <v>18.989999999999998</v>
      </c>
      <c r="V57" s="1" t="s">
        <v>84</v>
      </c>
      <c r="W57" s="4">
        <v>0</v>
      </c>
      <c r="X57" s="2">
        <v>42372</v>
      </c>
      <c r="Y57" s="1">
        <v>97.72</v>
      </c>
      <c r="Z57" s="1" t="s">
        <v>72</v>
      </c>
      <c r="AA57" s="1" t="s">
        <v>73</v>
      </c>
      <c r="AB57" s="1" t="s">
        <v>74</v>
      </c>
      <c r="AC57" s="1" t="s">
        <v>75</v>
      </c>
      <c r="AD57" s="1" t="s">
        <v>99</v>
      </c>
      <c r="AE57" s="1">
        <v>0</v>
      </c>
      <c r="AF57" s="1">
        <v>1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1</v>
      </c>
      <c r="AM57" s="1">
        <v>1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1</v>
      </c>
      <c r="BD57" s="1">
        <v>0</v>
      </c>
      <c r="BE57" s="1">
        <v>0</v>
      </c>
      <c r="BF57" s="1">
        <v>0</v>
      </c>
      <c r="BG57" s="1">
        <v>0</v>
      </c>
      <c r="BH57" s="1">
        <f>SUM(sdata[[#This Row],[Baby Food]:[Spices]])</f>
        <v>5</v>
      </c>
      <c r="BI57"/>
    </row>
    <row r="58" spans="1:61" x14ac:dyDescent="0.3">
      <c r="A58" s="1" t="s">
        <v>291</v>
      </c>
      <c r="B58" s="1" t="s">
        <v>292</v>
      </c>
      <c r="C58" s="1" t="s">
        <v>61</v>
      </c>
      <c r="D58" s="1" t="s">
        <v>293</v>
      </c>
      <c r="E58" s="1" t="s">
        <v>294</v>
      </c>
      <c r="F58" s="1" t="s">
        <v>295</v>
      </c>
      <c r="G58" s="1" t="s">
        <v>65</v>
      </c>
      <c r="H58" s="1">
        <v>60123</v>
      </c>
      <c r="I58" s="1" t="s">
        <v>296</v>
      </c>
      <c r="J58" s="1" t="s">
        <v>297</v>
      </c>
      <c r="K58" s="1" t="s">
        <v>205</v>
      </c>
      <c r="L58" s="1" t="s">
        <v>69</v>
      </c>
      <c r="M58" s="1" t="s">
        <v>70</v>
      </c>
      <c r="N58" s="1">
        <v>316290001</v>
      </c>
      <c r="O58" s="3">
        <v>36205100000000</v>
      </c>
      <c r="P58" s="1">
        <v>10099</v>
      </c>
      <c r="Q58" s="1">
        <v>63</v>
      </c>
      <c r="R58" s="1">
        <v>5481</v>
      </c>
      <c r="S58" s="4">
        <v>0</v>
      </c>
      <c r="T58" s="4">
        <v>7.9432870370370369E-3</v>
      </c>
      <c r="U58" s="1">
        <v>8.99</v>
      </c>
      <c r="V58" s="1" t="s">
        <v>69</v>
      </c>
      <c r="W58" s="4">
        <v>0</v>
      </c>
      <c r="X58" s="2">
        <v>42541</v>
      </c>
      <c r="Y58" s="1">
        <v>33.340000000000003</v>
      </c>
      <c r="Z58" s="1" t="s">
        <v>72</v>
      </c>
      <c r="AA58" s="1" t="s">
        <v>73</v>
      </c>
      <c r="AB58" s="1" t="s">
        <v>109</v>
      </c>
      <c r="AC58" s="1" t="s">
        <v>81</v>
      </c>
      <c r="AD58" s="1" t="s">
        <v>110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1</v>
      </c>
      <c r="AP58" s="1">
        <v>0</v>
      </c>
      <c r="AQ58" s="1">
        <v>1</v>
      </c>
      <c r="AR58" s="1">
        <v>0</v>
      </c>
      <c r="AS58" s="1">
        <v>0</v>
      </c>
      <c r="AT58" s="1">
        <v>0</v>
      </c>
      <c r="AU58" s="1">
        <v>1</v>
      </c>
      <c r="AV58" s="1">
        <v>0</v>
      </c>
      <c r="AW58" s="1">
        <v>0</v>
      </c>
      <c r="AX58" s="1">
        <v>0</v>
      </c>
      <c r="AY58" s="1">
        <v>1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f>SUM(sdata[[#This Row],[Baby Food]:[Spices]])</f>
        <v>4</v>
      </c>
      <c r="BI58"/>
    </row>
    <row r="59" spans="1:61" x14ac:dyDescent="0.3">
      <c r="A59" s="1" t="s">
        <v>298</v>
      </c>
      <c r="B59" s="1" t="s">
        <v>299</v>
      </c>
      <c r="C59" s="1" t="s">
        <v>154</v>
      </c>
      <c r="D59" s="1" t="s">
        <v>300</v>
      </c>
      <c r="E59" s="1" t="s">
        <v>301</v>
      </c>
      <c r="F59" s="1" t="s">
        <v>302</v>
      </c>
      <c r="G59" s="1" t="s">
        <v>303</v>
      </c>
      <c r="H59" s="1">
        <v>5255</v>
      </c>
      <c r="I59" s="1" t="s">
        <v>304</v>
      </c>
      <c r="J59" s="1" t="s">
        <v>305</v>
      </c>
      <c r="K59" s="1" t="s">
        <v>147</v>
      </c>
      <c r="L59" s="1" t="s">
        <v>306</v>
      </c>
      <c r="M59" s="1" t="s">
        <v>65</v>
      </c>
      <c r="N59" s="1" t="s">
        <v>307</v>
      </c>
      <c r="O59" s="3">
        <v>377663000000000</v>
      </c>
      <c r="P59" s="1">
        <v>10103</v>
      </c>
      <c r="Q59" s="1">
        <v>51</v>
      </c>
      <c r="R59" s="1">
        <v>2118</v>
      </c>
      <c r="S59" s="4">
        <v>0</v>
      </c>
      <c r="T59" s="4">
        <v>3.0493055555555551E-2</v>
      </c>
      <c r="U59" s="1">
        <v>1.49</v>
      </c>
      <c r="V59" s="1" t="s">
        <v>209</v>
      </c>
      <c r="W59" s="4">
        <v>0</v>
      </c>
      <c r="X59" s="2">
        <v>42670</v>
      </c>
      <c r="Y59" s="1">
        <v>34.950000000000003</v>
      </c>
      <c r="Z59" s="1" t="s">
        <v>72</v>
      </c>
      <c r="AA59" s="1" t="s">
        <v>73</v>
      </c>
      <c r="AB59" s="1" t="s">
        <v>109</v>
      </c>
      <c r="AC59" s="1" t="s">
        <v>81</v>
      </c>
      <c r="AD59" s="1" t="s">
        <v>151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f>SUM(sdata[[#This Row],[Baby Food]:[Spices]])</f>
        <v>1</v>
      </c>
      <c r="BI59"/>
    </row>
    <row r="60" spans="1:61" x14ac:dyDescent="0.3">
      <c r="A60" s="1" t="s">
        <v>298</v>
      </c>
      <c r="B60" s="1" t="s">
        <v>299</v>
      </c>
      <c r="C60" s="1" t="s">
        <v>154</v>
      </c>
      <c r="D60" s="1" t="s">
        <v>300</v>
      </c>
      <c r="E60" s="1" t="s">
        <v>301</v>
      </c>
      <c r="F60" s="1" t="s">
        <v>302</v>
      </c>
      <c r="G60" s="1" t="s">
        <v>303</v>
      </c>
      <c r="H60" s="1">
        <v>5255</v>
      </c>
      <c r="I60" s="1" t="s">
        <v>304</v>
      </c>
      <c r="J60" s="1" t="s">
        <v>305</v>
      </c>
      <c r="K60" s="1" t="s">
        <v>147</v>
      </c>
      <c r="L60" s="1" t="s">
        <v>306</v>
      </c>
      <c r="M60" s="1" t="s">
        <v>65</v>
      </c>
      <c r="N60" s="1" t="s">
        <v>307</v>
      </c>
      <c r="O60" s="3">
        <v>371632000000000</v>
      </c>
      <c r="P60" s="1">
        <v>10103</v>
      </c>
      <c r="Q60" s="1">
        <v>51</v>
      </c>
      <c r="R60" s="1">
        <v>3746</v>
      </c>
      <c r="S60" s="4">
        <v>0</v>
      </c>
      <c r="T60" s="4">
        <v>1.9393518518518518E-2</v>
      </c>
      <c r="U60" s="1">
        <v>6.37</v>
      </c>
      <c r="V60" s="1" t="s">
        <v>289</v>
      </c>
      <c r="W60" s="4">
        <v>0</v>
      </c>
      <c r="X60" s="2">
        <v>42649</v>
      </c>
      <c r="Y60" s="1">
        <v>10.85</v>
      </c>
      <c r="Z60" s="1" t="s">
        <v>72</v>
      </c>
      <c r="AA60" s="1" t="s">
        <v>73</v>
      </c>
      <c r="AB60" s="1" t="s">
        <v>109</v>
      </c>
      <c r="AC60" s="1" t="s">
        <v>81</v>
      </c>
      <c r="AD60" s="1" t="s">
        <v>151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f>SUM(sdata[[#This Row],[Baby Food]:[Spices]])</f>
        <v>1</v>
      </c>
      <c r="BI60"/>
    </row>
    <row r="61" spans="1:61" x14ac:dyDescent="0.3">
      <c r="A61" s="1" t="s">
        <v>298</v>
      </c>
      <c r="B61" s="1" t="s">
        <v>299</v>
      </c>
      <c r="C61" s="1" t="s">
        <v>154</v>
      </c>
      <c r="D61" s="1" t="s">
        <v>300</v>
      </c>
      <c r="E61" s="1" t="s">
        <v>301</v>
      </c>
      <c r="F61" s="1" t="s">
        <v>302</v>
      </c>
      <c r="G61" s="1" t="s">
        <v>303</v>
      </c>
      <c r="H61" s="1">
        <v>5255</v>
      </c>
      <c r="I61" s="1" t="s">
        <v>304</v>
      </c>
      <c r="J61" s="1" t="s">
        <v>305</v>
      </c>
      <c r="K61" s="1" t="s">
        <v>147</v>
      </c>
      <c r="L61" s="1" t="s">
        <v>306</v>
      </c>
      <c r="M61" s="1" t="s">
        <v>65</v>
      </c>
      <c r="N61" s="1" t="s">
        <v>307</v>
      </c>
      <c r="O61" s="3">
        <v>347760000000000</v>
      </c>
      <c r="P61" s="1">
        <v>10103</v>
      </c>
      <c r="Q61" s="1">
        <v>51</v>
      </c>
      <c r="R61" s="1">
        <v>4425</v>
      </c>
      <c r="S61" s="4">
        <v>0</v>
      </c>
      <c r="T61" s="4">
        <v>2.3803240740740739E-2</v>
      </c>
      <c r="U61" s="1">
        <v>2.87</v>
      </c>
      <c r="V61" s="1" t="s">
        <v>308</v>
      </c>
      <c r="W61" s="4">
        <v>0</v>
      </c>
      <c r="X61" s="2">
        <v>42724</v>
      </c>
      <c r="Y61" s="1">
        <v>20.89</v>
      </c>
      <c r="Z61" s="1" t="s">
        <v>72</v>
      </c>
      <c r="AA61" s="1" t="s">
        <v>73</v>
      </c>
      <c r="AB61" s="1" t="s">
        <v>109</v>
      </c>
      <c r="AC61" s="1" t="s">
        <v>81</v>
      </c>
      <c r="AD61" s="1" t="s">
        <v>151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1</v>
      </c>
      <c r="AP61" s="1">
        <v>0</v>
      </c>
      <c r="AQ61" s="1">
        <v>1</v>
      </c>
      <c r="AR61" s="1">
        <v>1</v>
      </c>
      <c r="AS61" s="1">
        <v>0</v>
      </c>
      <c r="AT61" s="1">
        <v>0</v>
      </c>
      <c r="AU61" s="1">
        <v>1</v>
      </c>
      <c r="AV61" s="1">
        <v>0</v>
      </c>
      <c r="AW61" s="1">
        <v>0</v>
      </c>
      <c r="AX61" s="1">
        <v>0</v>
      </c>
      <c r="AY61" s="1">
        <v>1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f>SUM(sdata[[#This Row],[Baby Food]:[Spices]])</f>
        <v>5</v>
      </c>
      <c r="BI61"/>
    </row>
    <row r="62" spans="1:61" x14ac:dyDescent="0.3">
      <c r="A62" s="1" t="s">
        <v>298</v>
      </c>
      <c r="B62" s="1" t="s">
        <v>299</v>
      </c>
      <c r="C62" s="1" t="s">
        <v>154</v>
      </c>
      <c r="D62" s="1" t="s">
        <v>300</v>
      </c>
      <c r="E62" s="1" t="s">
        <v>301</v>
      </c>
      <c r="F62" s="1" t="s">
        <v>302</v>
      </c>
      <c r="G62" s="1" t="s">
        <v>303</v>
      </c>
      <c r="H62" s="1">
        <v>5255</v>
      </c>
      <c r="I62" s="1" t="s">
        <v>304</v>
      </c>
      <c r="J62" s="1" t="s">
        <v>305</v>
      </c>
      <c r="K62" s="1" t="s">
        <v>147</v>
      </c>
      <c r="L62" s="1" t="s">
        <v>306</v>
      </c>
      <c r="M62" s="1" t="s">
        <v>65</v>
      </c>
      <c r="N62" s="1" t="s">
        <v>307</v>
      </c>
      <c r="O62" s="3">
        <v>345633000000000</v>
      </c>
      <c r="P62" s="1">
        <v>10103</v>
      </c>
      <c r="Q62" s="1">
        <v>51</v>
      </c>
      <c r="R62" s="1">
        <v>4942</v>
      </c>
      <c r="S62" s="4">
        <v>3.2928240740740737E-2</v>
      </c>
      <c r="T62" s="4">
        <v>3.2932870370370369E-2</v>
      </c>
      <c r="U62" s="1">
        <v>18.45</v>
      </c>
      <c r="V62" s="1" t="s">
        <v>309</v>
      </c>
      <c r="W62" s="4">
        <v>3.2928240740740737E-2</v>
      </c>
      <c r="X62" s="2">
        <v>42498</v>
      </c>
      <c r="Y62" s="1">
        <v>33.700000000000003</v>
      </c>
      <c r="Z62" s="1" t="s">
        <v>126</v>
      </c>
      <c r="AA62" s="1" t="s">
        <v>73</v>
      </c>
      <c r="AB62" s="1" t="s">
        <v>109</v>
      </c>
      <c r="AC62" s="1" t="s">
        <v>81</v>
      </c>
      <c r="AD62" s="1" t="s">
        <v>151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f>SUM(sdata[[#This Row],[Baby Food]:[Spices]])</f>
        <v>1</v>
      </c>
      <c r="BI62"/>
    </row>
    <row r="63" spans="1:61" x14ac:dyDescent="0.3">
      <c r="A63" s="1" t="s">
        <v>310</v>
      </c>
      <c r="B63" s="1" t="s">
        <v>311</v>
      </c>
      <c r="C63" s="1" t="s">
        <v>154</v>
      </c>
      <c r="D63" s="1" t="s">
        <v>312</v>
      </c>
      <c r="E63" s="1" t="s">
        <v>313</v>
      </c>
      <c r="F63" s="1" t="s">
        <v>254</v>
      </c>
      <c r="G63" s="1" t="s">
        <v>144</v>
      </c>
      <c r="H63" s="1">
        <v>94508</v>
      </c>
      <c r="I63" s="1" t="s">
        <v>314</v>
      </c>
      <c r="J63" s="1" t="s">
        <v>315</v>
      </c>
      <c r="K63" s="1" t="s">
        <v>205</v>
      </c>
      <c r="L63" s="1" t="s">
        <v>195</v>
      </c>
      <c r="M63" s="1" t="s">
        <v>118</v>
      </c>
      <c r="N63" s="1" t="s">
        <v>316</v>
      </c>
      <c r="O63" s="3">
        <v>36025400000000</v>
      </c>
      <c r="P63" s="1">
        <v>10107</v>
      </c>
      <c r="Q63" s="1">
        <v>64</v>
      </c>
      <c r="R63" s="1">
        <v>825</v>
      </c>
      <c r="S63" s="4">
        <v>0</v>
      </c>
      <c r="T63" s="4">
        <v>4.104398148148148E-2</v>
      </c>
      <c r="U63" s="1">
        <v>6.38</v>
      </c>
      <c r="V63" s="1" t="s">
        <v>93</v>
      </c>
      <c r="W63" s="4">
        <v>0</v>
      </c>
      <c r="X63" s="2">
        <v>42548</v>
      </c>
      <c r="Y63" s="1">
        <v>16.559999999999999</v>
      </c>
      <c r="Z63" s="1" t="s">
        <v>72</v>
      </c>
      <c r="AA63" s="1" t="s">
        <v>73</v>
      </c>
      <c r="AB63" s="1" t="s">
        <v>109</v>
      </c>
      <c r="AC63" s="1" t="s">
        <v>81</v>
      </c>
      <c r="AD63" s="1" t="s">
        <v>110</v>
      </c>
      <c r="AE63" s="1">
        <v>0</v>
      </c>
      <c r="AF63" s="1">
        <v>0</v>
      </c>
      <c r="AG63" s="1">
        <v>0</v>
      </c>
      <c r="AH63" s="1">
        <v>0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f>SUM(sdata[[#This Row],[Baby Food]:[Spices]])</f>
        <v>1</v>
      </c>
      <c r="BI63"/>
    </row>
    <row r="64" spans="1:61" x14ac:dyDescent="0.3">
      <c r="A64" s="1" t="s">
        <v>310</v>
      </c>
      <c r="B64" s="1" t="s">
        <v>311</v>
      </c>
      <c r="C64" s="1" t="s">
        <v>154</v>
      </c>
      <c r="D64" s="1" t="s">
        <v>312</v>
      </c>
      <c r="E64" s="1" t="s">
        <v>313</v>
      </c>
      <c r="F64" s="1" t="s">
        <v>254</v>
      </c>
      <c r="G64" s="1" t="s">
        <v>144</v>
      </c>
      <c r="H64" s="1">
        <v>94508</v>
      </c>
      <c r="I64" s="1" t="s">
        <v>314</v>
      </c>
      <c r="J64" s="1" t="s">
        <v>315</v>
      </c>
      <c r="K64" s="1" t="s">
        <v>205</v>
      </c>
      <c r="L64" s="1" t="s">
        <v>195</v>
      </c>
      <c r="M64" s="1" t="s">
        <v>118</v>
      </c>
      <c r="N64" s="1" t="s">
        <v>316</v>
      </c>
      <c r="O64" s="3">
        <v>36121200000000</v>
      </c>
      <c r="P64" s="1">
        <v>10107</v>
      </c>
      <c r="Q64" s="1">
        <v>64</v>
      </c>
      <c r="R64" s="1">
        <v>2024</v>
      </c>
      <c r="S64" s="4">
        <v>0</v>
      </c>
      <c r="T64" s="4">
        <v>2.2744212962962963E-2</v>
      </c>
      <c r="U64" s="1">
        <v>17.87</v>
      </c>
      <c r="V64" s="1" t="s">
        <v>196</v>
      </c>
      <c r="W64" s="4">
        <v>0</v>
      </c>
      <c r="X64" s="2">
        <v>42536</v>
      </c>
      <c r="Y64" s="1">
        <v>8.7100000000000009</v>
      </c>
      <c r="Z64" s="1" t="s">
        <v>112</v>
      </c>
      <c r="AA64" s="1" t="s">
        <v>73</v>
      </c>
      <c r="AB64" s="1" t="s">
        <v>109</v>
      </c>
      <c r="AC64" s="1" t="s">
        <v>81</v>
      </c>
      <c r="AD64" s="1" t="s">
        <v>110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1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f>SUM(sdata[[#This Row],[Baby Food]:[Spices]])</f>
        <v>1</v>
      </c>
      <c r="BI64"/>
    </row>
    <row r="65" spans="1:61" x14ac:dyDescent="0.3">
      <c r="A65" s="1" t="s">
        <v>310</v>
      </c>
      <c r="B65" s="1" t="s">
        <v>311</v>
      </c>
      <c r="C65" s="1" t="s">
        <v>154</v>
      </c>
      <c r="D65" s="1" t="s">
        <v>312</v>
      </c>
      <c r="E65" s="1" t="s">
        <v>313</v>
      </c>
      <c r="F65" s="1" t="s">
        <v>254</v>
      </c>
      <c r="G65" s="1" t="s">
        <v>144</v>
      </c>
      <c r="H65" s="1">
        <v>94508</v>
      </c>
      <c r="I65" s="1" t="s">
        <v>314</v>
      </c>
      <c r="J65" s="1" t="s">
        <v>315</v>
      </c>
      <c r="K65" s="1" t="s">
        <v>205</v>
      </c>
      <c r="L65" s="1" t="s">
        <v>195</v>
      </c>
      <c r="M65" s="1" t="s">
        <v>118</v>
      </c>
      <c r="N65" s="1" t="s">
        <v>316</v>
      </c>
      <c r="O65" s="3">
        <v>36818100000000</v>
      </c>
      <c r="P65" s="1">
        <v>10107</v>
      </c>
      <c r="Q65" s="1">
        <v>64</v>
      </c>
      <c r="R65" s="1">
        <v>2582</v>
      </c>
      <c r="S65" s="4">
        <v>0</v>
      </c>
      <c r="T65" s="4">
        <v>2.3221064814814812E-2</v>
      </c>
      <c r="U65" s="1">
        <v>8.99</v>
      </c>
      <c r="V65" s="1" t="s">
        <v>227</v>
      </c>
      <c r="W65" s="4">
        <v>0</v>
      </c>
      <c r="X65" s="2">
        <v>42633</v>
      </c>
      <c r="Y65" s="1">
        <v>25.77</v>
      </c>
      <c r="Z65" s="1" t="s">
        <v>72</v>
      </c>
      <c r="AA65" s="1" t="s">
        <v>73</v>
      </c>
      <c r="AB65" s="1" t="s">
        <v>109</v>
      </c>
      <c r="AC65" s="1" t="s">
        <v>81</v>
      </c>
      <c r="AD65" s="1" t="s">
        <v>110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1</v>
      </c>
      <c r="AP65" s="1">
        <v>0</v>
      </c>
      <c r="AQ65" s="1">
        <v>1</v>
      </c>
      <c r="AR65" s="1">
        <v>1</v>
      </c>
      <c r="AS65" s="1">
        <v>0</v>
      </c>
      <c r="AT65" s="1">
        <v>0</v>
      </c>
      <c r="AU65" s="1">
        <v>1</v>
      </c>
      <c r="AV65" s="1">
        <v>0</v>
      </c>
      <c r="AW65" s="1">
        <v>0</v>
      </c>
      <c r="AX65" s="1">
        <v>0</v>
      </c>
      <c r="AY65" s="1">
        <v>1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f>SUM(sdata[[#This Row],[Baby Food]:[Spices]])</f>
        <v>5</v>
      </c>
      <c r="BI65"/>
    </row>
    <row r="66" spans="1:61" x14ac:dyDescent="0.3">
      <c r="A66" s="1" t="s">
        <v>310</v>
      </c>
      <c r="B66" s="1" t="s">
        <v>311</v>
      </c>
      <c r="C66" s="1" t="s">
        <v>154</v>
      </c>
      <c r="D66" s="1" t="s">
        <v>312</v>
      </c>
      <c r="E66" s="1" t="s">
        <v>313</v>
      </c>
      <c r="F66" s="1" t="s">
        <v>254</v>
      </c>
      <c r="G66" s="1" t="s">
        <v>144</v>
      </c>
      <c r="H66" s="1">
        <v>94508</v>
      </c>
      <c r="I66" s="1" t="s">
        <v>314</v>
      </c>
      <c r="J66" s="1" t="s">
        <v>315</v>
      </c>
      <c r="K66" s="1" t="s">
        <v>205</v>
      </c>
      <c r="L66" s="1" t="s">
        <v>195</v>
      </c>
      <c r="M66" s="1" t="s">
        <v>118</v>
      </c>
      <c r="N66" s="1" t="s">
        <v>316</v>
      </c>
      <c r="O66" s="3">
        <v>36634500000000</v>
      </c>
      <c r="P66" s="1">
        <v>10107</v>
      </c>
      <c r="Q66" s="1">
        <v>64</v>
      </c>
      <c r="R66" s="1">
        <v>7943</v>
      </c>
      <c r="S66" s="4">
        <v>0</v>
      </c>
      <c r="T66" s="4">
        <v>1.9402777777777779E-2</v>
      </c>
      <c r="U66" s="1">
        <v>21.97</v>
      </c>
      <c r="V66" s="1" t="s">
        <v>268</v>
      </c>
      <c r="W66" s="4">
        <v>0</v>
      </c>
      <c r="X66" s="2">
        <v>42720</v>
      </c>
      <c r="Y66" s="1">
        <v>46.92</v>
      </c>
      <c r="Z66" s="1" t="s">
        <v>72</v>
      </c>
      <c r="AA66" s="1" t="s">
        <v>73</v>
      </c>
      <c r="AB66" s="1" t="s">
        <v>109</v>
      </c>
      <c r="AC66" s="1" t="s">
        <v>81</v>
      </c>
      <c r="AD66" s="1" t="s">
        <v>110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1</v>
      </c>
      <c r="AP66" s="1">
        <v>0</v>
      </c>
      <c r="AQ66" s="1">
        <v>1</v>
      </c>
      <c r="AR66" s="1">
        <v>1</v>
      </c>
      <c r="AS66" s="1">
        <v>0</v>
      </c>
      <c r="AT66" s="1">
        <v>0</v>
      </c>
      <c r="AU66" s="1">
        <v>1</v>
      </c>
      <c r="AV66" s="1">
        <v>0</v>
      </c>
      <c r="AW66" s="1">
        <v>0</v>
      </c>
      <c r="AX66" s="1">
        <v>0</v>
      </c>
      <c r="AY66" s="1">
        <v>1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f>SUM(sdata[[#This Row],[Baby Food]:[Spices]])</f>
        <v>5</v>
      </c>
      <c r="BI66"/>
    </row>
    <row r="67" spans="1:61" x14ac:dyDescent="0.3">
      <c r="A67" s="1" t="s">
        <v>317</v>
      </c>
      <c r="B67" s="1" t="s">
        <v>318</v>
      </c>
      <c r="C67" s="1" t="s">
        <v>154</v>
      </c>
      <c r="D67" s="1" t="s">
        <v>319</v>
      </c>
      <c r="E67" s="1" t="s">
        <v>320</v>
      </c>
      <c r="F67" s="1" t="s">
        <v>321</v>
      </c>
      <c r="G67" s="1" t="s">
        <v>65</v>
      </c>
      <c r="H67" s="1">
        <v>30020</v>
      </c>
      <c r="I67" s="1" t="s">
        <v>322</v>
      </c>
      <c r="J67" s="1" t="s">
        <v>323</v>
      </c>
      <c r="K67" s="1" t="s">
        <v>205</v>
      </c>
      <c r="L67" s="1" t="s">
        <v>324</v>
      </c>
      <c r="M67" s="1" t="s">
        <v>118</v>
      </c>
      <c r="N67" s="1" t="s">
        <v>325</v>
      </c>
      <c r="O67" s="3">
        <v>36644800000000</v>
      </c>
      <c r="P67" s="1">
        <v>10111</v>
      </c>
      <c r="Q67" s="1">
        <v>19</v>
      </c>
      <c r="R67" s="1">
        <v>5147</v>
      </c>
      <c r="S67" s="4">
        <v>0</v>
      </c>
      <c r="T67" s="4">
        <v>1.6604166666666666E-2</v>
      </c>
      <c r="U67" s="1">
        <v>14.8</v>
      </c>
      <c r="V67" s="1" t="s">
        <v>326</v>
      </c>
      <c r="W67" s="4">
        <v>0</v>
      </c>
      <c r="X67" s="2">
        <v>42427</v>
      </c>
      <c r="Y67" s="1">
        <v>22.02</v>
      </c>
      <c r="Z67" s="1" t="s">
        <v>112</v>
      </c>
      <c r="AA67" s="1" t="s">
        <v>73</v>
      </c>
      <c r="AB67" s="1" t="s">
        <v>74</v>
      </c>
      <c r="AC67" s="1" t="s">
        <v>81</v>
      </c>
      <c r="AD67" s="1" t="s">
        <v>99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1</v>
      </c>
      <c r="AP67" s="1">
        <v>0</v>
      </c>
      <c r="AQ67" s="1">
        <v>1</v>
      </c>
      <c r="AR67" s="1">
        <v>1</v>
      </c>
      <c r="AS67" s="1">
        <v>0</v>
      </c>
      <c r="AT67" s="1">
        <v>0</v>
      </c>
      <c r="AU67" s="1">
        <v>1</v>
      </c>
      <c r="AV67" s="1">
        <v>0</v>
      </c>
      <c r="AW67" s="1">
        <v>0</v>
      </c>
      <c r="AX67" s="1">
        <v>0</v>
      </c>
      <c r="AY67" s="1">
        <v>1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f>SUM(sdata[[#This Row],[Baby Food]:[Spices]])</f>
        <v>5</v>
      </c>
      <c r="BI67"/>
    </row>
    <row r="68" spans="1:61" x14ac:dyDescent="0.3">
      <c r="A68" s="1" t="s">
        <v>317</v>
      </c>
      <c r="B68" s="1" t="s">
        <v>318</v>
      </c>
      <c r="C68" s="1" t="s">
        <v>154</v>
      </c>
      <c r="D68" s="1" t="s">
        <v>319</v>
      </c>
      <c r="E68" s="1" t="s">
        <v>320</v>
      </c>
      <c r="F68" s="1" t="s">
        <v>321</v>
      </c>
      <c r="G68" s="1" t="s">
        <v>65</v>
      </c>
      <c r="H68" s="1">
        <v>30020</v>
      </c>
      <c r="I68" s="1" t="s">
        <v>322</v>
      </c>
      <c r="J68" s="1" t="s">
        <v>323</v>
      </c>
      <c r="K68" s="1" t="s">
        <v>205</v>
      </c>
      <c r="L68" s="1" t="s">
        <v>324</v>
      </c>
      <c r="M68" s="1" t="s">
        <v>118</v>
      </c>
      <c r="N68" s="1" t="s">
        <v>325</v>
      </c>
      <c r="O68" s="3">
        <v>36116700000000</v>
      </c>
      <c r="P68" s="1">
        <v>10111</v>
      </c>
      <c r="Q68" s="1">
        <v>19</v>
      </c>
      <c r="R68" s="1">
        <v>8444</v>
      </c>
      <c r="S68" s="4">
        <v>0</v>
      </c>
      <c r="T68" s="4">
        <v>4.1391203703703701E-2</v>
      </c>
      <c r="U68" s="1">
        <v>17.87</v>
      </c>
      <c r="V68" s="1" t="s">
        <v>269</v>
      </c>
      <c r="W68" s="4">
        <v>0</v>
      </c>
      <c r="X68" s="2">
        <v>42731</v>
      </c>
      <c r="Y68" s="1">
        <v>31.3</v>
      </c>
      <c r="Z68" s="1" t="s">
        <v>72</v>
      </c>
      <c r="AA68" s="1" t="s">
        <v>73</v>
      </c>
      <c r="AB68" s="1" t="s">
        <v>74</v>
      </c>
      <c r="AC68" s="1" t="s">
        <v>81</v>
      </c>
      <c r="AD68" s="1" t="s">
        <v>99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1</v>
      </c>
      <c r="AP68" s="1">
        <v>0</v>
      </c>
      <c r="AQ68" s="1">
        <v>1</v>
      </c>
      <c r="AR68" s="1">
        <v>1</v>
      </c>
      <c r="AS68" s="1">
        <v>0</v>
      </c>
      <c r="AT68" s="1">
        <v>0</v>
      </c>
      <c r="AU68" s="1">
        <v>1</v>
      </c>
      <c r="AV68" s="1">
        <v>0</v>
      </c>
      <c r="AW68" s="1">
        <v>0</v>
      </c>
      <c r="AX68" s="1">
        <v>0</v>
      </c>
      <c r="AY68" s="1">
        <v>1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f>SUM(sdata[[#This Row],[Baby Food]:[Spices]])</f>
        <v>5</v>
      </c>
      <c r="BI68"/>
    </row>
    <row r="69" spans="1:61" x14ac:dyDescent="0.3">
      <c r="A69" s="1" t="s">
        <v>327</v>
      </c>
      <c r="B69" s="1" t="s">
        <v>328</v>
      </c>
      <c r="C69" s="1" t="s">
        <v>61</v>
      </c>
      <c r="D69" s="1" t="s">
        <v>329</v>
      </c>
      <c r="E69" s="1" t="s">
        <v>330</v>
      </c>
      <c r="F69" s="1" t="s">
        <v>331</v>
      </c>
      <c r="G69" s="1" t="s">
        <v>144</v>
      </c>
      <c r="H69" s="1">
        <v>60002</v>
      </c>
      <c r="I69" s="1" t="s">
        <v>332</v>
      </c>
      <c r="J69" s="1" t="s">
        <v>333</v>
      </c>
      <c r="K69" s="1" t="s">
        <v>246</v>
      </c>
      <c r="L69" s="1" t="s">
        <v>334</v>
      </c>
      <c r="M69" s="1" t="s">
        <v>254</v>
      </c>
      <c r="N69" s="1">
        <v>518957246</v>
      </c>
      <c r="O69" s="3">
        <v>3528450000000000</v>
      </c>
      <c r="P69" s="1">
        <v>10115</v>
      </c>
      <c r="Q69" s="1" t="s">
        <v>96</v>
      </c>
      <c r="R69" s="1">
        <v>479</v>
      </c>
      <c r="S69" s="4">
        <v>0</v>
      </c>
      <c r="T69" s="4">
        <v>1.5701388888888886E-2</v>
      </c>
      <c r="U69" s="1">
        <v>18.989999999999998</v>
      </c>
      <c r="V69" s="1" t="s">
        <v>216</v>
      </c>
      <c r="W69" s="4">
        <v>0</v>
      </c>
      <c r="X69" s="2">
        <v>42479</v>
      </c>
      <c r="Y69" s="1">
        <v>7.02</v>
      </c>
      <c r="Z69" s="1" t="s">
        <v>72</v>
      </c>
      <c r="AA69" s="1" t="s">
        <v>80</v>
      </c>
      <c r="AB69" s="1" t="s">
        <v>109</v>
      </c>
      <c r="AC69" s="1" t="s">
        <v>81</v>
      </c>
      <c r="AD69" s="1" t="s">
        <v>99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f>SUM(sdata[[#This Row],[Baby Food]:[Spices]])</f>
        <v>2</v>
      </c>
      <c r="BI69"/>
    </row>
    <row r="70" spans="1:61" x14ac:dyDescent="0.3">
      <c r="A70" s="1" t="s">
        <v>327</v>
      </c>
      <c r="B70" s="1" t="s">
        <v>328</v>
      </c>
      <c r="C70" s="1" t="s">
        <v>61</v>
      </c>
      <c r="D70" s="1" t="s">
        <v>329</v>
      </c>
      <c r="E70" s="1" t="s">
        <v>330</v>
      </c>
      <c r="F70" s="1" t="s">
        <v>331</v>
      </c>
      <c r="G70" s="1" t="s">
        <v>144</v>
      </c>
      <c r="H70" s="1">
        <v>60002</v>
      </c>
      <c r="I70" s="1" t="s">
        <v>332</v>
      </c>
      <c r="J70" s="1" t="s">
        <v>333</v>
      </c>
      <c r="K70" s="1" t="s">
        <v>246</v>
      </c>
      <c r="L70" s="1" t="s">
        <v>334</v>
      </c>
      <c r="M70" s="1" t="s">
        <v>254</v>
      </c>
      <c r="N70" s="1">
        <v>518957246</v>
      </c>
      <c r="O70" s="3">
        <v>3528250000000000</v>
      </c>
      <c r="P70" s="1">
        <v>10115</v>
      </c>
      <c r="Q70" s="1" t="s">
        <v>96</v>
      </c>
      <c r="R70" s="1">
        <v>1059</v>
      </c>
      <c r="S70" s="4">
        <v>3.2928240740740737E-2</v>
      </c>
      <c r="T70" s="4">
        <v>3.2932870370370369E-2</v>
      </c>
      <c r="U70" s="1">
        <v>27.97</v>
      </c>
      <c r="V70" s="1" t="s">
        <v>335</v>
      </c>
      <c r="W70" s="4">
        <v>3.2928240740740737E-2</v>
      </c>
      <c r="X70" s="2">
        <v>42498</v>
      </c>
      <c r="Y70" s="1">
        <v>127.03</v>
      </c>
      <c r="Z70" s="1" t="s">
        <v>126</v>
      </c>
      <c r="AA70" s="1" t="s">
        <v>73</v>
      </c>
      <c r="AB70" s="1" t="s">
        <v>109</v>
      </c>
      <c r="AC70" s="1" t="s">
        <v>75</v>
      </c>
      <c r="AD70" s="1" t="s">
        <v>99</v>
      </c>
      <c r="AE70" s="1">
        <v>0</v>
      </c>
      <c r="AF70" s="1">
        <v>0</v>
      </c>
      <c r="AG70" s="1">
        <v>0</v>
      </c>
      <c r="AH70" s="1">
        <v>1</v>
      </c>
      <c r="AI70" s="1">
        <v>1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</v>
      </c>
      <c r="AP70" s="1">
        <v>0</v>
      </c>
      <c r="AQ70" s="1">
        <v>0</v>
      </c>
      <c r="AR70" s="1">
        <v>1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1</v>
      </c>
      <c r="AY70" s="1">
        <v>1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f>SUM(sdata[[#This Row],[Baby Food]:[Spices]])</f>
        <v>6</v>
      </c>
      <c r="BI70"/>
    </row>
    <row r="71" spans="1:61" x14ac:dyDescent="0.3">
      <c r="A71" s="1" t="s">
        <v>336</v>
      </c>
      <c r="B71" s="1" t="s">
        <v>337</v>
      </c>
      <c r="C71" s="1" t="s">
        <v>61</v>
      </c>
      <c r="D71" s="1" t="s">
        <v>338</v>
      </c>
      <c r="E71" s="1" t="s">
        <v>339</v>
      </c>
      <c r="F71" s="1" t="s">
        <v>340</v>
      </c>
      <c r="G71" s="1" t="s">
        <v>65</v>
      </c>
      <c r="H71" s="1">
        <v>22070</v>
      </c>
      <c r="I71" s="1" t="s">
        <v>341</v>
      </c>
      <c r="J71" s="1" t="s">
        <v>342</v>
      </c>
      <c r="K71" s="1" t="s">
        <v>246</v>
      </c>
      <c r="L71" s="1" t="s">
        <v>343</v>
      </c>
      <c r="M71" s="1" t="s">
        <v>65</v>
      </c>
      <c r="N71" s="1" t="s">
        <v>344</v>
      </c>
      <c r="O71" s="3">
        <v>3528080000000000</v>
      </c>
      <c r="P71" s="1">
        <v>10119</v>
      </c>
      <c r="Q71" s="1">
        <v>49</v>
      </c>
      <c r="R71" s="1">
        <v>1969</v>
      </c>
      <c r="S71" s="4">
        <v>0</v>
      </c>
      <c r="T71" s="4">
        <v>4.0039351851851854E-2</v>
      </c>
      <c r="U71" s="1">
        <v>26.87</v>
      </c>
      <c r="V71" s="1" t="s">
        <v>260</v>
      </c>
      <c r="W71" s="4">
        <v>0</v>
      </c>
      <c r="X71" s="2">
        <v>42490</v>
      </c>
      <c r="Y71" s="1">
        <v>39.74</v>
      </c>
      <c r="Z71" s="1" t="s">
        <v>72</v>
      </c>
      <c r="AA71" s="1" t="s">
        <v>73</v>
      </c>
      <c r="AB71" s="1" t="s">
        <v>109</v>
      </c>
      <c r="AC71" s="1" t="s">
        <v>81</v>
      </c>
      <c r="AD71" s="1" t="s">
        <v>151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1</v>
      </c>
      <c r="AP71" s="1">
        <v>0</v>
      </c>
      <c r="AQ71" s="1">
        <v>1</v>
      </c>
      <c r="AR71" s="1">
        <v>1</v>
      </c>
      <c r="AS71" s="1">
        <v>0</v>
      </c>
      <c r="AT71" s="1">
        <v>0</v>
      </c>
      <c r="AU71" s="1">
        <v>1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f>SUM(sdata[[#This Row],[Baby Food]:[Spices]])</f>
        <v>4</v>
      </c>
      <c r="BI71"/>
    </row>
    <row r="72" spans="1:61" x14ac:dyDescent="0.3">
      <c r="A72" s="1" t="s">
        <v>345</v>
      </c>
      <c r="B72" s="1" t="s">
        <v>346</v>
      </c>
      <c r="C72" s="1" t="s">
        <v>61</v>
      </c>
      <c r="D72" s="1" t="s">
        <v>347</v>
      </c>
      <c r="E72" s="1" t="s">
        <v>348</v>
      </c>
      <c r="F72" s="1" t="s">
        <v>331</v>
      </c>
      <c r="G72" s="1" t="s">
        <v>144</v>
      </c>
      <c r="H72" s="1">
        <v>54911</v>
      </c>
      <c r="I72" s="1" t="s">
        <v>349</v>
      </c>
      <c r="J72" s="1" t="s">
        <v>350</v>
      </c>
      <c r="K72" s="1" t="s">
        <v>246</v>
      </c>
      <c r="L72" s="1" t="s">
        <v>351</v>
      </c>
      <c r="M72" s="1" t="s">
        <v>70</v>
      </c>
      <c r="N72" s="1">
        <v>229990001</v>
      </c>
      <c r="O72" s="3">
        <v>3528230000000000</v>
      </c>
      <c r="P72" s="1">
        <v>10123</v>
      </c>
      <c r="Q72" s="1">
        <v>20</v>
      </c>
      <c r="R72" s="1">
        <v>4564</v>
      </c>
      <c r="S72" s="4">
        <v>0</v>
      </c>
      <c r="T72" s="4">
        <v>3.0469907407407407E-2</v>
      </c>
      <c r="U72" s="1">
        <v>24.08</v>
      </c>
      <c r="V72" s="1" t="s">
        <v>148</v>
      </c>
      <c r="W72" s="4">
        <v>0</v>
      </c>
      <c r="X72" s="2">
        <v>42394</v>
      </c>
      <c r="Y72" s="1">
        <v>44.29</v>
      </c>
      <c r="Z72" s="1" t="s">
        <v>72</v>
      </c>
      <c r="AA72" s="1" t="s">
        <v>73</v>
      </c>
      <c r="AB72" s="1" t="s">
        <v>97</v>
      </c>
      <c r="AC72" s="1" t="s">
        <v>81</v>
      </c>
      <c r="AD72" s="1" t="s">
        <v>99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1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f>SUM(sdata[[#This Row],[Baby Food]:[Spices]])</f>
        <v>1</v>
      </c>
      <c r="BI72"/>
    </row>
    <row r="73" spans="1:61" x14ac:dyDescent="0.3">
      <c r="A73" s="1" t="s">
        <v>345</v>
      </c>
      <c r="B73" s="1" t="s">
        <v>346</v>
      </c>
      <c r="C73" s="1" t="s">
        <v>61</v>
      </c>
      <c r="D73" s="1" t="s">
        <v>347</v>
      </c>
      <c r="E73" s="1" t="s">
        <v>348</v>
      </c>
      <c r="F73" s="1" t="s">
        <v>331</v>
      </c>
      <c r="G73" s="1" t="s">
        <v>144</v>
      </c>
      <c r="H73" s="1">
        <v>54911</v>
      </c>
      <c r="I73" s="1" t="s">
        <v>349</v>
      </c>
      <c r="J73" s="1" t="s">
        <v>350</v>
      </c>
      <c r="K73" s="1" t="s">
        <v>246</v>
      </c>
      <c r="L73" s="1" t="s">
        <v>351</v>
      </c>
      <c r="M73" s="1" t="s">
        <v>70</v>
      </c>
      <c r="N73" s="1">
        <v>229990001</v>
      </c>
      <c r="O73" s="3">
        <v>3528560000000000</v>
      </c>
      <c r="P73" s="1">
        <v>10123</v>
      </c>
      <c r="Q73" s="1">
        <v>20</v>
      </c>
      <c r="R73" s="1">
        <v>6596</v>
      </c>
      <c r="S73" s="4">
        <v>0</v>
      </c>
      <c r="T73" s="4">
        <v>2.2810185185185183E-2</v>
      </c>
      <c r="U73" s="1">
        <v>16.27</v>
      </c>
      <c r="V73" s="1" t="s">
        <v>150</v>
      </c>
      <c r="W73" s="4">
        <v>0</v>
      </c>
      <c r="X73" s="2">
        <v>42384</v>
      </c>
      <c r="Y73" s="1">
        <v>46.36</v>
      </c>
      <c r="Z73" s="1" t="s">
        <v>112</v>
      </c>
      <c r="AA73" s="1" t="s">
        <v>73</v>
      </c>
      <c r="AB73" s="1" t="s">
        <v>97</v>
      </c>
      <c r="AC73" s="1" t="s">
        <v>81</v>
      </c>
      <c r="AD73" s="1" t="s">
        <v>99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1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f>SUM(sdata[[#This Row],[Baby Food]:[Spices]])</f>
        <v>1</v>
      </c>
      <c r="BI73"/>
    </row>
    <row r="74" spans="1:61" x14ac:dyDescent="0.3">
      <c r="A74" s="1" t="s">
        <v>345</v>
      </c>
      <c r="B74" s="1" t="s">
        <v>346</v>
      </c>
      <c r="C74" s="1" t="s">
        <v>61</v>
      </c>
      <c r="D74" s="1" t="s">
        <v>347</v>
      </c>
      <c r="E74" s="1" t="s">
        <v>348</v>
      </c>
      <c r="F74" s="1" t="s">
        <v>331</v>
      </c>
      <c r="G74" s="1" t="s">
        <v>144</v>
      </c>
      <c r="H74" s="1">
        <v>54911</v>
      </c>
      <c r="I74" s="1" t="s">
        <v>349</v>
      </c>
      <c r="J74" s="1" t="s">
        <v>350</v>
      </c>
      <c r="K74" s="1" t="s">
        <v>246</v>
      </c>
      <c r="L74" s="1" t="s">
        <v>351</v>
      </c>
      <c r="M74" s="1" t="s">
        <v>70</v>
      </c>
      <c r="N74" s="1">
        <v>229990001</v>
      </c>
      <c r="O74" s="3">
        <v>3528270000000000</v>
      </c>
      <c r="P74" s="1">
        <v>10123</v>
      </c>
      <c r="Q74" s="1">
        <v>20</v>
      </c>
      <c r="R74" s="1">
        <v>7325</v>
      </c>
      <c r="S74" s="4">
        <v>0</v>
      </c>
      <c r="T74" s="4">
        <v>2.3436342592592595E-2</v>
      </c>
      <c r="U74" s="1">
        <v>11.45</v>
      </c>
      <c r="V74" s="1" t="s">
        <v>172</v>
      </c>
      <c r="W74" s="4">
        <v>0</v>
      </c>
      <c r="X74" s="2">
        <v>42520</v>
      </c>
      <c r="Y74" s="1">
        <v>227.61</v>
      </c>
      <c r="Z74" s="1" t="s">
        <v>72</v>
      </c>
      <c r="AA74" s="1" t="s">
        <v>73</v>
      </c>
      <c r="AB74" s="1" t="s">
        <v>97</v>
      </c>
      <c r="AC74" s="1" t="s">
        <v>98</v>
      </c>
      <c r="AD74" s="1" t="s">
        <v>99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1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1</v>
      </c>
      <c r="BE74" s="1">
        <v>0</v>
      </c>
      <c r="BF74" s="1">
        <v>1</v>
      </c>
      <c r="BG74" s="1">
        <v>1</v>
      </c>
      <c r="BH74" s="1">
        <f>SUM(sdata[[#This Row],[Baby Food]:[Spices]])</f>
        <v>5</v>
      </c>
      <c r="BI74"/>
    </row>
    <row r="75" spans="1:61" x14ac:dyDescent="0.3">
      <c r="A75" s="1" t="s">
        <v>345</v>
      </c>
      <c r="B75" s="1" t="s">
        <v>346</v>
      </c>
      <c r="C75" s="1" t="s">
        <v>61</v>
      </c>
      <c r="D75" s="1" t="s">
        <v>347</v>
      </c>
      <c r="E75" s="1" t="s">
        <v>348</v>
      </c>
      <c r="F75" s="1" t="s">
        <v>331</v>
      </c>
      <c r="G75" s="1" t="s">
        <v>144</v>
      </c>
      <c r="H75" s="1">
        <v>54911</v>
      </c>
      <c r="I75" s="1" t="s">
        <v>349</v>
      </c>
      <c r="J75" s="1" t="s">
        <v>350</v>
      </c>
      <c r="K75" s="1" t="s">
        <v>246</v>
      </c>
      <c r="L75" s="1" t="s">
        <v>351</v>
      </c>
      <c r="M75" s="1" t="s">
        <v>70</v>
      </c>
      <c r="N75" s="1">
        <v>229990001</v>
      </c>
      <c r="O75" s="3">
        <v>3528930000000000</v>
      </c>
      <c r="P75" s="1">
        <v>10123</v>
      </c>
      <c r="Q75" s="1">
        <v>20</v>
      </c>
      <c r="R75" s="1">
        <v>7496</v>
      </c>
      <c r="S75" s="4">
        <v>0</v>
      </c>
      <c r="T75" s="4">
        <v>2.2810185185185183E-2</v>
      </c>
      <c r="U75" s="1">
        <v>18.45</v>
      </c>
      <c r="V75" s="1" t="s">
        <v>150</v>
      </c>
      <c r="W75" s="4">
        <v>0</v>
      </c>
      <c r="X75" s="2">
        <v>42384</v>
      </c>
      <c r="Y75" s="1">
        <v>11.61</v>
      </c>
      <c r="Z75" s="1" t="s">
        <v>72</v>
      </c>
      <c r="AA75" s="1" t="s">
        <v>73</v>
      </c>
      <c r="AB75" s="1" t="s">
        <v>97</v>
      </c>
      <c r="AC75" s="1" t="s">
        <v>81</v>
      </c>
      <c r="AD75" s="1" t="s">
        <v>99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1</v>
      </c>
      <c r="AP75" s="1">
        <v>0</v>
      </c>
      <c r="AQ75" s="1">
        <v>1</v>
      </c>
      <c r="AR75" s="1">
        <v>1</v>
      </c>
      <c r="AS75" s="1">
        <v>0</v>
      </c>
      <c r="AT75" s="1">
        <v>0</v>
      </c>
      <c r="AU75" s="1">
        <v>1</v>
      </c>
      <c r="AV75" s="1">
        <v>0</v>
      </c>
      <c r="AW75" s="1">
        <v>0</v>
      </c>
      <c r="AX75" s="1">
        <v>0</v>
      </c>
      <c r="AY75" s="1">
        <v>1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f>SUM(sdata[[#This Row],[Baby Food]:[Spices]])</f>
        <v>5</v>
      </c>
      <c r="BI75"/>
    </row>
    <row r="76" spans="1:61" x14ac:dyDescent="0.3">
      <c r="A76" s="1" t="s">
        <v>345</v>
      </c>
      <c r="B76" s="1" t="s">
        <v>346</v>
      </c>
      <c r="C76" s="1" t="s">
        <v>61</v>
      </c>
      <c r="D76" s="1" t="s">
        <v>347</v>
      </c>
      <c r="E76" s="1" t="s">
        <v>348</v>
      </c>
      <c r="F76" s="1" t="s">
        <v>331</v>
      </c>
      <c r="G76" s="1" t="s">
        <v>144</v>
      </c>
      <c r="H76" s="1">
        <v>54911</v>
      </c>
      <c r="I76" s="1" t="s">
        <v>349</v>
      </c>
      <c r="J76" s="1" t="s">
        <v>350</v>
      </c>
      <c r="K76" s="1" t="s">
        <v>246</v>
      </c>
      <c r="L76" s="1" t="s">
        <v>351</v>
      </c>
      <c r="M76" s="1" t="s">
        <v>70</v>
      </c>
      <c r="N76" s="1">
        <v>229990001</v>
      </c>
      <c r="O76" s="3">
        <v>3528880000000000</v>
      </c>
      <c r="P76" s="1">
        <v>10123</v>
      </c>
      <c r="Q76" s="1">
        <v>20</v>
      </c>
      <c r="R76" s="1">
        <v>7989</v>
      </c>
      <c r="S76" s="4">
        <v>0</v>
      </c>
      <c r="T76" s="4">
        <v>3.3282407407407406E-2</v>
      </c>
      <c r="U76" s="1">
        <v>17.23</v>
      </c>
      <c r="V76" s="1" t="s">
        <v>306</v>
      </c>
      <c r="W76" s="4">
        <v>0</v>
      </c>
      <c r="X76" s="2">
        <v>42489</v>
      </c>
      <c r="Y76" s="1">
        <v>30.5</v>
      </c>
      <c r="Z76" s="1" t="s">
        <v>72</v>
      </c>
      <c r="AA76" s="1" t="s">
        <v>80</v>
      </c>
      <c r="AB76" s="1" t="s">
        <v>97</v>
      </c>
      <c r="AC76" s="1" t="s">
        <v>81</v>
      </c>
      <c r="AD76" s="1" t="s">
        <v>99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1</v>
      </c>
      <c r="AP76" s="1">
        <v>0</v>
      </c>
      <c r="AQ76" s="1">
        <v>1</v>
      </c>
      <c r="AR76" s="1">
        <v>1</v>
      </c>
      <c r="AS76" s="1">
        <v>0</v>
      </c>
      <c r="AT76" s="1">
        <v>0</v>
      </c>
      <c r="AU76" s="1">
        <v>1</v>
      </c>
      <c r="AV76" s="1">
        <v>0</v>
      </c>
      <c r="AW76" s="1">
        <v>0</v>
      </c>
      <c r="AX76" s="1">
        <v>0</v>
      </c>
      <c r="AY76" s="1">
        <v>1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f>SUM(sdata[[#This Row],[Baby Food]:[Spices]])</f>
        <v>5</v>
      </c>
      <c r="BI76"/>
    </row>
    <row r="77" spans="1:61" x14ac:dyDescent="0.3">
      <c r="A77" s="1" t="s">
        <v>352</v>
      </c>
      <c r="B77" s="1" t="s">
        <v>353</v>
      </c>
      <c r="C77" s="1" t="s">
        <v>61</v>
      </c>
      <c r="D77" s="1" t="s">
        <v>354</v>
      </c>
      <c r="E77" s="1" t="s">
        <v>355</v>
      </c>
      <c r="G77" s="1" t="s">
        <v>118</v>
      </c>
      <c r="H77" s="1">
        <v>29753</v>
      </c>
      <c r="I77" s="1" t="s">
        <v>356</v>
      </c>
      <c r="J77" s="1" t="s">
        <v>357</v>
      </c>
      <c r="K77" s="1" t="s">
        <v>92</v>
      </c>
      <c r="L77" s="1" t="s">
        <v>182</v>
      </c>
      <c r="M77" s="1" t="s">
        <v>65</v>
      </c>
      <c r="N77" s="1" t="s">
        <v>358</v>
      </c>
      <c r="O77" s="3">
        <v>4839450000000000</v>
      </c>
      <c r="P77" s="1">
        <v>10127</v>
      </c>
      <c r="Q77" s="1">
        <v>49</v>
      </c>
      <c r="R77" s="1">
        <v>3665</v>
      </c>
      <c r="S77" s="4">
        <v>0</v>
      </c>
      <c r="T77" s="4">
        <v>5.2824074074074067E-3</v>
      </c>
      <c r="U77" s="1">
        <v>8.99</v>
      </c>
      <c r="V77" s="1" t="s">
        <v>83</v>
      </c>
      <c r="W77" s="4">
        <v>0</v>
      </c>
      <c r="X77" s="2">
        <v>42373</v>
      </c>
      <c r="Y77" s="1">
        <v>17.29</v>
      </c>
      <c r="Z77" s="1" t="s">
        <v>72</v>
      </c>
      <c r="AA77" s="1" t="s">
        <v>73</v>
      </c>
      <c r="AB77" s="1" t="s">
        <v>109</v>
      </c>
      <c r="AC77" s="1" t="s">
        <v>81</v>
      </c>
      <c r="AD77" s="1" t="s">
        <v>151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f>SUM(sdata[[#This Row],[Baby Food]:[Spices]])</f>
        <v>2</v>
      </c>
      <c r="BI77"/>
    </row>
    <row r="78" spans="1:61" x14ac:dyDescent="0.3">
      <c r="A78" s="1" t="s">
        <v>359</v>
      </c>
      <c r="B78" s="1" t="s">
        <v>360</v>
      </c>
      <c r="C78" s="1" t="s">
        <v>361</v>
      </c>
      <c r="D78" s="1" t="s">
        <v>362</v>
      </c>
      <c r="E78" s="1" t="s">
        <v>363</v>
      </c>
      <c r="F78" s="1" t="s">
        <v>364</v>
      </c>
      <c r="G78" s="1" t="s">
        <v>303</v>
      </c>
      <c r="H78" s="1">
        <v>2284</v>
      </c>
      <c r="I78" s="1" t="s">
        <v>365</v>
      </c>
      <c r="J78" s="1" t="s">
        <v>366</v>
      </c>
      <c r="K78" s="1" t="s">
        <v>205</v>
      </c>
      <c r="L78" s="1" t="s">
        <v>367</v>
      </c>
      <c r="M78" s="1" t="s">
        <v>65</v>
      </c>
      <c r="N78" s="1" t="s">
        <v>368</v>
      </c>
      <c r="O78" s="3">
        <v>36383400000000</v>
      </c>
      <c r="P78" s="1">
        <v>10131</v>
      </c>
      <c r="Q78" s="1">
        <v>78</v>
      </c>
      <c r="R78" s="1">
        <v>1866</v>
      </c>
      <c r="S78" s="4">
        <v>0</v>
      </c>
      <c r="T78" s="4">
        <v>1.2090277777777778E-2</v>
      </c>
      <c r="U78" s="1">
        <v>7.02</v>
      </c>
      <c r="V78" s="1" t="s">
        <v>114</v>
      </c>
      <c r="W78" s="4">
        <v>0</v>
      </c>
      <c r="X78" s="2">
        <v>42602</v>
      </c>
      <c r="Y78" s="1">
        <v>161.59</v>
      </c>
      <c r="Z78" s="1" t="s">
        <v>72</v>
      </c>
      <c r="AA78" s="1" t="s">
        <v>80</v>
      </c>
      <c r="AB78" s="1" t="s">
        <v>74</v>
      </c>
      <c r="AC78" s="1" t="s">
        <v>98</v>
      </c>
      <c r="AD78" s="1" t="s">
        <v>110</v>
      </c>
      <c r="AE78" s="1">
        <v>0</v>
      </c>
      <c r="AF78" s="1">
        <v>0</v>
      </c>
      <c r="AG78" s="1">
        <v>0</v>
      </c>
      <c r="AH78" s="1">
        <v>1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</v>
      </c>
      <c r="AU78" s="1">
        <v>0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A78" s="1">
        <v>0</v>
      </c>
      <c r="BB78" s="1">
        <v>0</v>
      </c>
      <c r="BC78" s="1">
        <v>0</v>
      </c>
      <c r="BD78" s="1">
        <v>0</v>
      </c>
      <c r="BE78" s="1">
        <v>1</v>
      </c>
      <c r="BF78" s="1">
        <v>0</v>
      </c>
      <c r="BG78" s="1">
        <v>0</v>
      </c>
      <c r="BH78" s="1">
        <f>SUM(sdata[[#This Row],[Baby Food]:[Spices]])</f>
        <v>8</v>
      </c>
      <c r="BI78"/>
    </row>
    <row r="79" spans="1:61" x14ac:dyDescent="0.3">
      <c r="A79" s="1" t="s">
        <v>359</v>
      </c>
      <c r="B79" s="1" t="s">
        <v>360</v>
      </c>
      <c r="C79" s="1" t="s">
        <v>361</v>
      </c>
      <c r="D79" s="1" t="s">
        <v>362</v>
      </c>
      <c r="E79" s="1" t="s">
        <v>363</v>
      </c>
      <c r="F79" s="1" t="s">
        <v>364</v>
      </c>
      <c r="G79" s="1" t="s">
        <v>303</v>
      </c>
      <c r="H79" s="1">
        <v>2284</v>
      </c>
      <c r="I79" s="1" t="s">
        <v>365</v>
      </c>
      <c r="J79" s="1" t="s">
        <v>366</v>
      </c>
      <c r="K79" s="1" t="s">
        <v>205</v>
      </c>
      <c r="L79" s="1" t="s">
        <v>367</v>
      </c>
      <c r="M79" s="1" t="s">
        <v>65</v>
      </c>
      <c r="N79" s="1" t="s">
        <v>368</v>
      </c>
      <c r="O79" s="3">
        <v>36851500000000</v>
      </c>
      <c r="P79" s="1">
        <v>10131</v>
      </c>
      <c r="Q79" s="1">
        <v>78</v>
      </c>
      <c r="R79" s="1">
        <v>5009</v>
      </c>
      <c r="S79" s="4">
        <v>0</v>
      </c>
      <c r="T79" s="4">
        <v>3.0493055555555551E-2</v>
      </c>
      <c r="U79" s="1">
        <v>8.23</v>
      </c>
      <c r="V79" s="1" t="s">
        <v>369</v>
      </c>
      <c r="W79" s="4">
        <v>0</v>
      </c>
      <c r="X79" s="2">
        <v>42665</v>
      </c>
      <c r="Y79" s="1">
        <v>145.28</v>
      </c>
      <c r="Z79" s="1" t="s">
        <v>78</v>
      </c>
      <c r="AA79" s="1" t="s">
        <v>80</v>
      </c>
      <c r="AB79" s="1" t="s">
        <v>74</v>
      </c>
      <c r="AC79" s="1" t="s">
        <v>75</v>
      </c>
      <c r="AD79" s="1" t="s">
        <v>110</v>
      </c>
      <c r="AE79" s="1">
        <v>0</v>
      </c>
      <c r="AF79" s="1">
        <v>1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1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f>SUM(sdata[[#This Row],[Baby Food]:[Spices]])</f>
        <v>4</v>
      </c>
      <c r="BI79"/>
    </row>
    <row r="80" spans="1:61" x14ac:dyDescent="0.3">
      <c r="A80" s="1" t="s">
        <v>359</v>
      </c>
      <c r="B80" s="1" t="s">
        <v>360</v>
      </c>
      <c r="C80" s="1" t="s">
        <v>361</v>
      </c>
      <c r="D80" s="1" t="s">
        <v>362</v>
      </c>
      <c r="E80" s="1" t="s">
        <v>363</v>
      </c>
      <c r="F80" s="1" t="s">
        <v>364</v>
      </c>
      <c r="G80" s="1" t="s">
        <v>303</v>
      </c>
      <c r="H80" s="1">
        <v>2284</v>
      </c>
      <c r="I80" s="1" t="s">
        <v>365</v>
      </c>
      <c r="J80" s="1" t="s">
        <v>366</v>
      </c>
      <c r="K80" s="1" t="s">
        <v>205</v>
      </c>
      <c r="L80" s="1" t="s">
        <v>367</v>
      </c>
      <c r="M80" s="1" t="s">
        <v>65</v>
      </c>
      <c r="N80" s="1" t="s">
        <v>368</v>
      </c>
      <c r="O80" s="3">
        <v>36452900000000</v>
      </c>
      <c r="P80" s="1">
        <v>10131</v>
      </c>
      <c r="Q80" s="1">
        <v>78</v>
      </c>
      <c r="R80" s="1">
        <v>7982</v>
      </c>
      <c r="S80" s="4">
        <v>3.2928240740740737E-2</v>
      </c>
      <c r="T80" s="4">
        <v>3.2932870370370369E-2</v>
      </c>
      <c r="U80" s="1">
        <v>23.12</v>
      </c>
      <c r="V80" s="1" t="s">
        <v>370</v>
      </c>
      <c r="W80" s="4">
        <v>3.2928240740740737E-2</v>
      </c>
      <c r="X80" s="2">
        <v>42498</v>
      </c>
      <c r="Y80" s="1">
        <v>205.85</v>
      </c>
      <c r="Z80" s="1" t="s">
        <v>72</v>
      </c>
      <c r="AA80" s="1" t="s">
        <v>80</v>
      </c>
      <c r="AB80" s="1" t="s">
        <v>74</v>
      </c>
      <c r="AC80" s="1" t="s">
        <v>98</v>
      </c>
      <c r="AD80" s="1" t="s">
        <v>110</v>
      </c>
      <c r="AE80" s="1">
        <v>0</v>
      </c>
      <c r="AF80" s="1">
        <v>0</v>
      </c>
      <c r="AG80" s="1">
        <v>1</v>
      </c>
      <c r="AH80" s="1">
        <v>0</v>
      </c>
      <c r="AI80" s="1">
        <v>1</v>
      </c>
      <c r="AJ80" s="1">
        <v>0</v>
      </c>
      <c r="AK80" s="1">
        <v>0</v>
      </c>
      <c r="AL80" s="1">
        <v>0</v>
      </c>
      <c r="AM80" s="1">
        <v>0</v>
      </c>
      <c r="AN80" s="1">
        <v>1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1</v>
      </c>
      <c r="AU80" s="1">
        <v>0</v>
      </c>
      <c r="AV80" s="1">
        <v>1</v>
      </c>
      <c r="AW80" s="1">
        <v>0</v>
      </c>
      <c r="AX80" s="1">
        <v>0</v>
      </c>
      <c r="AY80" s="1">
        <v>0</v>
      </c>
      <c r="AZ80" s="1">
        <v>1</v>
      </c>
      <c r="BA80" s="1">
        <v>0</v>
      </c>
      <c r="BB80" s="1">
        <v>1</v>
      </c>
      <c r="BC80" s="1">
        <v>0</v>
      </c>
      <c r="BD80" s="1">
        <v>0</v>
      </c>
      <c r="BE80" s="1">
        <v>0</v>
      </c>
      <c r="BF80" s="1">
        <v>1</v>
      </c>
      <c r="BG80" s="1">
        <v>1</v>
      </c>
      <c r="BH80" s="1">
        <f>SUM(sdata[[#This Row],[Baby Food]:[Spices]])</f>
        <v>9</v>
      </c>
      <c r="BI80"/>
    </row>
    <row r="81" spans="1:61" x14ac:dyDescent="0.3">
      <c r="A81" s="1" t="s">
        <v>371</v>
      </c>
      <c r="B81" s="1" t="s">
        <v>299</v>
      </c>
      <c r="C81" s="1" t="s">
        <v>154</v>
      </c>
      <c r="D81" s="1" t="s">
        <v>372</v>
      </c>
      <c r="E81" s="1" t="s">
        <v>373</v>
      </c>
      <c r="F81" s="1" t="s">
        <v>275</v>
      </c>
      <c r="G81" s="1" t="s">
        <v>144</v>
      </c>
      <c r="H81" s="1">
        <v>76011</v>
      </c>
      <c r="I81" s="1" t="s">
        <v>374</v>
      </c>
      <c r="J81" s="1" t="s">
        <v>375</v>
      </c>
      <c r="K81" s="1" t="s">
        <v>92</v>
      </c>
      <c r="L81" s="1" t="s">
        <v>376</v>
      </c>
      <c r="M81" s="1" t="s">
        <v>118</v>
      </c>
      <c r="N81" s="1" t="s">
        <v>377</v>
      </c>
      <c r="O81" s="3">
        <v>4658070000000000</v>
      </c>
      <c r="P81" s="1">
        <v>10135</v>
      </c>
      <c r="Q81" s="1" t="s">
        <v>96</v>
      </c>
      <c r="R81" s="1">
        <v>5052</v>
      </c>
      <c r="S81" s="4">
        <v>0</v>
      </c>
      <c r="T81" s="4">
        <v>7.9432870370370369E-3</v>
      </c>
      <c r="U81" s="1">
        <v>7.85</v>
      </c>
      <c r="V81" s="1" t="s">
        <v>378</v>
      </c>
      <c r="W81" s="4">
        <v>0</v>
      </c>
      <c r="X81" s="2">
        <v>42623</v>
      </c>
      <c r="Y81" s="1">
        <v>220.34</v>
      </c>
      <c r="Z81" s="1" t="s">
        <v>72</v>
      </c>
      <c r="AA81" s="1" t="s">
        <v>73</v>
      </c>
      <c r="AB81" s="1" t="s">
        <v>109</v>
      </c>
      <c r="AC81" s="1" t="s">
        <v>98</v>
      </c>
      <c r="AD81" s="1" t="s">
        <v>99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1</v>
      </c>
      <c r="AT81" s="1">
        <v>1</v>
      </c>
      <c r="AU81" s="1">
        <v>1</v>
      </c>
      <c r="AV81" s="1">
        <v>1</v>
      </c>
      <c r="AW81" s="1">
        <v>1</v>
      </c>
      <c r="AX81" s="1">
        <v>0</v>
      </c>
      <c r="AY81" s="1">
        <v>1</v>
      </c>
      <c r="AZ81" s="1">
        <v>0</v>
      </c>
      <c r="BA81" s="1">
        <v>1</v>
      </c>
      <c r="BB81" s="1">
        <v>0</v>
      </c>
      <c r="BC81" s="1">
        <v>0</v>
      </c>
      <c r="BD81" s="1">
        <v>1</v>
      </c>
      <c r="BE81" s="1">
        <v>0</v>
      </c>
      <c r="BF81" s="1">
        <v>0</v>
      </c>
      <c r="BG81" s="1">
        <v>0</v>
      </c>
      <c r="BH81" s="1">
        <f>SUM(sdata[[#This Row],[Baby Food]:[Spices]])</f>
        <v>8</v>
      </c>
      <c r="BI81"/>
    </row>
    <row r="82" spans="1:61" x14ac:dyDescent="0.3">
      <c r="A82" s="1" t="s">
        <v>371</v>
      </c>
      <c r="B82" s="1" t="s">
        <v>299</v>
      </c>
      <c r="C82" s="1" t="s">
        <v>154</v>
      </c>
      <c r="D82" s="1" t="s">
        <v>372</v>
      </c>
      <c r="E82" s="1" t="s">
        <v>373</v>
      </c>
      <c r="F82" s="1" t="s">
        <v>275</v>
      </c>
      <c r="G82" s="1" t="s">
        <v>144</v>
      </c>
      <c r="H82" s="1">
        <v>76011</v>
      </c>
      <c r="I82" s="1" t="s">
        <v>374</v>
      </c>
      <c r="J82" s="1" t="s">
        <v>375</v>
      </c>
      <c r="K82" s="1" t="s">
        <v>92</v>
      </c>
      <c r="L82" s="1" t="s">
        <v>376</v>
      </c>
      <c r="M82" s="1" t="s">
        <v>118</v>
      </c>
      <c r="N82" s="1" t="s">
        <v>377</v>
      </c>
      <c r="O82" s="3">
        <v>4904960000000000</v>
      </c>
      <c r="P82" s="1">
        <v>10135</v>
      </c>
      <c r="Q82" s="1" t="s">
        <v>96</v>
      </c>
      <c r="R82" s="1">
        <v>7836</v>
      </c>
      <c r="S82" s="4">
        <v>0</v>
      </c>
      <c r="T82" s="4">
        <v>2.0210648148148148E-2</v>
      </c>
      <c r="U82" s="1">
        <v>33.85</v>
      </c>
      <c r="V82" s="1" t="s">
        <v>71</v>
      </c>
      <c r="W82" s="4">
        <v>0</v>
      </c>
      <c r="X82" s="2">
        <v>42578</v>
      </c>
      <c r="Y82" s="1">
        <v>281.44</v>
      </c>
      <c r="Z82" s="1" t="s">
        <v>72</v>
      </c>
      <c r="AA82" s="1" t="s">
        <v>80</v>
      </c>
      <c r="AB82" s="1" t="s">
        <v>109</v>
      </c>
      <c r="AC82" s="1" t="s">
        <v>98</v>
      </c>
      <c r="AD82" s="1" t="s">
        <v>99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1</v>
      </c>
      <c r="AU82" s="1">
        <v>0</v>
      </c>
      <c r="AV82" s="1">
        <v>0</v>
      </c>
      <c r="AW82" s="1">
        <v>1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1</v>
      </c>
      <c r="BG82" s="1">
        <v>1</v>
      </c>
      <c r="BH82" s="1">
        <f>SUM(sdata[[#This Row],[Baby Food]:[Spices]])</f>
        <v>5</v>
      </c>
      <c r="BI82"/>
    </row>
    <row r="83" spans="1:61" x14ac:dyDescent="0.3">
      <c r="A83" s="1" t="s">
        <v>379</v>
      </c>
      <c r="B83" s="1" t="s">
        <v>380</v>
      </c>
      <c r="C83" s="1" t="s">
        <v>154</v>
      </c>
      <c r="D83" s="1" t="s">
        <v>381</v>
      </c>
      <c r="E83" s="1" t="s">
        <v>373</v>
      </c>
      <c r="F83" s="1" t="s">
        <v>382</v>
      </c>
      <c r="G83" s="1" t="s">
        <v>144</v>
      </c>
      <c r="H83" s="1">
        <v>68002</v>
      </c>
      <c r="I83" s="1" t="s">
        <v>383</v>
      </c>
      <c r="J83" s="1" t="s">
        <v>384</v>
      </c>
      <c r="K83" s="1" t="s">
        <v>92</v>
      </c>
      <c r="L83" s="1" t="s">
        <v>385</v>
      </c>
      <c r="M83" s="1" t="s">
        <v>70</v>
      </c>
      <c r="N83" s="1">
        <v>492230001</v>
      </c>
      <c r="O83" s="3">
        <v>4136050000000000</v>
      </c>
      <c r="P83" s="1">
        <v>10139</v>
      </c>
      <c r="Q83" s="1">
        <v>53</v>
      </c>
      <c r="R83" s="1">
        <v>4045</v>
      </c>
      <c r="S83" s="4">
        <v>0</v>
      </c>
      <c r="T83" s="4">
        <v>2.3435185185185187E-2</v>
      </c>
      <c r="U83" s="1">
        <v>52</v>
      </c>
      <c r="V83" s="1" t="s">
        <v>135</v>
      </c>
      <c r="W83" s="4">
        <v>0</v>
      </c>
      <c r="X83" s="2">
        <v>42724</v>
      </c>
      <c r="Y83" s="1">
        <v>40.119999999999997</v>
      </c>
      <c r="Z83" s="1" t="s">
        <v>72</v>
      </c>
      <c r="AA83" s="1" t="s">
        <v>73</v>
      </c>
      <c r="AB83" s="1" t="s">
        <v>109</v>
      </c>
      <c r="AC83" s="1" t="s">
        <v>81</v>
      </c>
      <c r="AD83" s="1" t="s">
        <v>110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1</v>
      </c>
      <c r="AP83" s="1">
        <v>0</v>
      </c>
      <c r="AQ83" s="1">
        <v>1</v>
      </c>
      <c r="AR83" s="1">
        <v>1</v>
      </c>
      <c r="AS83" s="1">
        <v>0</v>
      </c>
      <c r="AT83" s="1">
        <v>0</v>
      </c>
      <c r="AU83" s="1">
        <v>1</v>
      </c>
      <c r="AV83" s="1">
        <v>0</v>
      </c>
      <c r="AW83" s="1">
        <v>0</v>
      </c>
      <c r="AX83" s="1">
        <v>0</v>
      </c>
      <c r="AY83" s="1">
        <v>1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f>SUM(sdata[[#This Row],[Baby Food]:[Spices]])</f>
        <v>5</v>
      </c>
      <c r="BI83"/>
    </row>
    <row r="84" spans="1:61" x14ac:dyDescent="0.3">
      <c r="A84" s="1" t="s">
        <v>379</v>
      </c>
      <c r="B84" s="1" t="s">
        <v>380</v>
      </c>
      <c r="C84" s="1" t="s">
        <v>154</v>
      </c>
      <c r="D84" s="1" t="s">
        <v>381</v>
      </c>
      <c r="E84" s="1" t="s">
        <v>373</v>
      </c>
      <c r="F84" s="1" t="s">
        <v>382</v>
      </c>
      <c r="G84" s="1" t="s">
        <v>144</v>
      </c>
      <c r="H84" s="1">
        <v>68002</v>
      </c>
      <c r="I84" s="1" t="s">
        <v>383</v>
      </c>
      <c r="J84" s="1" t="s">
        <v>384</v>
      </c>
      <c r="K84" s="1" t="s">
        <v>92</v>
      </c>
      <c r="L84" s="1" t="s">
        <v>385</v>
      </c>
      <c r="M84" s="1" t="s">
        <v>70</v>
      </c>
      <c r="N84" s="1">
        <v>492230001</v>
      </c>
      <c r="O84" s="3">
        <v>4535740000000000</v>
      </c>
      <c r="P84" s="1">
        <v>10139</v>
      </c>
      <c r="Q84" s="1">
        <v>53</v>
      </c>
      <c r="R84" s="1">
        <v>4082</v>
      </c>
      <c r="S84" s="4">
        <v>0</v>
      </c>
      <c r="T84" s="4">
        <v>2.2810185185185183E-2</v>
      </c>
      <c r="U84" s="1">
        <v>16.829999999999998</v>
      </c>
      <c r="V84" s="1" t="s">
        <v>150</v>
      </c>
      <c r="W84" s="4">
        <v>0</v>
      </c>
      <c r="X84" s="2">
        <v>42384</v>
      </c>
      <c r="Y84" s="1">
        <v>28.48</v>
      </c>
      <c r="Z84" s="1" t="s">
        <v>72</v>
      </c>
      <c r="AA84" s="1" t="s">
        <v>73</v>
      </c>
      <c r="AB84" s="1" t="s">
        <v>109</v>
      </c>
      <c r="AC84" s="1" t="s">
        <v>81</v>
      </c>
      <c r="AD84" s="1" t="s">
        <v>110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1</v>
      </c>
      <c r="AP84" s="1">
        <v>0</v>
      </c>
      <c r="AQ84" s="1">
        <v>1</v>
      </c>
      <c r="AR84" s="1">
        <v>0</v>
      </c>
      <c r="AS84" s="1">
        <v>0</v>
      </c>
      <c r="AT84" s="1">
        <v>0</v>
      </c>
      <c r="AU84" s="1">
        <v>1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f>SUM(sdata[[#This Row],[Baby Food]:[Spices]])</f>
        <v>3</v>
      </c>
      <c r="BI84"/>
    </row>
    <row r="85" spans="1:61" x14ac:dyDescent="0.3">
      <c r="A85" s="1" t="s">
        <v>379</v>
      </c>
      <c r="B85" s="1" t="s">
        <v>380</v>
      </c>
      <c r="C85" s="1" t="s">
        <v>154</v>
      </c>
      <c r="D85" s="1" t="s">
        <v>381</v>
      </c>
      <c r="E85" s="1" t="s">
        <v>373</v>
      </c>
      <c r="F85" s="1" t="s">
        <v>382</v>
      </c>
      <c r="G85" s="1" t="s">
        <v>144</v>
      </c>
      <c r="H85" s="1">
        <v>68002</v>
      </c>
      <c r="I85" s="1" t="s">
        <v>383</v>
      </c>
      <c r="J85" s="1" t="s">
        <v>384</v>
      </c>
      <c r="K85" s="1" t="s">
        <v>92</v>
      </c>
      <c r="L85" s="1" t="s">
        <v>385</v>
      </c>
      <c r="M85" s="1" t="s">
        <v>70</v>
      </c>
      <c r="N85" s="1">
        <v>492230001</v>
      </c>
      <c r="O85" s="3">
        <v>4929780000000000</v>
      </c>
      <c r="P85" s="1">
        <v>10139</v>
      </c>
      <c r="Q85" s="1">
        <v>53</v>
      </c>
      <c r="R85" s="1">
        <v>6973</v>
      </c>
      <c r="S85" s="4">
        <v>3.2928240740740737E-2</v>
      </c>
      <c r="T85" s="4">
        <v>3.2932870370370369E-2</v>
      </c>
      <c r="U85" s="1">
        <v>13.82</v>
      </c>
      <c r="V85" s="1" t="s">
        <v>108</v>
      </c>
      <c r="W85" s="4">
        <v>3.2928240740740737E-2</v>
      </c>
      <c r="X85" s="2">
        <v>42498</v>
      </c>
      <c r="Y85" s="1">
        <v>25.83</v>
      </c>
      <c r="Z85" s="1" t="s">
        <v>72</v>
      </c>
      <c r="AA85" s="1" t="s">
        <v>73</v>
      </c>
      <c r="AB85" s="1" t="s">
        <v>109</v>
      </c>
      <c r="AC85" s="1" t="s">
        <v>81</v>
      </c>
      <c r="AD85" s="1" t="s">
        <v>110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1</v>
      </c>
      <c r="AP85" s="1">
        <v>0</v>
      </c>
      <c r="AQ85" s="1">
        <v>1</v>
      </c>
      <c r="AR85" s="1">
        <v>1</v>
      </c>
      <c r="AS85" s="1">
        <v>0</v>
      </c>
      <c r="AT85" s="1">
        <v>0</v>
      </c>
      <c r="AU85" s="1">
        <v>1</v>
      </c>
      <c r="AV85" s="1">
        <v>0</v>
      </c>
      <c r="AW85" s="1">
        <v>0</v>
      </c>
      <c r="AX85" s="1">
        <v>0</v>
      </c>
      <c r="AY85" s="1">
        <v>1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f>SUM(sdata[[#This Row],[Baby Food]:[Spices]])</f>
        <v>5</v>
      </c>
      <c r="BI85"/>
    </row>
    <row r="86" spans="1:61" x14ac:dyDescent="0.3">
      <c r="A86" s="1" t="s">
        <v>379</v>
      </c>
      <c r="B86" s="1" t="s">
        <v>380</v>
      </c>
      <c r="C86" s="1" t="s">
        <v>154</v>
      </c>
      <c r="D86" s="1" t="s">
        <v>381</v>
      </c>
      <c r="E86" s="1" t="s">
        <v>373</v>
      </c>
      <c r="F86" s="1" t="s">
        <v>382</v>
      </c>
      <c r="G86" s="1" t="s">
        <v>144</v>
      </c>
      <c r="H86" s="1">
        <v>68002</v>
      </c>
      <c r="I86" s="1" t="s">
        <v>383</v>
      </c>
      <c r="J86" s="1" t="s">
        <v>384</v>
      </c>
      <c r="K86" s="1" t="s">
        <v>92</v>
      </c>
      <c r="L86" s="1" t="s">
        <v>385</v>
      </c>
      <c r="M86" s="1" t="s">
        <v>70</v>
      </c>
      <c r="N86" s="1">
        <v>492230001</v>
      </c>
      <c r="O86" s="3">
        <v>4426700000000000</v>
      </c>
      <c r="P86" s="1">
        <v>10139</v>
      </c>
      <c r="Q86" s="1">
        <v>53</v>
      </c>
      <c r="R86" s="1">
        <v>8786</v>
      </c>
      <c r="S86" s="4">
        <v>0</v>
      </c>
      <c r="T86" s="4">
        <v>5.1446759259259258E-3</v>
      </c>
      <c r="U86" s="1">
        <v>7.85</v>
      </c>
      <c r="V86" s="1" t="s">
        <v>386</v>
      </c>
      <c r="W86" s="4">
        <v>0</v>
      </c>
      <c r="X86" s="2">
        <v>42651</v>
      </c>
      <c r="Y86" s="1">
        <v>42.85</v>
      </c>
      <c r="Z86" s="1" t="s">
        <v>126</v>
      </c>
      <c r="AA86" s="1" t="s">
        <v>73</v>
      </c>
      <c r="AB86" s="1" t="s">
        <v>109</v>
      </c>
      <c r="AC86" s="1" t="s">
        <v>81</v>
      </c>
      <c r="AD86" s="1" t="s">
        <v>110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1</v>
      </c>
      <c r="AP86" s="1">
        <v>0</v>
      </c>
      <c r="AQ86" s="1">
        <v>1</v>
      </c>
      <c r="AR86" s="1">
        <v>1</v>
      </c>
      <c r="AS86" s="1">
        <v>0</v>
      </c>
      <c r="AT86" s="1">
        <v>0</v>
      </c>
      <c r="AU86" s="1">
        <v>1</v>
      </c>
      <c r="AV86" s="1">
        <v>0</v>
      </c>
      <c r="AW86" s="1">
        <v>0</v>
      </c>
      <c r="AX86" s="1">
        <v>0</v>
      </c>
      <c r="AY86" s="1">
        <v>1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f>SUM(sdata[[#This Row],[Baby Food]:[Spices]])</f>
        <v>5</v>
      </c>
      <c r="BI86"/>
    </row>
    <row r="87" spans="1:61" x14ac:dyDescent="0.3">
      <c r="A87" s="1" t="s">
        <v>387</v>
      </c>
      <c r="B87" s="1" t="s">
        <v>388</v>
      </c>
      <c r="C87" s="1" t="s">
        <v>61</v>
      </c>
      <c r="D87" s="1" t="s">
        <v>389</v>
      </c>
      <c r="E87" s="1" t="s">
        <v>390</v>
      </c>
      <c r="G87" s="1" t="s">
        <v>89</v>
      </c>
      <c r="H87" s="1">
        <v>6431</v>
      </c>
      <c r="I87" s="1" t="s">
        <v>391</v>
      </c>
      <c r="J87" s="1" t="s">
        <v>392</v>
      </c>
      <c r="K87" s="1" t="s">
        <v>246</v>
      </c>
      <c r="L87" s="1" t="s">
        <v>227</v>
      </c>
      <c r="M87" s="1" t="s">
        <v>65</v>
      </c>
      <c r="N87" s="1" t="s">
        <v>393</v>
      </c>
      <c r="O87" s="3">
        <v>3528670000000000</v>
      </c>
      <c r="P87" s="1">
        <v>10147</v>
      </c>
      <c r="Q87" s="1" t="s">
        <v>394</v>
      </c>
      <c r="R87" s="1">
        <v>1102</v>
      </c>
      <c r="S87" s="4">
        <v>0</v>
      </c>
      <c r="T87" s="4">
        <v>3.3282407407407406E-2</v>
      </c>
      <c r="U87" s="1">
        <v>8.99</v>
      </c>
      <c r="V87" s="1" t="s">
        <v>306</v>
      </c>
      <c r="W87" s="4">
        <v>0</v>
      </c>
      <c r="X87" s="2">
        <v>42489</v>
      </c>
      <c r="Y87" s="1">
        <v>6.47</v>
      </c>
      <c r="Z87" s="1" t="s">
        <v>72</v>
      </c>
      <c r="AA87" s="1" t="s">
        <v>73</v>
      </c>
      <c r="AB87" s="1" t="s">
        <v>97</v>
      </c>
      <c r="AC87" s="1" t="s">
        <v>81</v>
      </c>
      <c r="AD87" s="1" t="s">
        <v>99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1</v>
      </c>
      <c r="AP87" s="1">
        <v>0</v>
      </c>
      <c r="AQ87" s="1">
        <v>1</v>
      </c>
      <c r="AR87" s="1">
        <v>1</v>
      </c>
      <c r="AS87" s="1">
        <v>0</v>
      </c>
      <c r="AT87" s="1">
        <v>0</v>
      </c>
      <c r="AU87" s="1">
        <v>1</v>
      </c>
      <c r="AV87" s="1">
        <v>0</v>
      </c>
      <c r="AW87" s="1">
        <v>0</v>
      </c>
      <c r="AX87" s="1">
        <v>0</v>
      </c>
      <c r="AY87" s="1">
        <v>1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f>SUM(sdata[[#This Row],[Baby Food]:[Spices]])</f>
        <v>5</v>
      </c>
      <c r="BI87"/>
    </row>
    <row r="88" spans="1:61" x14ac:dyDescent="0.3">
      <c r="A88" s="1" t="s">
        <v>387</v>
      </c>
      <c r="B88" s="1" t="s">
        <v>388</v>
      </c>
      <c r="C88" s="1" t="s">
        <v>61</v>
      </c>
      <c r="D88" s="1" t="s">
        <v>389</v>
      </c>
      <c r="E88" s="1" t="s">
        <v>390</v>
      </c>
      <c r="G88" s="1" t="s">
        <v>89</v>
      </c>
      <c r="H88" s="1">
        <v>6431</v>
      </c>
      <c r="I88" s="1" t="s">
        <v>391</v>
      </c>
      <c r="J88" s="1" t="s">
        <v>392</v>
      </c>
      <c r="K88" s="1" t="s">
        <v>246</v>
      </c>
      <c r="L88" s="1" t="s">
        <v>227</v>
      </c>
      <c r="M88" s="1" t="s">
        <v>65</v>
      </c>
      <c r="N88" s="1" t="s">
        <v>393</v>
      </c>
      <c r="O88" s="3">
        <v>3529000000000000</v>
      </c>
      <c r="P88" s="1">
        <v>10147</v>
      </c>
      <c r="Q88" s="1" t="s">
        <v>394</v>
      </c>
      <c r="R88" s="1">
        <v>5244</v>
      </c>
      <c r="S88" s="4">
        <v>0</v>
      </c>
      <c r="T88" s="4">
        <v>2.3221064814814812E-2</v>
      </c>
      <c r="U88" s="1">
        <v>17.600000000000001</v>
      </c>
      <c r="V88" s="1" t="s">
        <v>395</v>
      </c>
      <c r="W88" s="4">
        <v>0</v>
      </c>
      <c r="X88" s="2">
        <v>42694</v>
      </c>
      <c r="Y88" s="1">
        <v>93.67</v>
      </c>
      <c r="Z88" s="1" t="s">
        <v>112</v>
      </c>
      <c r="AA88" s="1" t="s">
        <v>80</v>
      </c>
      <c r="AB88" s="1" t="s">
        <v>97</v>
      </c>
      <c r="AC88" s="1" t="s">
        <v>75</v>
      </c>
      <c r="AD88" s="1" t="s">
        <v>99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1</v>
      </c>
      <c r="AT88" s="1">
        <v>0</v>
      </c>
      <c r="AU88" s="1">
        <v>0</v>
      </c>
      <c r="AV88" s="1">
        <v>0</v>
      </c>
      <c r="AW88" s="1">
        <v>0</v>
      </c>
      <c r="AX88" s="1">
        <v>1</v>
      </c>
      <c r="AY88" s="1">
        <v>0</v>
      </c>
      <c r="AZ88" s="1">
        <v>0</v>
      </c>
      <c r="BA88" s="1">
        <v>1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f>SUM(sdata[[#This Row],[Baby Food]:[Spices]])</f>
        <v>4</v>
      </c>
      <c r="BI88"/>
    </row>
    <row r="89" spans="1:61" x14ac:dyDescent="0.3">
      <c r="A89" s="1" t="s">
        <v>396</v>
      </c>
      <c r="B89" s="1" t="s">
        <v>397</v>
      </c>
      <c r="C89" s="1" t="s">
        <v>61</v>
      </c>
      <c r="D89" s="1" t="s">
        <v>398</v>
      </c>
      <c r="E89" s="1" t="s">
        <v>399</v>
      </c>
      <c r="F89" s="1" t="s">
        <v>400</v>
      </c>
      <c r="G89" s="1" t="s">
        <v>144</v>
      </c>
      <c r="H89" s="1">
        <v>27203</v>
      </c>
      <c r="I89" s="1" t="s">
        <v>401</v>
      </c>
      <c r="J89" s="1" t="s">
        <v>402</v>
      </c>
      <c r="K89" s="1" t="s">
        <v>121</v>
      </c>
      <c r="L89" s="1" t="s">
        <v>403</v>
      </c>
      <c r="M89" s="1" t="s">
        <v>107</v>
      </c>
      <c r="N89" s="3">
        <v>783000000000000</v>
      </c>
      <c r="O89" s="3">
        <v>6011920000000000</v>
      </c>
      <c r="P89" s="1">
        <v>10151</v>
      </c>
      <c r="Q89" s="1">
        <v>75</v>
      </c>
      <c r="R89" s="1">
        <v>5206</v>
      </c>
      <c r="S89" s="4">
        <v>0</v>
      </c>
      <c r="T89" s="4">
        <v>2.0210648148148148E-2</v>
      </c>
      <c r="U89" s="1">
        <v>7.02</v>
      </c>
      <c r="V89" s="1" t="s">
        <v>71</v>
      </c>
      <c r="W89" s="4">
        <v>0</v>
      </c>
      <c r="X89" s="2">
        <v>42578</v>
      </c>
      <c r="Y89" s="1">
        <v>47.02</v>
      </c>
      <c r="Z89" s="1" t="s">
        <v>72</v>
      </c>
      <c r="AA89" s="1" t="s">
        <v>80</v>
      </c>
      <c r="AB89" s="1" t="s">
        <v>74</v>
      </c>
      <c r="AC89" s="1" t="s">
        <v>81</v>
      </c>
      <c r="AD89" s="1" t="s">
        <v>110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1</v>
      </c>
      <c r="AP89" s="1">
        <v>0</v>
      </c>
      <c r="AQ89" s="1">
        <v>1</v>
      </c>
      <c r="AR89" s="1">
        <v>1</v>
      </c>
      <c r="AS89" s="1">
        <v>0</v>
      </c>
      <c r="AT89" s="1">
        <v>0</v>
      </c>
      <c r="AU89" s="1">
        <v>1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f>SUM(sdata[[#This Row],[Baby Food]:[Spices]])</f>
        <v>4</v>
      </c>
      <c r="BI89"/>
    </row>
    <row r="90" spans="1:61" x14ac:dyDescent="0.3">
      <c r="A90" s="1" t="s">
        <v>396</v>
      </c>
      <c r="B90" s="1" t="s">
        <v>397</v>
      </c>
      <c r="C90" s="1" t="s">
        <v>61</v>
      </c>
      <c r="D90" s="1" t="s">
        <v>398</v>
      </c>
      <c r="E90" s="1" t="s">
        <v>399</v>
      </c>
      <c r="F90" s="1" t="s">
        <v>400</v>
      </c>
      <c r="G90" s="1" t="s">
        <v>144</v>
      </c>
      <c r="H90" s="1">
        <v>27203</v>
      </c>
      <c r="I90" s="1" t="s">
        <v>401</v>
      </c>
      <c r="J90" s="1" t="s">
        <v>402</v>
      </c>
      <c r="K90" s="1" t="s">
        <v>121</v>
      </c>
      <c r="L90" s="1" t="s">
        <v>403</v>
      </c>
      <c r="M90" s="1" t="s">
        <v>107</v>
      </c>
      <c r="N90" s="3">
        <v>783000000000000</v>
      </c>
      <c r="O90" s="3">
        <v>6011980000000000</v>
      </c>
      <c r="P90" s="1">
        <v>10151</v>
      </c>
      <c r="Q90" s="1">
        <v>75</v>
      </c>
      <c r="R90" s="1">
        <v>5252</v>
      </c>
      <c r="S90" s="4">
        <v>0</v>
      </c>
      <c r="T90" s="4">
        <v>2.0210648148148148E-2</v>
      </c>
      <c r="U90" s="1">
        <v>13.82</v>
      </c>
      <c r="V90" s="1" t="s">
        <v>122</v>
      </c>
      <c r="W90" s="4">
        <v>0</v>
      </c>
      <c r="X90" s="2">
        <v>42430</v>
      </c>
      <c r="Y90" s="1">
        <v>217.37</v>
      </c>
      <c r="Z90" s="1" t="s">
        <v>112</v>
      </c>
      <c r="AA90" s="1" t="s">
        <v>80</v>
      </c>
      <c r="AB90" s="1" t="s">
        <v>74</v>
      </c>
      <c r="AC90" s="1" t="s">
        <v>98</v>
      </c>
      <c r="AD90" s="1" t="s">
        <v>110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1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1</v>
      </c>
      <c r="AU90" s="1">
        <v>0</v>
      </c>
      <c r="AV90" s="1">
        <v>0</v>
      </c>
      <c r="AW90" s="1">
        <v>0</v>
      </c>
      <c r="AX90" s="1">
        <v>1</v>
      </c>
      <c r="AY90" s="1">
        <v>0</v>
      </c>
      <c r="AZ90" s="1">
        <v>1</v>
      </c>
      <c r="BA90" s="1">
        <v>1</v>
      </c>
      <c r="BB90" s="1">
        <v>0</v>
      </c>
      <c r="BC90" s="1">
        <v>0</v>
      </c>
      <c r="BD90" s="1">
        <v>1</v>
      </c>
      <c r="BE90" s="1">
        <v>0</v>
      </c>
      <c r="BF90" s="1">
        <v>0</v>
      </c>
      <c r="BG90" s="1">
        <v>0</v>
      </c>
      <c r="BH90" s="1">
        <f>SUM(sdata[[#This Row],[Baby Food]:[Spices]])</f>
        <v>7</v>
      </c>
      <c r="BI90"/>
    </row>
    <row r="91" spans="1:61" x14ac:dyDescent="0.3">
      <c r="A91" s="1" t="s">
        <v>396</v>
      </c>
      <c r="B91" s="1" t="s">
        <v>397</v>
      </c>
      <c r="C91" s="1" t="s">
        <v>61</v>
      </c>
      <c r="D91" s="1" t="s">
        <v>398</v>
      </c>
      <c r="E91" s="1" t="s">
        <v>399</v>
      </c>
      <c r="F91" s="1" t="s">
        <v>400</v>
      </c>
      <c r="G91" s="1" t="s">
        <v>144</v>
      </c>
      <c r="H91" s="1">
        <v>27203</v>
      </c>
      <c r="I91" s="1" t="s">
        <v>401</v>
      </c>
      <c r="J91" s="1" t="s">
        <v>402</v>
      </c>
      <c r="K91" s="1" t="s">
        <v>121</v>
      </c>
      <c r="L91" s="1" t="s">
        <v>403</v>
      </c>
      <c r="M91" s="1" t="s">
        <v>107</v>
      </c>
      <c r="N91" s="3">
        <v>783000000000000</v>
      </c>
      <c r="O91" s="3">
        <v>6011950000000000</v>
      </c>
      <c r="P91" s="1">
        <v>10151</v>
      </c>
      <c r="Q91" s="1">
        <v>75</v>
      </c>
      <c r="R91" s="1">
        <v>8270</v>
      </c>
      <c r="S91" s="4">
        <v>0</v>
      </c>
      <c r="T91" s="4">
        <v>1.649074074074074E-2</v>
      </c>
      <c r="U91" s="1">
        <v>14.28</v>
      </c>
      <c r="V91" s="1" t="s">
        <v>219</v>
      </c>
      <c r="W91" s="4">
        <v>0</v>
      </c>
      <c r="X91" s="2">
        <v>42719</v>
      </c>
      <c r="Y91" s="1">
        <v>48.8</v>
      </c>
      <c r="Z91" s="1" t="s">
        <v>72</v>
      </c>
      <c r="AA91" s="1" t="s">
        <v>80</v>
      </c>
      <c r="AB91" s="1" t="s">
        <v>74</v>
      </c>
      <c r="AC91" s="1" t="s">
        <v>81</v>
      </c>
      <c r="AD91" s="1" t="s">
        <v>110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1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f>SUM(sdata[[#This Row],[Baby Food]:[Spices]])</f>
        <v>1</v>
      </c>
      <c r="BI91"/>
    </row>
    <row r="92" spans="1:61" x14ac:dyDescent="0.3">
      <c r="A92" s="1" t="s">
        <v>404</v>
      </c>
      <c r="B92" s="1" t="s">
        <v>405</v>
      </c>
      <c r="C92" s="1" t="s">
        <v>61</v>
      </c>
      <c r="D92" s="1" t="s">
        <v>406</v>
      </c>
      <c r="E92" s="1" t="s">
        <v>407</v>
      </c>
      <c r="F92" s="1" t="s">
        <v>408</v>
      </c>
      <c r="G92" s="1" t="s">
        <v>144</v>
      </c>
      <c r="H92" s="1">
        <v>23005</v>
      </c>
      <c r="I92" s="1" t="s">
        <v>409</v>
      </c>
      <c r="J92" s="1" t="s">
        <v>410</v>
      </c>
      <c r="K92" s="1" t="s">
        <v>147</v>
      </c>
      <c r="L92" s="1" t="s">
        <v>113</v>
      </c>
      <c r="M92" s="1" t="s">
        <v>411</v>
      </c>
      <c r="N92" s="1" t="s">
        <v>412</v>
      </c>
      <c r="O92" s="3">
        <v>375518000000000</v>
      </c>
      <c r="P92" s="1">
        <v>10155</v>
      </c>
      <c r="Q92" s="1">
        <v>40</v>
      </c>
      <c r="R92" s="1">
        <v>1267</v>
      </c>
      <c r="S92" s="4">
        <v>0</v>
      </c>
      <c r="T92" s="4">
        <v>3.5241898148148147E-2</v>
      </c>
      <c r="U92" s="1">
        <v>21.97</v>
      </c>
      <c r="V92" s="1" t="s">
        <v>413</v>
      </c>
      <c r="W92" s="4">
        <v>0</v>
      </c>
      <c r="X92" s="2">
        <v>42650</v>
      </c>
      <c r="Y92" s="1">
        <v>22.38</v>
      </c>
      <c r="Z92" s="1" t="s">
        <v>72</v>
      </c>
      <c r="AA92" s="1" t="s">
        <v>73</v>
      </c>
      <c r="AB92" s="1" t="s">
        <v>109</v>
      </c>
      <c r="AC92" s="1" t="s">
        <v>81</v>
      </c>
      <c r="AD92" s="1" t="s">
        <v>76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1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f>SUM(sdata[[#This Row],[Baby Food]:[Spices]])</f>
        <v>1</v>
      </c>
      <c r="BI92"/>
    </row>
    <row r="93" spans="1:61" x14ac:dyDescent="0.3">
      <c r="A93" s="1" t="s">
        <v>404</v>
      </c>
      <c r="B93" s="1" t="s">
        <v>405</v>
      </c>
      <c r="C93" s="1" t="s">
        <v>61</v>
      </c>
      <c r="D93" s="1" t="s">
        <v>406</v>
      </c>
      <c r="E93" s="1" t="s">
        <v>407</v>
      </c>
      <c r="F93" s="1" t="s">
        <v>408</v>
      </c>
      <c r="G93" s="1" t="s">
        <v>144</v>
      </c>
      <c r="H93" s="1">
        <v>23005</v>
      </c>
      <c r="I93" s="1" t="s">
        <v>409</v>
      </c>
      <c r="J93" s="1" t="s">
        <v>410</v>
      </c>
      <c r="K93" s="1" t="s">
        <v>147</v>
      </c>
      <c r="L93" s="1" t="s">
        <v>113</v>
      </c>
      <c r="M93" s="1" t="s">
        <v>411</v>
      </c>
      <c r="N93" s="1" t="s">
        <v>412</v>
      </c>
      <c r="O93" s="3">
        <v>343184000000000</v>
      </c>
      <c r="P93" s="1">
        <v>10155</v>
      </c>
      <c r="Q93" s="1">
        <v>40</v>
      </c>
      <c r="R93" s="1">
        <v>2983</v>
      </c>
      <c r="S93" s="4">
        <v>0</v>
      </c>
      <c r="T93" s="4">
        <v>1.9386574074074073E-2</v>
      </c>
      <c r="U93" s="1">
        <v>28.55</v>
      </c>
      <c r="V93" s="1" t="s">
        <v>258</v>
      </c>
      <c r="W93" s="4">
        <v>0</v>
      </c>
      <c r="X93" s="2">
        <v>42651</v>
      </c>
      <c r="Y93" s="1">
        <v>17.02</v>
      </c>
      <c r="Z93" s="1" t="s">
        <v>72</v>
      </c>
      <c r="AA93" s="1" t="s">
        <v>73</v>
      </c>
      <c r="AB93" s="1" t="s">
        <v>109</v>
      </c>
      <c r="AC93" s="1" t="s">
        <v>81</v>
      </c>
      <c r="AD93" s="1" t="s">
        <v>76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1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f>SUM(sdata[[#This Row],[Baby Food]:[Spices]])</f>
        <v>2</v>
      </c>
      <c r="BI93"/>
    </row>
    <row r="94" spans="1:61" x14ac:dyDescent="0.3">
      <c r="A94" s="1" t="s">
        <v>404</v>
      </c>
      <c r="B94" s="1" t="s">
        <v>405</v>
      </c>
      <c r="C94" s="1" t="s">
        <v>61</v>
      </c>
      <c r="D94" s="1" t="s">
        <v>406</v>
      </c>
      <c r="E94" s="1" t="s">
        <v>407</v>
      </c>
      <c r="F94" s="1" t="s">
        <v>408</v>
      </c>
      <c r="G94" s="1" t="s">
        <v>144</v>
      </c>
      <c r="H94" s="1">
        <v>23005</v>
      </c>
      <c r="I94" s="1" t="s">
        <v>409</v>
      </c>
      <c r="J94" s="1" t="s">
        <v>410</v>
      </c>
      <c r="K94" s="1" t="s">
        <v>147</v>
      </c>
      <c r="L94" s="1" t="s">
        <v>113</v>
      </c>
      <c r="M94" s="1" t="s">
        <v>411</v>
      </c>
      <c r="N94" s="1" t="s">
        <v>412</v>
      </c>
      <c r="O94" s="3">
        <v>376169000000000</v>
      </c>
      <c r="P94" s="1">
        <v>10155</v>
      </c>
      <c r="Q94" s="1">
        <v>40</v>
      </c>
      <c r="R94" s="1">
        <v>5455</v>
      </c>
      <c r="S94" s="4">
        <v>0</v>
      </c>
      <c r="T94" s="4">
        <v>1.2090277777777778E-2</v>
      </c>
      <c r="U94" s="1">
        <v>23.37</v>
      </c>
      <c r="V94" s="1" t="s">
        <v>114</v>
      </c>
      <c r="W94" s="4">
        <v>0</v>
      </c>
      <c r="X94" s="2">
        <v>42602</v>
      </c>
      <c r="Y94" s="1">
        <v>19.350000000000001</v>
      </c>
      <c r="Z94" s="1" t="s">
        <v>72</v>
      </c>
      <c r="AA94" s="1" t="s">
        <v>73</v>
      </c>
      <c r="AB94" s="1" t="s">
        <v>109</v>
      </c>
      <c r="AC94" s="1" t="s">
        <v>81</v>
      </c>
      <c r="AD94" s="1" t="s">
        <v>76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1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1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1</v>
      </c>
      <c r="BF94" s="1">
        <v>0</v>
      </c>
      <c r="BG94" s="1">
        <v>0</v>
      </c>
      <c r="BH94" s="1">
        <f>SUM(sdata[[#This Row],[Baby Food]:[Spices]])</f>
        <v>3</v>
      </c>
      <c r="BI94"/>
    </row>
    <row r="95" spans="1:61" x14ac:dyDescent="0.3">
      <c r="A95" s="1" t="s">
        <v>404</v>
      </c>
      <c r="B95" s="1" t="s">
        <v>405</v>
      </c>
      <c r="C95" s="1" t="s">
        <v>61</v>
      </c>
      <c r="D95" s="1" t="s">
        <v>406</v>
      </c>
      <c r="E95" s="1" t="s">
        <v>407</v>
      </c>
      <c r="F95" s="1" t="s">
        <v>408</v>
      </c>
      <c r="G95" s="1" t="s">
        <v>144</v>
      </c>
      <c r="H95" s="1">
        <v>23005</v>
      </c>
      <c r="I95" s="1" t="s">
        <v>409</v>
      </c>
      <c r="J95" s="1" t="s">
        <v>410</v>
      </c>
      <c r="K95" s="1" t="s">
        <v>147</v>
      </c>
      <c r="L95" s="1" t="s">
        <v>113</v>
      </c>
      <c r="M95" s="1" t="s">
        <v>411</v>
      </c>
      <c r="N95" s="1" t="s">
        <v>412</v>
      </c>
      <c r="O95" s="3">
        <v>344975000000000</v>
      </c>
      <c r="P95" s="1">
        <v>10155</v>
      </c>
      <c r="Q95" s="1">
        <v>40</v>
      </c>
      <c r="R95" s="1">
        <v>8471</v>
      </c>
      <c r="S95" s="4">
        <v>0</v>
      </c>
      <c r="T95" s="4">
        <v>3.3247685185185186E-2</v>
      </c>
      <c r="U95" s="1">
        <v>21.97</v>
      </c>
      <c r="V95" s="1" t="s">
        <v>208</v>
      </c>
      <c r="W95" s="4">
        <v>0</v>
      </c>
      <c r="X95" s="2">
        <v>42485</v>
      </c>
      <c r="Y95" s="1">
        <v>30.45</v>
      </c>
      <c r="Z95" s="1" t="s">
        <v>78</v>
      </c>
      <c r="AA95" s="1" t="s">
        <v>73</v>
      </c>
      <c r="AB95" s="1" t="s">
        <v>109</v>
      </c>
      <c r="AC95" s="1" t="s">
        <v>81</v>
      </c>
      <c r="AD95" s="1" t="s">
        <v>76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1</v>
      </c>
      <c r="AP95" s="1">
        <v>0</v>
      </c>
      <c r="AQ95" s="1">
        <v>1</v>
      </c>
      <c r="AR95" s="1">
        <v>0</v>
      </c>
      <c r="AS95" s="1">
        <v>0</v>
      </c>
      <c r="AT95" s="1">
        <v>0</v>
      </c>
      <c r="AU95" s="1">
        <v>1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f>SUM(sdata[[#This Row],[Baby Food]:[Spices]])</f>
        <v>3</v>
      </c>
      <c r="BI95"/>
    </row>
    <row r="96" spans="1:61" x14ac:dyDescent="0.3">
      <c r="A96" s="1" t="s">
        <v>270</v>
      </c>
      <c r="B96" s="1" t="s">
        <v>271</v>
      </c>
      <c r="C96" s="1" t="s">
        <v>272</v>
      </c>
      <c r="D96" s="1" t="s">
        <v>273</v>
      </c>
      <c r="E96" s="1" t="s">
        <v>274</v>
      </c>
      <c r="F96" s="1" t="s">
        <v>275</v>
      </c>
      <c r="G96" s="1" t="s">
        <v>144</v>
      </c>
      <c r="H96" s="1">
        <v>79109</v>
      </c>
      <c r="I96" s="1" t="s">
        <v>276</v>
      </c>
      <c r="J96" s="1" t="s">
        <v>277</v>
      </c>
      <c r="K96" s="1" t="s">
        <v>147</v>
      </c>
      <c r="L96" s="1" t="s">
        <v>278</v>
      </c>
      <c r="M96" s="1" t="s">
        <v>65</v>
      </c>
      <c r="N96" s="1" t="s">
        <v>279</v>
      </c>
      <c r="O96" s="3">
        <v>374897000000000</v>
      </c>
      <c r="P96" s="1">
        <v>10091</v>
      </c>
      <c r="Q96" s="1">
        <v>40</v>
      </c>
      <c r="R96" s="1">
        <v>6717</v>
      </c>
      <c r="S96" s="4">
        <v>0</v>
      </c>
      <c r="T96" s="4">
        <v>9.6597222222222223E-3</v>
      </c>
      <c r="U96" s="1">
        <v>13.25</v>
      </c>
      <c r="V96" s="1" t="s">
        <v>280</v>
      </c>
      <c r="W96" s="4">
        <v>0</v>
      </c>
      <c r="X96" s="2">
        <v>42554</v>
      </c>
      <c r="Y96" s="1">
        <v>5.2</v>
      </c>
      <c r="Z96" s="1" t="s">
        <v>72</v>
      </c>
      <c r="AA96" s="1" t="s">
        <v>73</v>
      </c>
      <c r="AB96" s="1" t="s">
        <v>109</v>
      </c>
      <c r="AC96" s="1" t="s">
        <v>81</v>
      </c>
      <c r="AD96" s="1" t="s">
        <v>76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1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1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1</v>
      </c>
      <c r="BF96" s="1">
        <v>0</v>
      </c>
      <c r="BG96" s="1">
        <v>0</v>
      </c>
      <c r="BH96" s="1">
        <f>SUM(sdata[[#This Row],[Baby Food]:[Spices]])</f>
        <v>3</v>
      </c>
      <c r="BI96"/>
    </row>
    <row r="97" spans="1:61" x14ac:dyDescent="0.3">
      <c r="A97" s="1" t="s">
        <v>270</v>
      </c>
      <c r="B97" s="1" t="s">
        <v>271</v>
      </c>
      <c r="C97" s="1" t="s">
        <v>272</v>
      </c>
      <c r="D97" s="1" t="s">
        <v>273</v>
      </c>
      <c r="E97" s="1" t="s">
        <v>274</v>
      </c>
      <c r="F97" s="1" t="s">
        <v>275</v>
      </c>
      <c r="G97" s="1" t="s">
        <v>144</v>
      </c>
      <c r="H97" s="1">
        <v>79109</v>
      </c>
      <c r="I97" s="1" t="s">
        <v>276</v>
      </c>
      <c r="J97" s="1" t="s">
        <v>277</v>
      </c>
      <c r="K97" s="1" t="s">
        <v>147</v>
      </c>
      <c r="L97" s="1" t="s">
        <v>278</v>
      </c>
      <c r="M97" s="1" t="s">
        <v>65</v>
      </c>
      <c r="N97" s="1" t="s">
        <v>279</v>
      </c>
      <c r="O97" s="3">
        <v>341829000000000</v>
      </c>
      <c r="P97" s="1">
        <v>10091</v>
      </c>
      <c r="Q97" s="1">
        <v>40</v>
      </c>
      <c r="R97" s="1">
        <v>7265</v>
      </c>
      <c r="S97" s="4">
        <v>0</v>
      </c>
      <c r="T97" s="4">
        <v>5.3171296296296291E-3</v>
      </c>
      <c r="U97" s="1">
        <v>7.45</v>
      </c>
      <c r="V97" s="1" t="s">
        <v>281</v>
      </c>
      <c r="W97" s="4">
        <v>0</v>
      </c>
      <c r="X97" s="2">
        <v>42704</v>
      </c>
      <c r="Y97" s="1">
        <v>35.159999999999997</v>
      </c>
      <c r="Z97" s="1" t="s">
        <v>126</v>
      </c>
      <c r="AA97" s="1" t="s">
        <v>73</v>
      </c>
      <c r="AB97" s="1" t="s">
        <v>109</v>
      </c>
      <c r="AC97" s="1" t="s">
        <v>81</v>
      </c>
      <c r="AD97" s="1" t="s">
        <v>76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1</v>
      </c>
      <c r="AP97" s="1">
        <v>0</v>
      </c>
      <c r="AQ97" s="1">
        <v>1</v>
      </c>
      <c r="AR97" s="1">
        <v>0</v>
      </c>
      <c r="AS97" s="1">
        <v>0</v>
      </c>
      <c r="AT97" s="1">
        <v>0</v>
      </c>
      <c r="AU97" s="1">
        <v>1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f>SUM(sdata[[#This Row],[Baby Food]:[Spices]])</f>
        <v>3</v>
      </c>
      <c r="BI97"/>
    </row>
    <row r="98" spans="1:61" x14ac:dyDescent="0.3">
      <c r="A98" s="1" t="s">
        <v>282</v>
      </c>
      <c r="B98" s="1" t="s">
        <v>283</v>
      </c>
      <c r="C98" s="1" t="s">
        <v>154</v>
      </c>
      <c r="D98" s="1" t="s">
        <v>284</v>
      </c>
      <c r="E98" s="1" t="s">
        <v>285</v>
      </c>
      <c r="F98" s="1" t="s">
        <v>254</v>
      </c>
      <c r="G98" s="1" t="s">
        <v>144</v>
      </c>
      <c r="H98" s="1">
        <v>92805</v>
      </c>
      <c r="I98" s="1" t="s">
        <v>286</v>
      </c>
      <c r="J98" s="1" t="s">
        <v>287</v>
      </c>
      <c r="K98" s="1" t="s">
        <v>205</v>
      </c>
      <c r="L98" s="1" t="s">
        <v>227</v>
      </c>
      <c r="M98" s="1" t="s">
        <v>107</v>
      </c>
      <c r="N98" s="3">
        <v>700000000000000</v>
      </c>
      <c r="O98" s="3">
        <v>36980300000000</v>
      </c>
      <c r="P98" s="1">
        <v>10095</v>
      </c>
      <c r="Q98" s="1" t="s">
        <v>288</v>
      </c>
      <c r="R98" s="1">
        <v>2162</v>
      </c>
      <c r="S98" s="4">
        <v>0</v>
      </c>
      <c r="T98" s="4">
        <v>3.0493055555555551E-2</v>
      </c>
      <c r="U98" s="1">
        <v>8.99</v>
      </c>
      <c r="V98" s="1" t="s">
        <v>111</v>
      </c>
      <c r="W98" s="4">
        <v>0</v>
      </c>
      <c r="X98" s="2">
        <v>42427</v>
      </c>
      <c r="Y98" s="1">
        <v>35.36</v>
      </c>
      <c r="Z98" s="1" t="s">
        <v>112</v>
      </c>
      <c r="AA98" s="1" t="s">
        <v>73</v>
      </c>
      <c r="AB98" s="1" t="s">
        <v>74</v>
      </c>
      <c r="AC98" s="1" t="s">
        <v>81</v>
      </c>
      <c r="AD98" s="1" t="s">
        <v>99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1</v>
      </c>
      <c r="AP98" s="1">
        <v>0</v>
      </c>
      <c r="AQ98" s="1">
        <v>1</v>
      </c>
      <c r="AR98" s="1">
        <v>1</v>
      </c>
      <c r="AS98" s="1">
        <v>0</v>
      </c>
      <c r="AT98" s="1">
        <v>0</v>
      </c>
      <c r="AU98" s="1">
        <v>1</v>
      </c>
      <c r="AV98" s="1">
        <v>0</v>
      </c>
      <c r="AW98" s="1">
        <v>0</v>
      </c>
      <c r="AX98" s="1">
        <v>0</v>
      </c>
      <c r="AY98" s="1">
        <v>1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f>SUM(sdata[[#This Row],[Baby Food]:[Spices]])</f>
        <v>5</v>
      </c>
      <c r="BI98"/>
    </row>
    <row r="99" spans="1:61" x14ac:dyDescent="0.3">
      <c r="A99" s="1" t="s">
        <v>282</v>
      </c>
      <c r="B99" s="1" t="s">
        <v>283</v>
      </c>
      <c r="C99" s="1" t="s">
        <v>154</v>
      </c>
      <c r="D99" s="1" t="s">
        <v>284</v>
      </c>
      <c r="E99" s="1" t="s">
        <v>285</v>
      </c>
      <c r="F99" s="1" t="s">
        <v>254</v>
      </c>
      <c r="G99" s="1" t="s">
        <v>144</v>
      </c>
      <c r="H99" s="1">
        <v>92805</v>
      </c>
      <c r="I99" s="1" t="s">
        <v>286</v>
      </c>
      <c r="J99" s="1" t="s">
        <v>287</v>
      </c>
      <c r="K99" s="1" t="s">
        <v>205</v>
      </c>
      <c r="L99" s="1" t="s">
        <v>227</v>
      </c>
      <c r="M99" s="1" t="s">
        <v>107</v>
      </c>
      <c r="N99" s="3">
        <v>700000000000000</v>
      </c>
      <c r="O99" s="3">
        <v>36944300000000</v>
      </c>
      <c r="P99" s="1">
        <v>10095</v>
      </c>
      <c r="Q99" s="1" t="s">
        <v>288</v>
      </c>
      <c r="R99" s="1">
        <v>3305</v>
      </c>
      <c r="S99" s="4">
        <v>0</v>
      </c>
      <c r="T99" s="4">
        <v>1.9393518518518518E-2</v>
      </c>
      <c r="U99" s="1">
        <v>33.99</v>
      </c>
      <c r="V99" s="1" t="s">
        <v>289</v>
      </c>
      <c r="W99" s="4">
        <v>0</v>
      </c>
      <c r="X99" s="2">
        <v>42649</v>
      </c>
      <c r="Y99" s="1">
        <v>24.92</v>
      </c>
      <c r="Z99" s="1" t="s">
        <v>72</v>
      </c>
      <c r="AA99" s="1" t="s">
        <v>73</v>
      </c>
      <c r="AB99" s="1" t="s">
        <v>74</v>
      </c>
      <c r="AC99" s="1" t="s">
        <v>81</v>
      </c>
      <c r="AD99" s="1" t="s">
        <v>99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f>SUM(sdata[[#This Row],[Baby Food]:[Spices]])</f>
        <v>1</v>
      </c>
      <c r="BI99"/>
    </row>
    <row r="100" spans="1:61" x14ac:dyDescent="0.3">
      <c r="A100" s="1" t="s">
        <v>282</v>
      </c>
      <c r="B100" s="1" t="s">
        <v>283</v>
      </c>
      <c r="C100" s="1" t="s">
        <v>154</v>
      </c>
      <c r="D100" s="1" t="s">
        <v>284</v>
      </c>
      <c r="E100" s="1" t="s">
        <v>285</v>
      </c>
      <c r="F100" s="1" t="s">
        <v>254</v>
      </c>
      <c r="G100" s="1" t="s">
        <v>144</v>
      </c>
      <c r="H100" s="1">
        <v>92805</v>
      </c>
      <c r="I100" s="1" t="s">
        <v>286</v>
      </c>
      <c r="J100" s="1" t="s">
        <v>287</v>
      </c>
      <c r="K100" s="1" t="s">
        <v>205</v>
      </c>
      <c r="L100" s="1" t="s">
        <v>227</v>
      </c>
      <c r="M100" s="1" t="s">
        <v>107</v>
      </c>
      <c r="N100" s="3">
        <v>700000000000000</v>
      </c>
      <c r="O100" s="3">
        <v>36624200000000</v>
      </c>
      <c r="P100" s="1">
        <v>10095</v>
      </c>
      <c r="Q100" s="1" t="s">
        <v>288</v>
      </c>
      <c r="R100" s="1">
        <v>3967</v>
      </c>
      <c r="S100" s="4">
        <v>0</v>
      </c>
      <c r="T100" s="4">
        <v>3.0493055555555551E-2</v>
      </c>
      <c r="U100" s="1">
        <v>11.88</v>
      </c>
      <c r="V100" s="1" t="s">
        <v>290</v>
      </c>
      <c r="W100" s="4">
        <v>0</v>
      </c>
      <c r="X100" s="2">
        <v>42716</v>
      </c>
      <c r="Y100" s="1">
        <v>281.82</v>
      </c>
      <c r="Z100" s="1" t="s">
        <v>72</v>
      </c>
      <c r="AA100" s="1" t="s">
        <v>73</v>
      </c>
      <c r="AB100" s="1" t="s">
        <v>74</v>
      </c>
      <c r="AC100" s="1" t="s">
        <v>98</v>
      </c>
      <c r="AD100" s="1" t="s">
        <v>99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1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1</v>
      </c>
      <c r="AW100" s="1">
        <v>1</v>
      </c>
      <c r="AX100" s="1">
        <v>0</v>
      </c>
      <c r="AY100" s="1">
        <v>0</v>
      </c>
      <c r="AZ100" s="1">
        <v>1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</v>
      </c>
      <c r="BG100" s="1">
        <v>0</v>
      </c>
      <c r="BH100" s="1">
        <f>SUM(sdata[[#This Row],[Baby Food]:[Spices]])</f>
        <v>5</v>
      </c>
      <c r="BI100"/>
    </row>
    <row r="101" spans="1:61" x14ac:dyDescent="0.3">
      <c r="A101" s="1" t="s">
        <v>404</v>
      </c>
      <c r="B101" s="1" t="s">
        <v>405</v>
      </c>
      <c r="C101" s="1" t="s">
        <v>61</v>
      </c>
      <c r="D101" s="1" t="s">
        <v>414</v>
      </c>
      <c r="E101" s="1" t="s">
        <v>407</v>
      </c>
      <c r="F101" s="1" t="s">
        <v>408</v>
      </c>
      <c r="G101" s="1" t="s">
        <v>144</v>
      </c>
      <c r="H101" s="1">
        <v>23005</v>
      </c>
      <c r="I101" s="1" t="s">
        <v>409</v>
      </c>
      <c r="J101" s="1" t="s">
        <v>410</v>
      </c>
      <c r="K101" s="1" t="s">
        <v>147</v>
      </c>
      <c r="L101" s="1" t="s">
        <v>113</v>
      </c>
      <c r="M101" s="1" t="s">
        <v>411</v>
      </c>
      <c r="N101" s="1" t="s">
        <v>412</v>
      </c>
      <c r="O101" s="3">
        <v>349153000000000</v>
      </c>
      <c r="P101" s="1">
        <v>10155</v>
      </c>
      <c r="Q101" s="1">
        <v>40</v>
      </c>
      <c r="R101" s="1">
        <v>8974</v>
      </c>
      <c r="S101" s="4">
        <v>0</v>
      </c>
      <c r="T101" s="4">
        <v>2.2810185185185183E-2</v>
      </c>
      <c r="U101" s="1">
        <v>17.600000000000001</v>
      </c>
      <c r="V101" s="1" t="s">
        <v>150</v>
      </c>
      <c r="W101" s="4">
        <v>0</v>
      </c>
      <c r="X101" s="2">
        <v>42384</v>
      </c>
      <c r="Y101" s="1">
        <v>40.619999999999997</v>
      </c>
      <c r="Z101" s="1" t="s">
        <v>72</v>
      </c>
      <c r="AA101" s="1" t="s">
        <v>73</v>
      </c>
      <c r="AB101" s="1" t="s">
        <v>109</v>
      </c>
      <c r="AC101" s="1" t="s">
        <v>81</v>
      </c>
      <c r="AD101" s="1" t="s">
        <v>76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f>SUM(sdata[[#This Row],[Baby Food]:[Spices]])</f>
        <v>1</v>
      </c>
      <c r="BI101"/>
    </row>
    <row r="102" spans="1:61" x14ac:dyDescent="0.3">
      <c r="A102" s="1" t="s">
        <v>415</v>
      </c>
      <c r="B102" s="1" t="s">
        <v>416</v>
      </c>
      <c r="C102" s="1" t="s">
        <v>154</v>
      </c>
      <c r="D102" s="1" t="s">
        <v>417</v>
      </c>
      <c r="E102" s="1" t="s">
        <v>418</v>
      </c>
      <c r="F102" s="1" t="s">
        <v>364</v>
      </c>
      <c r="G102" s="1" t="s">
        <v>303</v>
      </c>
      <c r="H102" s="1">
        <v>2077</v>
      </c>
      <c r="I102" s="1" t="s">
        <v>419</v>
      </c>
      <c r="J102" s="1" t="s">
        <v>420</v>
      </c>
      <c r="K102" s="1" t="s">
        <v>147</v>
      </c>
      <c r="L102" s="1" t="s">
        <v>367</v>
      </c>
      <c r="M102" s="1" t="s">
        <v>118</v>
      </c>
      <c r="N102" s="1" t="s">
        <v>421</v>
      </c>
      <c r="O102" s="3">
        <v>340547000000000</v>
      </c>
      <c r="P102" s="1">
        <v>10159</v>
      </c>
      <c r="Q102" s="1">
        <v>53</v>
      </c>
      <c r="R102" s="1">
        <v>601</v>
      </c>
      <c r="S102" s="4">
        <v>0</v>
      </c>
      <c r="T102" s="4">
        <v>3.0747685185185183E-2</v>
      </c>
      <c r="U102" s="1">
        <v>33.85</v>
      </c>
      <c r="V102" s="1" t="s">
        <v>194</v>
      </c>
      <c r="W102" s="4">
        <v>0</v>
      </c>
      <c r="X102" s="2">
        <v>42724</v>
      </c>
      <c r="Y102" s="1">
        <v>28.95</v>
      </c>
      <c r="Z102" s="1" t="s">
        <v>72</v>
      </c>
      <c r="AA102" s="1" t="s">
        <v>73</v>
      </c>
      <c r="AB102" s="1" t="s">
        <v>109</v>
      </c>
      <c r="AC102" s="1" t="s">
        <v>81</v>
      </c>
      <c r="AD102" s="1" t="s">
        <v>110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1</v>
      </c>
      <c r="AP102" s="1">
        <v>0</v>
      </c>
      <c r="AQ102" s="1">
        <v>1</v>
      </c>
      <c r="AR102" s="1">
        <v>1</v>
      </c>
      <c r="AS102" s="1">
        <v>0</v>
      </c>
      <c r="AT102" s="1">
        <v>0</v>
      </c>
      <c r="AU102" s="1">
        <v>1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f>SUM(sdata[[#This Row],[Baby Food]:[Spices]])</f>
        <v>4</v>
      </c>
      <c r="BI102"/>
    </row>
    <row r="103" spans="1:61" x14ac:dyDescent="0.3">
      <c r="A103" s="1" t="s">
        <v>415</v>
      </c>
      <c r="B103" s="1" t="s">
        <v>416</v>
      </c>
      <c r="C103" s="1" t="s">
        <v>154</v>
      </c>
      <c r="D103" s="1" t="s">
        <v>417</v>
      </c>
      <c r="E103" s="1" t="s">
        <v>418</v>
      </c>
      <c r="F103" s="1" t="s">
        <v>364</v>
      </c>
      <c r="G103" s="1" t="s">
        <v>303</v>
      </c>
      <c r="H103" s="1">
        <v>2077</v>
      </c>
      <c r="I103" s="1" t="s">
        <v>419</v>
      </c>
      <c r="J103" s="1" t="s">
        <v>420</v>
      </c>
      <c r="K103" s="1" t="s">
        <v>147</v>
      </c>
      <c r="L103" s="1" t="s">
        <v>367</v>
      </c>
      <c r="M103" s="1" t="s">
        <v>118</v>
      </c>
      <c r="N103" s="1" t="s">
        <v>421</v>
      </c>
      <c r="O103" s="3">
        <v>375976000000000</v>
      </c>
      <c r="P103" s="1">
        <v>10159</v>
      </c>
      <c r="Q103" s="1">
        <v>53</v>
      </c>
      <c r="R103" s="1">
        <v>810</v>
      </c>
      <c r="S103" s="4">
        <v>0</v>
      </c>
      <c r="T103" s="4">
        <v>7.9432870370370369E-3</v>
      </c>
      <c r="U103" s="1">
        <v>7.02</v>
      </c>
      <c r="V103" s="1" t="s">
        <v>69</v>
      </c>
      <c r="W103" s="4">
        <v>0</v>
      </c>
      <c r="X103" s="2">
        <v>42541</v>
      </c>
      <c r="Y103" s="1">
        <v>7.89</v>
      </c>
      <c r="Z103" s="1" t="s">
        <v>72</v>
      </c>
      <c r="AA103" s="1" t="s">
        <v>73</v>
      </c>
      <c r="AB103" s="1" t="s">
        <v>109</v>
      </c>
      <c r="AC103" s="1" t="s">
        <v>81</v>
      </c>
      <c r="AD103" s="1" t="s">
        <v>110</v>
      </c>
      <c r="AE103" s="1">
        <v>1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f>SUM(sdata[[#This Row],[Baby Food]:[Spices]])</f>
        <v>1</v>
      </c>
      <c r="BI103"/>
    </row>
    <row r="104" spans="1:61" x14ac:dyDescent="0.3">
      <c r="A104" s="1" t="s">
        <v>415</v>
      </c>
      <c r="B104" s="1" t="s">
        <v>416</v>
      </c>
      <c r="C104" s="1" t="s">
        <v>154</v>
      </c>
      <c r="D104" s="1" t="s">
        <v>417</v>
      </c>
      <c r="E104" s="1" t="s">
        <v>418</v>
      </c>
      <c r="F104" s="1" t="s">
        <v>364</v>
      </c>
      <c r="G104" s="1" t="s">
        <v>303</v>
      </c>
      <c r="H104" s="1">
        <v>2077</v>
      </c>
      <c r="I104" s="1" t="s">
        <v>419</v>
      </c>
      <c r="J104" s="1" t="s">
        <v>420</v>
      </c>
      <c r="K104" s="1" t="s">
        <v>147</v>
      </c>
      <c r="L104" s="1" t="s">
        <v>367</v>
      </c>
      <c r="M104" s="1" t="s">
        <v>118</v>
      </c>
      <c r="N104" s="1" t="s">
        <v>421</v>
      </c>
      <c r="O104" s="3">
        <v>345604000000000</v>
      </c>
      <c r="P104" s="1">
        <v>10159</v>
      </c>
      <c r="Q104" s="1">
        <v>53</v>
      </c>
      <c r="R104" s="1">
        <v>3072</v>
      </c>
      <c r="S104" s="4">
        <v>0</v>
      </c>
      <c r="T104" s="4">
        <v>3.0495370370370371E-2</v>
      </c>
      <c r="U104" s="1">
        <v>11.45</v>
      </c>
      <c r="V104" s="1" t="s">
        <v>422</v>
      </c>
      <c r="W104" s="4">
        <v>0</v>
      </c>
      <c r="X104" s="2">
        <v>42716</v>
      </c>
      <c r="Y104" s="1">
        <v>45.27</v>
      </c>
      <c r="Z104" s="1" t="s">
        <v>72</v>
      </c>
      <c r="AA104" s="1" t="s">
        <v>73</v>
      </c>
      <c r="AB104" s="1" t="s">
        <v>109</v>
      </c>
      <c r="AC104" s="1" t="s">
        <v>81</v>
      </c>
      <c r="AD104" s="1" t="s">
        <v>110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1</v>
      </c>
      <c r="AP104" s="1">
        <v>0</v>
      </c>
      <c r="AQ104" s="1">
        <v>1</v>
      </c>
      <c r="AR104" s="1">
        <v>1</v>
      </c>
      <c r="AS104" s="1">
        <v>0</v>
      </c>
      <c r="AT104" s="1">
        <v>0</v>
      </c>
      <c r="AU104" s="1">
        <v>1</v>
      </c>
      <c r="AV104" s="1">
        <v>0</v>
      </c>
      <c r="AW104" s="1">
        <v>0</v>
      </c>
      <c r="AX104" s="1">
        <v>0</v>
      </c>
      <c r="AY104" s="1">
        <v>1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f>SUM(sdata[[#This Row],[Baby Food]:[Spices]])</f>
        <v>5</v>
      </c>
      <c r="BI104"/>
    </row>
    <row r="105" spans="1:61" x14ac:dyDescent="0.3">
      <c r="A105" s="1" t="s">
        <v>415</v>
      </c>
      <c r="B105" s="1" t="s">
        <v>416</v>
      </c>
      <c r="C105" s="1" t="s">
        <v>154</v>
      </c>
      <c r="D105" s="1" t="s">
        <v>417</v>
      </c>
      <c r="E105" s="1" t="s">
        <v>418</v>
      </c>
      <c r="F105" s="1" t="s">
        <v>364</v>
      </c>
      <c r="G105" s="1" t="s">
        <v>303</v>
      </c>
      <c r="H105" s="1">
        <v>2077</v>
      </c>
      <c r="I105" s="1" t="s">
        <v>419</v>
      </c>
      <c r="J105" s="1" t="s">
        <v>420</v>
      </c>
      <c r="K105" s="1" t="s">
        <v>147</v>
      </c>
      <c r="L105" s="1" t="s">
        <v>367</v>
      </c>
      <c r="M105" s="1" t="s">
        <v>118</v>
      </c>
      <c r="N105" s="1" t="s">
        <v>421</v>
      </c>
      <c r="O105" s="3">
        <v>346804000000000</v>
      </c>
      <c r="P105" s="1">
        <v>10159</v>
      </c>
      <c r="Q105" s="1">
        <v>53</v>
      </c>
      <c r="R105" s="1">
        <v>4170</v>
      </c>
      <c r="S105" s="4">
        <v>0</v>
      </c>
      <c r="T105" s="4">
        <v>5.3171296296296291E-3</v>
      </c>
      <c r="U105" s="1">
        <v>16.850000000000001</v>
      </c>
      <c r="V105" s="1" t="s">
        <v>138</v>
      </c>
      <c r="W105" s="4">
        <v>0</v>
      </c>
      <c r="X105" s="2">
        <v>42688</v>
      </c>
      <c r="Y105" s="1">
        <v>8.4600000000000009</v>
      </c>
      <c r="Z105" s="1" t="s">
        <v>112</v>
      </c>
      <c r="AA105" s="1" t="s">
        <v>73</v>
      </c>
      <c r="AB105" s="1" t="s">
        <v>109</v>
      </c>
      <c r="AC105" s="1" t="s">
        <v>81</v>
      </c>
      <c r="AD105" s="1" t="s">
        <v>110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f>SUM(sdata[[#This Row],[Baby Food]:[Spices]])</f>
        <v>1</v>
      </c>
      <c r="BI105"/>
    </row>
    <row r="106" spans="1:61" x14ac:dyDescent="0.3">
      <c r="A106" s="1" t="s">
        <v>415</v>
      </c>
      <c r="B106" s="1" t="s">
        <v>416</v>
      </c>
      <c r="C106" s="1" t="s">
        <v>154</v>
      </c>
      <c r="D106" s="1" t="s">
        <v>417</v>
      </c>
      <c r="E106" s="1" t="s">
        <v>418</v>
      </c>
      <c r="F106" s="1" t="s">
        <v>364</v>
      </c>
      <c r="G106" s="1" t="s">
        <v>303</v>
      </c>
      <c r="H106" s="1">
        <v>2077</v>
      </c>
      <c r="I106" s="1" t="s">
        <v>419</v>
      </c>
      <c r="J106" s="1" t="s">
        <v>420</v>
      </c>
      <c r="K106" s="1" t="s">
        <v>147</v>
      </c>
      <c r="L106" s="1" t="s">
        <v>367</v>
      </c>
      <c r="M106" s="1" t="s">
        <v>118</v>
      </c>
      <c r="N106" s="1" t="s">
        <v>421</v>
      </c>
      <c r="O106" s="3">
        <v>340467000000000</v>
      </c>
      <c r="P106" s="1">
        <v>10159</v>
      </c>
      <c r="Q106" s="1">
        <v>53</v>
      </c>
      <c r="R106" s="1">
        <v>7795</v>
      </c>
      <c r="S106" s="4">
        <v>0</v>
      </c>
      <c r="T106" s="4">
        <v>7.9432870370370369E-3</v>
      </c>
      <c r="U106" s="1">
        <v>16.329999999999998</v>
      </c>
      <c r="V106" s="1" t="s">
        <v>423</v>
      </c>
      <c r="W106" s="4">
        <v>0</v>
      </c>
      <c r="X106" s="2">
        <v>42541</v>
      </c>
      <c r="Y106" s="1">
        <v>800.9</v>
      </c>
      <c r="Z106" s="1" t="s">
        <v>72</v>
      </c>
      <c r="AA106" s="1" t="s">
        <v>73</v>
      </c>
      <c r="AB106" s="1" t="s">
        <v>109</v>
      </c>
      <c r="AC106" s="1" t="s">
        <v>81</v>
      </c>
      <c r="AD106" s="1" t="s">
        <v>110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1</v>
      </c>
      <c r="AP106" s="1">
        <v>0</v>
      </c>
      <c r="AQ106" s="1">
        <v>1</v>
      </c>
      <c r="AR106" s="1">
        <v>1</v>
      </c>
      <c r="AS106" s="1">
        <v>0</v>
      </c>
      <c r="AT106" s="1">
        <v>0</v>
      </c>
      <c r="AU106" s="1">
        <v>1</v>
      </c>
      <c r="AV106" s="1">
        <v>0</v>
      </c>
      <c r="AW106" s="1">
        <v>0</v>
      </c>
      <c r="AX106" s="1">
        <v>0</v>
      </c>
      <c r="AY106" s="1">
        <v>1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f>SUM(sdata[[#This Row],[Baby Food]:[Spices]])</f>
        <v>5</v>
      </c>
      <c r="BI106"/>
    </row>
    <row r="107" spans="1:61" x14ac:dyDescent="0.3">
      <c r="A107" s="1" t="s">
        <v>424</v>
      </c>
      <c r="B107" s="1" t="s">
        <v>425</v>
      </c>
      <c r="C107" s="1" t="s">
        <v>61</v>
      </c>
      <c r="D107" s="1" t="s">
        <v>426</v>
      </c>
      <c r="E107" s="1" t="s">
        <v>427</v>
      </c>
      <c r="F107" s="1" t="s">
        <v>275</v>
      </c>
      <c r="G107" s="1" t="s">
        <v>144</v>
      </c>
      <c r="H107" s="1">
        <v>75751</v>
      </c>
      <c r="I107" s="1" t="s">
        <v>428</v>
      </c>
      <c r="J107" s="1" t="s">
        <v>429</v>
      </c>
      <c r="K107" s="1" t="s">
        <v>205</v>
      </c>
      <c r="L107" s="1" t="s">
        <v>95</v>
      </c>
      <c r="M107" s="1" t="s">
        <v>70</v>
      </c>
      <c r="N107" s="1">
        <v>23868154</v>
      </c>
      <c r="O107" s="3">
        <v>36851600000000</v>
      </c>
      <c r="P107" s="1">
        <v>10163</v>
      </c>
      <c r="Q107" s="1">
        <v>27</v>
      </c>
      <c r="R107" s="1">
        <v>1566</v>
      </c>
      <c r="S107" s="4">
        <v>0</v>
      </c>
      <c r="T107" s="4">
        <v>2.3221064814814812E-2</v>
      </c>
      <c r="U107" s="1">
        <v>6.37</v>
      </c>
      <c r="V107" s="1" t="s">
        <v>376</v>
      </c>
      <c r="W107" s="4">
        <v>0</v>
      </c>
      <c r="X107" s="2">
        <v>42724</v>
      </c>
      <c r="Y107" s="1">
        <v>190.12</v>
      </c>
      <c r="Z107" s="1" t="s">
        <v>72</v>
      </c>
      <c r="AA107" s="1" t="s">
        <v>80</v>
      </c>
      <c r="AB107" s="1" t="s">
        <v>97</v>
      </c>
      <c r="AC107" s="1" t="s">
        <v>98</v>
      </c>
      <c r="AD107" s="1" t="s">
        <v>76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1</v>
      </c>
      <c r="AK107" s="1">
        <v>0</v>
      </c>
      <c r="AL107" s="1">
        <v>0</v>
      </c>
      <c r="AM107" s="1">
        <v>0</v>
      </c>
      <c r="AN107" s="1">
        <v>1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1</v>
      </c>
      <c r="AU107" s="1">
        <v>0</v>
      </c>
      <c r="AV107" s="1">
        <v>0</v>
      </c>
      <c r="AW107" s="1">
        <v>1</v>
      </c>
      <c r="AX107" s="1">
        <v>0</v>
      </c>
      <c r="AY107" s="1">
        <v>0</v>
      </c>
      <c r="AZ107" s="1">
        <v>1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f>SUM(sdata[[#This Row],[Baby Food]:[Spices]])</f>
        <v>6</v>
      </c>
      <c r="BI107"/>
    </row>
    <row r="108" spans="1:61" x14ac:dyDescent="0.3">
      <c r="A108" s="1" t="s">
        <v>424</v>
      </c>
      <c r="B108" s="1" t="s">
        <v>425</v>
      </c>
      <c r="C108" s="1" t="s">
        <v>61</v>
      </c>
      <c r="D108" s="1" t="s">
        <v>426</v>
      </c>
      <c r="E108" s="1" t="s">
        <v>427</v>
      </c>
      <c r="F108" s="1" t="s">
        <v>275</v>
      </c>
      <c r="G108" s="1" t="s">
        <v>144</v>
      </c>
      <c r="H108" s="1">
        <v>75751</v>
      </c>
      <c r="I108" s="1" t="s">
        <v>428</v>
      </c>
      <c r="J108" s="1" t="s">
        <v>429</v>
      </c>
      <c r="K108" s="1" t="s">
        <v>205</v>
      </c>
      <c r="L108" s="1" t="s">
        <v>95</v>
      </c>
      <c r="M108" s="1" t="s">
        <v>70</v>
      </c>
      <c r="N108" s="1">
        <v>23868154</v>
      </c>
      <c r="O108" s="3">
        <v>36184000000000</v>
      </c>
      <c r="P108" s="1">
        <v>10163</v>
      </c>
      <c r="Q108" s="1">
        <v>27</v>
      </c>
      <c r="R108" s="1">
        <v>1740</v>
      </c>
      <c r="S108" s="4">
        <v>0</v>
      </c>
      <c r="T108" s="4">
        <v>2.5519675925925925E-2</v>
      </c>
      <c r="U108" s="1">
        <v>13.33</v>
      </c>
      <c r="V108" s="1" t="s">
        <v>430</v>
      </c>
      <c r="W108" s="4">
        <v>0</v>
      </c>
      <c r="X108" s="2">
        <v>42571</v>
      </c>
      <c r="Y108" s="1">
        <v>282.85000000000002</v>
      </c>
      <c r="Z108" s="1" t="s">
        <v>126</v>
      </c>
      <c r="AA108" s="1" t="s">
        <v>73</v>
      </c>
      <c r="AB108" s="1" t="s">
        <v>97</v>
      </c>
      <c r="AC108" s="1" t="s">
        <v>98</v>
      </c>
      <c r="AD108" s="1" t="s">
        <v>76</v>
      </c>
      <c r="AE108" s="1">
        <v>0</v>
      </c>
      <c r="AF108" s="1">
        <v>0</v>
      </c>
      <c r="AG108" s="1">
        <v>1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1</v>
      </c>
      <c r="AO108" s="1">
        <v>0</v>
      </c>
      <c r="AP108" s="1">
        <v>0</v>
      </c>
      <c r="AQ108" s="1">
        <v>0</v>
      </c>
      <c r="AR108" s="1">
        <v>0</v>
      </c>
      <c r="AS108" s="1">
        <v>1</v>
      </c>
      <c r="AT108" s="1">
        <v>1</v>
      </c>
      <c r="AU108" s="1">
        <v>0</v>
      </c>
      <c r="AV108" s="1">
        <v>1</v>
      </c>
      <c r="AW108" s="1">
        <v>0</v>
      </c>
      <c r="AX108" s="1">
        <v>0</v>
      </c>
      <c r="AY108" s="1">
        <v>0</v>
      </c>
      <c r="AZ108" s="1">
        <v>1</v>
      </c>
      <c r="BA108" s="1">
        <v>0</v>
      </c>
      <c r="BB108" s="1">
        <v>1</v>
      </c>
      <c r="BC108" s="1">
        <v>0</v>
      </c>
      <c r="BD108" s="1">
        <v>0</v>
      </c>
      <c r="BE108" s="1">
        <v>0</v>
      </c>
      <c r="BF108" s="1">
        <v>1</v>
      </c>
      <c r="BG108" s="1">
        <v>1</v>
      </c>
      <c r="BH108" s="1">
        <f>SUM(sdata[[#This Row],[Baby Food]:[Spices]])</f>
        <v>9</v>
      </c>
      <c r="BI108"/>
    </row>
    <row r="109" spans="1:61" x14ac:dyDescent="0.3">
      <c r="A109" s="1" t="s">
        <v>431</v>
      </c>
      <c r="B109" s="1" t="s">
        <v>432</v>
      </c>
      <c r="C109" s="1" t="s">
        <v>61</v>
      </c>
      <c r="D109" s="1" t="s">
        <v>433</v>
      </c>
      <c r="E109" s="1" t="s">
        <v>434</v>
      </c>
      <c r="F109" s="1" t="s">
        <v>435</v>
      </c>
      <c r="G109" s="1" t="s">
        <v>144</v>
      </c>
      <c r="H109" s="1">
        <v>30345</v>
      </c>
      <c r="I109" s="1" t="s">
        <v>436</v>
      </c>
      <c r="J109" s="1" t="s">
        <v>437</v>
      </c>
      <c r="K109" s="1" t="s">
        <v>121</v>
      </c>
      <c r="L109" s="1" t="s">
        <v>209</v>
      </c>
      <c r="M109" s="1" t="s">
        <v>107</v>
      </c>
      <c r="N109" s="3">
        <v>128000000000000</v>
      </c>
      <c r="O109" s="3">
        <v>6011110000000000</v>
      </c>
      <c r="P109" s="1">
        <v>10167</v>
      </c>
      <c r="Q109" s="1" t="s">
        <v>96</v>
      </c>
      <c r="R109" s="1">
        <v>1901</v>
      </c>
      <c r="S109" s="4">
        <v>0</v>
      </c>
      <c r="T109" s="4">
        <v>7.9432870370370369E-3</v>
      </c>
      <c r="U109" s="1">
        <v>11.88</v>
      </c>
      <c r="V109" s="1" t="s">
        <v>378</v>
      </c>
      <c r="W109" s="4">
        <v>0</v>
      </c>
      <c r="X109" s="2">
        <v>42623</v>
      </c>
      <c r="Y109" s="1">
        <v>267.24</v>
      </c>
      <c r="Z109" s="1" t="s">
        <v>72</v>
      </c>
      <c r="AA109" s="1" t="s">
        <v>73</v>
      </c>
      <c r="AB109" s="1" t="s">
        <v>74</v>
      </c>
      <c r="AC109" s="1" t="s">
        <v>98</v>
      </c>
      <c r="AD109" s="1" t="s">
        <v>99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1</v>
      </c>
      <c r="AL109" s="1">
        <v>0</v>
      </c>
      <c r="AM109" s="1">
        <v>0</v>
      </c>
      <c r="AN109" s="1">
        <v>1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</v>
      </c>
      <c r="AU109" s="1">
        <v>0</v>
      </c>
      <c r="AV109" s="1">
        <v>1</v>
      </c>
      <c r="AW109" s="1">
        <v>0</v>
      </c>
      <c r="AX109" s="1">
        <v>1</v>
      </c>
      <c r="AY109" s="1">
        <v>0</v>
      </c>
      <c r="AZ109" s="1">
        <v>0</v>
      </c>
      <c r="BA109" s="1">
        <v>0</v>
      </c>
      <c r="BB109" s="1">
        <v>1</v>
      </c>
      <c r="BC109" s="1">
        <v>0</v>
      </c>
      <c r="BD109" s="1">
        <v>1</v>
      </c>
      <c r="BE109" s="1">
        <v>0</v>
      </c>
      <c r="BF109" s="1">
        <v>0</v>
      </c>
      <c r="BG109" s="1">
        <v>1</v>
      </c>
      <c r="BH109" s="1">
        <f>SUM(sdata[[#This Row],[Baby Food]:[Spices]])</f>
        <v>8</v>
      </c>
      <c r="BI109"/>
    </row>
    <row r="110" spans="1:61" x14ac:dyDescent="0.3">
      <c r="A110" s="1" t="s">
        <v>438</v>
      </c>
      <c r="B110" s="1" t="s">
        <v>439</v>
      </c>
      <c r="C110" s="1" t="s">
        <v>154</v>
      </c>
      <c r="D110" s="1" t="s">
        <v>440</v>
      </c>
      <c r="E110" s="1" t="s">
        <v>434</v>
      </c>
      <c r="F110" s="1" t="s">
        <v>435</v>
      </c>
      <c r="G110" s="1" t="s">
        <v>144</v>
      </c>
      <c r="H110" s="1">
        <v>30329</v>
      </c>
      <c r="I110" s="1" t="s">
        <v>441</v>
      </c>
      <c r="J110" s="1" t="s">
        <v>442</v>
      </c>
      <c r="K110" s="1" t="s">
        <v>121</v>
      </c>
      <c r="L110" s="1" t="s">
        <v>269</v>
      </c>
      <c r="M110" s="1" t="s">
        <v>65</v>
      </c>
      <c r="N110" s="1" t="s">
        <v>443</v>
      </c>
      <c r="O110" s="3">
        <v>6011560000000000</v>
      </c>
      <c r="P110" s="1">
        <v>10171</v>
      </c>
      <c r="Q110" s="1" t="s">
        <v>96</v>
      </c>
      <c r="R110" s="1">
        <v>2171</v>
      </c>
      <c r="S110" s="4">
        <v>0</v>
      </c>
      <c r="T110" s="4">
        <v>4.0797453703703704E-2</v>
      </c>
      <c r="U110" s="1">
        <v>18.989999999999998</v>
      </c>
      <c r="V110" s="1" t="s">
        <v>228</v>
      </c>
      <c r="W110" s="4">
        <v>0</v>
      </c>
      <c r="X110" s="2">
        <v>42520</v>
      </c>
      <c r="Y110" s="1">
        <v>50.67</v>
      </c>
      <c r="Z110" s="1" t="s">
        <v>72</v>
      </c>
      <c r="AA110" s="1" t="s">
        <v>73</v>
      </c>
      <c r="AB110" s="1" t="s">
        <v>97</v>
      </c>
      <c r="AC110" s="1" t="s">
        <v>81</v>
      </c>
      <c r="AD110" s="1" t="s">
        <v>99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1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f>SUM(sdata[[#This Row],[Baby Food]:[Spices]])</f>
        <v>1</v>
      </c>
      <c r="BI110"/>
    </row>
    <row r="111" spans="1:61" x14ac:dyDescent="0.3">
      <c r="A111" s="1" t="s">
        <v>438</v>
      </c>
      <c r="B111" s="1" t="s">
        <v>439</v>
      </c>
      <c r="C111" s="1" t="s">
        <v>154</v>
      </c>
      <c r="D111" s="1" t="s">
        <v>440</v>
      </c>
      <c r="E111" s="1" t="s">
        <v>434</v>
      </c>
      <c r="F111" s="1" t="s">
        <v>435</v>
      </c>
      <c r="G111" s="1" t="s">
        <v>144</v>
      </c>
      <c r="H111" s="1">
        <v>30329</v>
      </c>
      <c r="I111" s="1" t="s">
        <v>441</v>
      </c>
      <c r="J111" s="1" t="s">
        <v>442</v>
      </c>
      <c r="K111" s="1" t="s">
        <v>121</v>
      </c>
      <c r="L111" s="1" t="s">
        <v>269</v>
      </c>
      <c r="M111" s="1" t="s">
        <v>65</v>
      </c>
      <c r="N111" s="1" t="s">
        <v>443</v>
      </c>
      <c r="O111" s="3">
        <v>6011650000000000</v>
      </c>
      <c r="P111" s="1">
        <v>10171</v>
      </c>
      <c r="Q111" s="1" t="s">
        <v>96</v>
      </c>
      <c r="R111" s="1">
        <v>7867</v>
      </c>
      <c r="S111" s="4">
        <v>0</v>
      </c>
      <c r="T111" s="4">
        <v>2.0210648148148148E-2</v>
      </c>
      <c r="U111" s="1">
        <v>8.99</v>
      </c>
      <c r="V111" s="1" t="s">
        <v>137</v>
      </c>
      <c r="W111" s="4">
        <v>0</v>
      </c>
      <c r="X111" s="2">
        <v>42574</v>
      </c>
      <c r="Y111" s="1">
        <v>26.97</v>
      </c>
      <c r="Z111" s="1" t="s">
        <v>112</v>
      </c>
      <c r="AA111" s="1" t="s">
        <v>73</v>
      </c>
      <c r="AB111" s="1" t="s">
        <v>97</v>
      </c>
      <c r="AC111" s="1" t="s">
        <v>81</v>
      </c>
      <c r="AD111" s="1" t="s">
        <v>99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1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f>SUM(sdata[[#This Row],[Baby Food]:[Spices]])</f>
        <v>2</v>
      </c>
      <c r="BI111"/>
    </row>
    <row r="112" spans="1:61" x14ac:dyDescent="0.3">
      <c r="A112" s="1" t="s">
        <v>438</v>
      </c>
      <c r="B112" s="1" t="s">
        <v>439</v>
      </c>
      <c r="C112" s="1" t="s">
        <v>154</v>
      </c>
      <c r="D112" s="1" t="s">
        <v>440</v>
      </c>
      <c r="E112" s="1" t="s">
        <v>434</v>
      </c>
      <c r="F112" s="1" t="s">
        <v>435</v>
      </c>
      <c r="G112" s="1" t="s">
        <v>144</v>
      </c>
      <c r="H112" s="1">
        <v>30329</v>
      </c>
      <c r="I112" s="1" t="s">
        <v>441</v>
      </c>
      <c r="J112" s="1" t="s">
        <v>442</v>
      </c>
      <c r="K112" s="1" t="s">
        <v>121</v>
      </c>
      <c r="L112" s="1" t="s">
        <v>269</v>
      </c>
      <c r="M112" s="1" t="s">
        <v>65</v>
      </c>
      <c r="N112" s="1" t="s">
        <v>443</v>
      </c>
      <c r="O112" s="3">
        <v>6011970000000000</v>
      </c>
      <c r="P112" s="1">
        <v>10171</v>
      </c>
      <c r="Q112" s="1" t="s">
        <v>96</v>
      </c>
      <c r="R112" s="1">
        <v>8182</v>
      </c>
      <c r="S112" s="4">
        <v>0</v>
      </c>
      <c r="T112" s="4">
        <v>1.5701388888888886E-2</v>
      </c>
      <c r="U112" s="1">
        <v>6.87</v>
      </c>
      <c r="V112" s="1" t="s">
        <v>444</v>
      </c>
      <c r="W112" s="4">
        <v>0</v>
      </c>
      <c r="X112" s="2">
        <v>42509</v>
      </c>
      <c r="Y112" s="1">
        <v>7.12</v>
      </c>
      <c r="Z112" s="1" t="s">
        <v>72</v>
      </c>
      <c r="AA112" s="1" t="s">
        <v>73</v>
      </c>
      <c r="AB112" s="1" t="s">
        <v>97</v>
      </c>
      <c r="AC112" s="1" t="s">
        <v>81</v>
      </c>
      <c r="AD112" s="1" t="s">
        <v>99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1</v>
      </c>
      <c r="AP112" s="1">
        <v>0</v>
      </c>
      <c r="AQ112" s="1">
        <v>1</v>
      </c>
      <c r="AR112" s="1">
        <v>1</v>
      </c>
      <c r="AS112" s="1">
        <v>0</v>
      </c>
      <c r="AT112" s="1">
        <v>0</v>
      </c>
      <c r="AU112" s="1">
        <v>1</v>
      </c>
      <c r="AV112" s="1">
        <v>0</v>
      </c>
      <c r="AW112" s="1">
        <v>0</v>
      </c>
      <c r="AX112" s="1">
        <v>0</v>
      </c>
      <c r="AY112" s="1">
        <v>1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f>SUM(sdata[[#This Row],[Baby Food]:[Spices]])</f>
        <v>5</v>
      </c>
      <c r="BI112"/>
    </row>
    <row r="113" spans="1:61" x14ac:dyDescent="0.3">
      <c r="A113" s="1" t="s">
        <v>445</v>
      </c>
      <c r="B113" s="1" t="s">
        <v>446</v>
      </c>
      <c r="C113" s="1" t="s">
        <v>154</v>
      </c>
      <c r="D113" s="1" t="s">
        <v>447</v>
      </c>
      <c r="E113" s="1" t="s">
        <v>448</v>
      </c>
      <c r="F113" s="1" t="s">
        <v>449</v>
      </c>
      <c r="G113" s="1" t="s">
        <v>144</v>
      </c>
      <c r="H113" s="1">
        <v>8401</v>
      </c>
      <c r="I113" s="1" t="s">
        <v>450</v>
      </c>
      <c r="J113" s="1" t="s">
        <v>451</v>
      </c>
      <c r="K113" s="1" t="s">
        <v>147</v>
      </c>
      <c r="L113" s="1" t="s">
        <v>452</v>
      </c>
      <c r="M113" s="1" t="s">
        <v>118</v>
      </c>
      <c r="N113" s="1" t="s">
        <v>453</v>
      </c>
      <c r="O113" s="3">
        <v>370602000000000</v>
      </c>
      <c r="P113" s="1">
        <v>10179</v>
      </c>
      <c r="Q113" s="1">
        <v>30</v>
      </c>
      <c r="R113" s="1">
        <v>5684</v>
      </c>
      <c r="S113" s="4">
        <v>0</v>
      </c>
      <c r="T113" s="4">
        <v>9.6597222222222223E-3</v>
      </c>
      <c r="U113" s="1">
        <v>18.989999999999998</v>
      </c>
      <c r="V113" s="1" t="s">
        <v>280</v>
      </c>
      <c r="W113" s="4">
        <v>0</v>
      </c>
      <c r="X113" s="2">
        <v>42554</v>
      </c>
      <c r="Y113" s="1">
        <v>29.89</v>
      </c>
      <c r="Z113" s="1" t="s">
        <v>72</v>
      </c>
      <c r="AA113" s="1" t="s">
        <v>73</v>
      </c>
      <c r="AB113" s="1" t="s">
        <v>109</v>
      </c>
      <c r="AC113" s="1" t="s">
        <v>81</v>
      </c>
      <c r="AD113" s="1" t="s">
        <v>76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1</v>
      </c>
      <c r="AP113" s="1">
        <v>0</v>
      </c>
      <c r="AQ113" s="1">
        <v>1</v>
      </c>
      <c r="AR113" s="1">
        <v>1</v>
      </c>
      <c r="AS113" s="1">
        <v>0</v>
      </c>
      <c r="AT113" s="1">
        <v>0</v>
      </c>
      <c r="AU113" s="1">
        <v>1</v>
      </c>
      <c r="AV113" s="1">
        <v>0</v>
      </c>
      <c r="AW113" s="1">
        <v>0</v>
      </c>
      <c r="AX113" s="1">
        <v>0</v>
      </c>
      <c r="AY113" s="1">
        <v>1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f>SUM(sdata[[#This Row],[Baby Food]:[Spices]])</f>
        <v>5</v>
      </c>
      <c r="BI113"/>
    </row>
    <row r="114" spans="1:61" x14ac:dyDescent="0.3">
      <c r="A114" s="1" t="s">
        <v>445</v>
      </c>
      <c r="B114" s="1" t="s">
        <v>446</v>
      </c>
      <c r="C114" s="1" t="s">
        <v>154</v>
      </c>
      <c r="D114" s="1" t="s">
        <v>447</v>
      </c>
      <c r="E114" s="1" t="s">
        <v>448</v>
      </c>
      <c r="F114" s="1" t="s">
        <v>449</v>
      </c>
      <c r="G114" s="1" t="s">
        <v>144</v>
      </c>
      <c r="H114" s="1">
        <v>8401</v>
      </c>
      <c r="I114" s="1" t="s">
        <v>450</v>
      </c>
      <c r="J114" s="1" t="s">
        <v>451</v>
      </c>
      <c r="K114" s="1" t="s">
        <v>147</v>
      </c>
      <c r="L114" s="1" t="s">
        <v>452</v>
      </c>
      <c r="M114" s="1" t="s">
        <v>118</v>
      </c>
      <c r="N114" s="1" t="s">
        <v>453</v>
      </c>
      <c r="O114" s="3">
        <v>340179000000000</v>
      </c>
      <c r="P114" s="1">
        <v>10179</v>
      </c>
      <c r="Q114" s="1">
        <v>30</v>
      </c>
      <c r="R114" s="1">
        <v>8402</v>
      </c>
      <c r="S114" s="4">
        <v>0</v>
      </c>
      <c r="T114" s="4">
        <v>3.0469907407407407E-2</v>
      </c>
      <c r="U114" s="1">
        <v>23.37</v>
      </c>
      <c r="V114" s="1" t="s">
        <v>148</v>
      </c>
      <c r="W114" s="4">
        <v>0</v>
      </c>
      <c r="X114" s="2">
        <v>42394</v>
      </c>
      <c r="Y114" s="1">
        <v>49.78</v>
      </c>
      <c r="Z114" s="1" t="s">
        <v>126</v>
      </c>
      <c r="AA114" s="1" t="s">
        <v>73</v>
      </c>
      <c r="AB114" s="1" t="s">
        <v>109</v>
      </c>
      <c r="AC114" s="1" t="s">
        <v>81</v>
      </c>
      <c r="AD114" s="1" t="s">
        <v>76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  <c r="AN114" s="1">
        <v>0</v>
      </c>
      <c r="AO114" s="1">
        <v>1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f>SUM(sdata[[#This Row],[Baby Food]:[Spices]])</f>
        <v>3</v>
      </c>
      <c r="BI114"/>
    </row>
    <row r="115" spans="1:61" x14ac:dyDescent="0.3">
      <c r="A115" s="1" t="s">
        <v>454</v>
      </c>
      <c r="B115" s="1" t="s">
        <v>455</v>
      </c>
      <c r="C115" s="1" t="s">
        <v>154</v>
      </c>
      <c r="D115" s="1" t="s">
        <v>456</v>
      </c>
      <c r="E115" s="1" t="s">
        <v>457</v>
      </c>
      <c r="F115" s="1" t="s">
        <v>458</v>
      </c>
      <c r="G115" s="1" t="s">
        <v>144</v>
      </c>
      <c r="H115" s="1">
        <v>98002</v>
      </c>
      <c r="I115" s="1" t="s">
        <v>459</v>
      </c>
      <c r="J115" s="1" t="s">
        <v>460</v>
      </c>
      <c r="K115" s="1" t="s">
        <v>246</v>
      </c>
      <c r="L115" s="1" t="s">
        <v>335</v>
      </c>
      <c r="M115" s="1" t="s">
        <v>65</v>
      </c>
      <c r="N115" s="1" t="s">
        <v>461</v>
      </c>
      <c r="O115" s="3">
        <v>3528030000000000</v>
      </c>
      <c r="P115" s="1">
        <v>10183</v>
      </c>
      <c r="Q115" s="1">
        <v>35</v>
      </c>
      <c r="R115" s="1">
        <v>2269</v>
      </c>
      <c r="S115" s="4">
        <v>0</v>
      </c>
      <c r="T115" s="4">
        <v>2.2744212962962963E-2</v>
      </c>
      <c r="U115" s="1">
        <v>7.12</v>
      </c>
      <c r="V115" s="1" t="s">
        <v>196</v>
      </c>
      <c r="W115" s="4">
        <v>0</v>
      </c>
      <c r="X115" s="2">
        <v>42536</v>
      </c>
      <c r="Y115" s="1">
        <v>30.79</v>
      </c>
      <c r="Z115" s="1" t="s">
        <v>72</v>
      </c>
      <c r="AA115" s="1" t="s">
        <v>73</v>
      </c>
      <c r="AB115" s="1" t="s">
        <v>109</v>
      </c>
      <c r="AC115" s="1" t="s">
        <v>81</v>
      </c>
      <c r="AD115" s="1" t="s">
        <v>76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1</v>
      </c>
      <c r="AP115" s="1">
        <v>0</v>
      </c>
      <c r="AQ115" s="1">
        <v>1</v>
      </c>
      <c r="AR115" s="1">
        <v>1</v>
      </c>
      <c r="AS115" s="1">
        <v>0</v>
      </c>
      <c r="AT115" s="1">
        <v>0</v>
      </c>
      <c r="AU115" s="1">
        <v>1</v>
      </c>
      <c r="AV115" s="1">
        <v>0</v>
      </c>
      <c r="AW115" s="1">
        <v>0</v>
      </c>
      <c r="AX115" s="1">
        <v>0</v>
      </c>
      <c r="AY115" s="1">
        <v>1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f>SUM(sdata[[#This Row],[Baby Food]:[Spices]])</f>
        <v>5</v>
      </c>
      <c r="BI115"/>
    </row>
    <row r="116" spans="1:61" x14ac:dyDescent="0.3">
      <c r="A116" s="1" t="s">
        <v>454</v>
      </c>
      <c r="B116" s="1" t="s">
        <v>455</v>
      </c>
      <c r="C116" s="1" t="s">
        <v>154</v>
      </c>
      <c r="D116" s="1" t="s">
        <v>456</v>
      </c>
      <c r="E116" s="1" t="s">
        <v>457</v>
      </c>
      <c r="F116" s="1" t="s">
        <v>458</v>
      </c>
      <c r="G116" s="1" t="s">
        <v>144</v>
      </c>
      <c r="H116" s="1">
        <v>98002</v>
      </c>
      <c r="I116" s="1" t="s">
        <v>459</v>
      </c>
      <c r="J116" s="1" t="s">
        <v>460</v>
      </c>
      <c r="K116" s="1" t="s">
        <v>246</v>
      </c>
      <c r="L116" s="1" t="s">
        <v>335</v>
      </c>
      <c r="M116" s="1" t="s">
        <v>65</v>
      </c>
      <c r="N116" s="1" t="s">
        <v>461</v>
      </c>
      <c r="O116" s="3">
        <v>3528500000000000</v>
      </c>
      <c r="P116" s="1">
        <v>10183</v>
      </c>
      <c r="Q116" s="1">
        <v>35</v>
      </c>
      <c r="R116" s="1">
        <v>6950</v>
      </c>
      <c r="S116" s="4">
        <v>0</v>
      </c>
      <c r="T116" s="4">
        <v>1.9393518518518518E-2</v>
      </c>
      <c r="U116" s="1">
        <v>10.45</v>
      </c>
      <c r="V116" s="1" t="s">
        <v>289</v>
      </c>
      <c r="W116" s="4">
        <v>0</v>
      </c>
      <c r="X116" s="2">
        <v>42649</v>
      </c>
      <c r="Y116" s="1">
        <v>42.66</v>
      </c>
      <c r="Z116" s="1" t="s">
        <v>72</v>
      </c>
      <c r="AA116" s="1" t="s">
        <v>73</v>
      </c>
      <c r="AB116" s="1" t="s">
        <v>109</v>
      </c>
      <c r="AC116" s="1" t="s">
        <v>81</v>
      </c>
      <c r="AD116" s="1" t="s">
        <v>76</v>
      </c>
      <c r="AE116" s="1">
        <v>0</v>
      </c>
      <c r="AF116" s="1">
        <v>1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  <c r="AN116" s="1">
        <v>0</v>
      </c>
      <c r="AO116" s="1">
        <v>1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f>SUM(sdata[[#This Row],[Baby Food]:[Spices]])</f>
        <v>3</v>
      </c>
      <c r="BI116"/>
    </row>
    <row r="117" spans="1:61" x14ac:dyDescent="0.3">
      <c r="A117" s="1" t="s">
        <v>462</v>
      </c>
      <c r="B117" s="1" t="s">
        <v>463</v>
      </c>
      <c r="C117" s="1" t="s">
        <v>154</v>
      </c>
      <c r="D117" s="1" t="s">
        <v>464</v>
      </c>
      <c r="E117" s="1" t="s">
        <v>465</v>
      </c>
      <c r="G117" s="1" t="s">
        <v>107</v>
      </c>
      <c r="H117" s="1">
        <v>93600</v>
      </c>
      <c r="I117" s="1" t="s">
        <v>466</v>
      </c>
      <c r="J117" s="1" t="s">
        <v>467</v>
      </c>
      <c r="K117" s="1" t="s">
        <v>147</v>
      </c>
      <c r="L117" s="1" t="s">
        <v>180</v>
      </c>
      <c r="M117" s="1" t="s">
        <v>118</v>
      </c>
      <c r="N117" s="1" t="s">
        <v>468</v>
      </c>
      <c r="O117" s="3">
        <v>343374000000000</v>
      </c>
      <c r="P117" s="1">
        <v>10187</v>
      </c>
      <c r="Q117" s="1">
        <v>75</v>
      </c>
      <c r="R117" s="1">
        <v>1385</v>
      </c>
      <c r="S117" s="4">
        <v>0</v>
      </c>
      <c r="T117" s="4">
        <v>3.5241898148148147E-2</v>
      </c>
      <c r="U117" s="1">
        <v>7.12</v>
      </c>
      <c r="V117" s="1" t="s">
        <v>413</v>
      </c>
      <c r="W117" s="4">
        <v>0</v>
      </c>
      <c r="X117" s="2">
        <v>42650</v>
      </c>
      <c r="Y117" s="1">
        <v>150.79</v>
      </c>
      <c r="Z117" s="1" t="s">
        <v>112</v>
      </c>
      <c r="AA117" s="1" t="s">
        <v>80</v>
      </c>
      <c r="AB117" s="1" t="s">
        <v>74</v>
      </c>
      <c r="AC117" s="1" t="s">
        <v>75</v>
      </c>
      <c r="AD117" s="1" t="s">
        <v>110</v>
      </c>
      <c r="AE117" s="1">
        <v>0</v>
      </c>
      <c r="AF117" s="1">
        <v>0</v>
      </c>
      <c r="AG117" s="1">
        <v>0</v>
      </c>
      <c r="AH117" s="1">
        <v>0</v>
      </c>
      <c r="AI117" s="1">
        <v>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</v>
      </c>
      <c r="AQ117" s="1">
        <v>0</v>
      </c>
      <c r="AR117" s="1">
        <v>0</v>
      </c>
      <c r="AS117" s="1">
        <v>0</v>
      </c>
      <c r="AT117" s="1">
        <v>0</v>
      </c>
      <c r="AU117" s="1">
        <v>1</v>
      </c>
      <c r="AV117" s="1">
        <v>0</v>
      </c>
      <c r="AW117" s="1">
        <v>0</v>
      </c>
      <c r="AX117" s="1">
        <v>0</v>
      </c>
      <c r="AY117" s="1">
        <v>1</v>
      </c>
      <c r="AZ117" s="1">
        <v>0</v>
      </c>
      <c r="BA117" s="1">
        <v>0</v>
      </c>
      <c r="BB117" s="1">
        <v>0</v>
      </c>
      <c r="BC117" s="1">
        <v>1</v>
      </c>
      <c r="BD117" s="1">
        <v>0</v>
      </c>
      <c r="BE117" s="1">
        <v>0</v>
      </c>
      <c r="BF117" s="1">
        <v>0</v>
      </c>
      <c r="BG117" s="1">
        <v>0</v>
      </c>
      <c r="BH117" s="1">
        <f>SUM(sdata[[#This Row],[Baby Food]:[Spices]])</f>
        <v>5</v>
      </c>
      <c r="BI117"/>
    </row>
    <row r="118" spans="1:61" x14ac:dyDescent="0.3">
      <c r="A118" s="1" t="s">
        <v>462</v>
      </c>
      <c r="B118" s="1" t="s">
        <v>463</v>
      </c>
      <c r="C118" s="1" t="s">
        <v>154</v>
      </c>
      <c r="D118" s="1" t="s">
        <v>464</v>
      </c>
      <c r="E118" s="1" t="s">
        <v>465</v>
      </c>
      <c r="G118" s="1" t="s">
        <v>107</v>
      </c>
      <c r="H118" s="1">
        <v>93600</v>
      </c>
      <c r="I118" s="1" t="s">
        <v>466</v>
      </c>
      <c r="J118" s="1" t="s">
        <v>467</v>
      </c>
      <c r="K118" s="1" t="s">
        <v>147</v>
      </c>
      <c r="L118" s="1" t="s">
        <v>180</v>
      </c>
      <c r="M118" s="1" t="s">
        <v>118</v>
      </c>
      <c r="N118" s="1" t="s">
        <v>468</v>
      </c>
      <c r="O118" s="3">
        <v>347290000000000</v>
      </c>
      <c r="P118" s="1">
        <v>10187</v>
      </c>
      <c r="Q118" s="1">
        <v>75</v>
      </c>
      <c r="R118" s="1">
        <v>2039</v>
      </c>
      <c r="S118" s="4">
        <v>0</v>
      </c>
      <c r="T118" s="4">
        <v>1.9393518518518518E-2</v>
      </c>
      <c r="U118" s="1">
        <v>27.97</v>
      </c>
      <c r="V118" s="1" t="s">
        <v>192</v>
      </c>
      <c r="W118" s="4">
        <v>0</v>
      </c>
      <c r="X118" s="2">
        <v>42652</v>
      </c>
      <c r="Y118" s="1">
        <v>219.64</v>
      </c>
      <c r="Z118" s="1" t="s">
        <v>72</v>
      </c>
      <c r="AA118" s="1" t="s">
        <v>80</v>
      </c>
      <c r="AB118" s="1" t="s">
        <v>74</v>
      </c>
      <c r="AC118" s="1" t="s">
        <v>98</v>
      </c>
      <c r="AD118" s="1" t="s">
        <v>110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1</v>
      </c>
      <c r="AU118" s="1">
        <v>0</v>
      </c>
      <c r="AV118" s="1">
        <v>1</v>
      </c>
      <c r="AW118" s="1">
        <v>0</v>
      </c>
      <c r="AX118" s="1">
        <v>0</v>
      </c>
      <c r="AY118" s="1">
        <v>0</v>
      </c>
      <c r="AZ118" s="1">
        <v>1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</v>
      </c>
      <c r="BG118" s="1">
        <v>0</v>
      </c>
      <c r="BH118" s="1">
        <f>SUM(sdata[[#This Row],[Baby Food]:[Spices]])</f>
        <v>5</v>
      </c>
      <c r="BI118"/>
    </row>
    <row r="119" spans="1:61" x14ac:dyDescent="0.3">
      <c r="A119" s="1" t="s">
        <v>462</v>
      </c>
      <c r="B119" s="1" t="s">
        <v>463</v>
      </c>
      <c r="C119" s="1" t="s">
        <v>154</v>
      </c>
      <c r="D119" s="1" t="s">
        <v>464</v>
      </c>
      <c r="E119" s="1" t="s">
        <v>465</v>
      </c>
      <c r="G119" s="1" t="s">
        <v>107</v>
      </c>
      <c r="H119" s="1">
        <v>93600</v>
      </c>
      <c r="I119" s="1" t="s">
        <v>466</v>
      </c>
      <c r="J119" s="1" t="s">
        <v>467</v>
      </c>
      <c r="K119" s="1" t="s">
        <v>147</v>
      </c>
      <c r="L119" s="1" t="s">
        <v>180</v>
      </c>
      <c r="M119" s="1" t="s">
        <v>118</v>
      </c>
      <c r="N119" s="1" t="s">
        <v>468</v>
      </c>
      <c r="O119" s="3">
        <v>370889000000000</v>
      </c>
      <c r="P119" s="1">
        <v>10187</v>
      </c>
      <c r="Q119" s="1">
        <v>75</v>
      </c>
      <c r="R119" s="1">
        <v>2961</v>
      </c>
      <c r="S119" s="4">
        <v>0</v>
      </c>
      <c r="T119" s="4">
        <v>7.9432870370370369E-3</v>
      </c>
      <c r="U119" s="1">
        <v>19.25</v>
      </c>
      <c r="V119" s="1" t="s">
        <v>378</v>
      </c>
      <c r="W119" s="4">
        <v>0</v>
      </c>
      <c r="X119" s="2">
        <v>42623</v>
      </c>
      <c r="Y119" s="1">
        <v>260.83999999999997</v>
      </c>
      <c r="Z119" s="1" t="s">
        <v>72</v>
      </c>
      <c r="AA119" s="1" t="s">
        <v>73</v>
      </c>
      <c r="AB119" s="1" t="s">
        <v>74</v>
      </c>
      <c r="AC119" s="1" t="s">
        <v>98</v>
      </c>
      <c r="AD119" s="1" t="s">
        <v>110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1</v>
      </c>
      <c r="AU119" s="1">
        <v>0</v>
      </c>
      <c r="AV119" s="1">
        <v>0</v>
      </c>
      <c r="AW119" s="1">
        <v>1</v>
      </c>
      <c r="AX119" s="1">
        <v>0</v>
      </c>
      <c r="AY119" s="1">
        <v>0</v>
      </c>
      <c r="AZ119" s="1">
        <v>1</v>
      </c>
      <c r="BA119" s="1">
        <v>0</v>
      </c>
      <c r="BB119" s="1">
        <v>0</v>
      </c>
      <c r="BC119" s="1">
        <v>0</v>
      </c>
      <c r="BD119" s="1">
        <v>1</v>
      </c>
      <c r="BE119" s="1">
        <v>0</v>
      </c>
      <c r="BF119" s="1">
        <v>0</v>
      </c>
      <c r="BG119" s="1">
        <v>0</v>
      </c>
      <c r="BH119" s="1">
        <f>SUM(sdata[[#This Row],[Baby Food]:[Spices]])</f>
        <v>4</v>
      </c>
      <c r="BI119"/>
    </row>
    <row r="120" spans="1:61" x14ac:dyDescent="0.3">
      <c r="A120" s="1" t="s">
        <v>462</v>
      </c>
      <c r="B120" s="1" t="s">
        <v>463</v>
      </c>
      <c r="C120" s="1" t="s">
        <v>154</v>
      </c>
      <c r="D120" s="1" t="s">
        <v>464</v>
      </c>
      <c r="E120" s="1" t="s">
        <v>465</v>
      </c>
      <c r="G120" s="1" t="s">
        <v>107</v>
      </c>
      <c r="H120" s="1">
        <v>93600</v>
      </c>
      <c r="I120" s="1" t="s">
        <v>466</v>
      </c>
      <c r="J120" s="1" t="s">
        <v>467</v>
      </c>
      <c r="K120" s="1" t="s">
        <v>147</v>
      </c>
      <c r="L120" s="1" t="s">
        <v>180</v>
      </c>
      <c r="M120" s="1" t="s">
        <v>118</v>
      </c>
      <c r="N120" s="1" t="s">
        <v>468</v>
      </c>
      <c r="O120" s="3">
        <v>341480000000000</v>
      </c>
      <c r="P120" s="1">
        <v>10187</v>
      </c>
      <c r="Q120" s="1">
        <v>75</v>
      </c>
      <c r="R120" s="1">
        <v>3576</v>
      </c>
      <c r="S120" s="4">
        <v>0</v>
      </c>
      <c r="T120" s="4">
        <v>1.9402777777777779E-2</v>
      </c>
      <c r="U120" s="1">
        <v>11.15</v>
      </c>
      <c r="V120" s="1" t="s">
        <v>268</v>
      </c>
      <c r="W120" s="4">
        <v>0</v>
      </c>
      <c r="X120" s="2">
        <v>42720</v>
      </c>
      <c r="Y120" s="1">
        <v>260.57</v>
      </c>
      <c r="Z120" s="1" t="s">
        <v>72</v>
      </c>
      <c r="AA120" s="1" t="s">
        <v>80</v>
      </c>
      <c r="AB120" s="1" t="s">
        <v>74</v>
      </c>
      <c r="AC120" s="1" t="s">
        <v>98</v>
      </c>
      <c r="AD120" s="1" t="s">
        <v>110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1</v>
      </c>
      <c r="AV120" s="1">
        <v>0</v>
      </c>
      <c r="AW120" s="1">
        <v>1</v>
      </c>
      <c r="AX120" s="1">
        <v>0</v>
      </c>
      <c r="AY120" s="1">
        <v>1</v>
      </c>
      <c r="AZ120" s="1">
        <v>0</v>
      </c>
      <c r="BA120" s="1">
        <v>0</v>
      </c>
      <c r="BB120" s="1">
        <v>0</v>
      </c>
      <c r="BC120" s="1">
        <v>0</v>
      </c>
      <c r="BD120" s="1">
        <v>1</v>
      </c>
      <c r="BE120" s="1">
        <v>0</v>
      </c>
      <c r="BF120" s="1">
        <v>1</v>
      </c>
      <c r="BG120" s="1">
        <v>1</v>
      </c>
      <c r="BH120" s="1">
        <f>SUM(sdata[[#This Row],[Baby Food]:[Spices]])</f>
        <v>7</v>
      </c>
      <c r="BI120"/>
    </row>
    <row r="121" spans="1:61" x14ac:dyDescent="0.3">
      <c r="A121" s="1" t="s">
        <v>469</v>
      </c>
      <c r="B121" s="1" t="s">
        <v>470</v>
      </c>
      <c r="C121" s="1" t="s">
        <v>154</v>
      </c>
      <c r="D121" s="1" t="s">
        <v>471</v>
      </c>
      <c r="E121" s="1" t="s">
        <v>472</v>
      </c>
      <c r="F121" s="1" t="s">
        <v>275</v>
      </c>
      <c r="G121" s="1" t="s">
        <v>144</v>
      </c>
      <c r="H121" s="1">
        <v>78664</v>
      </c>
      <c r="I121" s="1" t="s">
        <v>473</v>
      </c>
      <c r="J121" s="1" t="s">
        <v>474</v>
      </c>
      <c r="K121" s="1" t="s">
        <v>92</v>
      </c>
      <c r="L121" s="1" t="s">
        <v>195</v>
      </c>
      <c r="M121" s="1" t="s">
        <v>118</v>
      </c>
      <c r="N121" s="1" t="s">
        <v>475</v>
      </c>
      <c r="O121" s="3">
        <v>4761930000000000</v>
      </c>
      <c r="P121" s="1">
        <v>10195</v>
      </c>
      <c r="Q121" s="1">
        <v>68</v>
      </c>
      <c r="R121" s="1">
        <v>1210</v>
      </c>
      <c r="S121" s="4">
        <v>0</v>
      </c>
      <c r="T121" s="4">
        <v>2.0210648148148148E-2</v>
      </c>
      <c r="U121" s="1">
        <v>23.37</v>
      </c>
      <c r="V121" s="1" t="s">
        <v>403</v>
      </c>
      <c r="W121" s="4">
        <v>0</v>
      </c>
      <c r="X121" s="2">
        <v>42440</v>
      </c>
      <c r="Y121" s="1">
        <v>550</v>
      </c>
      <c r="Z121" s="1" t="s">
        <v>72</v>
      </c>
      <c r="AA121" s="1" t="s">
        <v>80</v>
      </c>
      <c r="AB121" s="1" t="s">
        <v>109</v>
      </c>
      <c r="AC121" s="1" t="s">
        <v>98</v>
      </c>
      <c r="AD121" s="1" t="s">
        <v>110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1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</v>
      </c>
      <c r="AU121" s="1">
        <v>0</v>
      </c>
      <c r="AV121" s="1">
        <v>0</v>
      </c>
      <c r="AW121" s="1">
        <v>1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1</v>
      </c>
      <c r="BG121" s="1">
        <v>1</v>
      </c>
      <c r="BH121" s="1">
        <f>SUM(sdata[[#This Row],[Baby Food]:[Spices]])</f>
        <v>5</v>
      </c>
      <c r="BI121"/>
    </row>
    <row r="122" spans="1:61" x14ac:dyDescent="0.3">
      <c r="A122" s="1" t="s">
        <v>469</v>
      </c>
      <c r="B122" s="1" t="s">
        <v>470</v>
      </c>
      <c r="C122" s="1" t="s">
        <v>154</v>
      </c>
      <c r="D122" s="1" t="s">
        <v>471</v>
      </c>
      <c r="E122" s="1" t="s">
        <v>472</v>
      </c>
      <c r="F122" s="1" t="s">
        <v>275</v>
      </c>
      <c r="G122" s="1" t="s">
        <v>144</v>
      </c>
      <c r="H122" s="1">
        <v>78664</v>
      </c>
      <c r="I122" s="1" t="s">
        <v>473</v>
      </c>
      <c r="J122" s="1" t="s">
        <v>474</v>
      </c>
      <c r="K122" s="1" t="s">
        <v>92</v>
      </c>
      <c r="L122" s="1" t="s">
        <v>195</v>
      </c>
      <c r="M122" s="1" t="s">
        <v>118</v>
      </c>
      <c r="N122" s="1" t="s">
        <v>475</v>
      </c>
      <c r="O122" s="3">
        <v>4276370000000000</v>
      </c>
      <c r="P122" s="1">
        <v>10195</v>
      </c>
      <c r="Q122" s="1">
        <v>68</v>
      </c>
      <c r="R122" s="1">
        <v>1562</v>
      </c>
      <c r="S122" s="4">
        <v>0</v>
      </c>
      <c r="T122" s="4">
        <v>3.9914351851851854E-2</v>
      </c>
      <c r="U122" s="1">
        <v>24.08</v>
      </c>
      <c r="V122" s="1" t="s">
        <v>476</v>
      </c>
      <c r="W122" s="4">
        <v>0</v>
      </c>
      <c r="X122" s="2">
        <v>42633</v>
      </c>
      <c r="Y122" s="1">
        <v>31.03</v>
      </c>
      <c r="Z122" s="1" t="s">
        <v>78</v>
      </c>
      <c r="AA122" s="1" t="s">
        <v>80</v>
      </c>
      <c r="AB122" s="1" t="s">
        <v>109</v>
      </c>
      <c r="AC122" s="1" t="s">
        <v>81</v>
      </c>
      <c r="AD122" s="1" t="s">
        <v>110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1</v>
      </c>
      <c r="AP122" s="1">
        <v>0</v>
      </c>
      <c r="AQ122" s="1">
        <v>0</v>
      </c>
      <c r="AR122" s="1">
        <v>1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f>SUM(sdata[[#This Row],[Baby Food]:[Spices]])</f>
        <v>2</v>
      </c>
      <c r="BI122"/>
    </row>
    <row r="123" spans="1:61" x14ac:dyDescent="0.3">
      <c r="A123" s="1" t="s">
        <v>469</v>
      </c>
      <c r="B123" s="1" t="s">
        <v>470</v>
      </c>
      <c r="C123" s="1" t="s">
        <v>154</v>
      </c>
      <c r="D123" s="1" t="s">
        <v>471</v>
      </c>
      <c r="E123" s="1" t="s">
        <v>472</v>
      </c>
      <c r="F123" s="1" t="s">
        <v>275</v>
      </c>
      <c r="G123" s="1" t="s">
        <v>144</v>
      </c>
      <c r="H123" s="1">
        <v>78664</v>
      </c>
      <c r="I123" s="1" t="s">
        <v>473</v>
      </c>
      <c r="J123" s="1" t="s">
        <v>474</v>
      </c>
      <c r="K123" s="1" t="s">
        <v>92</v>
      </c>
      <c r="L123" s="1" t="s">
        <v>195</v>
      </c>
      <c r="M123" s="1" t="s">
        <v>118</v>
      </c>
      <c r="N123" s="1" t="s">
        <v>475</v>
      </c>
      <c r="O123" s="3">
        <v>4029380000000000</v>
      </c>
      <c r="P123" s="1">
        <v>10195</v>
      </c>
      <c r="Q123" s="1">
        <v>68</v>
      </c>
      <c r="R123" s="1">
        <v>1950</v>
      </c>
      <c r="S123" s="4">
        <v>0</v>
      </c>
      <c r="T123" s="4">
        <v>2.0210648148148148E-2</v>
      </c>
      <c r="U123" s="1">
        <v>13.33</v>
      </c>
      <c r="V123" s="1" t="s">
        <v>137</v>
      </c>
      <c r="W123" s="4">
        <v>0</v>
      </c>
      <c r="X123" s="2">
        <v>42574</v>
      </c>
      <c r="Y123" s="1">
        <v>211.78</v>
      </c>
      <c r="Z123" s="1" t="s">
        <v>72</v>
      </c>
      <c r="AA123" s="1" t="s">
        <v>80</v>
      </c>
      <c r="AB123" s="1" t="s">
        <v>109</v>
      </c>
      <c r="AC123" s="1" t="s">
        <v>98</v>
      </c>
      <c r="AD123" s="1" t="s">
        <v>110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  <c r="AK123" s="1">
        <v>0</v>
      </c>
      <c r="AL123" s="1">
        <v>1</v>
      </c>
      <c r="AM123" s="1">
        <v>0</v>
      </c>
      <c r="AN123" s="1">
        <v>1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1</v>
      </c>
      <c r="AU123" s="1">
        <v>0</v>
      </c>
      <c r="AV123" s="1">
        <v>1</v>
      </c>
      <c r="AW123" s="1">
        <v>0</v>
      </c>
      <c r="AX123" s="1">
        <v>0</v>
      </c>
      <c r="AY123" s="1">
        <v>1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1</v>
      </c>
      <c r="BG123" s="1">
        <v>0</v>
      </c>
      <c r="BH123" s="1">
        <f>SUM(sdata[[#This Row],[Baby Food]:[Spices]])</f>
        <v>7</v>
      </c>
      <c r="BI123"/>
    </row>
    <row r="124" spans="1:61" x14ac:dyDescent="0.3">
      <c r="A124" s="1" t="s">
        <v>469</v>
      </c>
      <c r="B124" s="1" t="s">
        <v>470</v>
      </c>
      <c r="C124" s="1" t="s">
        <v>154</v>
      </c>
      <c r="D124" s="1" t="s">
        <v>471</v>
      </c>
      <c r="E124" s="1" t="s">
        <v>472</v>
      </c>
      <c r="F124" s="1" t="s">
        <v>275</v>
      </c>
      <c r="G124" s="1" t="s">
        <v>144</v>
      </c>
      <c r="H124" s="1">
        <v>78664</v>
      </c>
      <c r="I124" s="1" t="s">
        <v>473</v>
      </c>
      <c r="J124" s="1" t="s">
        <v>474</v>
      </c>
      <c r="K124" s="1" t="s">
        <v>92</v>
      </c>
      <c r="L124" s="1" t="s">
        <v>195</v>
      </c>
      <c r="M124" s="1" t="s">
        <v>118</v>
      </c>
      <c r="N124" s="1" t="s">
        <v>475</v>
      </c>
      <c r="O124" s="3">
        <v>4389230000000000</v>
      </c>
      <c r="P124" s="1">
        <v>10195</v>
      </c>
      <c r="Q124" s="1">
        <v>68</v>
      </c>
      <c r="R124" s="1">
        <v>4525</v>
      </c>
      <c r="S124" s="4">
        <v>0</v>
      </c>
      <c r="T124" s="4">
        <v>3.0747685185185183E-2</v>
      </c>
      <c r="U124" s="1">
        <v>10.15</v>
      </c>
      <c r="V124" s="1" t="s">
        <v>194</v>
      </c>
      <c r="W124" s="4">
        <v>0</v>
      </c>
      <c r="X124" s="2">
        <v>42724</v>
      </c>
      <c r="Y124" s="1">
        <v>235.03</v>
      </c>
      <c r="Z124" s="1" t="s">
        <v>72</v>
      </c>
      <c r="AA124" s="1" t="s">
        <v>80</v>
      </c>
      <c r="AB124" s="1" t="s">
        <v>109</v>
      </c>
      <c r="AC124" s="1" t="s">
        <v>98</v>
      </c>
      <c r="AD124" s="1" t="s">
        <v>110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1</v>
      </c>
      <c r="AO124" s="1">
        <v>0</v>
      </c>
      <c r="AP124" s="1">
        <v>0</v>
      </c>
      <c r="AQ124" s="1">
        <v>0</v>
      </c>
      <c r="AR124" s="1">
        <v>0</v>
      </c>
      <c r="AS124" s="1">
        <v>1</v>
      </c>
      <c r="AT124" s="1">
        <v>1</v>
      </c>
      <c r="AU124" s="1">
        <v>0</v>
      </c>
      <c r="AV124" s="1">
        <v>0</v>
      </c>
      <c r="AW124" s="1">
        <v>0</v>
      </c>
      <c r="AX124" s="1">
        <v>1</v>
      </c>
      <c r="AY124" s="1">
        <v>0</v>
      </c>
      <c r="AZ124" s="1">
        <v>1</v>
      </c>
      <c r="BA124" s="1">
        <v>1</v>
      </c>
      <c r="BB124" s="1">
        <v>0</v>
      </c>
      <c r="BC124" s="1">
        <v>0</v>
      </c>
      <c r="BD124" s="1">
        <v>0</v>
      </c>
      <c r="BE124" s="1">
        <v>1</v>
      </c>
      <c r="BF124" s="1">
        <v>1</v>
      </c>
      <c r="BG124" s="1">
        <v>0</v>
      </c>
      <c r="BH124" s="1">
        <f>SUM(sdata[[#This Row],[Baby Food]:[Spices]])</f>
        <v>8</v>
      </c>
      <c r="BI124"/>
    </row>
    <row r="125" spans="1:61" x14ac:dyDescent="0.3">
      <c r="A125" s="1" t="s">
        <v>469</v>
      </c>
      <c r="B125" s="1" t="s">
        <v>470</v>
      </c>
      <c r="C125" s="1" t="s">
        <v>154</v>
      </c>
      <c r="D125" s="1" t="s">
        <v>471</v>
      </c>
      <c r="E125" s="1" t="s">
        <v>472</v>
      </c>
      <c r="F125" s="1" t="s">
        <v>275</v>
      </c>
      <c r="G125" s="1" t="s">
        <v>144</v>
      </c>
      <c r="H125" s="1">
        <v>78664</v>
      </c>
      <c r="I125" s="1" t="s">
        <v>473</v>
      </c>
      <c r="J125" s="1" t="s">
        <v>474</v>
      </c>
      <c r="K125" s="1" t="s">
        <v>92</v>
      </c>
      <c r="L125" s="1" t="s">
        <v>195</v>
      </c>
      <c r="M125" s="1" t="s">
        <v>118</v>
      </c>
      <c r="N125" s="1" t="s">
        <v>475</v>
      </c>
      <c r="O125" s="3">
        <v>4322470000000000</v>
      </c>
      <c r="P125" s="1">
        <v>10195</v>
      </c>
      <c r="Q125" s="1">
        <v>68</v>
      </c>
      <c r="R125" s="1">
        <v>7524</v>
      </c>
      <c r="S125" s="4">
        <v>3.2928240740740737E-2</v>
      </c>
      <c r="T125" s="4">
        <v>3.2932870370370369E-2</v>
      </c>
      <c r="U125" s="1">
        <v>16.25</v>
      </c>
      <c r="V125" s="1" t="s">
        <v>477</v>
      </c>
      <c r="W125" s="4">
        <v>3.2928240740740737E-2</v>
      </c>
      <c r="X125" s="2">
        <v>42498</v>
      </c>
      <c r="Y125" s="1">
        <v>240.8</v>
      </c>
      <c r="Z125" s="1" t="s">
        <v>72</v>
      </c>
      <c r="AA125" s="1" t="s">
        <v>80</v>
      </c>
      <c r="AB125" s="1" t="s">
        <v>109</v>
      </c>
      <c r="AC125" s="1" t="s">
        <v>98</v>
      </c>
      <c r="AD125" s="1" t="s">
        <v>110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1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1</v>
      </c>
      <c r="AU125" s="1">
        <v>0</v>
      </c>
      <c r="AV125" s="1">
        <v>0</v>
      </c>
      <c r="AW125" s="1">
        <v>1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1</v>
      </c>
      <c r="BH125" s="1">
        <f>SUM(sdata[[#This Row],[Baby Food]:[Spices]])</f>
        <v>4</v>
      </c>
      <c r="BI125"/>
    </row>
    <row r="126" spans="1:61" x14ac:dyDescent="0.3">
      <c r="A126" s="1" t="s">
        <v>478</v>
      </c>
      <c r="B126" s="1" t="s">
        <v>479</v>
      </c>
      <c r="C126" s="1" t="s">
        <v>154</v>
      </c>
      <c r="D126" s="1" t="s">
        <v>480</v>
      </c>
      <c r="E126" s="1" t="s">
        <v>481</v>
      </c>
      <c r="F126" s="1" t="s">
        <v>157</v>
      </c>
      <c r="G126" s="1" t="s">
        <v>65</v>
      </c>
      <c r="H126" s="1">
        <v>38063</v>
      </c>
      <c r="I126" s="1" t="s">
        <v>482</v>
      </c>
      <c r="J126" s="1" t="s">
        <v>483</v>
      </c>
      <c r="K126" s="1" t="s">
        <v>147</v>
      </c>
      <c r="L126" s="1" t="s">
        <v>114</v>
      </c>
      <c r="M126" s="1" t="s">
        <v>107</v>
      </c>
      <c r="N126" s="3">
        <v>253000000000000</v>
      </c>
      <c r="O126" s="3">
        <v>344866000000000</v>
      </c>
      <c r="P126" s="1">
        <v>10203</v>
      </c>
      <c r="Q126" s="1">
        <v>38</v>
      </c>
      <c r="R126" s="1">
        <v>1078</v>
      </c>
      <c r="S126" s="4">
        <v>0</v>
      </c>
      <c r="T126" s="4">
        <v>1.9386574074074073E-2</v>
      </c>
      <c r="U126" s="1">
        <v>16.25</v>
      </c>
      <c r="V126" s="1" t="s">
        <v>258</v>
      </c>
      <c r="W126" s="4">
        <v>0</v>
      </c>
      <c r="X126" s="2">
        <v>42651</v>
      </c>
      <c r="Y126" s="1">
        <v>39.619999999999997</v>
      </c>
      <c r="Z126" s="1" t="s">
        <v>72</v>
      </c>
      <c r="AA126" s="1" t="s">
        <v>73</v>
      </c>
      <c r="AB126" s="1" t="s">
        <v>109</v>
      </c>
      <c r="AC126" s="1" t="s">
        <v>81</v>
      </c>
      <c r="AD126" s="1" t="s">
        <v>76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1</v>
      </c>
      <c r="AP126" s="1">
        <v>0</v>
      </c>
      <c r="AQ126" s="1">
        <v>1</v>
      </c>
      <c r="AR126" s="1">
        <v>0</v>
      </c>
      <c r="AS126" s="1">
        <v>0</v>
      </c>
      <c r="AT126" s="1">
        <v>0</v>
      </c>
      <c r="AU126" s="1">
        <v>1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f>SUM(sdata[[#This Row],[Baby Food]:[Spices]])</f>
        <v>3</v>
      </c>
      <c r="BI126"/>
    </row>
    <row r="127" spans="1:61" x14ac:dyDescent="0.3">
      <c r="A127" s="1" t="s">
        <v>478</v>
      </c>
      <c r="B127" s="1" t="s">
        <v>479</v>
      </c>
      <c r="C127" s="1" t="s">
        <v>154</v>
      </c>
      <c r="D127" s="1" t="s">
        <v>480</v>
      </c>
      <c r="E127" s="1" t="s">
        <v>481</v>
      </c>
      <c r="F127" s="1" t="s">
        <v>157</v>
      </c>
      <c r="G127" s="1" t="s">
        <v>65</v>
      </c>
      <c r="H127" s="1">
        <v>38063</v>
      </c>
      <c r="I127" s="1" t="s">
        <v>482</v>
      </c>
      <c r="J127" s="1" t="s">
        <v>483</v>
      </c>
      <c r="K127" s="1" t="s">
        <v>147</v>
      </c>
      <c r="L127" s="1" t="s">
        <v>114</v>
      </c>
      <c r="M127" s="1" t="s">
        <v>107</v>
      </c>
      <c r="N127" s="3">
        <v>253000000000000</v>
      </c>
      <c r="O127" s="3">
        <v>370252000000000</v>
      </c>
      <c r="P127" s="1">
        <v>10203</v>
      </c>
      <c r="Q127" s="1">
        <v>38</v>
      </c>
      <c r="R127" s="1">
        <v>7969</v>
      </c>
      <c r="S127" s="4">
        <v>0</v>
      </c>
      <c r="T127" s="4">
        <v>2.3803240740740739E-2</v>
      </c>
      <c r="U127" s="1">
        <v>26.87</v>
      </c>
      <c r="V127" s="1" t="s">
        <v>308</v>
      </c>
      <c r="W127" s="4">
        <v>0</v>
      </c>
      <c r="X127" s="2">
        <v>42724</v>
      </c>
      <c r="Y127" s="1">
        <v>11.64</v>
      </c>
      <c r="Z127" s="1" t="s">
        <v>72</v>
      </c>
      <c r="AA127" s="1" t="s">
        <v>73</v>
      </c>
      <c r="AB127" s="1" t="s">
        <v>109</v>
      </c>
      <c r="AC127" s="1" t="s">
        <v>81</v>
      </c>
      <c r="AD127" s="1" t="s">
        <v>76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1</v>
      </c>
      <c r="AP127" s="1">
        <v>0</v>
      </c>
      <c r="AQ127" s="1">
        <v>1</v>
      </c>
      <c r="AR127" s="1">
        <v>1</v>
      </c>
      <c r="AS127" s="1">
        <v>0</v>
      </c>
      <c r="AT127" s="1">
        <v>0</v>
      </c>
      <c r="AU127" s="1">
        <v>1</v>
      </c>
      <c r="AV127" s="1">
        <v>0</v>
      </c>
      <c r="AW127" s="1">
        <v>0</v>
      </c>
      <c r="AX127" s="1">
        <v>0</v>
      </c>
      <c r="AY127" s="1">
        <v>1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f>SUM(sdata[[#This Row],[Baby Food]:[Spices]])</f>
        <v>5</v>
      </c>
      <c r="BI127"/>
    </row>
    <row r="128" spans="1:61" x14ac:dyDescent="0.3">
      <c r="A128" s="1" t="s">
        <v>484</v>
      </c>
      <c r="B128" s="1" t="s">
        <v>485</v>
      </c>
      <c r="C128" s="1" t="s">
        <v>61</v>
      </c>
      <c r="D128" s="1" t="s">
        <v>486</v>
      </c>
      <c r="E128" s="1" t="s">
        <v>487</v>
      </c>
      <c r="F128" s="1" t="s">
        <v>488</v>
      </c>
      <c r="G128" s="1" t="s">
        <v>303</v>
      </c>
      <c r="H128" s="1">
        <v>4361</v>
      </c>
      <c r="I128" s="1" t="s">
        <v>489</v>
      </c>
      <c r="J128" s="1" t="s">
        <v>490</v>
      </c>
      <c r="K128" s="1" t="s">
        <v>147</v>
      </c>
      <c r="L128" s="1" t="s">
        <v>491</v>
      </c>
      <c r="M128" s="1" t="s">
        <v>411</v>
      </c>
      <c r="N128" s="1" t="s">
        <v>492</v>
      </c>
      <c r="O128" s="3">
        <v>342963000000000</v>
      </c>
      <c r="P128" s="1">
        <v>10207</v>
      </c>
      <c r="Q128" s="1">
        <v>70</v>
      </c>
      <c r="R128" s="1">
        <v>8579</v>
      </c>
      <c r="S128" s="4">
        <v>0</v>
      </c>
      <c r="T128" s="4">
        <v>1.7784722222222223E-2</v>
      </c>
      <c r="U128" s="1">
        <v>23.12</v>
      </c>
      <c r="V128" s="1" t="s">
        <v>334</v>
      </c>
      <c r="W128" s="4">
        <v>0</v>
      </c>
      <c r="X128" s="2">
        <v>42554</v>
      </c>
      <c r="Y128" s="1">
        <v>22.85</v>
      </c>
      <c r="Z128" s="1" t="s">
        <v>72</v>
      </c>
      <c r="AA128" s="1" t="s">
        <v>80</v>
      </c>
      <c r="AB128" s="1" t="s">
        <v>109</v>
      </c>
      <c r="AC128" s="1" t="s">
        <v>81</v>
      </c>
      <c r="AD128" s="1" t="s">
        <v>110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f>SUM(sdata[[#This Row],[Baby Food]:[Spices]])</f>
        <v>1</v>
      </c>
      <c r="BI128"/>
    </row>
    <row r="129" spans="1:61" x14ac:dyDescent="0.3">
      <c r="A129" s="1" t="s">
        <v>59</v>
      </c>
      <c r="B129" s="1" t="s">
        <v>493</v>
      </c>
      <c r="C129" s="1" t="s">
        <v>61</v>
      </c>
      <c r="D129" s="1" t="s">
        <v>494</v>
      </c>
      <c r="E129" s="1" t="s">
        <v>495</v>
      </c>
      <c r="F129" s="1" t="s">
        <v>302</v>
      </c>
      <c r="G129" s="1" t="s">
        <v>65</v>
      </c>
      <c r="H129" s="1">
        <v>84010</v>
      </c>
      <c r="I129" s="1" t="s">
        <v>496</v>
      </c>
      <c r="J129" s="1" t="s">
        <v>497</v>
      </c>
      <c r="K129" s="1" t="s">
        <v>92</v>
      </c>
      <c r="L129" s="1" t="s">
        <v>413</v>
      </c>
      <c r="M129" s="1" t="s">
        <v>411</v>
      </c>
      <c r="N129" s="1" t="s">
        <v>498</v>
      </c>
      <c r="O129" s="3">
        <v>4433280000000000</v>
      </c>
      <c r="P129" s="1">
        <v>10211</v>
      </c>
      <c r="Q129" s="1" t="s">
        <v>96</v>
      </c>
      <c r="R129" s="1">
        <v>3605</v>
      </c>
      <c r="S129" s="4">
        <v>3.2928240740740737E-2</v>
      </c>
      <c r="T129" s="4">
        <v>3.2932870370370369E-2</v>
      </c>
      <c r="U129" s="1">
        <v>13.51</v>
      </c>
      <c r="V129" s="1" t="s">
        <v>370</v>
      </c>
      <c r="W129" s="4">
        <v>3.2928240740740737E-2</v>
      </c>
      <c r="X129" s="2">
        <v>42498</v>
      </c>
      <c r="Y129" s="1">
        <v>77.900000000000006</v>
      </c>
      <c r="Z129" s="1" t="s">
        <v>126</v>
      </c>
      <c r="AA129" s="1" t="s">
        <v>73</v>
      </c>
      <c r="AB129" s="1" t="s">
        <v>97</v>
      </c>
      <c r="AC129" s="1" t="s">
        <v>75</v>
      </c>
      <c r="AD129" s="1" t="s">
        <v>99</v>
      </c>
      <c r="AE129" s="1">
        <v>1</v>
      </c>
      <c r="AF129" s="1">
        <v>1</v>
      </c>
      <c r="AG129" s="1">
        <v>0</v>
      </c>
      <c r="AH129" s="1">
        <v>0</v>
      </c>
      <c r="AI129" s="1">
        <v>1</v>
      </c>
      <c r="AJ129" s="1">
        <v>0</v>
      </c>
      <c r="AK129" s="1">
        <v>0</v>
      </c>
      <c r="AL129" s="1">
        <v>0</v>
      </c>
      <c r="AM129" s="1">
        <v>1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f>SUM(sdata[[#This Row],[Baby Food]:[Spices]])</f>
        <v>4</v>
      </c>
      <c r="BI129"/>
    </row>
    <row r="130" spans="1:61" x14ac:dyDescent="0.3">
      <c r="A130" s="1" t="s">
        <v>59</v>
      </c>
      <c r="B130" s="1" t="s">
        <v>493</v>
      </c>
      <c r="C130" s="1" t="s">
        <v>61</v>
      </c>
      <c r="D130" s="1" t="s">
        <v>494</v>
      </c>
      <c r="E130" s="1" t="s">
        <v>495</v>
      </c>
      <c r="F130" s="1" t="s">
        <v>302</v>
      </c>
      <c r="G130" s="1" t="s">
        <v>65</v>
      </c>
      <c r="H130" s="1">
        <v>84010</v>
      </c>
      <c r="I130" s="1" t="s">
        <v>496</v>
      </c>
      <c r="J130" s="1" t="s">
        <v>497</v>
      </c>
      <c r="K130" s="1" t="s">
        <v>92</v>
      </c>
      <c r="L130" s="1" t="s">
        <v>413</v>
      </c>
      <c r="M130" s="1" t="s">
        <v>411</v>
      </c>
      <c r="N130" s="1" t="s">
        <v>498</v>
      </c>
      <c r="O130" s="3">
        <v>4722680000000000</v>
      </c>
      <c r="P130" s="1">
        <v>10211</v>
      </c>
      <c r="Q130" s="1" t="s">
        <v>96</v>
      </c>
      <c r="R130" s="1">
        <v>4985</v>
      </c>
      <c r="S130" s="4">
        <v>0</v>
      </c>
      <c r="T130" s="4">
        <v>1.5701388888888886E-2</v>
      </c>
      <c r="U130" s="1">
        <v>11.05</v>
      </c>
      <c r="V130" s="1" t="s">
        <v>444</v>
      </c>
      <c r="W130" s="4">
        <v>0</v>
      </c>
      <c r="X130" s="2">
        <v>42509</v>
      </c>
      <c r="Y130" s="1">
        <v>237.25</v>
      </c>
      <c r="Z130" s="1" t="s">
        <v>72</v>
      </c>
      <c r="AA130" s="1" t="s">
        <v>73</v>
      </c>
      <c r="AB130" s="1" t="s">
        <v>97</v>
      </c>
      <c r="AC130" s="1" t="s">
        <v>98</v>
      </c>
      <c r="AD130" s="1" t="s">
        <v>99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1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1</v>
      </c>
      <c r="AW130" s="1">
        <v>1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1</v>
      </c>
      <c r="BE130" s="1">
        <v>0</v>
      </c>
      <c r="BF130" s="1">
        <v>0</v>
      </c>
      <c r="BG130" s="1">
        <v>0</v>
      </c>
      <c r="BH130" s="1">
        <f>SUM(sdata[[#This Row],[Baby Food]:[Spices]])</f>
        <v>4</v>
      </c>
      <c r="BI130"/>
    </row>
    <row r="131" spans="1:61" x14ac:dyDescent="0.3">
      <c r="A131" s="1" t="s">
        <v>59</v>
      </c>
      <c r="B131" s="1" t="s">
        <v>493</v>
      </c>
      <c r="C131" s="1" t="s">
        <v>61</v>
      </c>
      <c r="D131" s="1" t="s">
        <v>494</v>
      </c>
      <c r="E131" s="1" t="s">
        <v>495</v>
      </c>
      <c r="F131" s="1" t="s">
        <v>302</v>
      </c>
      <c r="G131" s="1" t="s">
        <v>65</v>
      </c>
      <c r="H131" s="1">
        <v>84010</v>
      </c>
      <c r="I131" s="1" t="s">
        <v>496</v>
      </c>
      <c r="J131" s="1" t="s">
        <v>497</v>
      </c>
      <c r="K131" s="1" t="s">
        <v>92</v>
      </c>
      <c r="L131" s="1" t="s">
        <v>413</v>
      </c>
      <c r="M131" s="1" t="s">
        <v>411</v>
      </c>
      <c r="N131" s="1" t="s">
        <v>498</v>
      </c>
      <c r="O131" s="3">
        <v>4604190000000000</v>
      </c>
      <c r="P131" s="1">
        <v>10211</v>
      </c>
      <c r="Q131" s="1" t="s">
        <v>96</v>
      </c>
      <c r="R131" s="1">
        <v>7014</v>
      </c>
      <c r="S131" s="4">
        <v>0</v>
      </c>
      <c r="T131" s="4">
        <v>3.3291666666666664E-2</v>
      </c>
      <c r="U131" s="1">
        <v>8.15</v>
      </c>
      <c r="V131" s="1" t="s">
        <v>124</v>
      </c>
      <c r="W131" s="4">
        <v>0</v>
      </c>
      <c r="X131" s="2">
        <v>42420</v>
      </c>
      <c r="Y131" s="1">
        <v>27.23</v>
      </c>
      <c r="Z131" s="1" t="s">
        <v>78</v>
      </c>
      <c r="AA131" s="1" t="s">
        <v>73</v>
      </c>
      <c r="AB131" s="1" t="s">
        <v>97</v>
      </c>
      <c r="AC131" s="1" t="s">
        <v>81</v>
      </c>
      <c r="AD131" s="1" t="s">
        <v>99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1</v>
      </c>
      <c r="AP131" s="1">
        <v>0</v>
      </c>
      <c r="AQ131" s="1">
        <v>1</v>
      </c>
      <c r="AR131" s="1">
        <v>0</v>
      </c>
      <c r="AS131" s="1">
        <v>0</v>
      </c>
      <c r="AT131" s="1">
        <v>0</v>
      </c>
      <c r="AU131" s="1">
        <v>1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f>SUM(sdata[[#This Row],[Baby Food]:[Spices]])</f>
        <v>3</v>
      </c>
      <c r="BI131"/>
    </row>
    <row r="132" spans="1:61" x14ac:dyDescent="0.3">
      <c r="A132" s="1" t="s">
        <v>499</v>
      </c>
      <c r="B132" s="1" t="s">
        <v>500</v>
      </c>
      <c r="C132" s="1" t="s">
        <v>61</v>
      </c>
      <c r="D132" s="1" t="s">
        <v>501</v>
      </c>
      <c r="E132" s="1" t="s">
        <v>502</v>
      </c>
      <c r="F132" s="1" t="s">
        <v>503</v>
      </c>
      <c r="G132" s="1" t="s">
        <v>65</v>
      </c>
      <c r="H132" s="1">
        <v>12071</v>
      </c>
      <c r="I132" s="1" t="s">
        <v>504</v>
      </c>
      <c r="J132" s="1" t="s">
        <v>505</v>
      </c>
      <c r="K132" s="1" t="s">
        <v>246</v>
      </c>
      <c r="L132" s="1" t="s">
        <v>268</v>
      </c>
      <c r="M132" s="1" t="s">
        <v>107</v>
      </c>
      <c r="N132" s="3">
        <v>796000000000000</v>
      </c>
      <c r="O132" s="3">
        <v>3528170000000000</v>
      </c>
      <c r="P132" s="1">
        <v>10215</v>
      </c>
      <c r="Q132" s="1" t="s">
        <v>96</v>
      </c>
      <c r="R132" s="1">
        <v>28</v>
      </c>
      <c r="S132" s="4">
        <v>0</v>
      </c>
      <c r="T132" s="4">
        <v>2.5519675925925925E-2</v>
      </c>
      <c r="U132" s="1">
        <v>13.88</v>
      </c>
      <c r="V132" s="1" t="s">
        <v>430</v>
      </c>
      <c r="W132" s="4">
        <v>0</v>
      </c>
      <c r="X132" s="2">
        <v>42571</v>
      </c>
      <c r="Y132" s="1">
        <v>114.25</v>
      </c>
      <c r="Z132" s="1" t="s">
        <v>72</v>
      </c>
      <c r="AA132" s="1" t="s">
        <v>73</v>
      </c>
      <c r="AB132" s="1" t="s">
        <v>97</v>
      </c>
      <c r="AC132" s="1" t="s">
        <v>75</v>
      </c>
      <c r="AD132" s="1" t="s">
        <v>99</v>
      </c>
      <c r="AE132" s="1">
        <v>1</v>
      </c>
      <c r="AF132" s="1">
        <v>1</v>
      </c>
      <c r="AG132" s="1">
        <v>0</v>
      </c>
      <c r="AH132" s="1">
        <v>0</v>
      </c>
      <c r="AI132" s="1">
        <v>1</v>
      </c>
      <c r="AJ132" s="1">
        <v>0</v>
      </c>
      <c r="AK132" s="1">
        <v>1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f>SUM(sdata[[#This Row],[Baby Food]:[Spices]])</f>
        <v>4</v>
      </c>
      <c r="BI132"/>
    </row>
    <row r="133" spans="1:61" x14ac:dyDescent="0.3">
      <c r="A133" s="1" t="s">
        <v>499</v>
      </c>
      <c r="B133" s="1" t="s">
        <v>500</v>
      </c>
      <c r="C133" s="1" t="s">
        <v>61</v>
      </c>
      <c r="D133" s="1" t="s">
        <v>501</v>
      </c>
      <c r="E133" s="1" t="s">
        <v>502</v>
      </c>
      <c r="F133" s="1" t="s">
        <v>503</v>
      </c>
      <c r="G133" s="1" t="s">
        <v>65</v>
      </c>
      <c r="H133" s="1">
        <v>12071</v>
      </c>
      <c r="I133" s="1" t="s">
        <v>504</v>
      </c>
      <c r="J133" s="1" t="s">
        <v>505</v>
      </c>
      <c r="K133" s="1" t="s">
        <v>246</v>
      </c>
      <c r="L133" s="1" t="s">
        <v>268</v>
      </c>
      <c r="M133" s="1" t="s">
        <v>107</v>
      </c>
      <c r="N133" s="3">
        <v>796000000000000</v>
      </c>
      <c r="O133" s="3">
        <v>3528610000000000</v>
      </c>
      <c r="P133" s="1">
        <v>10215</v>
      </c>
      <c r="Q133" s="1" t="s">
        <v>96</v>
      </c>
      <c r="R133" s="1">
        <v>9132</v>
      </c>
      <c r="S133" s="4">
        <v>3.2928240740740737E-2</v>
      </c>
      <c r="T133" s="4">
        <v>3.2932870370370369E-2</v>
      </c>
      <c r="U133" s="1">
        <v>6.87</v>
      </c>
      <c r="V133" s="1" t="s">
        <v>506</v>
      </c>
      <c r="W133" s="4">
        <v>3.2928240740740737E-2</v>
      </c>
      <c r="X133" s="2">
        <v>42498</v>
      </c>
      <c r="Y133" s="1">
        <v>132.36000000000001</v>
      </c>
      <c r="Z133" s="1" t="s">
        <v>72</v>
      </c>
      <c r="AA133" s="1" t="s">
        <v>73</v>
      </c>
      <c r="AB133" s="1" t="s">
        <v>97</v>
      </c>
      <c r="AC133" s="1" t="s">
        <v>75</v>
      </c>
      <c r="AD133" s="1" t="s">
        <v>99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1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1</v>
      </c>
      <c r="AT133" s="1">
        <v>0</v>
      </c>
      <c r="AU133" s="1">
        <v>0</v>
      </c>
      <c r="AV133" s="1">
        <v>1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1</v>
      </c>
      <c r="BC133" s="1">
        <v>1</v>
      </c>
      <c r="BD133" s="1">
        <v>0</v>
      </c>
      <c r="BE133" s="1">
        <v>0</v>
      </c>
      <c r="BF133" s="1">
        <v>0</v>
      </c>
      <c r="BG133" s="1">
        <v>1</v>
      </c>
      <c r="BH133" s="1">
        <f>SUM(sdata[[#This Row],[Baby Food]:[Spices]])</f>
        <v>6</v>
      </c>
      <c r="BI133"/>
    </row>
    <row r="134" spans="1:61" x14ac:dyDescent="0.3">
      <c r="A134" s="1" t="s">
        <v>507</v>
      </c>
      <c r="B134" s="1" t="s">
        <v>221</v>
      </c>
      <c r="C134" s="1" t="s">
        <v>154</v>
      </c>
      <c r="D134" s="1" t="s">
        <v>508</v>
      </c>
      <c r="E134" s="1" t="s">
        <v>509</v>
      </c>
      <c r="F134" s="1" t="s">
        <v>510</v>
      </c>
      <c r="G134" s="1" t="s">
        <v>65</v>
      </c>
      <c r="H134" s="1">
        <v>29100</v>
      </c>
      <c r="I134" s="1" t="s">
        <v>511</v>
      </c>
      <c r="J134" s="1" t="s">
        <v>512</v>
      </c>
      <c r="K134" s="1" t="s">
        <v>147</v>
      </c>
      <c r="L134" s="1" t="s">
        <v>258</v>
      </c>
      <c r="M134" s="1" t="s">
        <v>118</v>
      </c>
      <c r="N134" s="1" t="s">
        <v>513</v>
      </c>
      <c r="O134" s="3">
        <v>344368000000000</v>
      </c>
      <c r="P134" s="1">
        <v>10219</v>
      </c>
      <c r="Q134" s="1" t="s">
        <v>514</v>
      </c>
      <c r="R134" s="1">
        <v>2700</v>
      </c>
      <c r="S134" s="4">
        <v>3.2928240740740737E-2</v>
      </c>
      <c r="T134" s="4">
        <v>3.2932870370370369E-2</v>
      </c>
      <c r="U134" s="1">
        <v>22.95</v>
      </c>
      <c r="V134" s="1" t="s">
        <v>160</v>
      </c>
      <c r="W134" s="4">
        <v>3.2928240740740737E-2</v>
      </c>
      <c r="X134" s="2">
        <v>42498</v>
      </c>
      <c r="Y134" s="1">
        <v>15.63</v>
      </c>
      <c r="Z134" s="1" t="s">
        <v>72</v>
      </c>
      <c r="AA134" s="1" t="s">
        <v>73</v>
      </c>
      <c r="AB134" s="1" t="s">
        <v>109</v>
      </c>
      <c r="AC134" s="1" t="s">
        <v>81</v>
      </c>
      <c r="AD134" s="1" t="s">
        <v>99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1</v>
      </c>
      <c r="AP134" s="1">
        <v>0</v>
      </c>
      <c r="AQ134" s="1">
        <v>1</v>
      </c>
      <c r="AR134" s="1">
        <v>0</v>
      </c>
      <c r="AS134" s="1">
        <v>0</v>
      </c>
      <c r="AT134" s="1">
        <v>0</v>
      </c>
      <c r="AU134" s="1">
        <v>1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f>SUM(sdata[[#This Row],[Baby Food]:[Spices]])</f>
        <v>3</v>
      </c>
      <c r="BI134"/>
    </row>
    <row r="135" spans="1:61" x14ac:dyDescent="0.3">
      <c r="A135" s="1" t="s">
        <v>507</v>
      </c>
      <c r="B135" s="1" t="s">
        <v>221</v>
      </c>
      <c r="C135" s="1" t="s">
        <v>154</v>
      </c>
      <c r="D135" s="1" t="s">
        <v>508</v>
      </c>
      <c r="E135" s="1" t="s">
        <v>509</v>
      </c>
      <c r="F135" s="1" t="s">
        <v>510</v>
      </c>
      <c r="G135" s="1" t="s">
        <v>65</v>
      </c>
      <c r="H135" s="1">
        <v>29100</v>
      </c>
      <c r="I135" s="1" t="s">
        <v>511</v>
      </c>
      <c r="J135" s="1" t="s">
        <v>512</v>
      </c>
      <c r="K135" s="1" t="s">
        <v>147</v>
      </c>
      <c r="L135" s="1" t="s">
        <v>258</v>
      </c>
      <c r="M135" s="1" t="s">
        <v>118</v>
      </c>
      <c r="N135" s="1" t="s">
        <v>513</v>
      </c>
      <c r="O135" s="3">
        <v>340918000000000</v>
      </c>
      <c r="P135" s="1">
        <v>10219</v>
      </c>
      <c r="Q135" s="1" t="s">
        <v>514</v>
      </c>
      <c r="R135" s="1">
        <v>5899</v>
      </c>
      <c r="S135" s="4">
        <v>0</v>
      </c>
      <c r="T135" s="4">
        <v>3.5241898148148147E-2</v>
      </c>
      <c r="U135" s="1">
        <v>28.55</v>
      </c>
      <c r="V135" s="1" t="s">
        <v>385</v>
      </c>
      <c r="W135" s="4">
        <v>0</v>
      </c>
      <c r="X135" s="2">
        <v>42581</v>
      </c>
      <c r="Y135" s="1">
        <v>33.630000000000003</v>
      </c>
      <c r="Z135" s="1" t="s">
        <v>72</v>
      </c>
      <c r="AA135" s="1" t="s">
        <v>80</v>
      </c>
      <c r="AB135" s="1" t="s">
        <v>109</v>
      </c>
      <c r="AC135" s="1" t="s">
        <v>81</v>
      </c>
      <c r="AD135" s="1" t="s">
        <v>99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1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f>SUM(sdata[[#This Row],[Baby Food]:[Spices]])</f>
        <v>1</v>
      </c>
      <c r="BI135"/>
    </row>
    <row r="136" spans="1:61" x14ac:dyDescent="0.3">
      <c r="A136" s="1" t="s">
        <v>515</v>
      </c>
      <c r="B136" s="1" t="s">
        <v>516</v>
      </c>
      <c r="C136" s="1" t="s">
        <v>61</v>
      </c>
      <c r="D136" s="1" t="s">
        <v>517</v>
      </c>
      <c r="E136" s="1" t="s">
        <v>518</v>
      </c>
      <c r="F136" s="1" t="s">
        <v>254</v>
      </c>
      <c r="G136" s="1" t="s">
        <v>144</v>
      </c>
      <c r="H136" s="1">
        <v>93307</v>
      </c>
      <c r="I136" s="1" t="s">
        <v>519</v>
      </c>
      <c r="J136" s="1" t="s">
        <v>520</v>
      </c>
      <c r="K136" s="1" t="s">
        <v>205</v>
      </c>
      <c r="L136" s="1" t="s">
        <v>93</v>
      </c>
      <c r="M136" s="1" t="s">
        <v>254</v>
      </c>
      <c r="N136" s="1">
        <v>321140626</v>
      </c>
      <c r="O136" s="3">
        <v>36846700000000</v>
      </c>
      <c r="P136" s="1">
        <v>10223</v>
      </c>
      <c r="Q136" s="1" t="s">
        <v>521</v>
      </c>
      <c r="R136" s="1">
        <v>3590</v>
      </c>
      <c r="S136" s="4">
        <v>0</v>
      </c>
      <c r="T136" s="4">
        <v>2.0210648148148148E-2</v>
      </c>
      <c r="U136" s="1">
        <v>6.15</v>
      </c>
      <c r="V136" s="1" t="s">
        <v>71</v>
      </c>
      <c r="W136" s="4">
        <v>0</v>
      </c>
      <c r="X136" s="2">
        <v>42578</v>
      </c>
      <c r="Y136" s="1">
        <v>80.569999999999993</v>
      </c>
      <c r="Z136" s="1" t="s">
        <v>72</v>
      </c>
      <c r="AA136" s="1" t="s">
        <v>73</v>
      </c>
      <c r="AB136" s="1" t="s">
        <v>97</v>
      </c>
      <c r="AC136" s="1" t="s">
        <v>75</v>
      </c>
      <c r="AD136" s="1" t="s">
        <v>99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1</v>
      </c>
      <c r="AL136" s="1">
        <v>0</v>
      </c>
      <c r="AM136" s="1">
        <v>1</v>
      </c>
      <c r="AN136" s="1">
        <v>0</v>
      </c>
      <c r="AO136" s="1">
        <v>0</v>
      </c>
      <c r="AP136" s="1">
        <v>1</v>
      </c>
      <c r="AQ136" s="1">
        <v>0</v>
      </c>
      <c r="AR136" s="1">
        <v>0</v>
      </c>
      <c r="AS136" s="1">
        <v>1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f>SUM(sdata[[#This Row],[Baby Food]:[Spices]])</f>
        <v>5</v>
      </c>
      <c r="BI136"/>
    </row>
    <row r="137" spans="1:61" x14ac:dyDescent="0.3">
      <c r="A137" s="1" t="s">
        <v>515</v>
      </c>
      <c r="B137" s="1" t="s">
        <v>516</v>
      </c>
      <c r="C137" s="1" t="s">
        <v>61</v>
      </c>
      <c r="D137" s="1" t="s">
        <v>517</v>
      </c>
      <c r="E137" s="1" t="s">
        <v>518</v>
      </c>
      <c r="F137" s="1" t="s">
        <v>254</v>
      </c>
      <c r="G137" s="1" t="s">
        <v>144</v>
      </c>
      <c r="H137" s="1">
        <v>93307</v>
      </c>
      <c r="I137" s="1" t="s">
        <v>519</v>
      </c>
      <c r="J137" s="1" t="s">
        <v>520</v>
      </c>
      <c r="K137" s="1" t="s">
        <v>205</v>
      </c>
      <c r="L137" s="1" t="s">
        <v>93</v>
      </c>
      <c r="M137" s="1" t="s">
        <v>254</v>
      </c>
      <c r="N137" s="1">
        <v>321140626</v>
      </c>
      <c r="O137" s="3">
        <v>36558300000000</v>
      </c>
      <c r="P137" s="1">
        <v>10223</v>
      </c>
      <c r="Q137" s="1" t="s">
        <v>521</v>
      </c>
      <c r="R137" s="1">
        <v>4750</v>
      </c>
      <c r="S137" s="4">
        <v>0</v>
      </c>
      <c r="T137" s="4">
        <v>2.7155092592592592E-2</v>
      </c>
      <c r="U137" s="1">
        <v>17.87</v>
      </c>
      <c r="V137" s="1" t="s">
        <v>95</v>
      </c>
      <c r="W137" s="4">
        <v>0</v>
      </c>
      <c r="X137" s="2">
        <v>42427</v>
      </c>
      <c r="Y137" s="1">
        <v>39.36</v>
      </c>
      <c r="Z137" s="1" t="s">
        <v>72</v>
      </c>
      <c r="AA137" s="1" t="s">
        <v>73</v>
      </c>
      <c r="AB137" s="1" t="s">
        <v>97</v>
      </c>
      <c r="AC137" s="1" t="s">
        <v>81</v>
      </c>
      <c r="AD137" s="1" t="s">
        <v>99</v>
      </c>
      <c r="AE137" s="1">
        <v>0</v>
      </c>
      <c r="AF137" s="1">
        <v>0</v>
      </c>
      <c r="AG137" s="1">
        <v>0</v>
      </c>
      <c r="AH137" s="1">
        <v>0</v>
      </c>
      <c r="AI137" s="1">
        <v>1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f>SUM(sdata[[#This Row],[Baby Food]:[Spices]])</f>
        <v>1</v>
      </c>
      <c r="BI137"/>
    </row>
    <row r="138" spans="1:61" x14ac:dyDescent="0.3">
      <c r="A138" s="1" t="s">
        <v>515</v>
      </c>
      <c r="B138" s="1" t="s">
        <v>516</v>
      </c>
      <c r="C138" s="1" t="s">
        <v>61</v>
      </c>
      <c r="D138" s="1" t="s">
        <v>517</v>
      </c>
      <c r="E138" s="1" t="s">
        <v>518</v>
      </c>
      <c r="F138" s="1" t="s">
        <v>254</v>
      </c>
      <c r="G138" s="1" t="s">
        <v>144</v>
      </c>
      <c r="H138" s="1">
        <v>93307</v>
      </c>
      <c r="I138" s="1" t="s">
        <v>519</v>
      </c>
      <c r="J138" s="1" t="s">
        <v>520</v>
      </c>
      <c r="K138" s="1" t="s">
        <v>205</v>
      </c>
      <c r="L138" s="1" t="s">
        <v>93</v>
      </c>
      <c r="M138" s="1" t="s">
        <v>254</v>
      </c>
      <c r="N138" s="1">
        <v>321140626</v>
      </c>
      <c r="O138" s="3">
        <v>36743800000000</v>
      </c>
      <c r="P138" s="1">
        <v>10223</v>
      </c>
      <c r="Q138" s="1" t="s">
        <v>521</v>
      </c>
      <c r="R138" s="1">
        <v>6558</v>
      </c>
      <c r="S138" s="4">
        <v>0</v>
      </c>
      <c r="T138" s="4">
        <v>4.0797453703703704E-2</v>
      </c>
      <c r="U138" s="1">
        <v>48.52</v>
      </c>
      <c r="V138" s="1" t="s">
        <v>522</v>
      </c>
      <c r="W138" s="4">
        <v>0</v>
      </c>
      <c r="X138" s="2">
        <v>42650</v>
      </c>
      <c r="Y138" s="1">
        <v>106.06</v>
      </c>
      <c r="Z138" s="1" t="s">
        <v>72</v>
      </c>
      <c r="AA138" s="1" t="s">
        <v>73</v>
      </c>
      <c r="AB138" s="1" t="s">
        <v>97</v>
      </c>
      <c r="AC138" s="1" t="s">
        <v>75</v>
      </c>
      <c r="AD138" s="1" t="s">
        <v>99</v>
      </c>
      <c r="AE138" s="1">
        <v>1</v>
      </c>
      <c r="AF138" s="1">
        <v>0</v>
      </c>
      <c r="AG138" s="1">
        <v>1</v>
      </c>
      <c r="AH138" s="1">
        <v>1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1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f>SUM(sdata[[#This Row],[Baby Food]:[Spices]])</f>
        <v>4</v>
      </c>
      <c r="BI138"/>
    </row>
    <row r="139" spans="1:61" x14ac:dyDescent="0.3">
      <c r="A139" s="1" t="s">
        <v>291</v>
      </c>
      <c r="B139" s="1" t="s">
        <v>523</v>
      </c>
      <c r="C139" s="1" t="s">
        <v>61</v>
      </c>
      <c r="D139" s="1" t="s">
        <v>524</v>
      </c>
      <c r="E139" s="1" t="s">
        <v>525</v>
      </c>
      <c r="F139" s="1" t="s">
        <v>526</v>
      </c>
      <c r="G139" s="1" t="s">
        <v>303</v>
      </c>
      <c r="H139" s="1">
        <v>3340</v>
      </c>
      <c r="I139" s="1" t="s">
        <v>527</v>
      </c>
      <c r="J139" s="1" t="s">
        <v>528</v>
      </c>
      <c r="K139" s="1" t="s">
        <v>205</v>
      </c>
      <c r="L139" s="1" t="s">
        <v>160</v>
      </c>
      <c r="M139" s="1" t="s">
        <v>254</v>
      </c>
      <c r="N139" s="1">
        <v>329443600</v>
      </c>
      <c r="O139" s="3">
        <v>36204600000000</v>
      </c>
      <c r="P139" s="1">
        <v>10227</v>
      </c>
      <c r="Q139" s="1">
        <v>36</v>
      </c>
      <c r="R139" s="1">
        <v>2083</v>
      </c>
      <c r="S139" s="4">
        <v>0</v>
      </c>
      <c r="T139" s="4">
        <v>4.0039351851851854E-2</v>
      </c>
      <c r="U139" s="1">
        <v>8.99</v>
      </c>
      <c r="V139" s="1" t="s">
        <v>260</v>
      </c>
      <c r="W139" s="4">
        <v>0</v>
      </c>
      <c r="X139" s="2">
        <v>42490</v>
      </c>
      <c r="Y139" s="1">
        <v>350</v>
      </c>
      <c r="Z139" s="1" t="s">
        <v>72</v>
      </c>
      <c r="AA139" s="1" t="s">
        <v>73</v>
      </c>
      <c r="AB139" s="1" t="s">
        <v>109</v>
      </c>
      <c r="AC139" s="1" t="s">
        <v>81</v>
      </c>
      <c r="AD139" s="1" t="s">
        <v>76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1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f>SUM(sdata[[#This Row],[Baby Food]:[Spices]])</f>
        <v>1</v>
      </c>
      <c r="BI139"/>
    </row>
    <row r="140" spans="1:61" x14ac:dyDescent="0.3">
      <c r="A140" s="1" t="s">
        <v>291</v>
      </c>
      <c r="B140" s="1" t="s">
        <v>523</v>
      </c>
      <c r="C140" s="1" t="s">
        <v>61</v>
      </c>
      <c r="D140" s="1" t="s">
        <v>524</v>
      </c>
      <c r="E140" s="1" t="s">
        <v>525</v>
      </c>
      <c r="F140" s="1" t="s">
        <v>526</v>
      </c>
      <c r="G140" s="1" t="s">
        <v>303</v>
      </c>
      <c r="H140" s="1">
        <v>3340</v>
      </c>
      <c r="I140" s="1" t="s">
        <v>527</v>
      </c>
      <c r="J140" s="1" t="s">
        <v>528</v>
      </c>
      <c r="K140" s="1" t="s">
        <v>205</v>
      </c>
      <c r="L140" s="1" t="s">
        <v>160</v>
      </c>
      <c r="M140" s="1" t="s">
        <v>254</v>
      </c>
      <c r="N140" s="1">
        <v>329443600</v>
      </c>
      <c r="O140" s="3">
        <v>36391100000000</v>
      </c>
      <c r="P140" s="1">
        <v>10227</v>
      </c>
      <c r="Q140" s="1">
        <v>36</v>
      </c>
      <c r="R140" s="1">
        <v>3492</v>
      </c>
      <c r="S140" s="4">
        <v>0</v>
      </c>
      <c r="T140" s="4">
        <v>3.1164351851851849E-2</v>
      </c>
      <c r="U140" s="1">
        <v>8.23</v>
      </c>
      <c r="V140" s="1" t="s">
        <v>206</v>
      </c>
      <c r="W140" s="4">
        <v>0</v>
      </c>
      <c r="X140" s="2">
        <v>42394</v>
      </c>
      <c r="Y140" s="1">
        <v>16</v>
      </c>
      <c r="Z140" s="1" t="s">
        <v>126</v>
      </c>
      <c r="AA140" s="1" t="s">
        <v>73</v>
      </c>
      <c r="AB140" s="1" t="s">
        <v>109</v>
      </c>
      <c r="AC140" s="1" t="s">
        <v>81</v>
      </c>
      <c r="AD140" s="1" t="s">
        <v>76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1</v>
      </c>
      <c r="AP140" s="1">
        <v>0</v>
      </c>
      <c r="AQ140" s="1">
        <v>1</v>
      </c>
      <c r="AR140" s="1">
        <v>0</v>
      </c>
      <c r="AS140" s="1">
        <v>0</v>
      </c>
      <c r="AT140" s="1">
        <v>0</v>
      </c>
      <c r="AU140" s="1">
        <v>1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f>SUM(sdata[[#This Row],[Baby Food]:[Spices]])</f>
        <v>3</v>
      </c>
      <c r="BI140"/>
    </row>
    <row r="141" spans="1:61" x14ac:dyDescent="0.3">
      <c r="A141" s="1" t="s">
        <v>507</v>
      </c>
      <c r="B141" s="1" t="s">
        <v>529</v>
      </c>
      <c r="C141" s="1" t="s">
        <v>154</v>
      </c>
      <c r="D141" s="1" t="s">
        <v>530</v>
      </c>
      <c r="E141" s="1" t="s">
        <v>531</v>
      </c>
      <c r="F141" s="1" t="s">
        <v>243</v>
      </c>
      <c r="G141" s="1" t="s">
        <v>144</v>
      </c>
      <c r="H141" s="1">
        <v>21202</v>
      </c>
      <c r="I141" s="1" t="s">
        <v>532</v>
      </c>
      <c r="J141" s="1" t="s">
        <v>533</v>
      </c>
      <c r="K141" s="1" t="s">
        <v>205</v>
      </c>
      <c r="L141" s="1" t="s">
        <v>534</v>
      </c>
      <c r="M141" s="1" t="s">
        <v>65</v>
      </c>
      <c r="N141" s="1" t="s">
        <v>535</v>
      </c>
      <c r="O141" s="3">
        <v>36165000000000</v>
      </c>
      <c r="P141" s="1">
        <v>10231</v>
      </c>
      <c r="Q141" s="1">
        <v>73</v>
      </c>
      <c r="R141" s="1">
        <v>569</v>
      </c>
      <c r="S141" s="4">
        <v>0</v>
      </c>
      <c r="T141" s="4">
        <v>5.2824074074074067E-3</v>
      </c>
      <c r="U141" s="1">
        <v>7.12</v>
      </c>
      <c r="V141" s="1" t="s">
        <v>84</v>
      </c>
      <c r="W141" s="4">
        <v>0</v>
      </c>
      <c r="X141" s="2">
        <v>42372</v>
      </c>
      <c r="Y141" s="1">
        <v>250.36</v>
      </c>
      <c r="Z141" s="1" t="s">
        <v>72</v>
      </c>
      <c r="AA141" s="1" t="s">
        <v>80</v>
      </c>
      <c r="AB141" s="1" t="s">
        <v>74</v>
      </c>
      <c r="AC141" s="1" t="s">
        <v>98</v>
      </c>
      <c r="AD141" s="1" t="s">
        <v>110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1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1</v>
      </c>
      <c r="AU141" s="1">
        <v>0</v>
      </c>
      <c r="AV141" s="1">
        <v>1</v>
      </c>
      <c r="AW141" s="1">
        <v>0</v>
      </c>
      <c r="AX141" s="1">
        <v>0</v>
      </c>
      <c r="AY141" s="1">
        <v>0</v>
      </c>
      <c r="AZ141" s="1">
        <v>1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1</v>
      </c>
      <c r="BG141" s="1">
        <v>0</v>
      </c>
      <c r="BH141" s="1">
        <f>SUM(sdata[[#This Row],[Baby Food]:[Spices]])</f>
        <v>5</v>
      </c>
      <c r="BI141"/>
    </row>
    <row r="142" spans="1:61" x14ac:dyDescent="0.3">
      <c r="A142" s="1" t="s">
        <v>507</v>
      </c>
      <c r="B142" s="1" t="s">
        <v>529</v>
      </c>
      <c r="C142" s="1" t="s">
        <v>154</v>
      </c>
      <c r="D142" s="1" t="s">
        <v>530</v>
      </c>
      <c r="E142" s="1" t="s">
        <v>531</v>
      </c>
      <c r="F142" s="1" t="s">
        <v>243</v>
      </c>
      <c r="G142" s="1" t="s">
        <v>144</v>
      </c>
      <c r="H142" s="1">
        <v>21202</v>
      </c>
      <c r="I142" s="1" t="s">
        <v>532</v>
      </c>
      <c r="J142" s="1" t="s">
        <v>533</v>
      </c>
      <c r="K142" s="1" t="s">
        <v>205</v>
      </c>
      <c r="L142" s="1" t="s">
        <v>534</v>
      </c>
      <c r="M142" s="1" t="s">
        <v>65</v>
      </c>
      <c r="N142" s="1" t="s">
        <v>535</v>
      </c>
      <c r="O142" s="3">
        <v>36774400000000</v>
      </c>
      <c r="P142" s="1">
        <v>10231</v>
      </c>
      <c r="Q142" s="1">
        <v>73</v>
      </c>
      <c r="R142" s="1">
        <v>1479</v>
      </c>
      <c r="S142" s="4">
        <v>3.2928240740740737E-2</v>
      </c>
      <c r="T142" s="4">
        <v>3.2932870370370369E-2</v>
      </c>
      <c r="U142" s="1">
        <v>13.7</v>
      </c>
      <c r="V142" s="1" t="s">
        <v>309</v>
      </c>
      <c r="W142" s="4">
        <v>3.2928240740740737E-2</v>
      </c>
      <c r="X142" s="2">
        <v>42498</v>
      </c>
      <c r="Y142" s="1">
        <v>181.03</v>
      </c>
      <c r="Z142" s="1" t="s">
        <v>72</v>
      </c>
      <c r="AA142" s="1" t="s">
        <v>80</v>
      </c>
      <c r="AB142" s="1" t="s">
        <v>74</v>
      </c>
      <c r="AC142" s="1" t="s">
        <v>98</v>
      </c>
      <c r="AD142" s="1" t="s">
        <v>110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1</v>
      </c>
      <c r="AN142" s="1">
        <v>1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1</v>
      </c>
      <c r="AW142" s="1">
        <v>0</v>
      </c>
      <c r="AX142" s="1">
        <v>0</v>
      </c>
      <c r="AY142" s="1">
        <v>0</v>
      </c>
      <c r="AZ142" s="1">
        <v>1</v>
      </c>
      <c r="BA142" s="1">
        <v>0</v>
      </c>
      <c r="BB142" s="1">
        <v>0</v>
      </c>
      <c r="BC142" s="1">
        <v>0</v>
      </c>
      <c r="BD142" s="1">
        <v>1</v>
      </c>
      <c r="BE142" s="1">
        <v>0</v>
      </c>
      <c r="BF142" s="1">
        <v>1</v>
      </c>
      <c r="BG142" s="1">
        <v>0</v>
      </c>
      <c r="BH142" s="1">
        <f>SUM(sdata[[#This Row],[Baby Food]:[Spices]])</f>
        <v>7</v>
      </c>
      <c r="BI142"/>
    </row>
    <row r="143" spans="1:61" x14ac:dyDescent="0.3">
      <c r="A143" s="1" t="s">
        <v>536</v>
      </c>
      <c r="B143" s="1" t="s">
        <v>537</v>
      </c>
      <c r="C143" s="1" t="s">
        <v>154</v>
      </c>
      <c r="D143" s="1" t="s">
        <v>538</v>
      </c>
      <c r="E143" s="1" t="s">
        <v>531</v>
      </c>
      <c r="F143" s="1" t="s">
        <v>243</v>
      </c>
      <c r="G143" s="1" t="s">
        <v>144</v>
      </c>
      <c r="H143" s="1">
        <v>21201</v>
      </c>
      <c r="I143" s="1" t="s">
        <v>539</v>
      </c>
      <c r="J143" s="1" t="s">
        <v>540</v>
      </c>
      <c r="K143" s="1" t="s">
        <v>205</v>
      </c>
      <c r="L143" s="1" t="s">
        <v>197</v>
      </c>
      <c r="M143" s="1" t="s">
        <v>118</v>
      </c>
      <c r="N143" s="1" t="s">
        <v>541</v>
      </c>
      <c r="O143" s="3">
        <v>36810400000000</v>
      </c>
      <c r="P143" s="1">
        <v>10235</v>
      </c>
      <c r="Q143" s="1" t="s">
        <v>96</v>
      </c>
      <c r="R143" s="1">
        <v>1511</v>
      </c>
      <c r="S143" s="4">
        <v>0</v>
      </c>
      <c r="T143" s="4">
        <v>1.9393518518518518E-2</v>
      </c>
      <c r="U143" s="1">
        <v>33.85</v>
      </c>
      <c r="V143" s="1" t="s">
        <v>192</v>
      </c>
      <c r="W143" s="4">
        <v>0</v>
      </c>
      <c r="X143" s="2">
        <v>42652</v>
      </c>
      <c r="Y143" s="1">
        <v>31.51</v>
      </c>
      <c r="Z143" s="1" t="s">
        <v>72</v>
      </c>
      <c r="AA143" s="1" t="s">
        <v>73</v>
      </c>
      <c r="AB143" s="1" t="s">
        <v>109</v>
      </c>
      <c r="AC143" s="1" t="s">
        <v>81</v>
      </c>
      <c r="AD143" s="1" t="s">
        <v>99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1</v>
      </c>
      <c r="AP143" s="1">
        <v>0</v>
      </c>
      <c r="AQ143" s="1">
        <v>1</v>
      </c>
      <c r="AR143" s="1">
        <v>1</v>
      </c>
      <c r="AS143" s="1">
        <v>0</v>
      </c>
      <c r="AT143" s="1">
        <v>0</v>
      </c>
      <c r="AU143" s="1">
        <v>1</v>
      </c>
      <c r="AV143" s="1">
        <v>0</v>
      </c>
      <c r="AW143" s="1">
        <v>0</v>
      </c>
      <c r="AX143" s="1">
        <v>0</v>
      </c>
      <c r="AY143" s="1">
        <v>1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f>SUM(sdata[[#This Row],[Baby Food]:[Spices]])</f>
        <v>5</v>
      </c>
      <c r="BI143"/>
    </row>
    <row r="144" spans="1:61" x14ac:dyDescent="0.3">
      <c r="A144" s="1" t="s">
        <v>536</v>
      </c>
      <c r="B144" s="1" t="s">
        <v>537</v>
      </c>
      <c r="C144" s="1" t="s">
        <v>154</v>
      </c>
      <c r="D144" s="1" t="s">
        <v>538</v>
      </c>
      <c r="E144" s="1" t="s">
        <v>531</v>
      </c>
      <c r="F144" s="1" t="s">
        <v>243</v>
      </c>
      <c r="G144" s="1" t="s">
        <v>144</v>
      </c>
      <c r="H144" s="1">
        <v>21201</v>
      </c>
      <c r="I144" s="1" t="s">
        <v>539</v>
      </c>
      <c r="J144" s="1" t="s">
        <v>540</v>
      </c>
      <c r="K144" s="1" t="s">
        <v>205</v>
      </c>
      <c r="L144" s="1" t="s">
        <v>197</v>
      </c>
      <c r="M144" s="1" t="s">
        <v>118</v>
      </c>
      <c r="N144" s="1" t="s">
        <v>541</v>
      </c>
      <c r="O144" s="3">
        <v>36432000000000</v>
      </c>
      <c r="P144" s="1">
        <v>10235</v>
      </c>
      <c r="Q144" s="1" t="s">
        <v>96</v>
      </c>
      <c r="R144" s="1">
        <v>4669</v>
      </c>
      <c r="S144" s="4">
        <v>0</v>
      </c>
      <c r="T144" s="4">
        <v>3.5241898148148147E-2</v>
      </c>
      <c r="U144" s="1">
        <v>18.45</v>
      </c>
      <c r="V144" s="1" t="s">
        <v>413</v>
      </c>
      <c r="W144" s="4">
        <v>0</v>
      </c>
      <c r="X144" s="2">
        <v>42650</v>
      </c>
      <c r="Y144" s="1">
        <v>48.23</v>
      </c>
      <c r="Z144" s="1" t="s">
        <v>72</v>
      </c>
      <c r="AA144" s="1" t="s">
        <v>80</v>
      </c>
      <c r="AB144" s="1" t="s">
        <v>109</v>
      </c>
      <c r="AC144" s="1" t="s">
        <v>81</v>
      </c>
      <c r="AD144" s="1" t="s">
        <v>99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1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f>SUM(sdata[[#This Row],[Baby Food]:[Spices]])</f>
        <v>1</v>
      </c>
      <c r="BI144"/>
    </row>
    <row r="145" spans="1:61" x14ac:dyDescent="0.3">
      <c r="A145" s="1" t="s">
        <v>542</v>
      </c>
      <c r="B145" s="1" t="s">
        <v>543</v>
      </c>
      <c r="C145" s="1" t="s">
        <v>154</v>
      </c>
      <c r="D145" s="1" t="s">
        <v>544</v>
      </c>
      <c r="E145" s="1" t="s">
        <v>545</v>
      </c>
      <c r="F145" s="1" t="s">
        <v>364</v>
      </c>
      <c r="G145" s="1" t="s">
        <v>303</v>
      </c>
      <c r="H145" s="1">
        <v>2486</v>
      </c>
      <c r="I145" s="1" t="s">
        <v>546</v>
      </c>
      <c r="J145" s="1" t="s">
        <v>547</v>
      </c>
      <c r="K145" s="1" t="s">
        <v>68</v>
      </c>
      <c r="L145" s="1" t="s">
        <v>308</v>
      </c>
      <c r="M145" s="1" t="s">
        <v>118</v>
      </c>
      <c r="N145" s="1" t="s">
        <v>548</v>
      </c>
      <c r="O145" s="3">
        <v>5167670000000000</v>
      </c>
      <c r="P145" s="1">
        <v>10239</v>
      </c>
      <c r="Q145" s="1">
        <v>42</v>
      </c>
      <c r="R145" s="1">
        <v>5977</v>
      </c>
      <c r="S145" s="4">
        <v>0</v>
      </c>
      <c r="T145" s="4">
        <v>2.5519675925925925E-2</v>
      </c>
      <c r="U145" s="1">
        <v>9.51</v>
      </c>
      <c r="V145" s="1" t="s">
        <v>430</v>
      </c>
      <c r="W145" s="4">
        <v>0</v>
      </c>
      <c r="X145" s="2">
        <v>42571</v>
      </c>
      <c r="Y145" s="1">
        <v>32.99</v>
      </c>
      <c r="Z145" s="1" t="s">
        <v>72</v>
      </c>
      <c r="AA145" s="1" t="s">
        <v>73</v>
      </c>
      <c r="AB145" s="1" t="s">
        <v>109</v>
      </c>
      <c r="AC145" s="1" t="s">
        <v>81</v>
      </c>
      <c r="AD145" s="1" t="s">
        <v>151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1</v>
      </c>
      <c r="AP145" s="1">
        <v>0</v>
      </c>
      <c r="AQ145" s="1">
        <v>1</v>
      </c>
      <c r="AR145" s="1">
        <v>0</v>
      </c>
      <c r="AS145" s="1">
        <v>0</v>
      </c>
      <c r="AT145" s="1">
        <v>0</v>
      </c>
      <c r="AU145" s="1">
        <v>1</v>
      </c>
      <c r="AV145" s="1">
        <v>0</v>
      </c>
      <c r="AW145" s="1">
        <v>0</v>
      </c>
      <c r="AX145" s="1">
        <v>0</v>
      </c>
      <c r="AY145" s="1">
        <v>1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f>SUM(sdata[[#This Row],[Baby Food]:[Spices]])</f>
        <v>4</v>
      </c>
      <c r="BI145"/>
    </row>
    <row r="146" spans="1:61" x14ac:dyDescent="0.3">
      <c r="A146" s="1" t="s">
        <v>549</v>
      </c>
      <c r="B146" s="1" t="s">
        <v>550</v>
      </c>
      <c r="C146" s="1" t="s">
        <v>154</v>
      </c>
      <c r="D146" s="1" t="s">
        <v>551</v>
      </c>
      <c r="E146" s="1" t="s">
        <v>552</v>
      </c>
      <c r="F146" s="1" t="s">
        <v>553</v>
      </c>
      <c r="G146" s="1" t="s">
        <v>144</v>
      </c>
      <c r="H146" s="1">
        <v>29812</v>
      </c>
      <c r="I146" s="1" t="s">
        <v>554</v>
      </c>
      <c r="J146" s="1" t="s">
        <v>555</v>
      </c>
      <c r="K146" s="1" t="s">
        <v>92</v>
      </c>
      <c r="L146" s="1" t="s">
        <v>248</v>
      </c>
      <c r="M146" s="1" t="s">
        <v>254</v>
      </c>
      <c r="N146" s="1">
        <v>391138112</v>
      </c>
      <c r="O146" s="3">
        <v>4770340000000000</v>
      </c>
      <c r="P146" s="1">
        <v>10243</v>
      </c>
      <c r="Q146" s="1">
        <v>48</v>
      </c>
      <c r="R146" s="1">
        <v>8013</v>
      </c>
      <c r="S146" s="4">
        <v>0</v>
      </c>
      <c r="T146" s="4">
        <v>1.5701388888888886E-2</v>
      </c>
      <c r="U146" s="1">
        <v>2.87</v>
      </c>
      <c r="V146" s="1" t="s">
        <v>351</v>
      </c>
      <c r="W146" s="4">
        <v>0</v>
      </c>
      <c r="X146" s="2">
        <v>42617</v>
      </c>
      <c r="Y146" s="1">
        <v>41.89</v>
      </c>
      <c r="Z146" s="1" t="s">
        <v>126</v>
      </c>
      <c r="AA146" s="1" t="s">
        <v>73</v>
      </c>
      <c r="AB146" s="1" t="s">
        <v>109</v>
      </c>
      <c r="AC146" s="1" t="s">
        <v>81</v>
      </c>
      <c r="AD146" s="1" t="s">
        <v>151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f>SUM(sdata[[#This Row],[Baby Food]:[Spices]])</f>
        <v>1</v>
      </c>
      <c r="BI146"/>
    </row>
    <row r="147" spans="1:61" x14ac:dyDescent="0.3">
      <c r="A147" s="1" t="s">
        <v>139</v>
      </c>
      <c r="B147" s="1" t="s">
        <v>556</v>
      </c>
      <c r="C147" s="1" t="s">
        <v>61</v>
      </c>
      <c r="D147" s="1" t="s">
        <v>557</v>
      </c>
      <c r="E147" s="1" t="s">
        <v>558</v>
      </c>
      <c r="G147" s="1" t="s">
        <v>89</v>
      </c>
      <c r="H147" s="1">
        <v>22885</v>
      </c>
      <c r="I147" s="1" t="s">
        <v>559</v>
      </c>
      <c r="J147" s="1" t="s">
        <v>560</v>
      </c>
      <c r="K147" s="1" t="s">
        <v>121</v>
      </c>
      <c r="L147" s="1" t="s">
        <v>192</v>
      </c>
      <c r="M147" s="1" t="s">
        <v>70</v>
      </c>
      <c r="N147" s="1">
        <v>441590001</v>
      </c>
      <c r="O147" s="3">
        <v>6011000000000000</v>
      </c>
      <c r="P147" s="1">
        <v>10247</v>
      </c>
      <c r="Q147" s="1">
        <v>40</v>
      </c>
      <c r="R147" s="1">
        <v>1401</v>
      </c>
      <c r="S147" s="4">
        <v>0</v>
      </c>
      <c r="T147" s="4">
        <v>1.9386574074074073E-2</v>
      </c>
      <c r="U147" s="1">
        <v>8.15</v>
      </c>
      <c r="V147" s="1" t="s">
        <v>258</v>
      </c>
      <c r="W147" s="4">
        <v>0</v>
      </c>
      <c r="X147" s="2">
        <v>42651</v>
      </c>
      <c r="Y147" s="1">
        <v>100.5</v>
      </c>
      <c r="Z147" s="1" t="s">
        <v>78</v>
      </c>
      <c r="AA147" s="1" t="s">
        <v>73</v>
      </c>
      <c r="AB147" s="1" t="s">
        <v>109</v>
      </c>
      <c r="AC147" s="1" t="s">
        <v>81</v>
      </c>
      <c r="AD147" s="1" t="s">
        <v>76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1</v>
      </c>
      <c r="AP147" s="1">
        <v>0</v>
      </c>
      <c r="AQ147" s="1">
        <v>1</v>
      </c>
      <c r="AR147" s="1">
        <v>0</v>
      </c>
      <c r="AS147" s="1">
        <v>0</v>
      </c>
      <c r="AT147" s="1">
        <v>0</v>
      </c>
      <c r="AU147" s="1">
        <v>1</v>
      </c>
      <c r="AV147" s="1">
        <v>0</v>
      </c>
      <c r="AW147" s="1">
        <v>0</v>
      </c>
      <c r="AX147" s="1">
        <v>0</v>
      </c>
      <c r="AY147" s="1">
        <v>1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f>SUM(sdata[[#This Row],[Baby Food]:[Spices]])</f>
        <v>4</v>
      </c>
      <c r="BI147"/>
    </row>
    <row r="148" spans="1:61" x14ac:dyDescent="0.3">
      <c r="A148" s="1" t="s">
        <v>561</v>
      </c>
      <c r="B148" s="1" t="s">
        <v>562</v>
      </c>
      <c r="C148" s="1" t="s">
        <v>61</v>
      </c>
      <c r="D148" s="1" t="s">
        <v>563</v>
      </c>
      <c r="E148" s="1" t="s">
        <v>564</v>
      </c>
      <c r="F148" s="1" t="s">
        <v>565</v>
      </c>
      <c r="G148" s="1" t="s">
        <v>65</v>
      </c>
      <c r="H148" s="1">
        <v>7020</v>
      </c>
      <c r="I148" s="1" t="s">
        <v>566</v>
      </c>
      <c r="J148" s="1" t="s">
        <v>567</v>
      </c>
      <c r="K148" s="1" t="s">
        <v>92</v>
      </c>
      <c r="L148" s="1" t="s">
        <v>82</v>
      </c>
      <c r="M148" s="1" t="s">
        <v>411</v>
      </c>
      <c r="N148" s="1" t="s">
        <v>568</v>
      </c>
      <c r="O148" s="3">
        <v>4907840000000000</v>
      </c>
      <c r="P148" s="1">
        <v>10251</v>
      </c>
      <c r="Q148" s="1">
        <v>52</v>
      </c>
      <c r="R148" s="1">
        <v>4555</v>
      </c>
      <c r="S148" s="4">
        <v>0</v>
      </c>
      <c r="T148" s="4">
        <v>1.7784722222222223E-2</v>
      </c>
      <c r="U148" s="1">
        <v>12</v>
      </c>
      <c r="V148" s="1" t="s">
        <v>217</v>
      </c>
      <c r="W148" s="4">
        <v>0</v>
      </c>
      <c r="X148" s="2">
        <v>42459</v>
      </c>
      <c r="Y148" s="1">
        <v>50.43</v>
      </c>
      <c r="Z148" s="1" t="s">
        <v>72</v>
      </c>
      <c r="AA148" s="1" t="s">
        <v>73</v>
      </c>
      <c r="AB148" s="1" t="s">
        <v>109</v>
      </c>
      <c r="AC148" s="1" t="s">
        <v>81</v>
      </c>
      <c r="AD148" s="1" t="s">
        <v>110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1</v>
      </c>
      <c r="AP148" s="1">
        <v>0</v>
      </c>
      <c r="AQ148" s="1">
        <v>1</v>
      </c>
      <c r="AR148" s="1">
        <v>1</v>
      </c>
      <c r="AS148" s="1">
        <v>0</v>
      </c>
      <c r="AT148" s="1">
        <v>0</v>
      </c>
      <c r="AU148" s="1">
        <v>1</v>
      </c>
      <c r="AV148" s="1">
        <v>0</v>
      </c>
      <c r="AW148" s="1">
        <v>0</v>
      </c>
      <c r="AX148" s="1">
        <v>0</v>
      </c>
      <c r="AY148" s="1">
        <v>1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f>SUM(sdata[[#This Row],[Baby Food]:[Spices]])</f>
        <v>5</v>
      </c>
      <c r="BI148"/>
    </row>
    <row r="149" spans="1:61" x14ac:dyDescent="0.3">
      <c r="A149" s="1" t="s">
        <v>561</v>
      </c>
      <c r="B149" s="1" t="s">
        <v>562</v>
      </c>
      <c r="C149" s="1" t="s">
        <v>61</v>
      </c>
      <c r="D149" s="1" t="s">
        <v>563</v>
      </c>
      <c r="E149" s="1" t="s">
        <v>569</v>
      </c>
      <c r="F149" s="1" t="s">
        <v>565</v>
      </c>
      <c r="G149" s="1" t="s">
        <v>65</v>
      </c>
      <c r="H149" s="1">
        <v>7020</v>
      </c>
      <c r="I149" s="1" t="s">
        <v>566</v>
      </c>
      <c r="J149" s="1" t="s">
        <v>567</v>
      </c>
      <c r="K149" s="1" t="s">
        <v>92</v>
      </c>
      <c r="L149" s="1" t="s">
        <v>82</v>
      </c>
      <c r="M149" s="1" t="s">
        <v>411</v>
      </c>
      <c r="N149" s="1" t="s">
        <v>568</v>
      </c>
      <c r="O149" s="3">
        <v>4902780000000000</v>
      </c>
      <c r="P149" s="1">
        <v>10251</v>
      </c>
      <c r="Q149" s="1">
        <v>52</v>
      </c>
      <c r="R149" s="1">
        <v>6092</v>
      </c>
      <c r="S149" s="4">
        <v>0</v>
      </c>
      <c r="T149" s="4">
        <v>2.3803240740740739E-2</v>
      </c>
      <c r="U149" s="1">
        <v>22.5</v>
      </c>
      <c r="V149" s="1" t="s">
        <v>230</v>
      </c>
      <c r="W149" s="4">
        <v>0</v>
      </c>
      <c r="X149" s="2">
        <v>42622</v>
      </c>
      <c r="Y149" s="1">
        <v>39</v>
      </c>
      <c r="Z149" s="1" t="s">
        <v>72</v>
      </c>
      <c r="AA149" s="1" t="s">
        <v>73</v>
      </c>
      <c r="AB149" s="1" t="s">
        <v>109</v>
      </c>
      <c r="AC149" s="1" t="s">
        <v>81</v>
      </c>
      <c r="AD149" s="1" t="s">
        <v>110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1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f>SUM(sdata[[#This Row],[Baby Food]:[Spices]])</f>
        <v>1</v>
      </c>
      <c r="BI149"/>
    </row>
    <row r="150" spans="1:61" x14ac:dyDescent="0.3">
      <c r="A150" s="1" t="s">
        <v>561</v>
      </c>
      <c r="B150" s="1" t="s">
        <v>562</v>
      </c>
      <c r="C150" s="1" t="s">
        <v>61</v>
      </c>
      <c r="D150" s="1" t="s">
        <v>563</v>
      </c>
      <c r="E150" s="1" t="s">
        <v>569</v>
      </c>
      <c r="F150" s="1" t="s">
        <v>565</v>
      </c>
      <c r="G150" s="1" t="s">
        <v>65</v>
      </c>
      <c r="H150" s="1">
        <v>7020</v>
      </c>
      <c r="I150" s="1" t="s">
        <v>566</v>
      </c>
      <c r="J150" s="1" t="s">
        <v>567</v>
      </c>
      <c r="K150" s="1" t="s">
        <v>92</v>
      </c>
      <c r="L150" s="1" t="s">
        <v>82</v>
      </c>
      <c r="M150" s="1" t="s">
        <v>411</v>
      </c>
      <c r="N150" s="1" t="s">
        <v>568</v>
      </c>
      <c r="O150" s="3">
        <v>4702330000000000</v>
      </c>
      <c r="P150" s="1">
        <v>10251</v>
      </c>
      <c r="Q150" s="1">
        <v>52</v>
      </c>
      <c r="R150" s="1">
        <v>6612</v>
      </c>
      <c r="S150" s="4">
        <v>0</v>
      </c>
      <c r="T150" s="4">
        <v>1.9393518518518518E-2</v>
      </c>
      <c r="U150" s="1">
        <v>13.7</v>
      </c>
      <c r="V150" s="1" t="s">
        <v>289</v>
      </c>
      <c r="W150" s="4">
        <v>0</v>
      </c>
      <c r="X150" s="2">
        <v>42649</v>
      </c>
      <c r="Y150" s="1">
        <v>42.8</v>
      </c>
      <c r="Z150" s="1" t="s">
        <v>72</v>
      </c>
      <c r="AA150" s="1" t="s">
        <v>73</v>
      </c>
      <c r="AB150" s="1" t="s">
        <v>109</v>
      </c>
      <c r="AC150" s="1" t="s">
        <v>81</v>
      </c>
      <c r="AD150" s="1" t="s">
        <v>110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1</v>
      </c>
      <c r="AP150" s="1">
        <v>0</v>
      </c>
      <c r="AQ150" s="1">
        <v>1</v>
      </c>
      <c r="AR150" s="1">
        <v>1</v>
      </c>
      <c r="AS150" s="1">
        <v>0</v>
      </c>
      <c r="AT150" s="1">
        <v>0</v>
      </c>
      <c r="AU150" s="1">
        <v>1</v>
      </c>
      <c r="AV150" s="1">
        <v>0</v>
      </c>
      <c r="AW150" s="1">
        <v>0</v>
      </c>
      <c r="AX150" s="1">
        <v>0</v>
      </c>
      <c r="AY150" s="1">
        <v>1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f>SUM(sdata[[#This Row],[Baby Food]:[Spices]])</f>
        <v>5</v>
      </c>
      <c r="BI150"/>
    </row>
    <row r="151" spans="1:61" x14ac:dyDescent="0.3">
      <c r="A151" s="1" t="s">
        <v>570</v>
      </c>
      <c r="B151" s="1" t="s">
        <v>571</v>
      </c>
      <c r="C151" s="1" t="s">
        <v>61</v>
      </c>
      <c r="D151" s="1" t="s">
        <v>572</v>
      </c>
      <c r="E151" s="1" t="s">
        <v>573</v>
      </c>
      <c r="F151" s="1" t="s">
        <v>224</v>
      </c>
      <c r="G151" s="1" t="s">
        <v>144</v>
      </c>
      <c r="H151" s="1">
        <v>70806</v>
      </c>
      <c r="I151" s="1" t="s">
        <v>574</v>
      </c>
      <c r="J151" s="1" t="s">
        <v>575</v>
      </c>
      <c r="K151" s="1" t="s">
        <v>92</v>
      </c>
      <c r="L151" s="1" t="s">
        <v>576</v>
      </c>
      <c r="M151" s="1" t="s">
        <v>107</v>
      </c>
      <c r="N151" s="3">
        <v>739000000000000</v>
      </c>
      <c r="O151" s="3">
        <v>4784850000000000</v>
      </c>
      <c r="P151" s="1">
        <v>10259</v>
      </c>
      <c r="Q151" s="1">
        <v>24</v>
      </c>
      <c r="R151" s="1">
        <v>1784</v>
      </c>
      <c r="S151" s="4">
        <v>0</v>
      </c>
      <c r="T151" s="4">
        <v>3.3247685185185186E-2</v>
      </c>
      <c r="U151" s="1">
        <v>9.2200000000000006</v>
      </c>
      <c r="V151" s="1" t="s">
        <v>198</v>
      </c>
      <c r="W151" s="4">
        <v>0</v>
      </c>
      <c r="X151" s="2">
        <v>42485</v>
      </c>
      <c r="Y151" s="1">
        <v>288.95</v>
      </c>
      <c r="Z151" s="1" t="s">
        <v>112</v>
      </c>
      <c r="AA151" s="1" t="s">
        <v>73</v>
      </c>
      <c r="AB151" s="1" t="s">
        <v>97</v>
      </c>
      <c r="AC151" s="1" t="s">
        <v>98</v>
      </c>
      <c r="AD151" s="1" t="s">
        <v>76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1</v>
      </c>
      <c r="AU151" s="1">
        <v>0</v>
      </c>
      <c r="AV151" s="1">
        <v>0</v>
      </c>
      <c r="AW151" s="1">
        <v>1</v>
      </c>
      <c r="AX151" s="1">
        <v>0</v>
      </c>
      <c r="AY151" s="1">
        <v>0</v>
      </c>
      <c r="AZ151" s="1">
        <v>1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</v>
      </c>
      <c r="BG151" s="1">
        <v>0</v>
      </c>
      <c r="BH151" s="1">
        <f>SUM(sdata[[#This Row],[Baby Food]:[Spices]])</f>
        <v>5</v>
      </c>
      <c r="BI151"/>
    </row>
    <row r="152" spans="1:61" x14ac:dyDescent="0.3">
      <c r="A152" s="1" t="s">
        <v>570</v>
      </c>
      <c r="B152" s="1" t="s">
        <v>571</v>
      </c>
      <c r="C152" s="1" t="s">
        <v>61</v>
      </c>
      <c r="D152" s="1" t="s">
        <v>572</v>
      </c>
      <c r="E152" s="1" t="s">
        <v>573</v>
      </c>
      <c r="F152" s="1" t="s">
        <v>224</v>
      </c>
      <c r="G152" s="1" t="s">
        <v>144</v>
      </c>
      <c r="H152" s="1">
        <v>70806</v>
      </c>
      <c r="I152" s="1" t="s">
        <v>574</v>
      </c>
      <c r="J152" s="1" t="s">
        <v>575</v>
      </c>
      <c r="K152" s="1" t="s">
        <v>92</v>
      </c>
      <c r="L152" s="1" t="s">
        <v>576</v>
      </c>
      <c r="M152" s="1" t="s">
        <v>107</v>
      </c>
      <c r="N152" s="3">
        <v>739000000000000</v>
      </c>
      <c r="O152" s="3">
        <v>4454480000000000</v>
      </c>
      <c r="P152" s="1">
        <v>10259</v>
      </c>
      <c r="Q152" s="1">
        <v>24</v>
      </c>
      <c r="R152" s="1">
        <v>8175</v>
      </c>
      <c r="S152" s="4">
        <v>0</v>
      </c>
      <c r="T152" s="4">
        <v>2.7155092592592592E-2</v>
      </c>
      <c r="U152" s="1">
        <v>6.87</v>
      </c>
      <c r="V152" s="1" t="s">
        <v>577</v>
      </c>
      <c r="W152" s="4">
        <v>0</v>
      </c>
      <c r="X152" s="2">
        <v>42456</v>
      </c>
      <c r="Y152" s="1">
        <v>16.940000000000001</v>
      </c>
      <c r="Z152" s="1" t="s">
        <v>126</v>
      </c>
      <c r="AA152" s="1" t="s">
        <v>73</v>
      </c>
      <c r="AB152" s="1" t="s">
        <v>97</v>
      </c>
      <c r="AC152" s="1" t="s">
        <v>81</v>
      </c>
      <c r="AD152" s="1" t="s">
        <v>76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1</v>
      </c>
      <c r="AP152" s="1">
        <v>0</v>
      </c>
      <c r="AQ152" s="1">
        <v>1</v>
      </c>
      <c r="AR152" s="1">
        <v>1</v>
      </c>
      <c r="AS152" s="1">
        <v>0</v>
      </c>
      <c r="AT152" s="1">
        <v>0</v>
      </c>
      <c r="AU152" s="1">
        <v>1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f>SUM(sdata[[#This Row],[Baby Food]:[Spices]])</f>
        <v>4</v>
      </c>
      <c r="BI152"/>
    </row>
    <row r="153" spans="1:61" x14ac:dyDescent="0.3">
      <c r="A153" s="1" t="s">
        <v>578</v>
      </c>
      <c r="B153" s="1" t="s">
        <v>101</v>
      </c>
      <c r="C153" s="1" t="s">
        <v>61</v>
      </c>
      <c r="D153" s="1" t="s">
        <v>579</v>
      </c>
      <c r="E153" s="1" t="s">
        <v>580</v>
      </c>
      <c r="G153" s="1" t="s">
        <v>118</v>
      </c>
      <c r="H153" s="1">
        <v>20200</v>
      </c>
      <c r="I153" s="1" t="s">
        <v>581</v>
      </c>
      <c r="J153" s="1" t="s">
        <v>582</v>
      </c>
      <c r="K153" s="1" t="s">
        <v>121</v>
      </c>
      <c r="L153" s="1" t="s">
        <v>281</v>
      </c>
      <c r="M153" s="1" t="s">
        <v>107</v>
      </c>
      <c r="N153" s="3">
        <v>163000000000000</v>
      </c>
      <c r="O153" s="3">
        <v>6011770000000000</v>
      </c>
      <c r="P153" s="1">
        <v>10263</v>
      </c>
      <c r="Q153" s="1">
        <v>69</v>
      </c>
      <c r="R153" s="1">
        <v>6966</v>
      </c>
      <c r="S153" s="4">
        <v>0</v>
      </c>
      <c r="T153" s="4">
        <v>3.3282407407407406E-2</v>
      </c>
      <c r="U153" s="1">
        <v>8.99</v>
      </c>
      <c r="V153" s="1" t="s">
        <v>306</v>
      </c>
      <c r="W153" s="4">
        <v>0</v>
      </c>
      <c r="X153" s="2">
        <v>42489</v>
      </c>
      <c r="Y153" s="1">
        <v>192.48</v>
      </c>
      <c r="Z153" s="1" t="s">
        <v>72</v>
      </c>
      <c r="AA153" s="1" t="s">
        <v>80</v>
      </c>
      <c r="AB153" s="1" t="s">
        <v>74</v>
      </c>
      <c r="AC153" s="1" t="s">
        <v>98</v>
      </c>
      <c r="AD153" s="1" t="s">
        <v>110</v>
      </c>
      <c r="AE153" s="1">
        <v>0</v>
      </c>
      <c r="AF153" s="1">
        <v>0</v>
      </c>
      <c r="AG153" s="1">
        <v>1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1</v>
      </c>
      <c r="BA153" s="1">
        <v>0</v>
      </c>
      <c r="BB153" s="1">
        <v>0</v>
      </c>
      <c r="BC153" s="1">
        <v>0</v>
      </c>
      <c r="BD153" s="1">
        <v>1</v>
      </c>
      <c r="BE153" s="1">
        <v>0</v>
      </c>
      <c r="BF153" s="1">
        <v>1</v>
      </c>
      <c r="BG153" s="1">
        <v>1</v>
      </c>
      <c r="BH153" s="1">
        <f>SUM(sdata[[#This Row],[Baby Food]:[Spices]])</f>
        <v>6</v>
      </c>
      <c r="BI153"/>
    </row>
    <row r="154" spans="1:61" x14ac:dyDescent="0.3">
      <c r="A154" s="1" t="s">
        <v>583</v>
      </c>
      <c r="B154" s="1" t="s">
        <v>584</v>
      </c>
      <c r="C154" s="1" t="s">
        <v>154</v>
      </c>
      <c r="D154" s="1" t="s">
        <v>585</v>
      </c>
      <c r="E154" s="1" t="s">
        <v>586</v>
      </c>
      <c r="F154" s="1" t="s">
        <v>587</v>
      </c>
      <c r="G154" s="1" t="s">
        <v>144</v>
      </c>
      <c r="H154" s="1">
        <v>58622</v>
      </c>
      <c r="I154" s="1" t="s">
        <v>588</v>
      </c>
      <c r="J154" s="1" t="s">
        <v>589</v>
      </c>
      <c r="K154" s="1" t="s">
        <v>147</v>
      </c>
      <c r="L154" s="1" t="s">
        <v>590</v>
      </c>
      <c r="M154" s="1" t="s">
        <v>107</v>
      </c>
      <c r="N154" s="3">
        <v>215000000000000</v>
      </c>
      <c r="O154" s="3">
        <v>344896000000000</v>
      </c>
      <c r="P154" s="1">
        <v>10271</v>
      </c>
      <c r="Q154" s="1">
        <v>31</v>
      </c>
      <c r="R154" s="1">
        <v>5712</v>
      </c>
      <c r="S154" s="4">
        <v>0</v>
      </c>
      <c r="T154" s="4">
        <v>4.0797453703703704E-2</v>
      </c>
      <c r="U154" s="1">
        <v>50</v>
      </c>
      <c r="V154" s="1" t="s">
        <v>278</v>
      </c>
      <c r="W154" s="4">
        <v>0</v>
      </c>
      <c r="X154" s="2">
        <v>42648</v>
      </c>
      <c r="Y154" s="1">
        <v>46.48</v>
      </c>
      <c r="Z154" s="1" t="s">
        <v>72</v>
      </c>
      <c r="AA154" s="1" t="s">
        <v>73</v>
      </c>
      <c r="AB154" s="1" t="s">
        <v>109</v>
      </c>
      <c r="AC154" s="1" t="s">
        <v>81</v>
      </c>
      <c r="AD154" s="1" t="s">
        <v>76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1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f>SUM(sdata[[#This Row],[Baby Food]:[Spices]])</f>
        <v>1</v>
      </c>
      <c r="BI154"/>
    </row>
    <row r="155" spans="1:61" x14ac:dyDescent="0.3">
      <c r="A155" s="1" t="s">
        <v>583</v>
      </c>
      <c r="B155" s="1" t="s">
        <v>584</v>
      </c>
      <c r="C155" s="1" t="s">
        <v>154</v>
      </c>
      <c r="D155" s="1" t="s">
        <v>585</v>
      </c>
      <c r="E155" s="1" t="s">
        <v>586</v>
      </c>
      <c r="F155" s="1" t="s">
        <v>587</v>
      </c>
      <c r="G155" s="1" t="s">
        <v>144</v>
      </c>
      <c r="H155" s="1">
        <v>58622</v>
      </c>
      <c r="I155" s="1" t="s">
        <v>588</v>
      </c>
      <c r="J155" s="1" t="s">
        <v>589</v>
      </c>
      <c r="K155" s="1" t="s">
        <v>147</v>
      </c>
      <c r="L155" s="1" t="s">
        <v>590</v>
      </c>
      <c r="M155" s="1" t="s">
        <v>107</v>
      </c>
      <c r="N155" s="3">
        <v>215000000000000</v>
      </c>
      <c r="O155" s="3">
        <v>375702000000000</v>
      </c>
      <c r="P155" s="1">
        <v>10271</v>
      </c>
      <c r="Q155" s="1">
        <v>31</v>
      </c>
      <c r="R155" s="1">
        <v>9180</v>
      </c>
      <c r="S155" s="4">
        <v>0</v>
      </c>
      <c r="T155" s="4">
        <v>5.2824074074074067E-3</v>
      </c>
      <c r="U155" s="1">
        <v>43.89</v>
      </c>
      <c r="V155" s="1" t="s">
        <v>83</v>
      </c>
      <c r="W155" s="4">
        <v>0</v>
      </c>
      <c r="X155" s="2">
        <v>42373</v>
      </c>
      <c r="Y155" s="1">
        <v>14.6</v>
      </c>
      <c r="Z155" s="1" t="s">
        <v>112</v>
      </c>
      <c r="AA155" s="1" t="s">
        <v>73</v>
      </c>
      <c r="AB155" s="1" t="s">
        <v>109</v>
      </c>
      <c r="AC155" s="1" t="s">
        <v>81</v>
      </c>
      <c r="AD155" s="1" t="s">
        <v>76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1</v>
      </c>
      <c r="AP155" s="1">
        <v>0</v>
      </c>
      <c r="AQ155" s="1">
        <v>0</v>
      </c>
      <c r="AR155" s="1">
        <v>1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f>SUM(sdata[[#This Row],[Baby Food]:[Spices]])</f>
        <v>2</v>
      </c>
      <c r="BI155"/>
    </row>
    <row r="156" spans="1:61" x14ac:dyDescent="0.3">
      <c r="A156" s="1" t="s">
        <v>336</v>
      </c>
      <c r="B156" s="1" t="s">
        <v>591</v>
      </c>
      <c r="C156" s="1" t="s">
        <v>61</v>
      </c>
      <c r="D156" s="1" t="s">
        <v>592</v>
      </c>
      <c r="E156" s="1" t="s">
        <v>593</v>
      </c>
      <c r="F156" s="1" t="s">
        <v>594</v>
      </c>
      <c r="G156" s="1" t="s">
        <v>144</v>
      </c>
      <c r="H156" s="1">
        <v>62220</v>
      </c>
      <c r="I156" s="1" t="s">
        <v>595</v>
      </c>
      <c r="J156" s="1" t="s">
        <v>596</v>
      </c>
      <c r="K156" s="1" t="s">
        <v>246</v>
      </c>
      <c r="L156" s="1" t="s">
        <v>452</v>
      </c>
      <c r="M156" s="1" t="s">
        <v>107</v>
      </c>
      <c r="N156" s="3">
        <v>229000000000000</v>
      </c>
      <c r="O156" s="3">
        <v>3528360000000000</v>
      </c>
      <c r="P156" s="1">
        <v>10275</v>
      </c>
      <c r="Q156" s="1">
        <v>76</v>
      </c>
      <c r="R156" s="1">
        <v>1998</v>
      </c>
      <c r="S156" s="4">
        <v>0</v>
      </c>
      <c r="T156" s="4">
        <v>9.6597222222222223E-3</v>
      </c>
      <c r="U156" s="1">
        <v>18.239999999999998</v>
      </c>
      <c r="V156" s="1" t="s">
        <v>280</v>
      </c>
      <c r="W156" s="4">
        <v>0</v>
      </c>
      <c r="X156" s="2">
        <v>42554</v>
      </c>
      <c r="Y156" s="1">
        <v>236.03</v>
      </c>
      <c r="Z156" s="1" t="s">
        <v>72</v>
      </c>
      <c r="AA156" s="1" t="s">
        <v>80</v>
      </c>
      <c r="AB156" s="1" t="s">
        <v>109</v>
      </c>
      <c r="AC156" s="1" t="s">
        <v>98</v>
      </c>
      <c r="AD156" s="1" t="s">
        <v>110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1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1</v>
      </c>
      <c r="AU156" s="1">
        <v>0</v>
      </c>
      <c r="AV156" s="1">
        <v>1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1</v>
      </c>
      <c r="BH156" s="1">
        <f>SUM(sdata[[#This Row],[Baby Food]:[Spices]])</f>
        <v>4</v>
      </c>
      <c r="BI156"/>
    </row>
    <row r="157" spans="1:61" x14ac:dyDescent="0.3">
      <c r="A157" s="1" t="s">
        <v>336</v>
      </c>
      <c r="B157" s="1" t="s">
        <v>591</v>
      </c>
      <c r="C157" s="1" t="s">
        <v>61</v>
      </c>
      <c r="D157" s="1" t="s">
        <v>592</v>
      </c>
      <c r="E157" s="1" t="s">
        <v>593</v>
      </c>
      <c r="F157" s="1" t="s">
        <v>594</v>
      </c>
      <c r="G157" s="1" t="s">
        <v>144</v>
      </c>
      <c r="H157" s="1">
        <v>62220</v>
      </c>
      <c r="I157" s="1" t="s">
        <v>595</v>
      </c>
      <c r="J157" s="1" t="s">
        <v>596</v>
      </c>
      <c r="K157" s="1" t="s">
        <v>246</v>
      </c>
      <c r="L157" s="1" t="s">
        <v>452</v>
      </c>
      <c r="M157" s="1" t="s">
        <v>107</v>
      </c>
      <c r="N157" s="3">
        <v>229000000000000</v>
      </c>
      <c r="O157" s="3">
        <v>3528760000000000</v>
      </c>
      <c r="P157" s="1">
        <v>10275</v>
      </c>
      <c r="Q157" s="1">
        <v>76</v>
      </c>
      <c r="R157" s="1">
        <v>4110</v>
      </c>
      <c r="S157" s="4">
        <v>0</v>
      </c>
      <c r="T157" s="4">
        <v>2.3605324074074074E-2</v>
      </c>
      <c r="U157" s="1">
        <v>13.25</v>
      </c>
      <c r="V157" s="1" t="s">
        <v>136</v>
      </c>
      <c r="W157" s="4">
        <v>0</v>
      </c>
      <c r="X157" s="2">
        <v>42699</v>
      </c>
      <c r="Y157" s="1">
        <v>133.5</v>
      </c>
      <c r="Z157" s="1" t="s">
        <v>72</v>
      </c>
      <c r="AA157" s="1" t="s">
        <v>80</v>
      </c>
      <c r="AB157" s="1" t="s">
        <v>109</v>
      </c>
      <c r="AC157" s="1" t="s">
        <v>75</v>
      </c>
      <c r="AD157" s="1" t="s">
        <v>110</v>
      </c>
      <c r="AE157" s="1">
        <v>0</v>
      </c>
      <c r="AF157" s="1">
        <v>0</v>
      </c>
      <c r="AG157" s="1">
        <v>0</v>
      </c>
      <c r="AH157" s="1">
        <v>1</v>
      </c>
      <c r="AI157" s="1">
        <v>1</v>
      </c>
      <c r="AJ157" s="1">
        <v>0</v>
      </c>
      <c r="AK157" s="1">
        <v>0</v>
      </c>
      <c r="AL157" s="1">
        <v>1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1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f>SUM(sdata[[#This Row],[Baby Food]:[Spices]])</f>
        <v>4</v>
      </c>
      <c r="BI157"/>
    </row>
    <row r="158" spans="1:61" x14ac:dyDescent="0.3">
      <c r="A158" s="1" t="s">
        <v>100</v>
      </c>
      <c r="B158" s="1" t="s">
        <v>597</v>
      </c>
      <c r="C158" s="1" t="s">
        <v>61</v>
      </c>
      <c r="D158" s="1" t="s">
        <v>598</v>
      </c>
      <c r="E158" s="1" t="s">
        <v>599</v>
      </c>
      <c r="F158" s="1" t="s">
        <v>243</v>
      </c>
      <c r="G158" s="1" t="s">
        <v>144</v>
      </c>
      <c r="H158" s="1">
        <v>20705</v>
      </c>
      <c r="I158" s="1" t="s">
        <v>600</v>
      </c>
      <c r="J158" s="1" t="s">
        <v>601</v>
      </c>
      <c r="K158" s="1" t="s">
        <v>205</v>
      </c>
      <c r="L158" s="1" t="s">
        <v>602</v>
      </c>
      <c r="M158" s="1" t="s">
        <v>254</v>
      </c>
      <c r="N158" s="1">
        <v>751454315</v>
      </c>
      <c r="O158" s="3">
        <v>36185500000000</v>
      </c>
      <c r="P158" s="1">
        <v>10283</v>
      </c>
      <c r="Q158" s="1">
        <v>68</v>
      </c>
      <c r="R158" s="1">
        <v>1379</v>
      </c>
      <c r="S158" s="4">
        <v>0</v>
      </c>
      <c r="T158" s="4">
        <v>3.0747685185185183E-2</v>
      </c>
      <c r="U158" s="1">
        <v>13.33</v>
      </c>
      <c r="V158" s="1" t="s">
        <v>194</v>
      </c>
      <c r="W158" s="4">
        <v>0</v>
      </c>
      <c r="X158" s="2">
        <v>42724</v>
      </c>
      <c r="Y158" s="1">
        <v>197.54</v>
      </c>
      <c r="Z158" s="1" t="s">
        <v>72</v>
      </c>
      <c r="AA158" s="1" t="s">
        <v>80</v>
      </c>
      <c r="AB158" s="1" t="s">
        <v>74</v>
      </c>
      <c r="AC158" s="1" t="s">
        <v>98</v>
      </c>
      <c r="AD158" s="1" t="s">
        <v>110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1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1</v>
      </c>
      <c r="AX158" s="1">
        <v>0</v>
      </c>
      <c r="AY158" s="1">
        <v>0</v>
      </c>
      <c r="AZ158" s="1">
        <v>1</v>
      </c>
      <c r="BA158" s="1">
        <v>0</v>
      </c>
      <c r="BB158" s="1">
        <v>0</v>
      </c>
      <c r="BC158" s="1">
        <v>1</v>
      </c>
      <c r="BD158" s="1">
        <v>0</v>
      </c>
      <c r="BE158" s="1">
        <v>0</v>
      </c>
      <c r="BF158" s="1">
        <v>0</v>
      </c>
      <c r="BG158" s="1">
        <v>1</v>
      </c>
      <c r="BH158" s="1">
        <f>SUM(sdata[[#This Row],[Baby Food]:[Spices]])</f>
        <v>5</v>
      </c>
      <c r="BI158"/>
    </row>
    <row r="159" spans="1:61" x14ac:dyDescent="0.3">
      <c r="A159" s="1" t="s">
        <v>100</v>
      </c>
      <c r="B159" s="1" t="s">
        <v>597</v>
      </c>
      <c r="C159" s="1" t="s">
        <v>61</v>
      </c>
      <c r="D159" s="1" t="s">
        <v>598</v>
      </c>
      <c r="E159" s="1" t="s">
        <v>599</v>
      </c>
      <c r="F159" s="1" t="s">
        <v>243</v>
      </c>
      <c r="G159" s="1" t="s">
        <v>144</v>
      </c>
      <c r="H159" s="1">
        <v>20705</v>
      </c>
      <c r="I159" s="1" t="s">
        <v>600</v>
      </c>
      <c r="J159" s="1" t="s">
        <v>601</v>
      </c>
      <c r="K159" s="1" t="s">
        <v>205</v>
      </c>
      <c r="L159" s="1" t="s">
        <v>602</v>
      </c>
      <c r="M159" s="1" t="s">
        <v>254</v>
      </c>
      <c r="N159" s="1">
        <v>751454315</v>
      </c>
      <c r="O159" s="3">
        <v>36352800000000</v>
      </c>
      <c r="P159" s="1">
        <v>10283</v>
      </c>
      <c r="Q159" s="1">
        <v>68</v>
      </c>
      <c r="R159" s="1">
        <v>5101</v>
      </c>
      <c r="S159" s="4">
        <v>0</v>
      </c>
      <c r="T159" s="4">
        <v>7.9432870370370369E-3</v>
      </c>
      <c r="U159" s="1">
        <v>11.45</v>
      </c>
      <c r="V159" s="1" t="s">
        <v>378</v>
      </c>
      <c r="W159" s="4">
        <v>0</v>
      </c>
      <c r="X159" s="2">
        <v>42623</v>
      </c>
      <c r="Y159" s="1">
        <v>270.27</v>
      </c>
      <c r="Z159" s="1" t="s">
        <v>72</v>
      </c>
      <c r="AA159" s="1" t="s">
        <v>80</v>
      </c>
      <c r="AB159" s="1" t="s">
        <v>74</v>
      </c>
      <c r="AC159" s="1" t="s">
        <v>98</v>
      </c>
      <c r="AD159" s="1" t="s">
        <v>110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1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1</v>
      </c>
      <c r="AW159" s="1">
        <v>0</v>
      </c>
      <c r="AX159" s="1">
        <v>0</v>
      </c>
      <c r="AY159" s="1">
        <v>0</v>
      </c>
      <c r="AZ159" s="1">
        <v>1</v>
      </c>
      <c r="BA159" s="1">
        <v>0</v>
      </c>
      <c r="BB159" s="1">
        <v>0</v>
      </c>
      <c r="BC159" s="1">
        <v>0</v>
      </c>
      <c r="BD159" s="1">
        <v>1</v>
      </c>
      <c r="BE159" s="1">
        <v>0</v>
      </c>
      <c r="BF159" s="1">
        <v>0</v>
      </c>
      <c r="BG159" s="1">
        <v>0</v>
      </c>
      <c r="BH159" s="1">
        <f>SUM(sdata[[#This Row],[Baby Food]:[Spices]])</f>
        <v>4</v>
      </c>
      <c r="BI159"/>
    </row>
    <row r="160" spans="1:61" x14ac:dyDescent="0.3">
      <c r="A160" s="1" t="s">
        <v>100</v>
      </c>
      <c r="B160" s="1" t="s">
        <v>597</v>
      </c>
      <c r="C160" s="1" t="s">
        <v>61</v>
      </c>
      <c r="D160" s="1" t="s">
        <v>598</v>
      </c>
      <c r="E160" s="1" t="s">
        <v>599</v>
      </c>
      <c r="F160" s="1" t="s">
        <v>243</v>
      </c>
      <c r="G160" s="1" t="s">
        <v>144</v>
      </c>
      <c r="H160" s="1">
        <v>20705</v>
      </c>
      <c r="I160" s="1" t="s">
        <v>600</v>
      </c>
      <c r="J160" s="1" t="s">
        <v>601</v>
      </c>
      <c r="K160" s="1" t="s">
        <v>205</v>
      </c>
      <c r="L160" s="1" t="s">
        <v>602</v>
      </c>
      <c r="M160" s="1" t="s">
        <v>254</v>
      </c>
      <c r="N160" s="1">
        <v>751454315</v>
      </c>
      <c r="O160" s="3">
        <v>36603900000000</v>
      </c>
      <c r="P160" s="1">
        <v>10283</v>
      </c>
      <c r="Q160" s="1">
        <v>68</v>
      </c>
      <c r="R160" s="1">
        <v>6946</v>
      </c>
      <c r="S160" s="4">
        <v>0</v>
      </c>
      <c r="T160" s="4">
        <v>9.6597222222222223E-3</v>
      </c>
      <c r="U160" s="1">
        <v>23.37</v>
      </c>
      <c r="V160" s="1" t="s">
        <v>603</v>
      </c>
      <c r="W160" s="4">
        <v>0</v>
      </c>
      <c r="X160" s="2">
        <v>42554</v>
      </c>
      <c r="Y160" s="1">
        <v>233.39</v>
      </c>
      <c r="Z160" s="1" t="s">
        <v>72</v>
      </c>
      <c r="AA160" s="1" t="s">
        <v>80</v>
      </c>
      <c r="AB160" s="1" t="s">
        <v>74</v>
      </c>
      <c r="AC160" s="1" t="s">
        <v>98</v>
      </c>
      <c r="AD160" s="1" t="s">
        <v>110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1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1</v>
      </c>
      <c r="AW160" s="1">
        <v>0</v>
      </c>
      <c r="AX160" s="1">
        <v>0</v>
      </c>
      <c r="AY160" s="1">
        <v>0</v>
      </c>
      <c r="AZ160" s="1">
        <v>1</v>
      </c>
      <c r="BA160" s="1">
        <v>0</v>
      </c>
      <c r="BB160" s="1">
        <v>0</v>
      </c>
      <c r="BC160" s="1">
        <v>0</v>
      </c>
      <c r="BD160" s="1">
        <v>1</v>
      </c>
      <c r="BE160" s="1">
        <v>0</v>
      </c>
      <c r="BF160" s="1">
        <v>0</v>
      </c>
      <c r="BG160" s="1">
        <v>1</v>
      </c>
      <c r="BH160" s="1">
        <f>SUM(sdata[[#This Row],[Baby Food]:[Spices]])</f>
        <v>5</v>
      </c>
      <c r="BI160"/>
    </row>
    <row r="161" spans="1:61" x14ac:dyDescent="0.3">
      <c r="A161" s="1" t="s">
        <v>100</v>
      </c>
      <c r="B161" s="1" t="s">
        <v>597</v>
      </c>
      <c r="C161" s="1" t="s">
        <v>61</v>
      </c>
      <c r="D161" s="1" t="s">
        <v>598</v>
      </c>
      <c r="E161" s="1" t="s">
        <v>599</v>
      </c>
      <c r="F161" s="1" t="s">
        <v>243</v>
      </c>
      <c r="G161" s="1" t="s">
        <v>144</v>
      </c>
      <c r="H161" s="1">
        <v>20705</v>
      </c>
      <c r="I161" s="1" t="s">
        <v>600</v>
      </c>
      <c r="J161" s="1" t="s">
        <v>601</v>
      </c>
      <c r="K161" s="1" t="s">
        <v>205</v>
      </c>
      <c r="L161" s="1" t="s">
        <v>602</v>
      </c>
      <c r="M161" s="1" t="s">
        <v>254</v>
      </c>
      <c r="N161" s="1">
        <v>751454315</v>
      </c>
      <c r="O161" s="3">
        <v>36966300000000</v>
      </c>
      <c r="P161" s="1">
        <v>10283</v>
      </c>
      <c r="Q161" s="1">
        <v>68</v>
      </c>
      <c r="R161" s="1">
        <v>8061</v>
      </c>
      <c r="S161" s="4">
        <v>3.2928240740740737E-2</v>
      </c>
      <c r="T161" s="4">
        <v>3.2932870370370369E-2</v>
      </c>
      <c r="U161" s="1">
        <v>10.45</v>
      </c>
      <c r="V161" s="1" t="s">
        <v>367</v>
      </c>
      <c r="W161" s="4">
        <v>3.2928240740740737E-2</v>
      </c>
      <c r="X161" s="2">
        <v>42498</v>
      </c>
      <c r="Y161" s="1">
        <v>99.98</v>
      </c>
      <c r="Z161" s="1" t="s">
        <v>72</v>
      </c>
      <c r="AA161" s="1" t="s">
        <v>80</v>
      </c>
      <c r="AB161" s="1" t="s">
        <v>74</v>
      </c>
      <c r="AC161" s="1" t="s">
        <v>75</v>
      </c>
      <c r="AD161" s="1" t="s">
        <v>110</v>
      </c>
      <c r="AE161" s="1">
        <v>0</v>
      </c>
      <c r="AF161" s="1">
        <v>1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1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1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1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f>SUM(sdata[[#This Row],[Baby Food]:[Spices]])</f>
        <v>5</v>
      </c>
      <c r="BI161"/>
    </row>
    <row r="162" spans="1:61" x14ac:dyDescent="0.3">
      <c r="A162" s="1" t="s">
        <v>604</v>
      </c>
      <c r="B162" s="1" t="s">
        <v>605</v>
      </c>
      <c r="C162" s="1" t="s">
        <v>61</v>
      </c>
      <c r="D162" s="1" t="s">
        <v>606</v>
      </c>
      <c r="E162" s="1" t="s">
        <v>599</v>
      </c>
      <c r="F162" s="1" t="s">
        <v>243</v>
      </c>
      <c r="G162" s="1" t="s">
        <v>144</v>
      </c>
      <c r="H162" s="1">
        <v>20705</v>
      </c>
      <c r="I162" s="1" t="s">
        <v>607</v>
      </c>
      <c r="J162" s="1" t="s">
        <v>608</v>
      </c>
      <c r="K162" s="1" t="s">
        <v>246</v>
      </c>
      <c r="L162" s="1" t="s">
        <v>602</v>
      </c>
      <c r="M162" s="1" t="s">
        <v>70</v>
      </c>
      <c r="N162" s="1">
        <v>577430003</v>
      </c>
      <c r="O162" s="3">
        <v>3528220000000000</v>
      </c>
      <c r="P162" s="1">
        <v>10287</v>
      </c>
      <c r="Q162" s="1">
        <v>72</v>
      </c>
      <c r="R162" s="1">
        <v>7392</v>
      </c>
      <c r="S162" s="4">
        <v>0</v>
      </c>
      <c r="T162" s="4">
        <v>1.9206018518518518E-2</v>
      </c>
      <c r="U162" s="1">
        <v>11.45</v>
      </c>
      <c r="V162" s="1" t="s">
        <v>590</v>
      </c>
      <c r="W162" s="4">
        <v>0</v>
      </c>
      <c r="X162" s="2">
        <v>42650</v>
      </c>
      <c r="Y162" s="1">
        <v>126.46</v>
      </c>
      <c r="Z162" s="1" t="s">
        <v>112</v>
      </c>
      <c r="AA162" s="1" t="s">
        <v>80</v>
      </c>
      <c r="AB162" s="1" t="s">
        <v>97</v>
      </c>
      <c r="AC162" s="1" t="s">
        <v>75</v>
      </c>
      <c r="AD162" s="1" t="s">
        <v>110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1</v>
      </c>
      <c r="AL162" s="1">
        <v>1</v>
      </c>
      <c r="AM162" s="1">
        <v>0</v>
      </c>
      <c r="AN162" s="1">
        <v>0</v>
      </c>
      <c r="AO162" s="1">
        <v>0</v>
      </c>
      <c r="AP162" s="1">
        <v>1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1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f>SUM(sdata[[#This Row],[Baby Food]:[Spices]])</f>
        <v>4</v>
      </c>
      <c r="BI162"/>
    </row>
    <row r="163" spans="1:61" x14ac:dyDescent="0.3">
      <c r="A163" s="1" t="s">
        <v>609</v>
      </c>
      <c r="B163" s="1" t="s">
        <v>610</v>
      </c>
      <c r="C163" s="1" t="s">
        <v>61</v>
      </c>
      <c r="D163" s="1" t="s">
        <v>611</v>
      </c>
      <c r="E163" s="1" t="s">
        <v>612</v>
      </c>
      <c r="F163" s="1" t="s">
        <v>613</v>
      </c>
      <c r="G163" s="1" t="s">
        <v>144</v>
      </c>
      <c r="H163" s="1">
        <v>97701</v>
      </c>
      <c r="I163" s="1" t="s">
        <v>614</v>
      </c>
      <c r="J163" s="1" t="s">
        <v>615</v>
      </c>
      <c r="K163" s="1" t="s">
        <v>68</v>
      </c>
      <c r="L163" s="1" t="s">
        <v>306</v>
      </c>
      <c r="M163" s="1" t="s">
        <v>65</v>
      </c>
      <c r="N163" s="1" t="s">
        <v>616</v>
      </c>
      <c r="O163" s="3">
        <v>5171300000000000</v>
      </c>
      <c r="P163" s="1">
        <v>10291</v>
      </c>
      <c r="Q163" s="1">
        <v>79</v>
      </c>
      <c r="R163" s="1">
        <v>878</v>
      </c>
      <c r="S163" s="4">
        <v>0</v>
      </c>
      <c r="T163" s="4">
        <v>1.384375E-2</v>
      </c>
      <c r="U163" s="1">
        <v>23.37</v>
      </c>
      <c r="V163" s="1" t="s">
        <v>617</v>
      </c>
      <c r="W163" s="4">
        <v>0</v>
      </c>
      <c r="X163" s="2">
        <v>42431</v>
      </c>
      <c r="Y163" s="1">
        <v>210.26</v>
      </c>
      <c r="Z163" s="1" t="s">
        <v>72</v>
      </c>
      <c r="AA163" s="1" t="s">
        <v>80</v>
      </c>
      <c r="AB163" s="1" t="s">
        <v>74</v>
      </c>
      <c r="AC163" s="1" t="s">
        <v>98</v>
      </c>
      <c r="AD163" s="1" t="s">
        <v>110</v>
      </c>
      <c r="AE163" s="1">
        <v>0</v>
      </c>
      <c r="AF163" s="1">
        <v>0</v>
      </c>
      <c r="AG163" s="1">
        <v>0</v>
      </c>
      <c r="AH163" s="1">
        <v>0</v>
      </c>
      <c r="AI163" s="1">
        <v>1</v>
      </c>
      <c r="AJ163" s="1">
        <v>0</v>
      </c>
      <c r="AK163" s="1">
        <v>1</v>
      </c>
      <c r="AL163" s="1">
        <v>0</v>
      </c>
      <c r="AM163" s="1">
        <v>0</v>
      </c>
      <c r="AN163" s="1">
        <v>1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1</v>
      </c>
      <c r="AW163" s="1">
        <v>0</v>
      </c>
      <c r="AX163" s="1">
        <v>0</v>
      </c>
      <c r="AY163" s="1">
        <v>0</v>
      </c>
      <c r="AZ163" s="1">
        <v>0</v>
      </c>
      <c r="BA163" s="1">
        <v>1</v>
      </c>
      <c r="BB163" s="1">
        <v>0</v>
      </c>
      <c r="BC163" s="1">
        <v>0</v>
      </c>
      <c r="BD163" s="1">
        <v>1</v>
      </c>
      <c r="BE163" s="1">
        <v>0</v>
      </c>
      <c r="BF163" s="1">
        <v>0</v>
      </c>
      <c r="BG163" s="1">
        <v>1</v>
      </c>
      <c r="BH163" s="1">
        <f>SUM(sdata[[#This Row],[Baby Food]:[Spices]])</f>
        <v>7</v>
      </c>
      <c r="BI163"/>
    </row>
    <row r="164" spans="1:61" x14ac:dyDescent="0.3">
      <c r="A164" s="1" t="s">
        <v>609</v>
      </c>
      <c r="B164" s="1" t="s">
        <v>610</v>
      </c>
      <c r="C164" s="1" t="s">
        <v>61</v>
      </c>
      <c r="D164" s="1" t="s">
        <v>611</v>
      </c>
      <c r="E164" s="1" t="s">
        <v>612</v>
      </c>
      <c r="F164" s="1" t="s">
        <v>613</v>
      </c>
      <c r="G164" s="1" t="s">
        <v>144</v>
      </c>
      <c r="H164" s="1">
        <v>97701</v>
      </c>
      <c r="I164" s="1" t="s">
        <v>614</v>
      </c>
      <c r="J164" s="1" t="s">
        <v>615</v>
      </c>
      <c r="K164" s="1" t="s">
        <v>68</v>
      </c>
      <c r="L164" s="1" t="s">
        <v>306</v>
      </c>
      <c r="M164" s="1" t="s">
        <v>65</v>
      </c>
      <c r="N164" s="1" t="s">
        <v>616</v>
      </c>
      <c r="O164" s="3">
        <v>5109090000000000</v>
      </c>
      <c r="P164" s="1">
        <v>10291</v>
      </c>
      <c r="Q164" s="1">
        <v>79</v>
      </c>
      <c r="R164" s="1">
        <v>6252</v>
      </c>
      <c r="S164" s="4">
        <v>0</v>
      </c>
      <c r="T164" s="4">
        <v>2.7155092592592592E-2</v>
      </c>
      <c r="U164" s="1">
        <v>12.85</v>
      </c>
      <c r="V164" s="1" t="s">
        <v>79</v>
      </c>
      <c r="W164" s="4">
        <v>0</v>
      </c>
      <c r="X164" s="2">
        <v>42640</v>
      </c>
      <c r="Y164" s="1">
        <v>260.52</v>
      </c>
      <c r="Z164" s="1" t="s">
        <v>72</v>
      </c>
      <c r="AA164" s="1" t="s">
        <v>80</v>
      </c>
      <c r="AB164" s="1" t="s">
        <v>74</v>
      </c>
      <c r="AC164" s="1" t="s">
        <v>98</v>
      </c>
      <c r="AD164" s="1" t="s">
        <v>110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1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1</v>
      </c>
      <c r="AU164" s="1">
        <v>0</v>
      </c>
      <c r="AV164" s="1">
        <v>1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1</v>
      </c>
      <c r="BE164" s="1">
        <v>0</v>
      </c>
      <c r="BF164" s="1">
        <v>0</v>
      </c>
      <c r="BG164" s="1">
        <v>0</v>
      </c>
      <c r="BH164" s="1">
        <f>SUM(sdata[[#This Row],[Baby Food]:[Spices]])</f>
        <v>4</v>
      </c>
      <c r="BI164"/>
    </row>
    <row r="165" spans="1:61" x14ac:dyDescent="0.3">
      <c r="A165" s="1" t="s">
        <v>478</v>
      </c>
      <c r="B165" s="1" t="s">
        <v>618</v>
      </c>
      <c r="C165" s="1" t="s">
        <v>154</v>
      </c>
      <c r="D165" s="1" t="s">
        <v>619</v>
      </c>
      <c r="E165" s="1" t="s">
        <v>620</v>
      </c>
      <c r="F165" s="1" t="s">
        <v>621</v>
      </c>
      <c r="G165" s="1" t="s">
        <v>144</v>
      </c>
      <c r="H165" s="1">
        <v>19020</v>
      </c>
      <c r="I165" s="1" t="s">
        <v>622</v>
      </c>
      <c r="J165" s="1" t="s">
        <v>623</v>
      </c>
      <c r="K165" s="1" t="s">
        <v>246</v>
      </c>
      <c r="L165" s="1" t="s">
        <v>180</v>
      </c>
      <c r="M165" s="1" t="s">
        <v>254</v>
      </c>
      <c r="N165" s="1">
        <v>904601168</v>
      </c>
      <c r="O165" s="3">
        <v>3528100000000000</v>
      </c>
      <c r="P165" s="1">
        <v>10295</v>
      </c>
      <c r="Q165" s="1">
        <v>48</v>
      </c>
      <c r="R165" s="1">
        <v>383</v>
      </c>
      <c r="S165" s="4">
        <v>0</v>
      </c>
      <c r="T165" s="4">
        <v>1.5701388888888886E-2</v>
      </c>
      <c r="U165" s="1">
        <v>11.15</v>
      </c>
      <c r="V165" s="1" t="s">
        <v>216</v>
      </c>
      <c r="W165" s="4">
        <v>0</v>
      </c>
      <c r="X165" s="2">
        <v>42479</v>
      </c>
      <c r="Y165" s="1">
        <v>13.27</v>
      </c>
      <c r="Z165" s="1" t="s">
        <v>72</v>
      </c>
      <c r="AA165" s="1" t="s">
        <v>73</v>
      </c>
      <c r="AB165" s="1" t="s">
        <v>109</v>
      </c>
      <c r="AC165" s="1" t="s">
        <v>81</v>
      </c>
      <c r="AD165" s="1" t="s">
        <v>151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1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f>SUM(sdata[[#This Row],[Baby Food]:[Spices]])</f>
        <v>1</v>
      </c>
      <c r="BI165"/>
    </row>
    <row r="166" spans="1:61" x14ac:dyDescent="0.3">
      <c r="A166" s="1" t="s">
        <v>478</v>
      </c>
      <c r="B166" s="1" t="s">
        <v>618</v>
      </c>
      <c r="C166" s="1" t="s">
        <v>154</v>
      </c>
      <c r="D166" s="1" t="s">
        <v>619</v>
      </c>
      <c r="E166" s="1" t="s">
        <v>620</v>
      </c>
      <c r="F166" s="1" t="s">
        <v>621</v>
      </c>
      <c r="G166" s="1" t="s">
        <v>144</v>
      </c>
      <c r="H166" s="1">
        <v>19020</v>
      </c>
      <c r="I166" s="1" t="s">
        <v>622</v>
      </c>
      <c r="J166" s="1" t="s">
        <v>623</v>
      </c>
      <c r="K166" s="1" t="s">
        <v>246</v>
      </c>
      <c r="L166" s="1" t="s">
        <v>180</v>
      </c>
      <c r="M166" s="1" t="s">
        <v>254</v>
      </c>
      <c r="N166" s="1">
        <v>904601168</v>
      </c>
      <c r="O166" s="3">
        <v>3528170000000000</v>
      </c>
      <c r="P166" s="1">
        <v>10295</v>
      </c>
      <c r="Q166" s="1">
        <v>48</v>
      </c>
      <c r="R166" s="1">
        <v>1426</v>
      </c>
      <c r="S166" s="4">
        <v>3.2928240740740737E-2</v>
      </c>
      <c r="T166" s="4">
        <v>3.2932870370370369E-2</v>
      </c>
      <c r="U166" s="1">
        <v>7.85</v>
      </c>
      <c r="V166" s="1" t="s">
        <v>477</v>
      </c>
      <c r="W166" s="4">
        <v>3.2928240740740737E-2</v>
      </c>
      <c r="X166" s="2">
        <v>42498</v>
      </c>
      <c r="Y166" s="1">
        <v>24.06</v>
      </c>
      <c r="Z166" s="1" t="s">
        <v>72</v>
      </c>
      <c r="AA166" s="1" t="s">
        <v>73</v>
      </c>
      <c r="AB166" s="1" t="s">
        <v>109</v>
      </c>
      <c r="AC166" s="1" t="s">
        <v>81</v>
      </c>
      <c r="AD166" s="1" t="s">
        <v>151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1</v>
      </c>
      <c r="AP166" s="1">
        <v>0</v>
      </c>
      <c r="AQ166" s="1">
        <v>1</v>
      </c>
      <c r="AR166" s="1">
        <v>0</v>
      </c>
      <c r="AS166" s="1">
        <v>0</v>
      </c>
      <c r="AT166" s="1">
        <v>0</v>
      </c>
      <c r="AU166" s="1">
        <v>1</v>
      </c>
      <c r="AV166" s="1">
        <v>0</v>
      </c>
      <c r="AW166" s="1">
        <v>0</v>
      </c>
      <c r="AX166" s="1">
        <v>0</v>
      </c>
      <c r="AY166" s="1">
        <v>1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f>SUM(sdata[[#This Row],[Baby Food]:[Spices]])</f>
        <v>4</v>
      </c>
      <c r="BI166"/>
    </row>
    <row r="167" spans="1:61" x14ac:dyDescent="0.3">
      <c r="A167" s="1" t="s">
        <v>478</v>
      </c>
      <c r="B167" s="1" t="s">
        <v>618</v>
      </c>
      <c r="C167" s="1" t="s">
        <v>154</v>
      </c>
      <c r="D167" s="1" t="s">
        <v>619</v>
      </c>
      <c r="E167" s="1" t="s">
        <v>620</v>
      </c>
      <c r="F167" s="1" t="s">
        <v>621</v>
      </c>
      <c r="G167" s="1" t="s">
        <v>144</v>
      </c>
      <c r="H167" s="1">
        <v>19020</v>
      </c>
      <c r="I167" s="1" t="s">
        <v>622</v>
      </c>
      <c r="J167" s="1" t="s">
        <v>623</v>
      </c>
      <c r="K167" s="1" t="s">
        <v>246</v>
      </c>
      <c r="L167" s="1" t="s">
        <v>180</v>
      </c>
      <c r="M167" s="1" t="s">
        <v>254</v>
      </c>
      <c r="N167" s="1">
        <v>904601168</v>
      </c>
      <c r="O167" s="3">
        <v>3528220000000000</v>
      </c>
      <c r="P167" s="1">
        <v>10295</v>
      </c>
      <c r="Q167" s="1">
        <v>48</v>
      </c>
      <c r="R167" s="1">
        <v>9065</v>
      </c>
      <c r="S167" s="4">
        <v>0</v>
      </c>
      <c r="T167" s="4">
        <v>3.2923611111111105E-2</v>
      </c>
      <c r="U167" s="1">
        <v>21.97</v>
      </c>
      <c r="V167" s="1" t="s">
        <v>125</v>
      </c>
      <c r="W167" s="4">
        <v>0</v>
      </c>
      <c r="X167" s="2">
        <v>42602</v>
      </c>
      <c r="Y167" s="1">
        <v>15.96</v>
      </c>
      <c r="Z167" s="1" t="s">
        <v>126</v>
      </c>
      <c r="AA167" s="1" t="s">
        <v>73</v>
      </c>
      <c r="AB167" s="1" t="s">
        <v>109</v>
      </c>
      <c r="AC167" s="1" t="s">
        <v>81</v>
      </c>
      <c r="AD167" s="1" t="s">
        <v>151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1</v>
      </c>
      <c r="AP167" s="1">
        <v>0</v>
      </c>
      <c r="AQ167" s="1">
        <v>1</v>
      </c>
      <c r="AR167" s="1">
        <v>0</v>
      </c>
      <c r="AS167" s="1">
        <v>0</v>
      </c>
      <c r="AT167" s="1">
        <v>0</v>
      </c>
      <c r="AU167" s="1">
        <v>1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f>SUM(sdata[[#This Row],[Baby Food]:[Spices]])</f>
        <v>3</v>
      </c>
      <c r="BI167"/>
    </row>
    <row r="168" spans="1:61" x14ac:dyDescent="0.3">
      <c r="A168" s="1" t="s">
        <v>624</v>
      </c>
      <c r="B168" s="1" t="s">
        <v>625</v>
      </c>
      <c r="C168" s="1" t="s">
        <v>154</v>
      </c>
      <c r="D168" s="1" t="s">
        <v>626</v>
      </c>
      <c r="E168" s="1" t="s">
        <v>627</v>
      </c>
      <c r="G168" s="1" t="s">
        <v>89</v>
      </c>
      <c r="H168" s="1">
        <v>83471</v>
      </c>
      <c r="I168" s="1" t="s">
        <v>628</v>
      </c>
      <c r="J168" s="1" t="s">
        <v>629</v>
      </c>
      <c r="K168" s="1" t="s">
        <v>205</v>
      </c>
      <c r="L168" s="1" t="s">
        <v>289</v>
      </c>
      <c r="M168" s="1" t="s">
        <v>254</v>
      </c>
      <c r="N168" s="1">
        <v>777215385</v>
      </c>
      <c r="O168" s="3">
        <v>36322900000000</v>
      </c>
      <c r="P168" s="1">
        <v>10299</v>
      </c>
      <c r="Q168" s="1">
        <v>41</v>
      </c>
      <c r="R168" s="1">
        <v>1053</v>
      </c>
      <c r="S168" s="4">
        <v>3.2928240740740737E-2</v>
      </c>
      <c r="T168" s="4">
        <v>3.2932870370370369E-2</v>
      </c>
      <c r="U168" s="1">
        <v>27.97</v>
      </c>
      <c r="V168" s="1" t="s">
        <v>370</v>
      </c>
      <c r="W168" s="4">
        <v>3.2928240740740737E-2</v>
      </c>
      <c r="X168" s="2">
        <v>42498</v>
      </c>
      <c r="Y168" s="1">
        <v>44.19</v>
      </c>
      <c r="Z168" s="1" t="s">
        <v>72</v>
      </c>
      <c r="AA168" s="1" t="s">
        <v>73</v>
      </c>
      <c r="AB168" s="1" t="s">
        <v>109</v>
      </c>
      <c r="AC168" s="1" t="s">
        <v>81</v>
      </c>
      <c r="AD168" s="1" t="s">
        <v>76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1</v>
      </c>
      <c r="AP168" s="1">
        <v>0</v>
      </c>
      <c r="AQ168" s="1">
        <v>0</v>
      </c>
      <c r="AR168" s="1">
        <v>1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f>SUM(sdata[[#This Row],[Baby Food]:[Spices]])</f>
        <v>2</v>
      </c>
      <c r="BI168"/>
    </row>
    <row r="169" spans="1:61" x14ac:dyDescent="0.3">
      <c r="A169" s="1" t="s">
        <v>624</v>
      </c>
      <c r="B169" s="1" t="s">
        <v>625</v>
      </c>
      <c r="C169" s="1" t="s">
        <v>154</v>
      </c>
      <c r="D169" s="1" t="s">
        <v>626</v>
      </c>
      <c r="E169" s="1" t="s">
        <v>627</v>
      </c>
      <c r="G169" s="1" t="s">
        <v>89</v>
      </c>
      <c r="H169" s="1">
        <v>83471</v>
      </c>
      <c r="I169" s="1" t="s">
        <v>628</v>
      </c>
      <c r="J169" s="1" t="s">
        <v>629</v>
      </c>
      <c r="K169" s="1" t="s">
        <v>205</v>
      </c>
      <c r="L169" s="1" t="s">
        <v>289</v>
      </c>
      <c r="M169" s="1" t="s">
        <v>254</v>
      </c>
      <c r="N169" s="1">
        <v>777215385</v>
      </c>
      <c r="O169" s="3">
        <v>36080700000000</v>
      </c>
      <c r="P169" s="1">
        <v>10299</v>
      </c>
      <c r="Q169" s="1">
        <v>41</v>
      </c>
      <c r="R169" s="1">
        <v>7316</v>
      </c>
      <c r="S169" s="4">
        <v>0</v>
      </c>
      <c r="T169" s="4">
        <v>1.9393518518518518E-2</v>
      </c>
      <c r="U169" s="1">
        <v>14.28</v>
      </c>
      <c r="V169" s="1" t="s">
        <v>289</v>
      </c>
      <c r="W169" s="4">
        <v>0</v>
      </c>
      <c r="X169" s="2">
        <v>42649</v>
      </c>
      <c r="Y169" s="1">
        <v>48.44</v>
      </c>
      <c r="Z169" s="1" t="s">
        <v>126</v>
      </c>
      <c r="AA169" s="1" t="s">
        <v>73</v>
      </c>
      <c r="AB169" s="1" t="s">
        <v>109</v>
      </c>
      <c r="AC169" s="1" t="s">
        <v>81</v>
      </c>
      <c r="AD169" s="1" t="s">
        <v>76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1</v>
      </c>
      <c r="AP169" s="1">
        <v>0</v>
      </c>
      <c r="AQ169" s="1">
        <v>1</v>
      </c>
      <c r="AR169" s="1">
        <v>0</v>
      </c>
      <c r="AS169" s="1">
        <v>0</v>
      </c>
      <c r="AT169" s="1">
        <v>0</v>
      </c>
      <c r="AU169" s="1">
        <v>1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f>SUM(sdata[[#This Row],[Baby Food]:[Spices]])</f>
        <v>3</v>
      </c>
      <c r="BI169"/>
    </row>
    <row r="170" spans="1:61" x14ac:dyDescent="0.3">
      <c r="A170" s="1" t="s">
        <v>624</v>
      </c>
      <c r="B170" s="1" t="s">
        <v>625</v>
      </c>
      <c r="C170" s="1" t="s">
        <v>154</v>
      </c>
      <c r="D170" s="1" t="s">
        <v>626</v>
      </c>
      <c r="E170" s="1" t="s">
        <v>627</v>
      </c>
      <c r="G170" s="1" t="s">
        <v>89</v>
      </c>
      <c r="H170" s="1">
        <v>83471</v>
      </c>
      <c r="I170" s="1" t="s">
        <v>628</v>
      </c>
      <c r="J170" s="1" t="s">
        <v>629</v>
      </c>
      <c r="K170" s="1" t="s">
        <v>205</v>
      </c>
      <c r="L170" s="1" t="s">
        <v>289</v>
      </c>
      <c r="M170" s="1" t="s">
        <v>254</v>
      </c>
      <c r="N170" s="1">
        <v>777215385</v>
      </c>
      <c r="O170" s="3">
        <v>36006500000000</v>
      </c>
      <c r="P170" s="1">
        <v>10299</v>
      </c>
      <c r="Q170" s="1">
        <v>41</v>
      </c>
      <c r="R170" s="1">
        <v>7953</v>
      </c>
      <c r="S170" s="4">
        <v>0</v>
      </c>
      <c r="T170" s="4">
        <v>1.9402777777777779E-2</v>
      </c>
      <c r="U170" s="1">
        <v>8.23</v>
      </c>
      <c r="V170" s="1" t="s">
        <v>268</v>
      </c>
      <c r="W170" s="4">
        <v>0</v>
      </c>
      <c r="X170" s="2">
        <v>42720</v>
      </c>
      <c r="Y170" s="1">
        <v>50</v>
      </c>
      <c r="Z170" s="1" t="s">
        <v>72</v>
      </c>
      <c r="AA170" s="1" t="s">
        <v>73</v>
      </c>
      <c r="AB170" s="1" t="s">
        <v>109</v>
      </c>
      <c r="AC170" s="1" t="s">
        <v>81</v>
      </c>
      <c r="AD170" s="1" t="s">
        <v>76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1</v>
      </c>
      <c r="AP170" s="1">
        <v>0</v>
      </c>
      <c r="AQ170" s="1">
        <v>1</v>
      </c>
      <c r="AR170" s="1">
        <v>0</v>
      </c>
      <c r="AS170" s="1">
        <v>0</v>
      </c>
      <c r="AT170" s="1">
        <v>0</v>
      </c>
      <c r="AU170" s="1">
        <v>1</v>
      </c>
      <c r="AV170" s="1">
        <v>0</v>
      </c>
      <c r="AW170" s="1">
        <v>0</v>
      </c>
      <c r="AX170" s="1">
        <v>0</v>
      </c>
      <c r="AY170" s="1">
        <v>1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f>SUM(sdata[[#This Row],[Baby Food]:[Spices]])</f>
        <v>4</v>
      </c>
      <c r="BI170"/>
    </row>
    <row r="171" spans="1:61" x14ac:dyDescent="0.3">
      <c r="A171" s="1" t="s">
        <v>624</v>
      </c>
      <c r="B171" s="1" t="s">
        <v>625</v>
      </c>
      <c r="C171" s="1" t="s">
        <v>154</v>
      </c>
      <c r="D171" s="1" t="s">
        <v>626</v>
      </c>
      <c r="E171" s="1" t="s">
        <v>627</v>
      </c>
      <c r="G171" s="1" t="s">
        <v>89</v>
      </c>
      <c r="H171" s="1">
        <v>83471</v>
      </c>
      <c r="I171" s="1" t="s">
        <v>628</v>
      </c>
      <c r="J171" s="1" t="s">
        <v>629</v>
      </c>
      <c r="K171" s="1" t="s">
        <v>205</v>
      </c>
      <c r="L171" s="1" t="s">
        <v>289</v>
      </c>
      <c r="M171" s="1" t="s">
        <v>254</v>
      </c>
      <c r="N171" s="1">
        <v>777215385</v>
      </c>
      <c r="O171" s="3">
        <v>36726800000000</v>
      </c>
      <c r="P171" s="1">
        <v>10299</v>
      </c>
      <c r="Q171" s="1">
        <v>41</v>
      </c>
      <c r="R171" s="1">
        <v>8809</v>
      </c>
      <c r="S171" s="4">
        <v>0</v>
      </c>
      <c r="T171" s="4">
        <v>3.3247685185185186E-2</v>
      </c>
      <c r="U171" s="1">
        <v>21.97</v>
      </c>
      <c r="V171" s="1" t="s">
        <v>208</v>
      </c>
      <c r="W171" s="4">
        <v>0</v>
      </c>
      <c r="X171" s="2">
        <v>42485</v>
      </c>
      <c r="Y171" s="1">
        <v>47.57</v>
      </c>
      <c r="Z171" s="1" t="s">
        <v>72</v>
      </c>
      <c r="AA171" s="1" t="s">
        <v>73</v>
      </c>
      <c r="AB171" s="1" t="s">
        <v>109</v>
      </c>
      <c r="AC171" s="1" t="s">
        <v>81</v>
      </c>
      <c r="AD171" s="1" t="s">
        <v>76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1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f>SUM(sdata[[#This Row],[Baby Food]:[Spices]])</f>
        <v>1</v>
      </c>
      <c r="BI171"/>
    </row>
    <row r="172" spans="1:61" x14ac:dyDescent="0.3">
      <c r="A172" s="1" t="s">
        <v>630</v>
      </c>
      <c r="B172" s="1" t="s">
        <v>631</v>
      </c>
      <c r="C172" s="1" t="s">
        <v>61</v>
      </c>
      <c r="D172" s="1" t="s">
        <v>632</v>
      </c>
      <c r="E172" s="1" t="s">
        <v>633</v>
      </c>
      <c r="F172" s="1" t="s">
        <v>634</v>
      </c>
      <c r="G172" s="1" t="s">
        <v>65</v>
      </c>
      <c r="H172" s="1">
        <v>43042</v>
      </c>
      <c r="I172" s="1" t="s">
        <v>635</v>
      </c>
      <c r="J172" s="1" t="s">
        <v>636</v>
      </c>
      <c r="K172" s="1" t="s">
        <v>147</v>
      </c>
      <c r="L172" s="1" t="s">
        <v>77</v>
      </c>
      <c r="M172" s="1" t="s">
        <v>254</v>
      </c>
      <c r="N172" s="1">
        <v>935314484</v>
      </c>
      <c r="O172" s="3">
        <v>373017000000000</v>
      </c>
      <c r="P172" s="1">
        <v>10303</v>
      </c>
      <c r="Q172" s="1">
        <v>22</v>
      </c>
      <c r="R172" s="1">
        <v>4184</v>
      </c>
      <c r="S172" s="4">
        <v>0</v>
      </c>
      <c r="T172" s="4">
        <v>1.8124999999999999E-3</v>
      </c>
      <c r="U172" s="1">
        <v>22.77</v>
      </c>
      <c r="V172" s="1" t="s">
        <v>324</v>
      </c>
      <c r="W172" s="4">
        <v>0</v>
      </c>
      <c r="X172" s="2">
        <v>42519</v>
      </c>
      <c r="Y172" s="1">
        <v>190.12</v>
      </c>
      <c r="Z172" s="1" t="s">
        <v>72</v>
      </c>
      <c r="AA172" s="1" t="s">
        <v>73</v>
      </c>
      <c r="AB172" s="1" t="s">
        <v>109</v>
      </c>
      <c r="AC172" s="1" t="s">
        <v>98</v>
      </c>
      <c r="AD172" s="1" t="s">
        <v>99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1</v>
      </c>
      <c r="AO172" s="1">
        <v>0</v>
      </c>
      <c r="AP172" s="1">
        <v>0</v>
      </c>
      <c r="AQ172" s="1">
        <v>0</v>
      </c>
      <c r="AR172" s="1">
        <v>0</v>
      </c>
      <c r="AS172" s="1">
        <v>1</v>
      </c>
      <c r="AT172" s="1">
        <v>0</v>
      </c>
      <c r="AU172" s="1">
        <v>0</v>
      </c>
      <c r="AV172" s="1">
        <v>1</v>
      </c>
      <c r="AW172" s="1">
        <v>0</v>
      </c>
      <c r="AX172" s="1">
        <v>0</v>
      </c>
      <c r="AY172" s="1">
        <v>0</v>
      </c>
      <c r="AZ172" s="1">
        <v>1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1</v>
      </c>
      <c r="BH172" s="1">
        <f>SUM(sdata[[#This Row],[Baby Food]:[Spices]])</f>
        <v>5</v>
      </c>
      <c r="BI172"/>
    </row>
    <row r="173" spans="1:61" x14ac:dyDescent="0.3">
      <c r="A173" s="1" t="s">
        <v>630</v>
      </c>
      <c r="B173" s="1" t="s">
        <v>631</v>
      </c>
      <c r="C173" s="1" t="s">
        <v>61</v>
      </c>
      <c r="D173" s="1" t="s">
        <v>632</v>
      </c>
      <c r="E173" s="1" t="s">
        <v>633</v>
      </c>
      <c r="F173" s="1" t="s">
        <v>634</v>
      </c>
      <c r="G173" s="1" t="s">
        <v>65</v>
      </c>
      <c r="H173" s="1">
        <v>43042</v>
      </c>
      <c r="I173" s="1" t="s">
        <v>635</v>
      </c>
      <c r="J173" s="1" t="s">
        <v>636</v>
      </c>
      <c r="K173" s="1" t="s">
        <v>147</v>
      </c>
      <c r="L173" s="1" t="s">
        <v>77</v>
      </c>
      <c r="M173" s="1" t="s">
        <v>254</v>
      </c>
      <c r="N173" s="1">
        <v>935314484</v>
      </c>
      <c r="O173" s="3">
        <v>371412000000000</v>
      </c>
      <c r="P173" s="1">
        <v>10303</v>
      </c>
      <c r="Q173" s="1">
        <v>22</v>
      </c>
      <c r="R173" s="1">
        <v>4755</v>
      </c>
      <c r="S173" s="4">
        <v>3.2928240740740737E-2</v>
      </c>
      <c r="T173" s="4">
        <v>3.2932870370370369E-2</v>
      </c>
      <c r="U173" s="1">
        <v>17.87</v>
      </c>
      <c r="V173" s="1" t="s">
        <v>309</v>
      </c>
      <c r="W173" s="4">
        <v>3.2928240740740737E-2</v>
      </c>
      <c r="X173" s="2">
        <v>42498</v>
      </c>
      <c r="Y173" s="1">
        <v>173.09</v>
      </c>
      <c r="Z173" s="1" t="s">
        <v>72</v>
      </c>
      <c r="AA173" s="1" t="s">
        <v>73</v>
      </c>
      <c r="AB173" s="1" t="s">
        <v>109</v>
      </c>
      <c r="AC173" s="1" t="s">
        <v>98</v>
      </c>
      <c r="AD173" s="1" t="s">
        <v>99</v>
      </c>
      <c r="AE173" s="1">
        <v>0</v>
      </c>
      <c r="AF173" s="1">
        <v>0</v>
      </c>
      <c r="AG173" s="1">
        <v>1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1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1</v>
      </c>
      <c r="AW173" s="1">
        <v>0</v>
      </c>
      <c r="AX173" s="1">
        <v>0</v>
      </c>
      <c r="AY173" s="1">
        <v>0</v>
      </c>
      <c r="AZ173" s="1">
        <v>1</v>
      </c>
      <c r="BA173" s="1">
        <v>0</v>
      </c>
      <c r="BB173" s="1">
        <v>0</v>
      </c>
      <c r="BC173" s="1">
        <v>0</v>
      </c>
      <c r="BD173" s="1">
        <v>1</v>
      </c>
      <c r="BE173" s="1">
        <v>0</v>
      </c>
      <c r="BF173" s="1">
        <v>0</v>
      </c>
      <c r="BG173" s="1">
        <v>0</v>
      </c>
      <c r="BH173" s="1">
        <f>SUM(sdata[[#This Row],[Baby Food]:[Spices]])</f>
        <v>5</v>
      </c>
      <c r="BI173"/>
    </row>
    <row r="174" spans="1:61" x14ac:dyDescent="0.3">
      <c r="A174" s="1" t="s">
        <v>630</v>
      </c>
      <c r="B174" s="1" t="s">
        <v>631</v>
      </c>
      <c r="C174" s="1" t="s">
        <v>61</v>
      </c>
      <c r="D174" s="1" t="s">
        <v>632</v>
      </c>
      <c r="E174" s="1" t="s">
        <v>633</v>
      </c>
      <c r="F174" s="1" t="s">
        <v>634</v>
      </c>
      <c r="G174" s="1" t="s">
        <v>65</v>
      </c>
      <c r="H174" s="1">
        <v>43042</v>
      </c>
      <c r="I174" s="1" t="s">
        <v>635</v>
      </c>
      <c r="J174" s="1" t="s">
        <v>636</v>
      </c>
      <c r="K174" s="1" t="s">
        <v>147</v>
      </c>
      <c r="L174" s="1" t="s">
        <v>77</v>
      </c>
      <c r="M174" s="1" t="s">
        <v>254</v>
      </c>
      <c r="N174" s="1">
        <v>935314484</v>
      </c>
      <c r="O174" s="3">
        <v>371274000000000</v>
      </c>
      <c r="P174" s="1">
        <v>10303</v>
      </c>
      <c r="Q174" s="1">
        <v>22</v>
      </c>
      <c r="R174" s="1">
        <v>7349</v>
      </c>
      <c r="S174" s="4">
        <v>0</v>
      </c>
      <c r="T174" s="4">
        <v>1.3729166666666667E-2</v>
      </c>
      <c r="U174" s="1">
        <v>19.850000000000001</v>
      </c>
      <c r="V174" s="1" t="s">
        <v>193</v>
      </c>
      <c r="W174" s="4">
        <v>0</v>
      </c>
      <c r="X174" s="2">
        <v>42441</v>
      </c>
      <c r="Y174" s="1">
        <v>153.47</v>
      </c>
      <c r="Z174" s="1" t="s">
        <v>72</v>
      </c>
      <c r="AA174" s="1" t="s">
        <v>73</v>
      </c>
      <c r="AB174" s="1" t="s">
        <v>109</v>
      </c>
      <c r="AC174" s="1" t="s">
        <v>98</v>
      </c>
      <c r="AD174" s="1" t="s">
        <v>99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1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1</v>
      </c>
      <c r="BE174" s="1">
        <v>0</v>
      </c>
      <c r="BF174" s="1">
        <v>0</v>
      </c>
      <c r="BG174" s="1">
        <v>1</v>
      </c>
      <c r="BH174" s="1">
        <f>SUM(sdata[[#This Row],[Baby Food]:[Spices]])</f>
        <v>4</v>
      </c>
      <c r="BI174"/>
    </row>
    <row r="175" spans="1:61" x14ac:dyDescent="0.3">
      <c r="A175" s="1" t="s">
        <v>291</v>
      </c>
      <c r="B175" s="1" t="s">
        <v>637</v>
      </c>
      <c r="C175" s="1" t="s">
        <v>61</v>
      </c>
      <c r="D175" s="1" t="s">
        <v>638</v>
      </c>
      <c r="E175" s="1" t="s">
        <v>639</v>
      </c>
      <c r="F175" s="1" t="s">
        <v>408</v>
      </c>
      <c r="G175" s="1" t="s">
        <v>65</v>
      </c>
      <c r="H175" s="1">
        <v>21010</v>
      </c>
      <c r="I175" s="1" t="s">
        <v>640</v>
      </c>
      <c r="J175" s="1" t="s">
        <v>641</v>
      </c>
      <c r="K175" s="1" t="s">
        <v>121</v>
      </c>
      <c r="L175" s="1" t="s">
        <v>238</v>
      </c>
      <c r="M175" s="1" t="s">
        <v>107</v>
      </c>
      <c r="N175" s="3">
        <v>283000000000000</v>
      </c>
      <c r="O175" s="3">
        <v>6011470000000000</v>
      </c>
      <c r="P175" s="1">
        <v>10307</v>
      </c>
      <c r="Q175" s="1" t="s">
        <v>96</v>
      </c>
      <c r="R175" s="1">
        <v>748</v>
      </c>
      <c r="S175" s="4">
        <v>0</v>
      </c>
      <c r="T175" s="4">
        <v>7.9432870370370369E-3</v>
      </c>
      <c r="U175" s="1">
        <v>11.45</v>
      </c>
      <c r="V175" s="1" t="s">
        <v>378</v>
      </c>
      <c r="W175" s="4">
        <v>0</v>
      </c>
      <c r="X175" s="2">
        <v>42623</v>
      </c>
      <c r="Y175" s="1">
        <v>40.270000000000003</v>
      </c>
      <c r="Z175" s="1" t="s">
        <v>72</v>
      </c>
      <c r="AA175" s="1" t="s">
        <v>73</v>
      </c>
      <c r="AB175" s="1" t="s">
        <v>109</v>
      </c>
      <c r="AC175" s="1" t="s">
        <v>81</v>
      </c>
      <c r="AD175" s="1" t="s">
        <v>99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1</v>
      </c>
      <c r="AL175" s="1">
        <v>0</v>
      </c>
      <c r="AM175" s="1">
        <v>0</v>
      </c>
      <c r="AN175" s="1">
        <v>0</v>
      </c>
      <c r="AO175" s="1">
        <v>1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f>SUM(sdata[[#This Row],[Baby Food]:[Spices]])</f>
        <v>2</v>
      </c>
      <c r="BI175"/>
    </row>
    <row r="176" spans="1:61" x14ac:dyDescent="0.3">
      <c r="A176" s="1" t="s">
        <v>291</v>
      </c>
      <c r="B176" s="1" t="s">
        <v>637</v>
      </c>
      <c r="C176" s="1" t="s">
        <v>61</v>
      </c>
      <c r="D176" s="1" t="s">
        <v>638</v>
      </c>
      <c r="E176" s="1" t="s">
        <v>639</v>
      </c>
      <c r="F176" s="1" t="s">
        <v>408</v>
      </c>
      <c r="G176" s="1" t="s">
        <v>65</v>
      </c>
      <c r="H176" s="1">
        <v>21010</v>
      </c>
      <c r="I176" s="1" t="s">
        <v>640</v>
      </c>
      <c r="J176" s="1" t="s">
        <v>641</v>
      </c>
      <c r="K176" s="1" t="s">
        <v>121</v>
      </c>
      <c r="L176" s="1" t="s">
        <v>238</v>
      </c>
      <c r="M176" s="1" t="s">
        <v>107</v>
      </c>
      <c r="N176" s="3">
        <v>283000000000000</v>
      </c>
      <c r="O176" s="3">
        <v>6011400000000000</v>
      </c>
      <c r="P176" s="1">
        <v>10307</v>
      </c>
      <c r="Q176" s="1" t="s">
        <v>96</v>
      </c>
      <c r="R176" s="1">
        <v>3771</v>
      </c>
      <c r="S176" s="4">
        <v>0</v>
      </c>
      <c r="T176" s="4">
        <v>2.7155092592592592E-2</v>
      </c>
      <c r="U176" s="1">
        <v>8.23</v>
      </c>
      <c r="V176" s="1" t="s">
        <v>95</v>
      </c>
      <c r="W176" s="4">
        <v>0</v>
      </c>
      <c r="X176" s="2">
        <v>42427</v>
      </c>
      <c r="Y176" s="1">
        <v>253.96</v>
      </c>
      <c r="Z176" s="1" t="s">
        <v>72</v>
      </c>
      <c r="AA176" s="1" t="s">
        <v>73</v>
      </c>
      <c r="AB176" s="1" t="s">
        <v>109</v>
      </c>
      <c r="AC176" s="1" t="s">
        <v>98</v>
      </c>
      <c r="AD176" s="1" t="s">
        <v>99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1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1</v>
      </c>
      <c r="AU176" s="1">
        <v>0</v>
      </c>
      <c r="AV176" s="1">
        <v>1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1</v>
      </c>
      <c r="BE176" s="1">
        <v>0</v>
      </c>
      <c r="BF176" s="1">
        <v>1</v>
      </c>
      <c r="BG176" s="1">
        <v>0</v>
      </c>
      <c r="BH176" s="1">
        <f>SUM(sdata[[#This Row],[Baby Food]:[Spices]])</f>
        <v>5</v>
      </c>
      <c r="BI176"/>
    </row>
    <row r="177" spans="1:61" x14ac:dyDescent="0.3">
      <c r="A177" s="1" t="s">
        <v>291</v>
      </c>
      <c r="B177" s="1" t="s">
        <v>637</v>
      </c>
      <c r="C177" s="1" t="s">
        <v>61</v>
      </c>
      <c r="D177" s="1" t="s">
        <v>638</v>
      </c>
      <c r="E177" s="1" t="s">
        <v>639</v>
      </c>
      <c r="F177" s="1" t="s">
        <v>408</v>
      </c>
      <c r="G177" s="1" t="s">
        <v>65</v>
      </c>
      <c r="H177" s="1">
        <v>21010</v>
      </c>
      <c r="I177" s="1" t="s">
        <v>640</v>
      </c>
      <c r="J177" s="1" t="s">
        <v>641</v>
      </c>
      <c r="K177" s="1" t="s">
        <v>121</v>
      </c>
      <c r="L177" s="1" t="s">
        <v>238</v>
      </c>
      <c r="M177" s="1" t="s">
        <v>107</v>
      </c>
      <c r="N177" s="3">
        <v>283000000000000</v>
      </c>
      <c r="O177" s="3">
        <v>6011100000000000</v>
      </c>
      <c r="P177" s="1">
        <v>10307</v>
      </c>
      <c r="Q177" s="1" t="s">
        <v>96</v>
      </c>
      <c r="R177" s="1">
        <v>3922</v>
      </c>
      <c r="S177" s="4">
        <v>0</v>
      </c>
      <c r="T177" s="4">
        <v>1.5701388888888886E-2</v>
      </c>
      <c r="U177" s="1">
        <v>14.8</v>
      </c>
      <c r="V177" s="1" t="s">
        <v>444</v>
      </c>
      <c r="W177" s="4">
        <v>0</v>
      </c>
      <c r="X177" s="2">
        <v>42509</v>
      </c>
      <c r="Y177" s="1">
        <v>188.03</v>
      </c>
      <c r="Z177" s="1" t="s">
        <v>72</v>
      </c>
      <c r="AA177" s="1" t="s">
        <v>73</v>
      </c>
      <c r="AB177" s="1" t="s">
        <v>109</v>
      </c>
      <c r="AC177" s="1" t="s">
        <v>98</v>
      </c>
      <c r="AD177" s="1" t="s">
        <v>99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1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0</v>
      </c>
      <c r="AW177" s="1">
        <v>1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1</v>
      </c>
      <c r="BG177" s="1">
        <v>0</v>
      </c>
      <c r="BH177" s="1">
        <f>SUM(sdata[[#This Row],[Baby Food]:[Spices]])</f>
        <v>4</v>
      </c>
      <c r="BI177"/>
    </row>
    <row r="178" spans="1:61" x14ac:dyDescent="0.3">
      <c r="A178" s="1" t="s">
        <v>291</v>
      </c>
      <c r="B178" s="1" t="s">
        <v>637</v>
      </c>
      <c r="C178" s="1" t="s">
        <v>61</v>
      </c>
      <c r="D178" s="1" t="s">
        <v>638</v>
      </c>
      <c r="E178" s="1" t="s">
        <v>639</v>
      </c>
      <c r="F178" s="1" t="s">
        <v>408</v>
      </c>
      <c r="G178" s="1" t="s">
        <v>65</v>
      </c>
      <c r="H178" s="1">
        <v>21010</v>
      </c>
      <c r="I178" s="1" t="s">
        <v>640</v>
      </c>
      <c r="J178" s="1" t="s">
        <v>641</v>
      </c>
      <c r="K178" s="1" t="s">
        <v>121</v>
      </c>
      <c r="L178" s="1" t="s">
        <v>238</v>
      </c>
      <c r="M178" s="1" t="s">
        <v>107</v>
      </c>
      <c r="N178" s="3">
        <v>283000000000000</v>
      </c>
      <c r="O178" s="3">
        <v>6011610000000000</v>
      </c>
      <c r="P178" s="1">
        <v>10307</v>
      </c>
      <c r="Q178" s="1" t="s">
        <v>96</v>
      </c>
      <c r="R178" s="1">
        <v>7488</v>
      </c>
      <c r="S178" s="4">
        <v>3.2928240740740737E-2</v>
      </c>
      <c r="T178" s="4">
        <v>3.2932870370370369E-2</v>
      </c>
      <c r="U178" s="1">
        <v>22.32</v>
      </c>
      <c r="V178" s="1" t="s">
        <v>108</v>
      </c>
      <c r="W178" s="4">
        <v>3.2928240740740737E-2</v>
      </c>
      <c r="X178" s="2">
        <v>42498</v>
      </c>
      <c r="Y178" s="1">
        <v>35.25</v>
      </c>
      <c r="Z178" s="1" t="s">
        <v>72</v>
      </c>
      <c r="AA178" s="1" t="s">
        <v>73</v>
      </c>
      <c r="AB178" s="1" t="s">
        <v>109</v>
      </c>
      <c r="AC178" s="1" t="s">
        <v>81</v>
      </c>
      <c r="AD178" s="1" t="s">
        <v>99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1</v>
      </c>
      <c r="AP178" s="1">
        <v>0</v>
      </c>
      <c r="AQ178" s="1">
        <v>1</v>
      </c>
      <c r="AR178" s="1">
        <v>0</v>
      </c>
      <c r="AS178" s="1">
        <v>0</v>
      </c>
      <c r="AT178" s="1">
        <v>0</v>
      </c>
      <c r="AU178" s="1">
        <v>1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f>SUM(sdata[[#This Row],[Baby Food]:[Spices]])</f>
        <v>3</v>
      </c>
      <c r="BI178"/>
    </row>
    <row r="179" spans="1:61" x14ac:dyDescent="0.3">
      <c r="A179" s="1" t="s">
        <v>642</v>
      </c>
      <c r="B179" s="1" t="s">
        <v>643</v>
      </c>
      <c r="C179" s="1" t="s">
        <v>154</v>
      </c>
      <c r="D179" s="1" t="s">
        <v>644</v>
      </c>
      <c r="E179" s="1" t="s">
        <v>645</v>
      </c>
      <c r="F179" s="1" t="s">
        <v>254</v>
      </c>
      <c r="G179" s="1" t="s">
        <v>144</v>
      </c>
      <c r="H179" s="1">
        <v>90210</v>
      </c>
      <c r="I179" s="1" t="s">
        <v>646</v>
      </c>
      <c r="J179" s="1" t="s">
        <v>647</v>
      </c>
      <c r="K179" s="1" t="s">
        <v>147</v>
      </c>
      <c r="L179" s="1" t="s">
        <v>182</v>
      </c>
      <c r="M179" s="1" t="s">
        <v>70</v>
      </c>
      <c r="N179" s="1">
        <v>22868377</v>
      </c>
      <c r="O179" s="3">
        <v>375512000000000</v>
      </c>
      <c r="P179" s="1">
        <v>10311</v>
      </c>
      <c r="Q179" s="1">
        <v>40</v>
      </c>
      <c r="R179" s="1">
        <v>5766</v>
      </c>
      <c r="S179" s="4">
        <v>0</v>
      </c>
      <c r="T179" s="4">
        <v>2.3605324074074074E-2</v>
      </c>
      <c r="U179" s="1">
        <v>7.12</v>
      </c>
      <c r="V179" s="1" t="s">
        <v>136</v>
      </c>
      <c r="W179" s="4">
        <v>0</v>
      </c>
      <c r="X179" s="2">
        <v>42699</v>
      </c>
      <c r="Y179" s="1">
        <v>15.99</v>
      </c>
      <c r="Z179" s="1" t="s">
        <v>72</v>
      </c>
      <c r="AA179" s="1" t="s">
        <v>73</v>
      </c>
      <c r="AB179" s="1" t="s">
        <v>109</v>
      </c>
      <c r="AC179" s="1" t="s">
        <v>81</v>
      </c>
      <c r="AD179" s="1" t="s">
        <v>76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1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f>SUM(sdata[[#This Row],[Baby Food]:[Spices]])</f>
        <v>1</v>
      </c>
      <c r="BI179"/>
    </row>
    <row r="180" spans="1:61" x14ac:dyDescent="0.3">
      <c r="A180" s="1" t="s">
        <v>648</v>
      </c>
      <c r="B180" s="1" t="s">
        <v>649</v>
      </c>
      <c r="C180" s="1" t="s">
        <v>154</v>
      </c>
      <c r="D180" s="1" t="s">
        <v>650</v>
      </c>
      <c r="E180" s="1" t="s">
        <v>651</v>
      </c>
      <c r="F180" s="1" t="s">
        <v>652</v>
      </c>
      <c r="G180" s="1" t="s">
        <v>65</v>
      </c>
      <c r="H180" s="1">
        <v>31056</v>
      </c>
      <c r="I180" s="1" t="s">
        <v>653</v>
      </c>
      <c r="J180" s="1" t="s">
        <v>654</v>
      </c>
      <c r="K180" s="1" t="s">
        <v>205</v>
      </c>
      <c r="L180" s="1" t="s">
        <v>150</v>
      </c>
      <c r="M180" s="1" t="s">
        <v>107</v>
      </c>
      <c r="N180" s="3">
        <v>115000000000000</v>
      </c>
      <c r="O180" s="3">
        <v>36526200000000</v>
      </c>
      <c r="P180" s="1">
        <v>10315</v>
      </c>
      <c r="Q180" s="1" t="s">
        <v>96</v>
      </c>
      <c r="R180" s="1">
        <v>4576</v>
      </c>
      <c r="S180" s="4">
        <v>0</v>
      </c>
      <c r="T180" s="4">
        <v>1.384375E-2</v>
      </c>
      <c r="U180" s="1">
        <v>11.15</v>
      </c>
      <c r="V180" s="1" t="s">
        <v>82</v>
      </c>
      <c r="W180" s="4">
        <v>0</v>
      </c>
      <c r="X180" s="2">
        <v>42430</v>
      </c>
      <c r="Y180" s="1">
        <v>66.319999999999993</v>
      </c>
      <c r="Z180" s="1" t="s">
        <v>72</v>
      </c>
      <c r="AA180" s="1" t="s">
        <v>73</v>
      </c>
      <c r="AB180" s="1" t="s">
        <v>109</v>
      </c>
      <c r="AC180" s="1" t="s">
        <v>75</v>
      </c>
      <c r="AD180" s="1" t="s">
        <v>99</v>
      </c>
      <c r="AE180" s="1">
        <v>1</v>
      </c>
      <c r="AF180" s="1">
        <v>0</v>
      </c>
      <c r="AG180" s="1">
        <v>0</v>
      </c>
      <c r="AH180" s="1">
        <v>0</v>
      </c>
      <c r="AI180" s="1">
        <v>0</v>
      </c>
      <c r="AJ180" s="1">
        <v>1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0</v>
      </c>
      <c r="BC180" s="1">
        <v>1</v>
      </c>
      <c r="BD180" s="1">
        <v>0</v>
      </c>
      <c r="BE180" s="1">
        <v>0</v>
      </c>
      <c r="BF180" s="1">
        <v>0</v>
      </c>
      <c r="BG180" s="1">
        <v>0</v>
      </c>
      <c r="BH180" s="1">
        <f>SUM(sdata[[#This Row],[Baby Food]:[Spices]])</f>
        <v>4</v>
      </c>
      <c r="BI180"/>
    </row>
    <row r="181" spans="1:61" x14ac:dyDescent="0.3">
      <c r="A181" s="1" t="s">
        <v>648</v>
      </c>
      <c r="B181" s="1" t="s">
        <v>649</v>
      </c>
      <c r="C181" s="1" t="s">
        <v>154</v>
      </c>
      <c r="D181" s="1" t="s">
        <v>650</v>
      </c>
      <c r="E181" s="1" t="s">
        <v>651</v>
      </c>
      <c r="F181" s="1" t="s">
        <v>652</v>
      </c>
      <c r="G181" s="1" t="s">
        <v>65</v>
      </c>
      <c r="H181" s="1">
        <v>31056</v>
      </c>
      <c r="I181" s="1" t="s">
        <v>653</v>
      </c>
      <c r="J181" s="1" t="s">
        <v>654</v>
      </c>
      <c r="K181" s="1" t="s">
        <v>205</v>
      </c>
      <c r="L181" s="1" t="s">
        <v>150</v>
      </c>
      <c r="M181" s="1" t="s">
        <v>107</v>
      </c>
      <c r="N181" s="3">
        <v>115000000000000</v>
      </c>
      <c r="O181" s="3">
        <v>36706100000000</v>
      </c>
      <c r="P181" s="1">
        <v>10315</v>
      </c>
      <c r="Q181" s="1" t="s">
        <v>96</v>
      </c>
      <c r="R181" s="1">
        <v>6060</v>
      </c>
      <c r="S181" s="4">
        <v>0</v>
      </c>
      <c r="T181" s="4">
        <v>3.9914351851851854E-2</v>
      </c>
      <c r="U181" s="1">
        <v>9</v>
      </c>
      <c r="V181" s="1" t="s">
        <v>476</v>
      </c>
      <c r="W181" s="4">
        <v>0</v>
      </c>
      <c r="X181" s="2">
        <v>42633</v>
      </c>
      <c r="Y181" s="1">
        <v>102.6</v>
      </c>
      <c r="Z181" s="1" t="s">
        <v>72</v>
      </c>
      <c r="AA181" s="1" t="s">
        <v>80</v>
      </c>
      <c r="AB181" s="1" t="s">
        <v>109</v>
      </c>
      <c r="AC181" s="1" t="s">
        <v>75</v>
      </c>
      <c r="AD181" s="1" t="s">
        <v>99</v>
      </c>
      <c r="AE181" s="1">
        <v>0</v>
      </c>
      <c r="AF181" s="1">
        <v>0</v>
      </c>
      <c r="AG181" s="1">
        <v>0</v>
      </c>
      <c r="AH181" s="1">
        <v>1</v>
      </c>
      <c r="AI181" s="1">
        <v>0</v>
      </c>
      <c r="AJ181" s="1">
        <v>1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</v>
      </c>
      <c r="AV181" s="1">
        <v>0</v>
      </c>
      <c r="AW181" s="1">
        <v>0</v>
      </c>
      <c r="AX181" s="1">
        <v>0</v>
      </c>
      <c r="AY181" s="1">
        <v>1</v>
      </c>
      <c r="AZ181" s="1">
        <v>0</v>
      </c>
      <c r="BA181" s="1">
        <v>0</v>
      </c>
      <c r="BB181" s="1">
        <v>0</v>
      </c>
      <c r="BC181" s="1">
        <v>1</v>
      </c>
      <c r="BD181" s="1">
        <v>0</v>
      </c>
      <c r="BE181" s="1">
        <v>0</v>
      </c>
      <c r="BF181" s="1">
        <v>0</v>
      </c>
      <c r="BG181" s="1">
        <v>0</v>
      </c>
      <c r="BH181" s="1">
        <f>SUM(sdata[[#This Row],[Baby Food]:[Spices]])</f>
        <v>5</v>
      </c>
      <c r="BI181"/>
    </row>
    <row r="182" spans="1:61" x14ac:dyDescent="0.3">
      <c r="A182" s="1" t="s">
        <v>648</v>
      </c>
      <c r="B182" s="1" t="s">
        <v>655</v>
      </c>
      <c r="C182" s="1" t="s">
        <v>154</v>
      </c>
      <c r="D182" s="1" t="s">
        <v>656</v>
      </c>
      <c r="E182" s="1" t="s">
        <v>657</v>
      </c>
      <c r="G182" s="1" t="s">
        <v>107</v>
      </c>
      <c r="H182" s="1">
        <v>64200</v>
      </c>
      <c r="I182" s="1" t="s">
        <v>658</v>
      </c>
      <c r="J182" s="1" t="s">
        <v>659</v>
      </c>
      <c r="K182" s="1" t="s">
        <v>68</v>
      </c>
      <c r="L182" s="1" t="s">
        <v>660</v>
      </c>
      <c r="M182" s="1" t="s">
        <v>107</v>
      </c>
      <c r="N182" s="3">
        <v>702000000000000</v>
      </c>
      <c r="O182" s="3">
        <v>5159490000000000</v>
      </c>
      <c r="P182" s="1">
        <v>10319</v>
      </c>
      <c r="Q182" s="1">
        <v>26</v>
      </c>
      <c r="R182" s="1">
        <v>3624</v>
      </c>
      <c r="S182" s="4">
        <v>0</v>
      </c>
      <c r="T182" s="4">
        <v>3.3094907407407406E-2</v>
      </c>
      <c r="U182" s="1">
        <v>9.2200000000000006</v>
      </c>
      <c r="V182" s="1" t="s">
        <v>182</v>
      </c>
      <c r="W182" s="4">
        <v>0</v>
      </c>
      <c r="X182" s="2">
        <v>42536</v>
      </c>
      <c r="Y182" s="1">
        <v>240.95</v>
      </c>
      <c r="Z182" s="1" t="s">
        <v>72</v>
      </c>
      <c r="AA182" s="1" t="s">
        <v>73</v>
      </c>
      <c r="AB182" s="1" t="s">
        <v>109</v>
      </c>
      <c r="AC182" s="1" t="s">
        <v>98</v>
      </c>
      <c r="AD182" s="1" t="s">
        <v>76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1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1</v>
      </c>
      <c r="AX182" s="1">
        <v>0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1</v>
      </c>
      <c r="BE182" s="1">
        <v>0</v>
      </c>
      <c r="BF182" s="1">
        <v>1</v>
      </c>
      <c r="BG182" s="1">
        <v>0</v>
      </c>
      <c r="BH182" s="1">
        <f>SUM(sdata[[#This Row],[Baby Food]:[Spices]])</f>
        <v>5</v>
      </c>
      <c r="BI182"/>
    </row>
    <row r="183" spans="1:61" x14ac:dyDescent="0.3">
      <c r="A183" s="1" t="s">
        <v>648</v>
      </c>
      <c r="B183" s="1" t="s">
        <v>655</v>
      </c>
      <c r="C183" s="1" t="s">
        <v>154</v>
      </c>
      <c r="D183" s="1" t="s">
        <v>656</v>
      </c>
      <c r="E183" s="1" t="s">
        <v>657</v>
      </c>
      <c r="G183" s="1" t="s">
        <v>107</v>
      </c>
      <c r="H183" s="1">
        <v>64200</v>
      </c>
      <c r="I183" s="1" t="s">
        <v>658</v>
      </c>
      <c r="J183" s="1" t="s">
        <v>659</v>
      </c>
      <c r="K183" s="1" t="s">
        <v>68</v>
      </c>
      <c r="L183" s="1" t="s">
        <v>660</v>
      </c>
      <c r="M183" s="1" t="s">
        <v>107</v>
      </c>
      <c r="N183" s="3">
        <v>702000000000000</v>
      </c>
      <c r="O183" s="3">
        <v>5149180000000000</v>
      </c>
      <c r="P183" s="1">
        <v>10319</v>
      </c>
      <c r="Q183" s="1">
        <v>26</v>
      </c>
      <c r="R183" s="1">
        <v>4581</v>
      </c>
      <c r="S183" s="4">
        <v>0</v>
      </c>
      <c r="T183" s="4">
        <v>4.104398148148148E-2</v>
      </c>
      <c r="U183" s="1">
        <v>17.23</v>
      </c>
      <c r="V183" s="1" t="s">
        <v>93</v>
      </c>
      <c r="W183" s="4">
        <v>0</v>
      </c>
      <c r="X183" s="2">
        <v>42548</v>
      </c>
      <c r="Y183" s="1">
        <v>42.26</v>
      </c>
      <c r="Z183" s="1" t="s">
        <v>72</v>
      </c>
      <c r="AA183" s="1" t="s">
        <v>73</v>
      </c>
      <c r="AB183" s="1" t="s">
        <v>109</v>
      </c>
      <c r="AC183" s="1" t="s">
        <v>81</v>
      </c>
      <c r="AD183" s="1" t="s">
        <v>76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1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f>SUM(sdata[[#This Row],[Baby Food]:[Spices]])</f>
        <v>1</v>
      </c>
      <c r="BI183"/>
    </row>
    <row r="184" spans="1:61" x14ac:dyDescent="0.3">
      <c r="A184" s="1" t="s">
        <v>648</v>
      </c>
      <c r="B184" s="1" t="s">
        <v>655</v>
      </c>
      <c r="C184" s="1" t="s">
        <v>154</v>
      </c>
      <c r="D184" s="1" t="s">
        <v>656</v>
      </c>
      <c r="E184" s="1" t="s">
        <v>657</v>
      </c>
      <c r="G184" s="1" t="s">
        <v>107</v>
      </c>
      <c r="H184" s="1">
        <v>64200</v>
      </c>
      <c r="I184" s="1" t="s">
        <v>658</v>
      </c>
      <c r="J184" s="1" t="s">
        <v>659</v>
      </c>
      <c r="K184" s="1" t="s">
        <v>68</v>
      </c>
      <c r="L184" s="1" t="s">
        <v>660</v>
      </c>
      <c r="M184" s="1" t="s">
        <v>107</v>
      </c>
      <c r="N184" s="3">
        <v>702000000000000</v>
      </c>
      <c r="O184" s="3">
        <v>5188850000000000</v>
      </c>
      <c r="P184" s="1">
        <v>10319</v>
      </c>
      <c r="Q184" s="1">
        <v>26</v>
      </c>
      <c r="R184" s="1">
        <v>6362</v>
      </c>
      <c r="S184" s="4">
        <v>0</v>
      </c>
      <c r="T184" s="4">
        <v>2.3221064814814812E-2</v>
      </c>
      <c r="U184" s="1">
        <v>18.45</v>
      </c>
      <c r="V184" s="1" t="s">
        <v>395</v>
      </c>
      <c r="W184" s="4">
        <v>0</v>
      </c>
      <c r="X184" s="2">
        <v>42694</v>
      </c>
      <c r="Y184" s="1">
        <v>250</v>
      </c>
      <c r="Z184" s="1" t="s">
        <v>72</v>
      </c>
      <c r="AA184" s="1" t="s">
        <v>73</v>
      </c>
      <c r="AB184" s="1" t="s">
        <v>109</v>
      </c>
      <c r="AC184" s="1" t="s">
        <v>98</v>
      </c>
      <c r="AD184" s="1" t="s">
        <v>76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1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1</v>
      </c>
      <c r="AX184" s="1">
        <v>0</v>
      </c>
      <c r="AY184" s="1">
        <v>0</v>
      </c>
      <c r="AZ184" s="1">
        <v>1</v>
      </c>
      <c r="BA184" s="1">
        <v>0</v>
      </c>
      <c r="BB184" s="1">
        <v>0</v>
      </c>
      <c r="BC184" s="1">
        <v>0</v>
      </c>
      <c r="BD184" s="1">
        <v>1</v>
      </c>
      <c r="BE184" s="1">
        <v>0</v>
      </c>
      <c r="BF184" s="1">
        <v>1</v>
      </c>
      <c r="BG184" s="1">
        <v>0</v>
      </c>
      <c r="BH184" s="1">
        <f>SUM(sdata[[#This Row],[Baby Food]:[Spices]])</f>
        <v>5</v>
      </c>
      <c r="BI184"/>
    </row>
    <row r="185" spans="1:61" x14ac:dyDescent="0.3">
      <c r="A185" s="1" t="s">
        <v>648</v>
      </c>
      <c r="B185" s="1" t="s">
        <v>655</v>
      </c>
      <c r="C185" s="1" t="s">
        <v>154</v>
      </c>
      <c r="D185" s="1" t="s">
        <v>656</v>
      </c>
      <c r="E185" s="1" t="s">
        <v>657</v>
      </c>
      <c r="G185" s="1" t="s">
        <v>107</v>
      </c>
      <c r="H185" s="1">
        <v>64200</v>
      </c>
      <c r="I185" s="1" t="s">
        <v>658</v>
      </c>
      <c r="J185" s="1" t="s">
        <v>659</v>
      </c>
      <c r="K185" s="1" t="s">
        <v>68</v>
      </c>
      <c r="L185" s="1" t="s">
        <v>660</v>
      </c>
      <c r="M185" s="1" t="s">
        <v>107</v>
      </c>
      <c r="N185" s="3">
        <v>702000000000000</v>
      </c>
      <c r="O185" s="3">
        <v>5104510000000000</v>
      </c>
      <c r="P185" s="1">
        <v>10319</v>
      </c>
      <c r="Q185" s="1">
        <v>26</v>
      </c>
      <c r="R185" s="1">
        <v>6931</v>
      </c>
      <c r="S185" s="4">
        <v>0</v>
      </c>
      <c r="T185" s="4">
        <v>4.0797453703703704E-2</v>
      </c>
      <c r="U185" s="1">
        <v>11.05</v>
      </c>
      <c r="V185" s="1" t="s">
        <v>522</v>
      </c>
      <c r="W185" s="4">
        <v>0</v>
      </c>
      <c r="X185" s="2">
        <v>42650</v>
      </c>
      <c r="Y185" s="1">
        <v>213.19</v>
      </c>
      <c r="Z185" s="1" t="s">
        <v>72</v>
      </c>
      <c r="AA185" s="1" t="s">
        <v>73</v>
      </c>
      <c r="AB185" s="1" t="s">
        <v>109</v>
      </c>
      <c r="AC185" s="1" t="s">
        <v>98</v>
      </c>
      <c r="AD185" s="1" t="s">
        <v>76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1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1</v>
      </c>
      <c r="BE185" s="1">
        <v>0</v>
      </c>
      <c r="BF185" s="1">
        <v>1</v>
      </c>
      <c r="BG185" s="1">
        <v>1</v>
      </c>
      <c r="BH185" s="1">
        <f>SUM(sdata[[#This Row],[Baby Food]:[Spices]])</f>
        <v>5</v>
      </c>
      <c r="BI185"/>
    </row>
    <row r="186" spans="1:61" x14ac:dyDescent="0.3">
      <c r="A186" s="1" t="s">
        <v>604</v>
      </c>
      <c r="B186" s="1" t="s">
        <v>661</v>
      </c>
      <c r="C186" s="1" t="s">
        <v>61</v>
      </c>
      <c r="D186" s="1" t="s">
        <v>662</v>
      </c>
      <c r="E186" s="1" t="s">
        <v>663</v>
      </c>
      <c r="G186" s="1" t="s">
        <v>89</v>
      </c>
      <c r="H186" s="1">
        <v>56370</v>
      </c>
      <c r="I186" s="1" t="s">
        <v>664</v>
      </c>
      <c r="J186" s="1" t="s">
        <v>665</v>
      </c>
      <c r="K186" s="1" t="s">
        <v>205</v>
      </c>
      <c r="L186" s="1" t="s">
        <v>69</v>
      </c>
      <c r="M186" s="1" t="s">
        <v>118</v>
      </c>
      <c r="N186" s="1" t="s">
        <v>666</v>
      </c>
      <c r="O186" s="3">
        <v>36501600000000</v>
      </c>
      <c r="P186" s="1">
        <v>10323</v>
      </c>
      <c r="Q186" s="1" t="s">
        <v>96</v>
      </c>
      <c r="R186" s="1">
        <v>1685</v>
      </c>
      <c r="S186" s="4">
        <v>0</v>
      </c>
      <c r="T186" s="4">
        <v>3.3291666666666664E-2</v>
      </c>
      <c r="U186" s="1">
        <v>11.45</v>
      </c>
      <c r="V186" s="1" t="s">
        <v>248</v>
      </c>
      <c r="W186" s="4">
        <v>0</v>
      </c>
      <c r="X186" s="2">
        <v>42729</v>
      </c>
      <c r="Y186" s="1">
        <v>45.77</v>
      </c>
      <c r="Z186" s="1" t="s">
        <v>126</v>
      </c>
      <c r="AA186" s="1" t="s">
        <v>73</v>
      </c>
      <c r="AB186" s="1" t="s">
        <v>97</v>
      </c>
      <c r="AC186" s="1" t="s">
        <v>81</v>
      </c>
      <c r="AD186" s="1" t="s">
        <v>99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1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f>SUM(sdata[[#This Row],[Baby Food]:[Spices]])</f>
        <v>1</v>
      </c>
      <c r="BI186"/>
    </row>
    <row r="187" spans="1:61" x14ac:dyDescent="0.3">
      <c r="A187" s="1" t="s">
        <v>604</v>
      </c>
      <c r="B187" s="1" t="s">
        <v>661</v>
      </c>
      <c r="C187" s="1" t="s">
        <v>61</v>
      </c>
      <c r="D187" s="1" t="s">
        <v>662</v>
      </c>
      <c r="E187" s="1" t="s">
        <v>663</v>
      </c>
      <c r="G187" s="1" t="s">
        <v>89</v>
      </c>
      <c r="H187" s="1">
        <v>56370</v>
      </c>
      <c r="I187" s="1" t="s">
        <v>664</v>
      </c>
      <c r="J187" s="1" t="s">
        <v>665</v>
      </c>
      <c r="K187" s="1" t="s">
        <v>205</v>
      </c>
      <c r="L187" s="1" t="s">
        <v>69</v>
      </c>
      <c r="M187" s="1" t="s">
        <v>118</v>
      </c>
      <c r="N187" s="1" t="s">
        <v>666</v>
      </c>
      <c r="O187" s="3">
        <v>36553100000000</v>
      </c>
      <c r="P187" s="1">
        <v>10323</v>
      </c>
      <c r="Q187" s="1" t="s">
        <v>96</v>
      </c>
      <c r="R187" s="1">
        <v>8207</v>
      </c>
      <c r="S187" s="4">
        <v>0</v>
      </c>
      <c r="T187" s="4">
        <v>2.2910879629629632E-2</v>
      </c>
      <c r="U187" s="1">
        <v>13.88</v>
      </c>
      <c r="V187" s="1" t="s">
        <v>491</v>
      </c>
      <c r="W187" s="4">
        <v>0</v>
      </c>
      <c r="X187" s="2">
        <v>42491</v>
      </c>
      <c r="Y187" s="1">
        <v>30.69</v>
      </c>
      <c r="Z187" s="1" t="s">
        <v>72</v>
      </c>
      <c r="AA187" s="1" t="s">
        <v>80</v>
      </c>
      <c r="AB187" s="1" t="s">
        <v>97</v>
      </c>
      <c r="AC187" s="1" t="s">
        <v>81</v>
      </c>
      <c r="AD187" s="1" t="s">
        <v>99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1</v>
      </c>
      <c r="AP187" s="1">
        <v>0</v>
      </c>
      <c r="AQ187" s="1">
        <v>1</v>
      </c>
      <c r="AR187" s="1">
        <v>1</v>
      </c>
      <c r="AS187" s="1">
        <v>0</v>
      </c>
      <c r="AT187" s="1">
        <v>0</v>
      </c>
      <c r="AU187" s="1">
        <v>1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f>SUM(sdata[[#This Row],[Baby Food]:[Spices]])</f>
        <v>4</v>
      </c>
      <c r="BI187"/>
    </row>
    <row r="188" spans="1:61" x14ac:dyDescent="0.3">
      <c r="A188" s="1" t="s">
        <v>162</v>
      </c>
      <c r="B188" s="1" t="s">
        <v>667</v>
      </c>
      <c r="C188" s="1" t="s">
        <v>361</v>
      </c>
      <c r="D188" s="1" t="s">
        <v>668</v>
      </c>
      <c r="E188" s="1" t="s">
        <v>669</v>
      </c>
      <c r="F188" s="1" t="s">
        <v>670</v>
      </c>
      <c r="G188" s="1" t="s">
        <v>144</v>
      </c>
      <c r="H188" s="1">
        <v>59102</v>
      </c>
      <c r="I188" s="1" t="s">
        <v>671</v>
      </c>
      <c r="J188" s="1" t="s">
        <v>672</v>
      </c>
      <c r="K188" s="1" t="s">
        <v>92</v>
      </c>
      <c r="L188" s="1" t="s">
        <v>673</v>
      </c>
      <c r="M188" s="1" t="s">
        <v>107</v>
      </c>
      <c r="N188" s="3">
        <v>250000000000000</v>
      </c>
      <c r="O188" s="3">
        <v>4638110000000000</v>
      </c>
      <c r="P188" s="1">
        <v>10327</v>
      </c>
      <c r="Q188" s="1">
        <v>65</v>
      </c>
      <c r="R188" s="1">
        <v>738</v>
      </c>
      <c r="S188" s="4">
        <v>0</v>
      </c>
      <c r="T188" s="4">
        <v>9.6597222222222223E-3</v>
      </c>
      <c r="U188" s="1">
        <v>11.85</v>
      </c>
      <c r="V188" s="1" t="s">
        <v>603</v>
      </c>
      <c r="W188" s="4">
        <v>0</v>
      </c>
      <c r="X188" s="2">
        <v>42554</v>
      </c>
      <c r="Y188" s="1">
        <v>290.10000000000002</v>
      </c>
      <c r="Z188" s="1" t="s">
        <v>72</v>
      </c>
      <c r="AA188" s="1" t="s">
        <v>80</v>
      </c>
      <c r="AB188" s="1" t="s">
        <v>74</v>
      </c>
      <c r="AC188" s="1" t="s">
        <v>98</v>
      </c>
      <c r="AD188" s="1" t="s">
        <v>110</v>
      </c>
      <c r="AE188" s="1">
        <v>0</v>
      </c>
      <c r="AF188" s="1">
        <v>1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0</v>
      </c>
      <c r="AW188" s="1">
        <v>1</v>
      </c>
      <c r="AX188" s="1">
        <v>0</v>
      </c>
      <c r="AY188" s="1">
        <v>0</v>
      </c>
      <c r="AZ188" s="1">
        <v>1</v>
      </c>
      <c r="BA188" s="1">
        <v>0</v>
      </c>
      <c r="BB188" s="1">
        <v>0</v>
      </c>
      <c r="BC188" s="1">
        <v>1</v>
      </c>
      <c r="BD188" s="1">
        <v>0</v>
      </c>
      <c r="BE188" s="1">
        <v>0</v>
      </c>
      <c r="BF188" s="1">
        <v>0</v>
      </c>
      <c r="BG188" s="1">
        <v>1</v>
      </c>
      <c r="BH188" s="1">
        <f>SUM(sdata[[#This Row],[Baby Food]:[Spices]])</f>
        <v>6</v>
      </c>
      <c r="BI188"/>
    </row>
    <row r="189" spans="1:61" x14ac:dyDescent="0.3">
      <c r="A189" s="1" t="s">
        <v>162</v>
      </c>
      <c r="B189" s="1" t="s">
        <v>667</v>
      </c>
      <c r="C189" s="1" t="s">
        <v>361</v>
      </c>
      <c r="D189" s="1" t="s">
        <v>668</v>
      </c>
      <c r="E189" s="1" t="s">
        <v>669</v>
      </c>
      <c r="F189" s="1" t="s">
        <v>670</v>
      </c>
      <c r="G189" s="1" t="s">
        <v>144</v>
      </c>
      <c r="H189" s="1">
        <v>59102</v>
      </c>
      <c r="I189" s="1" t="s">
        <v>671</v>
      </c>
      <c r="J189" s="1" t="s">
        <v>672</v>
      </c>
      <c r="K189" s="1" t="s">
        <v>92</v>
      </c>
      <c r="L189" s="1" t="s">
        <v>673</v>
      </c>
      <c r="M189" s="1" t="s">
        <v>107</v>
      </c>
      <c r="N189" s="3">
        <v>250000000000000</v>
      </c>
      <c r="O189" s="3">
        <v>4796570000000000</v>
      </c>
      <c r="P189" s="1">
        <v>10327</v>
      </c>
      <c r="Q189" s="1">
        <v>65</v>
      </c>
      <c r="R189" s="1">
        <v>758</v>
      </c>
      <c r="S189" s="4">
        <v>0</v>
      </c>
      <c r="T189" s="4">
        <v>8.8668981481481481E-3</v>
      </c>
      <c r="U189" s="1">
        <v>6.15</v>
      </c>
      <c r="V189" s="1" t="s">
        <v>674</v>
      </c>
      <c r="W189" s="4">
        <v>0</v>
      </c>
      <c r="X189" s="2">
        <v>42432</v>
      </c>
      <c r="Y189" s="1">
        <v>190.14</v>
      </c>
      <c r="Z189" s="1" t="s">
        <v>72</v>
      </c>
      <c r="AA189" s="1" t="s">
        <v>80</v>
      </c>
      <c r="AB189" s="1" t="s">
        <v>74</v>
      </c>
      <c r="AC189" s="1" t="s">
        <v>98</v>
      </c>
      <c r="AD189" s="1" t="s">
        <v>110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1</v>
      </c>
      <c r="AM189" s="1">
        <v>0</v>
      </c>
      <c r="AN189" s="1">
        <v>1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0</v>
      </c>
      <c r="AW189" s="1">
        <v>1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1</v>
      </c>
      <c r="BH189" s="1">
        <f>SUM(sdata[[#This Row],[Baby Food]:[Spices]])</f>
        <v>5</v>
      </c>
      <c r="BI189"/>
    </row>
    <row r="190" spans="1:61" x14ac:dyDescent="0.3">
      <c r="A190" s="1" t="s">
        <v>162</v>
      </c>
      <c r="B190" s="1" t="s">
        <v>667</v>
      </c>
      <c r="C190" s="1" t="s">
        <v>361</v>
      </c>
      <c r="D190" s="1" t="s">
        <v>668</v>
      </c>
      <c r="E190" s="1" t="s">
        <v>669</v>
      </c>
      <c r="F190" s="1" t="s">
        <v>670</v>
      </c>
      <c r="G190" s="1" t="s">
        <v>144</v>
      </c>
      <c r="H190" s="1">
        <v>59102</v>
      </c>
      <c r="I190" s="1" t="s">
        <v>671</v>
      </c>
      <c r="J190" s="1" t="s">
        <v>672</v>
      </c>
      <c r="K190" s="1" t="s">
        <v>92</v>
      </c>
      <c r="L190" s="1" t="s">
        <v>673</v>
      </c>
      <c r="M190" s="1" t="s">
        <v>107</v>
      </c>
      <c r="N190" s="3">
        <v>250000000000000</v>
      </c>
      <c r="O190" s="3">
        <v>4053410000000000</v>
      </c>
      <c r="P190" s="1">
        <v>10327</v>
      </c>
      <c r="Q190" s="1">
        <v>65</v>
      </c>
      <c r="R190" s="1">
        <v>6887</v>
      </c>
      <c r="S190" s="4">
        <v>0</v>
      </c>
      <c r="T190" s="4">
        <v>1.3729166666666667E-2</v>
      </c>
      <c r="U190" s="1">
        <v>23.78</v>
      </c>
      <c r="V190" s="1" t="s">
        <v>193</v>
      </c>
      <c r="W190" s="4">
        <v>0</v>
      </c>
      <c r="X190" s="2">
        <v>42441</v>
      </c>
      <c r="Y190" s="1">
        <v>242</v>
      </c>
      <c r="Z190" s="1" t="s">
        <v>72</v>
      </c>
      <c r="AA190" s="1" t="s">
        <v>80</v>
      </c>
      <c r="AB190" s="1" t="s">
        <v>74</v>
      </c>
      <c r="AC190" s="1" t="s">
        <v>98</v>
      </c>
      <c r="AD190" s="1" t="s">
        <v>110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1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1</v>
      </c>
      <c r="AU190" s="1">
        <v>1</v>
      </c>
      <c r="AV190" s="1">
        <v>0</v>
      </c>
      <c r="AW190" s="1">
        <v>1</v>
      </c>
      <c r="AX190" s="1">
        <v>1</v>
      </c>
      <c r="AY190" s="1">
        <v>1</v>
      </c>
      <c r="AZ190" s="1">
        <v>0</v>
      </c>
      <c r="BA190" s="1">
        <v>0</v>
      </c>
      <c r="BB190" s="1">
        <v>0</v>
      </c>
      <c r="BC190" s="1">
        <v>1</v>
      </c>
      <c r="BD190" s="1">
        <v>0</v>
      </c>
      <c r="BE190" s="1">
        <v>1</v>
      </c>
      <c r="BF190" s="1">
        <v>0</v>
      </c>
      <c r="BG190" s="1">
        <v>1</v>
      </c>
      <c r="BH190" s="1">
        <f>SUM(sdata[[#This Row],[Baby Food]:[Spices]])</f>
        <v>9</v>
      </c>
      <c r="BI190"/>
    </row>
    <row r="191" spans="1:61" x14ac:dyDescent="0.3">
      <c r="A191" s="1" t="s">
        <v>162</v>
      </c>
      <c r="B191" s="1" t="s">
        <v>667</v>
      </c>
      <c r="C191" s="1" t="s">
        <v>361</v>
      </c>
      <c r="D191" s="1" t="s">
        <v>668</v>
      </c>
      <c r="E191" s="1" t="s">
        <v>669</v>
      </c>
      <c r="F191" s="1" t="s">
        <v>670</v>
      </c>
      <c r="G191" s="1" t="s">
        <v>144</v>
      </c>
      <c r="H191" s="1">
        <v>59102</v>
      </c>
      <c r="I191" s="1" t="s">
        <v>671</v>
      </c>
      <c r="J191" s="1" t="s">
        <v>672</v>
      </c>
      <c r="K191" s="1" t="s">
        <v>92</v>
      </c>
      <c r="L191" s="1" t="s">
        <v>673</v>
      </c>
      <c r="M191" s="1" t="s">
        <v>107</v>
      </c>
      <c r="N191" s="3">
        <v>250000000000000</v>
      </c>
      <c r="O191" s="3">
        <v>4188580000000000</v>
      </c>
      <c r="P191" s="1">
        <v>10327</v>
      </c>
      <c r="Q191" s="1">
        <v>65</v>
      </c>
      <c r="R191" s="1">
        <v>7923</v>
      </c>
      <c r="S191" s="4">
        <v>0</v>
      </c>
      <c r="T191" s="4">
        <v>1.7784722222222223E-2</v>
      </c>
      <c r="U191" s="1">
        <v>13.33</v>
      </c>
      <c r="V191" s="1" t="s">
        <v>217</v>
      </c>
      <c r="W191" s="4">
        <v>0</v>
      </c>
      <c r="X191" s="2">
        <v>42459</v>
      </c>
      <c r="Y191" s="1">
        <v>243.61</v>
      </c>
      <c r="Z191" s="1" t="s">
        <v>72</v>
      </c>
      <c r="AA191" s="1" t="s">
        <v>80</v>
      </c>
      <c r="AB191" s="1" t="s">
        <v>74</v>
      </c>
      <c r="AC191" s="1" t="s">
        <v>98</v>
      </c>
      <c r="AD191" s="1" t="s">
        <v>110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1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1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</v>
      </c>
      <c r="BG191" s="1">
        <v>1</v>
      </c>
      <c r="BH191" s="1">
        <f>SUM(sdata[[#This Row],[Baby Food]:[Spices]])</f>
        <v>5</v>
      </c>
      <c r="BI191"/>
    </row>
    <row r="192" spans="1:61" x14ac:dyDescent="0.3">
      <c r="A192" s="1" t="s">
        <v>162</v>
      </c>
      <c r="B192" s="1" t="s">
        <v>667</v>
      </c>
      <c r="C192" s="1" t="s">
        <v>361</v>
      </c>
      <c r="D192" s="1" t="s">
        <v>668</v>
      </c>
      <c r="E192" s="1" t="s">
        <v>669</v>
      </c>
      <c r="F192" s="1" t="s">
        <v>670</v>
      </c>
      <c r="G192" s="1" t="s">
        <v>144</v>
      </c>
      <c r="H192" s="1">
        <v>59102</v>
      </c>
      <c r="I192" s="1" t="s">
        <v>671</v>
      </c>
      <c r="J192" s="1" t="s">
        <v>672</v>
      </c>
      <c r="K192" s="1" t="s">
        <v>92</v>
      </c>
      <c r="L192" s="1" t="s">
        <v>673</v>
      </c>
      <c r="M192" s="1" t="s">
        <v>107</v>
      </c>
      <c r="N192" s="3">
        <v>250000000000000</v>
      </c>
      <c r="O192" s="3">
        <v>4993740000000000</v>
      </c>
      <c r="P192" s="1">
        <v>10327</v>
      </c>
      <c r="Q192" s="1">
        <v>65</v>
      </c>
      <c r="R192" s="1">
        <v>8518</v>
      </c>
      <c r="S192" s="4">
        <v>0</v>
      </c>
      <c r="T192" s="4">
        <v>1.384375E-2</v>
      </c>
      <c r="U192" s="1">
        <v>33.99</v>
      </c>
      <c r="V192" s="1" t="s">
        <v>82</v>
      </c>
      <c r="W192" s="4">
        <v>0</v>
      </c>
      <c r="X192" s="2">
        <v>42430</v>
      </c>
      <c r="Y192" s="1">
        <v>219.49</v>
      </c>
      <c r="Z192" s="1" t="s">
        <v>126</v>
      </c>
      <c r="AA192" s="1" t="s">
        <v>80</v>
      </c>
      <c r="AB192" s="1" t="s">
        <v>74</v>
      </c>
      <c r="AC192" s="1" t="s">
        <v>98</v>
      </c>
      <c r="AD192" s="1" t="s">
        <v>110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1</v>
      </c>
      <c r="AW192" s="1">
        <v>1</v>
      </c>
      <c r="AX192" s="1">
        <v>0</v>
      </c>
      <c r="AY192" s="1">
        <v>0</v>
      </c>
      <c r="AZ192" s="1">
        <v>1</v>
      </c>
      <c r="BA192" s="1">
        <v>0</v>
      </c>
      <c r="BB192" s="1">
        <v>0</v>
      </c>
      <c r="BC192" s="1">
        <v>0</v>
      </c>
      <c r="BD192" s="1">
        <v>1</v>
      </c>
      <c r="BE192" s="1">
        <v>0</v>
      </c>
      <c r="BF192" s="1">
        <v>0</v>
      </c>
      <c r="BG192" s="1">
        <v>0</v>
      </c>
      <c r="BH192" s="1">
        <f>SUM(sdata[[#This Row],[Baby Food]:[Spices]])</f>
        <v>4</v>
      </c>
      <c r="BI192"/>
    </row>
    <row r="193" spans="1:61" x14ac:dyDescent="0.3">
      <c r="A193" s="1" t="s">
        <v>675</v>
      </c>
      <c r="B193" s="1" t="s">
        <v>676</v>
      </c>
      <c r="C193" s="1" t="s">
        <v>61</v>
      </c>
      <c r="D193" s="1" t="s">
        <v>677</v>
      </c>
      <c r="E193" s="1" t="s">
        <v>678</v>
      </c>
      <c r="F193" s="1" t="s">
        <v>679</v>
      </c>
      <c r="G193" s="1" t="s">
        <v>144</v>
      </c>
      <c r="H193" s="1">
        <v>99740</v>
      </c>
      <c r="I193" s="1" t="s">
        <v>680</v>
      </c>
      <c r="J193" s="1" t="s">
        <v>681</v>
      </c>
      <c r="K193" s="1" t="s">
        <v>121</v>
      </c>
      <c r="L193" s="1" t="s">
        <v>334</v>
      </c>
      <c r="M193" s="1" t="s">
        <v>118</v>
      </c>
      <c r="N193" s="1" t="s">
        <v>682</v>
      </c>
      <c r="O193" s="3">
        <v>6011160000000000</v>
      </c>
      <c r="P193" s="1">
        <v>10331</v>
      </c>
      <c r="Q193" s="1">
        <v>64</v>
      </c>
      <c r="R193" s="1">
        <v>1944</v>
      </c>
      <c r="S193" s="4">
        <v>0</v>
      </c>
      <c r="T193" s="4">
        <v>3.0493055555555551E-2</v>
      </c>
      <c r="U193" s="1">
        <v>19.05</v>
      </c>
      <c r="V193" s="1" t="s">
        <v>290</v>
      </c>
      <c r="W193" s="4">
        <v>0</v>
      </c>
      <c r="X193" s="2">
        <v>42716</v>
      </c>
      <c r="Y193" s="1">
        <v>10</v>
      </c>
      <c r="Z193" s="1" t="s">
        <v>78</v>
      </c>
      <c r="AA193" s="1" t="s">
        <v>73</v>
      </c>
      <c r="AB193" s="1" t="s">
        <v>109</v>
      </c>
      <c r="AC193" s="1" t="s">
        <v>81</v>
      </c>
      <c r="AD193" s="1" t="s">
        <v>110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1</v>
      </c>
      <c r="AP193" s="1">
        <v>0</v>
      </c>
      <c r="AQ193" s="1">
        <v>1</v>
      </c>
      <c r="AR193" s="1">
        <v>0</v>
      </c>
      <c r="AS193" s="1">
        <v>0</v>
      </c>
      <c r="AT193" s="1">
        <v>0</v>
      </c>
      <c r="AU193" s="1">
        <v>1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f>SUM(sdata[[#This Row],[Baby Food]:[Spices]])</f>
        <v>3</v>
      </c>
      <c r="BI193"/>
    </row>
    <row r="194" spans="1:61" x14ac:dyDescent="0.3">
      <c r="A194" s="1" t="s">
        <v>683</v>
      </c>
      <c r="B194" s="1" t="s">
        <v>684</v>
      </c>
      <c r="C194" s="1" t="s">
        <v>154</v>
      </c>
      <c r="D194" s="1" t="s">
        <v>685</v>
      </c>
      <c r="E194" s="1" t="s">
        <v>686</v>
      </c>
      <c r="F194" s="1" t="s">
        <v>687</v>
      </c>
      <c r="G194" s="1" t="s">
        <v>144</v>
      </c>
      <c r="H194" s="1">
        <v>35222</v>
      </c>
      <c r="I194" s="1" t="s">
        <v>688</v>
      </c>
      <c r="J194" s="1" t="s">
        <v>689</v>
      </c>
      <c r="K194" s="1" t="s">
        <v>121</v>
      </c>
      <c r="L194" s="1" t="s">
        <v>690</v>
      </c>
      <c r="M194" s="1" t="s">
        <v>254</v>
      </c>
      <c r="N194" s="1">
        <v>944146232</v>
      </c>
      <c r="O194" s="3">
        <v>6011530000000000</v>
      </c>
      <c r="P194" s="1">
        <v>10335</v>
      </c>
      <c r="Q194" s="1">
        <v>45</v>
      </c>
      <c r="R194" s="1">
        <v>235</v>
      </c>
      <c r="S194" s="4">
        <v>0</v>
      </c>
      <c r="T194" s="4">
        <v>1.6604166666666666E-2</v>
      </c>
      <c r="U194" s="1">
        <v>16.850000000000001</v>
      </c>
      <c r="V194" s="1" t="s">
        <v>326</v>
      </c>
      <c r="W194" s="4">
        <v>0</v>
      </c>
      <c r="X194" s="2">
        <v>42427</v>
      </c>
      <c r="Y194" s="1">
        <v>47.31</v>
      </c>
      <c r="Z194" s="1" t="s">
        <v>72</v>
      </c>
      <c r="AA194" s="1" t="s">
        <v>73</v>
      </c>
      <c r="AB194" s="1" t="s">
        <v>109</v>
      </c>
      <c r="AC194" s="1" t="s">
        <v>81</v>
      </c>
      <c r="AD194" s="1" t="s">
        <v>151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1</v>
      </c>
      <c r="AP194" s="1">
        <v>0</v>
      </c>
      <c r="AQ194" s="1">
        <v>1</v>
      </c>
      <c r="AR194" s="1">
        <v>0</v>
      </c>
      <c r="AS194" s="1">
        <v>0</v>
      </c>
      <c r="AT194" s="1">
        <v>0</v>
      </c>
      <c r="AU194" s="1">
        <v>1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f>SUM(sdata[[#This Row],[Baby Food]:[Spices]])</f>
        <v>3</v>
      </c>
      <c r="BI194"/>
    </row>
    <row r="195" spans="1:61" x14ac:dyDescent="0.3">
      <c r="A195" s="1" t="s">
        <v>683</v>
      </c>
      <c r="B195" s="1" t="s">
        <v>684</v>
      </c>
      <c r="C195" s="1" t="s">
        <v>154</v>
      </c>
      <c r="D195" s="1" t="s">
        <v>685</v>
      </c>
      <c r="E195" s="1" t="s">
        <v>686</v>
      </c>
      <c r="F195" s="1" t="s">
        <v>687</v>
      </c>
      <c r="G195" s="1" t="s">
        <v>144</v>
      </c>
      <c r="H195" s="1">
        <v>35222</v>
      </c>
      <c r="I195" s="1" t="s">
        <v>688</v>
      </c>
      <c r="J195" s="1" t="s">
        <v>689</v>
      </c>
      <c r="K195" s="1" t="s">
        <v>121</v>
      </c>
      <c r="L195" s="1" t="s">
        <v>690</v>
      </c>
      <c r="M195" s="1" t="s">
        <v>254</v>
      </c>
      <c r="N195" s="1">
        <v>944146232</v>
      </c>
      <c r="O195" s="3">
        <v>6011070000000000</v>
      </c>
      <c r="P195" s="1">
        <v>10335</v>
      </c>
      <c r="Q195" s="1">
        <v>45</v>
      </c>
      <c r="R195" s="1">
        <v>7464</v>
      </c>
      <c r="S195" s="4">
        <v>0</v>
      </c>
      <c r="T195" s="4">
        <v>2.2744212962962963E-2</v>
      </c>
      <c r="U195" s="1">
        <v>48.52</v>
      </c>
      <c r="V195" s="1" t="s">
        <v>691</v>
      </c>
      <c r="W195" s="4">
        <v>0</v>
      </c>
      <c r="X195" s="2">
        <v>42712</v>
      </c>
      <c r="Y195" s="1">
        <v>31.71</v>
      </c>
      <c r="Z195" s="1" t="s">
        <v>72</v>
      </c>
      <c r="AA195" s="1" t="s">
        <v>73</v>
      </c>
      <c r="AB195" s="1" t="s">
        <v>109</v>
      </c>
      <c r="AC195" s="1" t="s">
        <v>81</v>
      </c>
      <c r="AD195" s="1" t="s">
        <v>151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1</v>
      </c>
      <c r="AP195" s="1">
        <v>0</v>
      </c>
      <c r="AQ195" s="1">
        <v>0</v>
      </c>
      <c r="AR195" s="1">
        <v>1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f>SUM(sdata[[#This Row],[Baby Food]:[Spices]])</f>
        <v>2</v>
      </c>
      <c r="BI195"/>
    </row>
    <row r="196" spans="1:61" x14ac:dyDescent="0.3">
      <c r="A196" s="1" t="s">
        <v>692</v>
      </c>
      <c r="B196" s="1" t="s">
        <v>693</v>
      </c>
      <c r="C196" s="1" t="s">
        <v>154</v>
      </c>
      <c r="D196" s="1" t="s">
        <v>694</v>
      </c>
      <c r="E196" s="1" t="s">
        <v>686</v>
      </c>
      <c r="F196" s="1" t="s">
        <v>687</v>
      </c>
      <c r="G196" s="1" t="s">
        <v>144</v>
      </c>
      <c r="H196" s="1">
        <v>35203</v>
      </c>
      <c r="I196" s="1" t="s">
        <v>695</v>
      </c>
      <c r="J196" s="1" t="s">
        <v>696</v>
      </c>
      <c r="K196" s="1" t="s">
        <v>92</v>
      </c>
      <c r="L196" s="1" t="s">
        <v>367</v>
      </c>
      <c r="M196" s="1" t="s">
        <v>411</v>
      </c>
      <c r="N196" s="1" t="s">
        <v>697</v>
      </c>
      <c r="O196" s="3">
        <v>4446370000000000</v>
      </c>
      <c r="P196" s="1">
        <v>10339</v>
      </c>
      <c r="Q196" s="1">
        <v>55</v>
      </c>
      <c r="R196" s="1">
        <v>4716</v>
      </c>
      <c r="S196" s="4">
        <v>0</v>
      </c>
      <c r="T196" s="4">
        <v>7.9432870370370369E-3</v>
      </c>
      <c r="U196" s="1">
        <v>7.45</v>
      </c>
      <c r="V196" s="1" t="s">
        <v>423</v>
      </c>
      <c r="W196" s="4">
        <v>0</v>
      </c>
      <c r="X196" s="2">
        <v>42541</v>
      </c>
      <c r="Y196" s="1">
        <v>8.49</v>
      </c>
      <c r="Z196" s="1" t="s">
        <v>72</v>
      </c>
      <c r="AA196" s="1" t="s">
        <v>73</v>
      </c>
      <c r="AB196" s="1" t="s">
        <v>109</v>
      </c>
      <c r="AC196" s="1" t="s">
        <v>81</v>
      </c>
      <c r="AD196" s="1" t="s">
        <v>110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1</v>
      </c>
      <c r="AP196" s="1">
        <v>0</v>
      </c>
      <c r="AQ196" s="1">
        <v>1</v>
      </c>
      <c r="AR196" s="1">
        <v>1</v>
      </c>
      <c r="AS196" s="1">
        <v>0</v>
      </c>
      <c r="AT196" s="1">
        <v>0</v>
      </c>
      <c r="AU196" s="1">
        <v>1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f>SUM(sdata[[#This Row],[Baby Food]:[Spices]])</f>
        <v>4</v>
      </c>
      <c r="BI196"/>
    </row>
    <row r="197" spans="1:61" x14ac:dyDescent="0.3">
      <c r="A197" s="1" t="s">
        <v>698</v>
      </c>
      <c r="B197" s="1" t="s">
        <v>699</v>
      </c>
      <c r="C197" s="1" t="s">
        <v>154</v>
      </c>
      <c r="D197" s="1" t="s">
        <v>700</v>
      </c>
      <c r="E197" s="1" t="s">
        <v>701</v>
      </c>
      <c r="F197" s="1" t="s">
        <v>702</v>
      </c>
      <c r="G197" s="1" t="s">
        <v>144</v>
      </c>
      <c r="H197" s="1">
        <v>57718</v>
      </c>
      <c r="I197" s="1" t="s">
        <v>703</v>
      </c>
      <c r="J197" s="1" t="s">
        <v>704</v>
      </c>
      <c r="K197" s="1" t="s">
        <v>147</v>
      </c>
      <c r="L197" s="1" t="s">
        <v>268</v>
      </c>
      <c r="M197" s="1" t="s">
        <v>107</v>
      </c>
      <c r="N197" s="3">
        <v>159000000000000</v>
      </c>
      <c r="O197" s="3">
        <v>344168000000000</v>
      </c>
      <c r="P197" s="1">
        <v>10343</v>
      </c>
      <c r="Q197" s="1">
        <v>58</v>
      </c>
      <c r="R197" s="1">
        <v>2071</v>
      </c>
      <c r="S197" s="4">
        <v>0</v>
      </c>
      <c r="T197" s="4">
        <v>4.1391203703703701E-2</v>
      </c>
      <c r="U197" s="1">
        <v>5.66</v>
      </c>
      <c r="V197" s="1" t="s">
        <v>269</v>
      </c>
      <c r="W197" s="4">
        <v>0</v>
      </c>
      <c r="X197" s="2">
        <v>42731</v>
      </c>
      <c r="Y197" s="1">
        <v>33.33</v>
      </c>
      <c r="Z197" s="1" t="s">
        <v>72</v>
      </c>
      <c r="AA197" s="1" t="s">
        <v>73</v>
      </c>
      <c r="AB197" s="1" t="s">
        <v>109</v>
      </c>
      <c r="AC197" s="1" t="s">
        <v>81</v>
      </c>
      <c r="AD197" s="1" t="s">
        <v>110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1</v>
      </c>
      <c r="AP197" s="1">
        <v>0</v>
      </c>
      <c r="AQ197" s="1">
        <v>1</v>
      </c>
      <c r="AR197" s="1">
        <v>0</v>
      </c>
      <c r="AS197" s="1">
        <v>0</v>
      </c>
      <c r="AT197" s="1">
        <v>0</v>
      </c>
      <c r="AU197" s="1">
        <v>1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f>SUM(sdata[[#This Row],[Baby Food]:[Spices]])</f>
        <v>3</v>
      </c>
      <c r="BI197"/>
    </row>
    <row r="198" spans="1:61" x14ac:dyDescent="0.3">
      <c r="A198" s="1" t="s">
        <v>705</v>
      </c>
      <c r="B198" s="1" t="s">
        <v>562</v>
      </c>
      <c r="C198" s="1" t="s">
        <v>61</v>
      </c>
      <c r="D198" s="1" t="s">
        <v>706</v>
      </c>
      <c r="E198" s="1" t="s">
        <v>707</v>
      </c>
      <c r="F198" s="1" t="s">
        <v>364</v>
      </c>
      <c r="G198" s="1" t="s">
        <v>303</v>
      </c>
      <c r="H198" s="1">
        <v>2774</v>
      </c>
      <c r="I198" s="1" t="s">
        <v>708</v>
      </c>
      <c r="J198" s="1" t="s">
        <v>709</v>
      </c>
      <c r="K198" s="1" t="s">
        <v>147</v>
      </c>
      <c r="L198" s="1" t="s">
        <v>491</v>
      </c>
      <c r="M198" s="1" t="s">
        <v>107</v>
      </c>
      <c r="N198" s="3">
        <v>814000000000000</v>
      </c>
      <c r="O198" s="3">
        <v>372006000000000</v>
      </c>
      <c r="P198" s="1">
        <v>10347</v>
      </c>
      <c r="Q198" s="1">
        <v>54</v>
      </c>
      <c r="R198" s="1">
        <v>3591</v>
      </c>
      <c r="S198" s="4">
        <v>3.2928240740740737E-2</v>
      </c>
      <c r="T198" s="4">
        <v>3.2932870370370369E-2</v>
      </c>
      <c r="U198" s="1">
        <v>6.15</v>
      </c>
      <c r="V198" s="1" t="s">
        <v>335</v>
      </c>
      <c r="W198" s="4">
        <v>3.2928240740740737E-2</v>
      </c>
      <c r="X198" s="2">
        <v>42498</v>
      </c>
      <c r="Y198" s="1">
        <v>30.71</v>
      </c>
      <c r="Z198" s="1" t="s">
        <v>72</v>
      </c>
      <c r="AA198" s="1" t="s">
        <v>73</v>
      </c>
      <c r="AB198" s="1" t="s">
        <v>109</v>
      </c>
      <c r="AC198" s="1" t="s">
        <v>81</v>
      </c>
      <c r="AD198" s="1" t="s">
        <v>110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1</v>
      </c>
      <c r="AP198" s="1">
        <v>0</v>
      </c>
      <c r="AQ198" s="1">
        <v>1</v>
      </c>
      <c r="AR198" s="1">
        <v>1</v>
      </c>
      <c r="AS198" s="1">
        <v>0</v>
      </c>
      <c r="AT198" s="1">
        <v>0</v>
      </c>
      <c r="AU198" s="1">
        <v>1</v>
      </c>
      <c r="AV198" s="1">
        <v>0</v>
      </c>
      <c r="AW198" s="1">
        <v>0</v>
      </c>
      <c r="AX198" s="1">
        <v>0</v>
      </c>
      <c r="AY198" s="1">
        <v>1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f>SUM(sdata[[#This Row],[Baby Food]:[Spices]])</f>
        <v>5</v>
      </c>
      <c r="BI198"/>
    </row>
    <row r="199" spans="1:61" x14ac:dyDescent="0.3">
      <c r="A199" s="1" t="s">
        <v>705</v>
      </c>
      <c r="B199" s="1" t="s">
        <v>562</v>
      </c>
      <c r="C199" s="1" t="s">
        <v>61</v>
      </c>
      <c r="D199" s="1" t="s">
        <v>706</v>
      </c>
      <c r="E199" s="1" t="s">
        <v>707</v>
      </c>
      <c r="F199" s="1" t="s">
        <v>364</v>
      </c>
      <c r="G199" s="1" t="s">
        <v>303</v>
      </c>
      <c r="H199" s="1">
        <v>2774</v>
      </c>
      <c r="I199" s="1" t="s">
        <v>708</v>
      </c>
      <c r="J199" s="1" t="s">
        <v>709</v>
      </c>
      <c r="K199" s="1" t="s">
        <v>147</v>
      </c>
      <c r="L199" s="1" t="s">
        <v>491</v>
      </c>
      <c r="M199" s="1" t="s">
        <v>107</v>
      </c>
      <c r="N199" s="3">
        <v>814000000000000</v>
      </c>
      <c r="O199" s="3">
        <v>375546000000000</v>
      </c>
      <c r="P199" s="1">
        <v>10347</v>
      </c>
      <c r="Q199" s="1">
        <v>54</v>
      </c>
      <c r="R199" s="1">
        <v>9145</v>
      </c>
      <c r="S199" s="4">
        <v>0</v>
      </c>
      <c r="T199" s="4">
        <v>2.7155092592592592E-2</v>
      </c>
      <c r="U199" s="1">
        <v>18.239999999999998</v>
      </c>
      <c r="V199" s="1" t="s">
        <v>79</v>
      </c>
      <c r="W199" s="4">
        <v>0</v>
      </c>
      <c r="X199" s="2">
        <v>42640</v>
      </c>
      <c r="Y199" s="1">
        <v>27.48</v>
      </c>
      <c r="Z199" s="1" t="s">
        <v>72</v>
      </c>
      <c r="AA199" s="1" t="s">
        <v>73</v>
      </c>
      <c r="AB199" s="1" t="s">
        <v>109</v>
      </c>
      <c r="AC199" s="1" t="s">
        <v>81</v>
      </c>
      <c r="AD199" s="1" t="s">
        <v>110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1</v>
      </c>
      <c r="AP199" s="1">
        <v>0</v>
      </c>
      <c r="AQ199" s="1">
        <v>1</v>
      </c>
      <c r="AR199" s="1">
        <v>1</v>
      </c>
      <c r="AS199" s="1">
        <v>0</v>
      </c>
      <c r="AT199" s="1">
        <v>0</v>
      </c>
      <c r="AU199" s="1">
        <v>1</v>
      </c>
      <c r="AV199" s="1">
        <v>0</v>
      </c>
      <c r="AW199" s="1">
        <v>0</v>
      </c>
      <c r="AX199" s="1">
        <v>0</v>
      </c>
      <c r="AY199" s="1">
        <v>1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f>SUM(sdata[[#This Row],[Baby Food]:[Spices]])</f>
        <v>5</v>
      </c>
      <c r="BI199"/>
    </row>
    <row r="200" spans="1:61" x14ac:dyDescent="0.3">
      <c r="A200" s="1" t="s">
        <v>438</v>
      </c>
      <c r="B200" s="1" t="s">
        <v>710</v>
      </c>
      <c r="C200" s="1" t="s">
        <v>154</v>
      </c>
      <c r="D200" s="1" t="s">
        <v>711</v>
      </c>
      <c r="E200" s="1" t="s">
        <v>712</v>
      </c>
      <c r="F200" s="1" t="s">
        <v>594</v>
      </c>
      <c r="G200" s="1" t="s">
        <v>144</v>
      </c>
      <c r="H200" s="1">
        <v>61701</v>
      </c>
      <c r="I200" s="1" t="s">
        <v>713</v>
      </c>
      <c r="J200" s="1" t="s">
        <v>714</v>
      </c>
      <c r="K200" s="1" t="s">
        <v>246</v>
      </c>
      <c r="L200" s="1" t="s">
        <v>602</v>
      </c>
      <c r="M200" s="1" t="s">
        <v>107</v>
      </c>
      <c r="N200" s="3">
        <v>169000000000000</v>
      </c>
      <c r="O200" s="3">
        <v>3528370000000000</v>
      </c>
      <c r="P200" s="1">
        <v>10351</v>
      </c>
      <c r="Q200" s="1">
        <v>24</v>
      </c>
      <c r="R200" s="1">
        <v>591</v>
      </c>
      <c r="S200" s="4">
        <v>0</v>
      </c>
      <c r="T200" s="4">
        <v>3.0493055555555551E-2</v>
      </c>
      <c r="U200" s="1">
        <v>10.45</v>
      </c>
      <c r="V200" s="1" t="s">
        <v>369</v>
      </c>
      <c r="W200" s="4">
        <v>0</v>
      </c>
      <c r="X200" s="2">
        <v>42665</v>
      </c>
      <c r="Y200" s="1">
        <v>165.72</v>
      </c>
      <c r="Z200" s="1" t="s">
        <v>72</v>
      </c>
      <c r="AA200" s="1" t="s">
        <v>73</v>
      </c>
      <c r="AB200" s="1" t="s">
        <v>74</v>
      </c>
      <c r="AC200" s="1" t="s">
        <v>98</v>
      </c>
      <c r="AD200" s="1" t="s">
        <v>76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1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1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</v>
      </c>
      <c r="BG200" s="1">
        <v>1</v>
      </c>
      <c r="BH200" s="1">
        <f>SUM(sdata[[#This Row],[Baby Food]:[Spices]])</f>
        <v>4</v>
      </c>
      <c r="BI200"/>
    </row>
  </sheetData>
  <conditionalFormatting sqref="R1:R95 S201:S1048576 R101:R200">
    <cfRule type="duplicateValues" dxfId="1" priority="2"/>
  </conditionalFormatting>
  <conditionalFormatting sqref="R96:R10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E171-8812-4559-9982-EB33E234EF23}">
  <dimension ref="A2:AP35"/>
  <sheetViews>
    <sheetView showGridLines="0" topLeftCell="AG1" workbookViewId="0">
      <selection activeCell="AN3" sqref="AN3:AP16"/>
    </sheetView>
  </sheetViews>
  <sheetFormatPr defaultRowHeight="14.4" x14ac:dyDescent="0.3"/>
  <cols>
    <col min="1" max="1" width="12.5546875" bestFit="1" customWidth="1"/>
    <col min="2" max="2" width="21.109375" bestFit="1" customWidth="1"/>
    <col min="3" max="3" width="22.21875" bestFit="1" customWidth="1"/>
    <col min="6" max="6" width="15.5546875" bestFit="1" customWidth="1"/>
    <col min="7" max="7" width="21.109375" bestFit="1" customWidth="1"/>
    <col min="8" max="8" width="10.6640625" customWidth="1"/>
    <col min="10" max="10" width="21.109375" bestFit="1" customWidth="1"/>
    <col min="11" max="11" width="15.5546875" bestFit="1" customWidth="1"/>
    <col min="12" max="12" width="8" bestFit="1" customWidth="1"/>
    <col min="13" max="13" width="10.77734375" bestFit="1" customWidth="1"/>
    <col min="16" max="16" width="17.77734375" bestFit="1" customWidth="1"/>
    <col min="17" max="17" width="22.6640625" bestFit="1" customWidth="1"/>
    <col min="18" max="18" width="21.109375" bestFit="1" customWidth="1"/>
    <col min="19" max="19" width="24.88671875" bestFit="1" customWidth="1"/>
    <col min="20" max="20" width="24.21875" bestFit="1" customWidth="1"/>
    <col min="21" max="21" width="11.21875" bestFit="1" customWidth="1"/>
    <col min="22" max="22" width="8" bestFit="1" customWidth="1"/>
    <col min="23" max="23" width="12.5546875" bestFit="1" customWidth="1"/>
    <col min="24" max="24" width="22.6640625" bestFit="1" customWidth="1"/>
    <col min="25" max="25" width="21.109375" bestFit="1" customWidth="1"/>
    <col min="26" max="26" width="10.6640625" customWidth="1"/>
    <col min="27" max="27" width="7.77734375" customWidth="1"/>
    <col min="28" max="28" width="12.5546875" bestFit="1" customWidth="1"/>
    <col min="29" max="29" width="22.6640625" bestFit="1" customWidth="1"/>
    <col min="30" max="30" width="21.109375" bestFit="1" customWidth="1"/>
    <col min="31" max="31" width="22.21875" bestFit="1" customWidth="1"/>
    <col min="34" max="34" width="21.109375" bestFit="1" customWidth="1"/>
    <col min="35" max="35" width="15.5546875" bestFit="1" customWidth="1"/>
    <col min="36" max="36" width="7" bestFit="1" customWidth="1"/>
    <col min="37" max="37" width="10.77734375" bestFit="1" customWidth="1"/>
    <col min="38" max="38" width="9" customWidth="1"/>
    <col min="39" max="39" width="8.33203125" customWidth="1"/>
    <col min="40" max="40" width="12.5546875" bestFit="1" customWidth="1"/>
    <col min="41" max="41" width="20.109375" bestFit="1" customWidth="1"/>
    <col min="42" max="42" width="21.109375" bestFit="1" customWidth="1"/>
    <col min="43" max="43" width="10.77734375" bestFit="1" customWidth="1"/>
  </cols>
  <sheetData>
    <row r="2" spans="1:42" x14ac:dyDescent="0.3">
      <c r="A2" t="s">
        <v>1100</v>
      </c>
      <c r="F2" t="s">
        <v>1099</v>
      </c>
      <c r="J2" t="s">
        <v>1102</v>
      </c>
      <c r="P2" t="s">
        <v>1103</v>
      </c>
      <c r="W2" t="s">
        <v>1107</v>
      </c>
      <c r="AB2" t="s">
        <v>1107</v>
      </c>
      <c r="AH2" t="s">
        <v>1107</v>
      </c>
      <c r="AN2" t="s">
        <v>1130</v>
      </c>
    </row>
    <row r="3" spans="1:42" x14ac:dyDescent="0.3">
      <c r="A3" s="74" t="s">
        <v>1083</v>
      </c>
      <c r="B3" t="s">
        <v>1085</v>
      </c>
      <c r="C3" t="s">
        <v>1086</v>
      </c>
      <c r="F3" s="74" t="s">
        <v>1083</v>
      </c>
      <c r="G3" t="s">
        <v>1085</v>
      </c>
      <c r="J3" s="74" t="s">
        <v>1085</v>
      </c>
      <c r="K3" s="74" t="s">
        <v>1101</v>
      </c>
      <c r="P3" s="74" t="s">
        <v>1083</v>
      </c>
      <c r="Q3" t="s">
        <v>1104</v>
      </c>
      <c r="R3" t="s">
        <v>1085</v>
      </c>
      <c r="S3" t="s">
        <v>1105</v>
      </c>
      <c r="T3" t="s">
        <v>1106</v>
      </c>
      <c r="W3" s="74" t="s">
        <v>1083</v>
      </c>
      <c r="X3" t="s">
        <v>1104</v>
      </c>
      <c r="Y3" t="s">
        <v>1085</v>
      </c>
      <c r="AB3" s="74" t="s">
        <v>1083</v>
      </c>
      <c r="AC3" t="s">
        <v>1104</v>
      </c>
      <c r="AD3" t="s">
        <v>1085</v>
      </c>
      <c r="AE3" t="s">
        <v>1086</v>
      </c>
      <c r="AH3" s="74" t="s">
        <v>1085</v>
      </c>
      <c r="AI3" s="74" t="s">
        <v>1101</v>
      </c>
      <c r="AN3" s="74" t="s">
        <v>1083</v>
      </c>
      <c r="AO3" t="s">
        <v>1128</v>
      </c>
      <c r="AP3" t="s">
        <v>1129</v>
      </c>
    </row>
    <row r="4" spans="1:42" x14ac:dyDescent="0.3">
      <c r="A4" s="75" t="s">
        <v>1066</v>
      </c>
      <c r="B4">
        <v>11355.26</v>
      </c>
      <c r="C4" s="76">
        <v>0.56205532814271086</v>
      </c>
      <c r="F4" s="75" t="s">
        <v>1094</v>
      </c>
      <c r="G4">
        <v>1268.6399999999999</v>
      </c>
      <c r="J4" s="74" t="s">
        <v>1083</v>
      </c>
      <c r="K4" t="s">
        <v>1087</v>
      </c>
      <c r="L4" t="s">
        <v>1088</v>
      </c>
      <c r="M4" t="s">
        <v>1084</v>
      </c>
      <c r="P4" s="75" t="s">
        <v>205</v>
      </c>
      <c r="Q4">
        <v>16</v>
      </c>
      <c r="R4">
        <v>5394.4</v>
      </c>
      <c r="S4" s="76">
        <v>0.26700852839415723</v>
      </c>
      <c r="T4" s="76">
        <v>1</v>
      </c>
      <c r="W4" s="75" t="s">
        <v>227</v>
      </c>
      <c r="X4">
        <v>3</v>
      </c>
      <c r="Y4">
        <v>1599.16</v>
      </c>
      <c r="AB4" s="75" t="s">
        <v>1108</v>
      </c>
      <c r="AC4">
        <v>11</v>
      </c>
      <c r="AD4">
        <v>2485.2500000000005</v>
      </c>
      <c r="AE4" s="76">
        <v>0.1230132999391183</v>
      </c>
      <c r="AH4" s="74" t="s">
        <v>1083</v>
      </c>
      <c r="AI4" t="s">
        <v>1087</v>
      </c>
      <c r="AJ4" t="s">
        <v>1088</v>
      </c>
      <c r="AK4" t="s">
        <v>1084</v>
      </c>
      <c r="AN4" s="75" t="s">
        <v>1116</v>
      </c>
      <c r="AO4">
        <v>917.21000000000015</v>
      </c>
      <c r="AP4" s="76"/>
    </row>
    <row r="5" spans="1:42" x14ac:dyDescent="0.3">
      <c r="A5" s="75" t="s">
        <v>1071</v>
      </c>
      <c r="B5">
        <v>3237.3500000000004</v>
      </c>
      <c r="C5" s="76">
        <v>0.16024026015809459</v>
      </c>
      <c r="F5" s="75" t="s">
        <v>1089</v>
      </c>
      <c r="G5">
        <v>1185.3400000000001</v>
      </c>
      <c r="J5" s="75" t="s">
        <v>1066</v>
      </c>
      <c r="K5">
        <v>5187.07</v>
      </c>
      <c r="L5">
        <v>6168.1900000000005</v>
      </c>
      <c r="M5">
        <v>11355.26</v>
      </c>
      <c r="P5" s="77" t="s">
        <v>1066</v>
      </c>
      <c r="Q5">
        <v>8</v>
      </c>
      <c r="R5">
        <v>3608.2499999999991</v>
      </c>
      <c r="S5" s="76">
        <v>0.1785988288925956</v>
      </c>
      <c r="T5" s="76">
        <v>0.66888810618419092</v>
      </c>
      <c r="W5" s="75" t="s">
        <v>367</v>
      </c>
      <c r="X5">
        <v>3</v>
      </c>
      <c r="Y5">
        <v>1412.68</v>
      </c>
      <c r="AB5" s="75" t="s">
        <v>1109</v>
      </c>
      <c r="AC5">
        <v>3</v>
      </c>
      <c r="AD5">
        <v>173.82999999999998</v>
      </c>
      <c r="AE5" s="76">
        <v>8.6041251095128977E-3</v>
      </c>
      <c r="AH5" s="75" t="s">
        <v>1108</v>
      </c>
      <c r="AI5" s="76">
        <v>4.1340190366824889E-2</v>
      </c>
      <c r="AJ5" s="76">
        <v>8.1673109572293345E-2</v>
      </c>
      <c r="AK5" s="76">
        <v>0.12301329993911823</v>
      </c>
      <c r="AN5" s="75" t="s">
        <v>1117</v>
      </c>
      <c r="AO5">
        <v>716.10000000000014</v>
      </c>
      <c r="AP5" s="76">
        <v>-0.21926276425246125</v>
      </c>
    </row>
    <row r="6" spans="1:42" x14ac:dyDescent="0.3">
      <c r="A6" s="75" t="s">
        <v>1068</v>
      </c>
      <c r="B6">
        <v>1984.61</v>
      </c>
      <c r="C6" s="76">
        <v>9.8232944449119203E-2</v>
      </c>
      <c r="F6" s="75" t="s">
        <v>1098</v>
      </c>
      <c r="G6">
        <v>891.83999999999992</v>
      </c>
      <c r="J6" s="75" t="s">
        <v>1069</v>
      </c>
      <c r="K6">
        <v>1638.24</v>
      </c>
      <c r="M6">
        <v>1638.24</v>
      </c>
      <c r="P6" s="77" t="s">
        <v>1068</v>
      </c>
      <c r="Q6">
        <v>2</v>
      </c>
      <c r="R6">
        <v>878.72</v>
      </c>
      <c r="S6" s="76">
        <v>4.3494315228851006E-2</v>
      </c>
      <c r="T6" s="76">
        <v>0.1628948539225864</v>
      </c>
      <c r="W6" s="75" t="s">
        <v>195</v>
      </c>
      <c r="X6">
        <v>2</v>
      </c>
      <c r="Y6">
        <v>1366.6</v>
      </c>
      <c r="AB6" s="75" t="s">
        <v>1110</v>
      </c>
      <c r="AC6">
        <v>10</v>
      </c>
      <c r="AD6">
        <v>3903.2299999999996</v>
      </c>
      <c r="AE6" s="76">
        <v>0.19319955848359907</v>
      </c>
      <c r="AH6" s="75" t="s">
        <v>1109</v>
      </c>
      <c r="AI6" s="76">
        <v>2.6391989348169336E-3</v>
      </c>
      <c r="AJ6" s="76">
        <v>5.9649261746959623E-3</v>
      </c>
      <c r="AK6" s="76">
        <v>8.6041251095128959E-3</v>
      </c>
      <c r="AN6" s="75" t="s">
        <v>1118</v>
      </c>
      <c r="AO6">
        <v>2660.49</v>
      </c>
      <c r="AP6" s="76">
        <v>2.7152492668621693</v>
      </c>
    </row>
    <row r="7" spans="1:42" x14ac:dyDescent="0.3">
      <c r="A7" s="75" t="s">
        <v>1069</v>
      </c>
      <c r="B7">
        <v>1638.24</v>
      </c>
      <c r="C7" s="76">
        <v>8.1088545817226076E-2</v>
      </c>
      <c r="F7" s="75" t="s">
        <v>1097</v>
      </c>
      <c r="G7">
        <v>891.47</v>
      </c>
      <c r="J7" s="75" t="s">
        <v>1068</v>
      </c>
      <c r="K7">
        <v>1537.57</v>
      </c>
      <c r="L7">
        <v>447.04</v>
      </c>
      <c r="M7">
        <v>1984.61</v>
      </c>
      <c r="P7" s="77" t="s">
        <v>1072</v>
      </c>
      <c r="Q7">
        <v>1</v>
      </c>
      <c r="R7">
        <v>385.19000000000005</v>
      </c>
      <c r="S7" s="76">
        <v>1.9065885928397124E-2</v>
      </c>
      <c r="T7" s="76">
        <v>7.14055316624648E-2</v>
      </c>
      <c r="W7" s="75" t="s">
        <v>602</v>
      </c>
      <c r="X7">
        <v>3</v>
      </c>
      <c r="Y7">
        <v>1093.3599999999999</v>
      </c>
      <c r="AB7" s="75" t="s">
        <v>1111</v>
      </c>
      <c r="AC7">
        <v>7</v>
      </c>
      <c r="AD7">
        <v>916.71</v>
      </c>
      <c r="AE7" s="76">
        <v>4.5374719721230916E-2</v>
      </c>
      <c r="AH7" s="75" t="s">
        <v>1110</v>
      </c>
      <c r="AI7" s="76">
        <v>8.5787824640772947E-2</v>
      </c>
      <c r="AJ7" s="76">
        <v>0.1074117338428261</v>
      </c>
      <c r="AK7" s="76">
        <v>0.19319955848359904</v>
      </c>
      <c r="AN7" s="75" t="s">
        <v>1119</v>
      </c>
      <c r="AO7">
        <v>1290.28</v>
      </c>
      <c r="AP7" s="76">
        <v>-0.5150216689406838</v>
      </c>
    </row>
    <row r="8" spans="1:42" x14ac:dyDescent="0.3">
      <c r="A8" s="75" t="s">
        <v>1072</v>
      </c>
      <c r="B8">
        <v>1434.17</v>
      </c>
      <c r="C8" s="76">
        <v>7.0987620711672972E-2</v>
      </c>
      <c r="F8" s="75" t="s">
        <v>1092</v>
      </c>
      <c r="G8">
        <v>801.18</v>
      </c>
      <c r="J8" s="75" t="s">
        <v>1071</v>
      </c>
      <c r="K8">
        <v>931.92</v>
      </c>
      <c r="L8">
        <v>2305.4300000000003</v>
      </c>
      <c r="M8">
        <v>3237.3500000000004</v>
      </c>
      <c r="P8" s="77" t="s">
        <v>1070</v>
      </c>
      <c r="Q8">
        <v>2</v>
      </c>
      <c r="R8">
        <v>266.65999999999997</v>
      </c>
      <c r="S8" s="76">
        <v>1.319896451534665E-2</v>
      </c>
      <c r="T8" s="76">
        <v>4.94327450689604E-2</v>
      </c>
      <c r="W8" s="75" t="s">
        <v>180</v>
      </c>
      <c r="X8">
        <v>3</v>
      </c>
      <c r="Y8">
        <v>990.78999999999985</v>
      </c>
      <c r="AB8" s="75" t="s">
        <v>1112</v>
      </c>
      <c r="AC8">
        <v>17</v>
      </c>
      <c r="AD8">
        <v>1730.18</v>
      </c>
      <c r="AE8" s="76">
        <v>8.5639332577673755E-2</v>
      </c>
      <c r="AH8" s="75" t="s">
        <v>1111</v>
      </c>
      <c r="AI8" s="76">
        <v>1.3139567690106961E-2</v>
      </c>
      <c r="AJ8" s="76">
        <v>3.2235152031123933E-2</v>
      </c>
      <c r="AK8" s="76">
        <v>4.5374719721230895E-2</v>
      </c>
      <c r="AN8" s="75" t="s">
        <v>1120</v>
      </c>
      <c r="AO8">
        <v>2782.1600000000003</v>
      </c>
      <c r="AP8" s="76">
        <v>1.1562451560901512</v>
      </c>
    </row>
    <row r="9" spans="1:42" x14ac:dyDescent="0.3">
      <c r="A9" s="75" t="s">
        <v>1070</v>
      </c>
      <c r="B9">
        <v>533.1</v>
      </c>
      <c r="C9" s="76">
        <v>2.6387039612732702E-2</v>
      </c>
      <c r="F9" s="75" t="s">
        <v>1093</v>
      </c>
      <c r="G9">
        <v>788.25</v>
      </c>
      <c r="J9" s="75" t="s">
        <v>1072</v>
      </c>
      <c r="K9">
        <v>821.06000000000006</v>
      </c>
      <c r="L9">
        <v>613.11</v>
      </c>
      <c r="M9">
        <v>1434.17</v>
      </c>
      <c r="P9" s="77" t="s">
        <v>1071</v>
      </c>
      <c r="Q9">
        <v>3</v>
      </c>
      <c r="R9">
        <v>255.57999999999998</v>
      </c>
      <c r="S9" s="76">
        <v>1.2650533828966838E-2</v>
      </c>
      <c r="T9" s="76">
        <v>4.737876316179742E-2</v>
      </c>
      <c r="W9" s="75" t="s">
        <v>268</v>
      </c>
      <c r="X9">
        <v>3</v>
      </c>
      <c r="Y9">
        <v>839.94</v>
      </c>
      <c r="AB9" s="75" t="s">
        <v>1113</v>
      </c>
      <c r="AC9">
        <v>9</v>
      </c>
      <c r="AD9">
        <v>2267.7199999999998</v>
      </c>
      <c r="AE9" s="76">
        <v>0.1122461404437933</v>
      </c>
      <c r="AH9" s="75" t="s">
        <v>1112</v>
      </c>
      <c r="AI9" s="76">
        <v>5.3051264409917281E-2</v>
      </c>
      <c r="AJ9" s="76">
        <v>3.2588068167756438E-2</v>
      </c>
      <c r="AK9" s="76">
        <v>8.5639332577673713E-2</v>
      </c>
      <c r="AN9" s="75" t="s">
        <v>1121</v>
      </c>
      <c r="AO9">
        <v>1264.1499999999999</v>
      </c>
      <c r="AP9" s="76">
        <v>-0.54562282543060081</v>
      </c>
    </row>
    <row r="10" spans="1:42" x14ac:dyDescent="0.3">
      <c r="A10" s="75" t="s">
        <v>1067</v>
      </c>
      <c r="B10">
        <v>20.37</v>
      </c>
      <c r="C10" s="76">
        <v>1.0082611084437539E-3</v>
      </c>
      <c r="F10" s="75" t="s">
        <v>1095</v>
      </c>
      <c r="G10">
        <v>746.40000000000009</v>
      </c>
      <c r="J10" s="75" t="s">
        <v>1070</v>
      </c>
      <c r="K10">
        <v>190.2</v>
      </c>
      <c r="L10">
        <v>342.9</v>
      </c>
      <c r="M10">
        <v>533.09999999999991</v>
      </c>
      <c r="P10" s="75" t="s">
        <v>92</v>
      </c>
      <c r="Q10">
        <v>16</v>
      </c>
      <c r="R10">
        <v>4916.92</v>
      </c>
      <c r="S10" s="76">
        <v>0.24337453163128425</v>
      </c>
      <c r="T10" s="76">
        <v>1</v>
      </c>
      <c r="W10" s="75" t="s">
        <v>150</v>
      </c>
      <c r="X10">
        <v>2</v>
      </c>
      <c r="Y10">
        <v>793.77</v>
      </c>
      <c r="AB10" s="75" t="s">
        <v>1114</v>
      </c>
      <c r="AC10">
        <v>9</v>
      </c>
      <c r="AD10">
        <v>4442.84</v>
      </c>
      <c r="AE10" s="76">
        <v>0.21990882587325714</v>
      </c>
      <c r="AH10" s="75" t="s">
        <v>1113</v>
      </c>
      <c r="AI10" s="76">
        <v>9.6975711648212393E-2</v>
      </c>
      <c r="AJ10" s="76">
        <v>1.5270428795580875E-2</v>
      </c>
      <c r="AK10" s="76">
        <v>0.11224614044379327</v>
      </c>
      <c r="AN10" s="75" t="s">
        <v>1122</v>
      </c>
      <c r="AO10">
        <v>2181.2999999999997</v>
      </c>
      <c r="AP10" s="76">
        <v>0.72550725784123715</v>
      </c>
    </row>
    <row r="11" spans="1:42" x14ac:dyDescent="0.3">
      <c r="A11" s="75" t="s">
        <v>1084</v>
      </c>
      <c r="B11">
        <v>20203.099999999999</v>
      </c>
      <c r="C11" s="76">
        <v>1</v>
      </c>
      <c r="F11" s="75" t="s">
        <v>1091</v>
      </c>
      <c r="G11">
        <v>710.77</v>
      </c>
      <c r="J11" s="75" t="s">
        <v>1067</v>
      </c>
      <c r="L11">
        <v>20.37</v>
      </c>
      <c r="M11">
        <v>20.37</v>
      </c>
      <c r="P11" s="77" t="s">
        <v>1066</v>
      </c>
      <c r="Q11">
        <v>7</v>
      </c>
      <c r="R11">
        <v>3449.31</v>
      </c>
      <c r="S11" s="76">
        <v>0.17073171938959858</v>
      </c>
      <c r="T11" s="76">
        <v>0.70151843023681493</v>
      </c>
      <c r="W11" s="75" t="s">
        <v>306</v>
      </c>
      <c r="X11">
        <v>2</v>
      </c>
      <c r="Y11">
        <v>571.16999999999996</v>
      </c>
      <c r="AB11" s="75" t="s">
        <v>1115</v>
      </c>
      <c r="AC11">
        <v>10</v>
      </c>
      <c r="AD11">
        <v>4283.3399999999992</v>
      </c>
      <c r="AE11" s="76">
        <v>0.21201399785181482</v>
      </c>
      <c r="AH11" s="75" t="s">
        <v>1114</v>
      </c>
      <c r="AI11" s="76">
        <v>0.12631427850181406</v>
      </c>
      <c r="AJ11" s="76">
        <v>9.3594547371442988E-2</v>
      </c>
      <c r="AK11" s="76">
        <v>0.21990882587325705</v>
      </c>
      <c r="AN11" s="75" t="s">
        <v>1123</v>
      </c>
      <c r="AO11">
        <v>276.65999999999997</v>
      </c>
      <c r="AP11" s="76">
        <v>-0.87316737725209748</v>
      </c>
    </row>
    <row r="12" spans="1:42" x14ac:dyDescent="0.3">
      <c r="F12" s="75" t="s">
        <v>1090</v>
      </c>
      <c r="G12">
        <v>624.85</v>
      </c>
      <c r="J12" s="75" t="s">
        <v>1084</v>
      </c>
      <c r="K12">
        <v>10306.06</v>
      </c>
      <c r="L12">
        <v>9897.0400000000009</v>
      </c>
      <c r="M12">
        <v>20203.099999999999</v>
      </c>
      <c r="P12" s="77" t="s">
        <v>1072</v>
      </c>
      <c r="Q12">
        <v>4</v>
      </c>
      <c r="R12">
        <v>738.41</v>
      </c>
      <c r="S12" s="76">
        <v>3.6549341437700146E-2</v>
      </c>
      <c r="T12" s="76">
        <v>0.15017734679433464</v>
      </c>
      <c r="W12" s="75" t="s">
        <v>452</v>
      </c>
      <c r="X12">
        <v>2</v>
      </c>
      <c r="Y12">
        <v>449.2</v>
      </c>
      <c r="AB12" s="75" t="s">
        <v>1084</v>
      </c>
      <c r="AC12">
        <v>76</v>
      </c>
      <c r="AD12">
        <v>20203.099999999995</v>
      </c>
      <c r="AE12" s="76">
        <v>1</v>
      </c>
      <c r="AH12" s="75" t="s">
        <v>1115</v>
      </c>
      <c r="AI12" s="76">
        <v>9.0874667749008792E-2</v>
      </c>
      <c r="AJ12" s="76">
        <v>0.12113933010280599</v>
      </c>
      <c r="AK12" s="76">
        <v>0.21201399785181479</v>
      </c>
      <c r="AN12" s="75" t="s">
        <v>1124</v>
      </c>
      <c r="AO12">
        <v>1855.73</v>
      </c>
      <c r="AP12" s="76">
        <v>5.707619460709898</v>
      </c>
    </row>
    <row r="13" spans="1:42" x14ac:dyDescent="0.3">
      <c r="F13" s="75" t="s">
        <v>1096</v>
      </c>
      <c r="G13">
        <v>560</v>
      </c>
      <c r="P13" s="77" t="s">
        <v>1071</v>
      </c>
      <c r="Q13">
        <v>4</v>
      </c>
      <c r="R13">
        <v>663.4</v>
      </c>
      <c r="S13" s="76">
        <v>3.2836544886675798E-2</v>
      </c>
      <c r="T13" s="76">
        <v>0.13492186165323006</v>
      </c>
      <c r="W13" s="75" t="s">
        <v>160</v>
      </c>
      <c r="X13">
        <v>2</v>
      </c>
      <c r="Y13">
        <v>415.15999999999997</v>
      </c>
      <c r="AH13" s="75" t="s">
        <v>1084</v>
      </c>
      <c r="AI13" s="76">
        <v>0.5101227039414743</v>
      </c>
      <c r="AJ13" s="76">
        <v>0.48987729605852565</v>
      </c>
      <c r="AK13" s="76">
        <v>1</v>
      </c>
      <c r="AN13" s="75" t="s">
        <v>1125</v>
      </c>
      <c r="AO13">
        <v>1982.44</v>
      </c>
      <c r="AP13" s="76">
        <v>6.8280407171301877E-2</v>
      </c>
    </row>
    <row r="14" spans="1:42" x14ac:dyDescent="0.3">
      <c r="F14" s="75" t="s">
        <v>1084</v>
      </c>
      <c r="G14">
        <v>8468.7400000000016</v>
      </c>
      <c r="P14" s="77" t="s">
        <v>1070</v>
      </c>
      <c r="Q14">
        <v>1</v>
      </c>
      <c r="R14">
        <v>65.8</v>
      </c>
      <c r="S14" s="76">
        <v>3.2569259173097186E-3</v>
      </c>
      <c r="T14" s="76">
        <v>1.3382361315620346E-2</v>
      </c>
      <c r="W14" s="75" t="s">
        <v>69</v>
      </c>
      <c r="X14">
        <v>3</v>
      </c>
      <c r="Y14">
        <v>397.95000000000005</v>
      </c>
      <c r="AN14" s="75" t="s">
        <v>1126</v>
      </c>
      <c r="AO14">
        <v>619.20000000000005</v>
      </c>
      <c r="AP14" s="76">
        <v>-0.68765763402675495</v>
      </c>
    </row>
    <row r="15" spans="1:42" x14ac:dyDescent="0.3">
      <c r="P15" s="75" t="s">
        <v>147</v>
      </c>
      <c r="Q15">
        <v>17</v>
      </c>
      <c r="R15">
        <v>3247.5700000000006</v>
      </c>
      <c r="S15" s="76">
        <v>0.16074612311971923</v>
      </c>
      <c r="T15" s="76">
        <v>1</v>
      </c>
      <c r="W15" s="75" t="s">
        <v>93</v>
      </c>
      <c r="X15">
        <v>2</v>
      </c>
      <c r="Y15">
        <v>291.79000000000002</v>
      </c>
      <c r="AN15" s="75" t="s">
        <v>1127</v>
      </c>
      <c r="AO15">
        <v>3657.38</v>
      </c>
      <c r="AP15" s="76">
        <v>4.9066214470284235</v>
      </c>
    </row>
    <row r="16" spans="1:42" x14ac:dyDescent="0.3">
      <c r="P16" s="77" t="s">
        <v>1068</v>
      </c>
      <c r="Q16">
        <v>4</v>
      </c>
      <c r="R16">
        <v>1072.9000000000001</v>
      </c>
      <c r="S16" s="76">
        <v>5.3105711499720328E-2</v>
      </c>
      <c r="T16" s="76">
        <v>0.33037009209963136</v>
      </c>
      <c r="W16" s="75" t="s">
        <v>82</v>
      </c>
      <c r="X16">
        <v>2</v>
      </c>
      <c r="Y16">
        <v>237.95000000000002</v>
      </c>
      <c r="AN16" s="75" t="s">
        <v>1084</v>
      </c>
      <c r="AO16">
        <v>20203.099999999999</v>
      </c>
      <c r="AP16" s="76"/>
    </row>
    <row r="17" spans="16:25" x14ac:dyDescent="0.3">
      <c r="P17" s="77" t="s">
        <v>1069</v>
      </c>
      <c r="Q17">
        <v>1</v>
      </c>
      <c r="R17">
        <v>891.83999999999992</v>
      </c>
      <c r="S17" s="76">
        <v>4.4143720518138287E-2</v>
      </c>
      <c r="T17" s="76">
        <v>0.27461763718718912</v>
      </c>
      <c r="W17" s="75" t="s">
        <v>334</v>
      </c>
      <c r="X17">
        <v>2</v>
      </c>
      <c r="Y17">
        <v>144.05000000000001</v>
      </c>
    </row>
    <row r="18" spans="16:25" x14ac:dyDescent="0.3">
      <c r="P18" s="77" t="s">
        <v>1066</v>
      </c>
      <c r="Q18">
        <v>8</v>
      </c>
      <c r="R18">
        <v>645.2600000000001</v>
      </c>
      <c r="S18" s="76">
        <v>3.1938662878469144E-2</v>
      </c>
      <c r="T18" s="76">
        <v>0.1986900975190681</v>
      </c>
      <c r="W18" s="75" t="s">
        <v>491</v>
      </c>
      <c r="X18">
        <v>2</v>
      </c>
      <c r="Y18">
        <v>81.039999999999992</v>
      </c>
    </row>
    <row r="19" spans="16:25" x14ac:dyDescent="0.3">
      <c r="P19" s="77" t="s">
        <v>1071</v>
      </c>
      <c r="Q19">
        <v>3</v>
      </c>
      <c r="R19">
        <v>617.20000000000005</v>
      </c>
      <c r="S19" s="76">
        <v>3.0549767114947699E-2</v>
      </c>
      <c r="T19" s="76">
        <v>0.19004979107455727</v>
      </c>
      <c r="W19" s="75" t="s">
        <v>258</v>
      </c>
      <c r="X19">
        <v>2</v>
      </c>
      <c r="Y19">
        <v>69.63000000000001</v>
      </c>
    </row>
    <row r="20" spans="16:25" x14ac:dyDescent="0.3">
      <c r="P20" s="77" t="s">
        <v>1067</v>
      </c>
      <c r="Q20">
        <v>1</v>
      </c>
      <c r="R20">
        <v>20.37</v>
      </c>
      <c r="S20" s="76">
        <v>1.0082611084437534E-3</v>
      </c>
      <c r="T20" s="76">
        <v>6.2723821195540038E-3</v>
      </c>
      <c r="W20" s="75" t="s">
        <v>182</v>
      </c>
      <c r="X20">
        <v>2</v>
      </c>
      <c r="Y20">
        <v>33.28</v>
      </c>
    </row>
    <row r="21" spans="16:25" x14ac:dyDescent="0.3">
      <c r="P21" s="75" t="s">
        <v>246</v>
      </c>
      <c r="Q21">
        <v>12</v>
      </c>
      <c r="R21">
        <v>2749.0899999999997</v>
      </c>
      <c r="S21" s="76">
        <v>0.13607268191515159</v>
      </c>
      <c r="T21" s="76">
        <v>1</v>
      </c>
      <c r="W21" s="75" t="s">
        <v>1084</v>
      </c>
      <c r="X21">
        <v>40</v>
      </c>
      <c r="Y21">
        <v>10787.52</v>
      </c>
    </row>
    <row r="22" spans="16:25" x14ac:dyDescent="0.3">
      <c r="P22" s="77" t="s">
        <v>1066</v>
      </c>
      <c r="Q22">
        <v>8</v>
      </c>
      <c r="R22">
        <v>1802.6</v>
      </c>
      <c r="S22" s="76">
        <v>8.9223930980889044E-2</v>
      </c>
      <c r="T22" s="76">
        <v>0.65570788879229136</v>
      </c>
    </row>
    <row r="23" spans="16:25" x14ac:dyDescent="0.3">
      <c r="P23" s="77" t="s">
        <v>1071</v>
      </c>
      <c r="Q23">
        <v>3</v>
      </c>
      <c r="R23">
        <v>846.35</v>
      </c>
      <c r="S23" s="76">
        <v>4.1892085868010347E-2</v>
      </c>
      <c r="T23" s="76">
        <v>0.30786551186028838</v>
      </c>
    </row>
    <row r="24" spans="16:25" x14ac:dyDescent="0.3">
      <c r="P24" s="77" t="s">
        <v>1070</v>
      </c>
      <c r="Q24">
        <v>1</v>
      </c>
      <c r="R24">
        <v>100.14</v>
      </c>
      <c r="S24" s="76">
        <v>4.9566650662522076E-3</v>
      </c>
      <c r="T24" s="76">
        <v>3.6426599347420423E-2</v>
      </c>
    </row>
    <row r="25" spans="16:25" x14ac:dyDescent="0.3">
      <c r="P25" s="75" t="s">
        <v>68</v>
      </c>
      <c r="Q25">
        <v>5</v>
      </c>
      <c r="R25">
        <v>2163.17</v>
      </c>
      <c r="S25" s="76">
        <v>0.10707119204478519</v>
      </c>
      <c r="T25" s="76">
        <v>1</v>
      </c>
    </row>
    <row r="26" spans="16:25" x14ac:dyDescent="0.3">
      <c r="P26" s="77" t="s">
        <v>1066</v>
      </c>
      <c r="Q26">
        <v>2</v>
      </c>
      <c r="R26">
        <v>1095.6300000000001</v>
      </c>
      <c r="S26" s="76">
        <v>5.4230786364468812E-2</v>
      </c>
      <c r="T26" s="76">
        <v>0.50649278605010239</v>
      </c>
    </row>
    <row r="27" spans="16:25" x14ac:dyDescent="0.3">
      <c r="P27" s="77" t="s">
        <v>1069</v>
      </c>
      <c r="Q27">
        <v>1</v>
      </c>
      <c r="R27">
        <v>746.40000000000009</v>
      </c>
      <c r="S27" s="76">
        <v>3.6944825299087755E-2</v>
      </c>
      <c r="T27" s="76">
        <v>0.34504916395844992</v>
      </c>
    </row>
    <row r="28" spans="16:25" x14ac:dyDescent="0.3">
      <c r="P28" s="77" t="s">
        <v>1071</v>
      </c>
      <c r="Q28">
        <v>1</v>
      </c>
      <c r="R28">
        <v>288.15000000000003</v>
      </c>
      <c r="S28" s="76">
        <v>1.4262662660680785E-2</v>
      </c>
      <c r="T28" s="76">
        <v>0.13320728375485977</v>
      </c>
    </row>
    <row r="29" spans="16:25" x14ac:dyDescent="0.3">
      <c r="P29" s="77" t="s">
        <v>1068</v>
      </c>
      <c r="Q29">
        <v>1</v>
      </c>
      <c r="R29">
        <v>32.99</v>
      </c>
      <c r="S29" s="76">
        <v>1.6329177205478362E-3</v>
      </c>
      <c r="T29" s="76">
        <v>1.525076623658797E-2</v>
      </c>
    </row>
    <row r="30" spans="16:25" x14ac:dyDescent="0.3">
      <c r="P30" s="75" t="s">
        <v>121</v>
      </c>
      <c r="Q30">
        <v>10</v>
      </c>
      <c r="R30">
        <v>1731.95</v>
      </c>
      <c r="S30" s="76">
        <v>8.572694289490225E-2</v>
      </c>
      <c r="T30" s="76">
        <v>1</v>
      </c>
    </row>
    <row r="31" spans="16:25" x14ac:dyDescent="0.3">
      <c r="P31" s="77" t="s">
        <v>1066</v>
      </c>
      <c r="Q31">
        <v>5</v>
      </c>
      <c r="R31">
        <v>754.21</v>
      </c>
      <c r="S31" s="76">
        <v>3.7331399636689411E-2</v>
      </c>
      <c r="T31" s="76">
        <v>0.43546869135945032</v>
      </c>
    </row>
    <row r="32" spans="16:25" x14ac:dyDescent="0.3">
      <c r="P32" s="77" t="s">
        <v>1071</v>
      </c>
      <c r="Q32">
        <v>2</v>
      </c>
      <c r="R32">
        <v>566.66999999999996</v>
      </c>
      <c r="S32" s="76">
        <v>2.8048665798813044E-2</v>
      </c>
      <c r="T32" s="76">
        <v>0.32718611969167699</v>
      </c>
    </row>
    <row r="33" spans="16:20" x14ac:dyDescent="0.3">
      <c r="P33" s="77" t="s">
        <v>1072</v>
      </c>
      <c r="Q33">
        <v>2</v>
      </c>
      <c r="R33">
        <v>310.57</v>
      </c>
      <c r="S33" s="76">
        <v>1.5372393345575674E-2</v>
      </c>
      <c r="T33" s="76">
        <v>0.17931810964519759</v>
      </c>
    </row>
    <row r="34" spans="16:20" x14ac:dyDescent="0.3">
      <c r="P34" s="77" t="s">
        <v>1070</v>
      </c>
      <c r="Q34">
        <v>1</v>
      </c>
      <c r="R34">
        <v>100.5</v>
      </c>
      <c r="S34" s="76">
        <v>4.9744841138241146E-3</v>
      </c>
      <c r="T34" s="76">
        <v>5.8027079303675046E-2</v>
      </c>
    </row>
    <row r="35" spans="16:20" x14ac:dyDescent="0.3">
      <c r="P35" s="75" t="s">
        <v>1084</v>
      </c>
      <c r="Q35">
        <v>76</v>
      </c>
      <c r="R35">
        <v>20203.100000000006</v>
      </c>
      <c r="S35" s="76">
        <v>1</v>
      </c>
      <c r="T35" s="7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448F-E930-46FB-AADE-37B85AF7F68C}">
  <dimension ref="A1"/>
  <sheetViews>
    <sheetView showGridLines="0" zoomScale="109" workbookViewId="0">
      <selection activeCell="C26" sqref="C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3AC5-1480-4E0B-ADE6-EE019DB3CFEF}">
  <dimension ref="A1:N321"/>
  <sheetViews>
    <sheetView zoomScale="115" workbookViewId="0">
      <selection activeCell="M14" sqref="M14"/>
    </sheetView>
  </sheetViews>
  <sheetFormatPr defaultRowHeight="14.4" x14ac:dyDescent="0.3"/>
  <cols>
    <col min="1" max="1" width="6.6640625" style="1" bestFit="1" customWidth="1"/>
    <col min="2" max="2" width="16.77734375" bestFit="1" customWidth="1"/>
    <col min="4" max="4" width="10.5546875" bestFit="1" customWidth="1"/>
    <col min="6" max="6" width="14.5546875" bestFit="1" customWidth="1"/>
    <col min="8" max="8" width="21.44140625" bestFit="1" customWidth="1"/>
    <col min="9" max="9" width="13.33203125" bestFit="1" customWidth="1"/>
    <col min="10" max="10" width="15.33203125" bestFit="1" customWidth="1"/>
  </cols>
  <sheetData>
    <row r="1" spans="1:14" x14ac:dyDescent="0.3">
      <c r="A1" s="1" t="s">
        <v>23</v>
      </c>
      <c r="B1" s="1" t="s">
        <v>1082</v>
      </c>
      <c r="D1" t="s">
        <v>1141</v>
      </c>
    </row>
    <row r="2" spans="1:14" x14ac:dyDescent="0.3">
      <c r="A2" s="1">
        <v>19</v>
      </c>
      <c r="B2" s="73">
        <v>20.37</v>
      </c>
    </row>
    <row r="3" spans="1:14" ht="15" thickBot="1" x14ac:dyDescent="0.35">
      <c r="A3" s="1">
        <v>19</v>
      </c>
      <c r="B3" s="73">
        <v>53.32</v>
      </c>
    </row>
    <row r="4" spans="1:14" x14ac:dyDescent="0.3">
      <c r="A4" s="1">
        <v>19</v>
      </c>
      <c r="B4" s="73">
        <v>100.14</v>
      </c>
      <c r="D4" s="35" t="s">
        <v>1155</v>
      </c>
      <c r="E4" s="35" t="s">
        <v>1139</v>
      </c>
      <c r="F4" s="35" t="s">
        <v>1082</v>
      </c>
      <c r="H4" t="s">
        <v>1155</v>
      </c>
      <c r="I4" s="79" t="s">
        <v>23</v>
      </c>
      <c r="J4" s="79" t="s">
        <v>1082</v>
      </c>
      <c r="L4" s="35" t="s">
        <v>1180</v>
      </c>
      <c r="M4" s="35" t="s">
        <v>1178</v>
      </c>
      <c r="N4" s="35" t="s">
        <v>1179</v>
      </c>
    </row>
    <row r="5" spans="1:14" x14ac:dyDescent="0.3">
      <c r="A5" s="1">
        <v>20</v>
      </c>
      <c r="B5" s="73">
        <v>360.37</v>
      </c>
      <c r="D5" s="35" t="s">
        <v>1009</v>
      </c>
      <c r="E5" s="35">
        <f>MIN(table[AGE])</f>
        <v>19</v>
      </c>
      <c r="F5" s="35">
        <f>MIN(table[Total Order Amt])</f>
        <v>8.49</v>
      </c>
      <c r="L5" s="91">
        <v>0.68</v>
      </c>
      <c r="M5" s="35">
        <f>$I$6-$I$10</f>
        <v>30.071447335660942</v>
      </c>
      <c r="N5" s="35">
        <f>$I$6+$I$10</f>
        <v>65.467014202800584</v>
      </c>
    </row>
    <row r="6" spans="1:14" x14ac:dyDescent="0.3">
      <c r="A6" s="1">
        <v>22</v>
      </c>
      <c r="B6" s="73">
        <v>516.67999999999995</v>
      </c>
      <c r="D6" s="35" t="s">
        <v>1010</v>
      </c>
      <c r="E6" s="35">
        <f>MAX(table[AGE])</f>
        <v>79</v>
      </c>
      <c r="F6" s="35">
        <f>MAX(table[Total Order Amt])</f>
        <v>1268.6399999999999</v>
      </c>
      <c r="H6" t="s">
        <v>1004</v>
      </c>
      <c r="I6">
        <v>47.769230769230766</v>
      </c>
      <c r="J6">
        <v>272.58230769230761</v>
      </c>
      <c r="L6" s="91">
        <v>0.95</v>
      </c>
      <c r="M6" s="35">
        <f>$I$6-$I$10*2</f>
        <v>12.373663902091117</v>
      </c>
      <c r="N6" s="35">
        <f>$I$6+$I$10*2</f>
        <v>83.164797636370423</v>
      </c>
    </row>
    <row r="7" spans="1:14" x14ac:dyDescent="0.3">
      <c r="A7" s="1">
        <v>24</v>
      </c>
      <c r="B7" s="73">
        <v>385.19000000000005</v>
      </c>
      <c r="D7" s="35" t="s">
        <v>1004</v>
      </c>
      <c r="E7" s="35">
        <f>AVERAGE(table[AGE])</f>
        <v>47.769230769230766</v>
      </c>
      <c r="F7" s="35">
        <f>AVERAGE(table[Total Order Amt])</f>
        <v>272.58230769230761</v>
      </c>
      <c r="H7" t="s">
        <v>1142</v>
      </c>
      <c r="I7">
        <v>2.1951398710001238</v>
      </c>
      <c r="J7">
        <v>36.972512525399587</v>
      </c>
      <c r="L7" s="91">
        <v>0.99</v>
      </c>
      <c r="M7" s="35">
        <f>$I$6-$I$10*3</f>
        <v>-5.3241195314787078</v>
      </c>
      <c r="N7" s="35">
        <f>$I$6+$I$10*3</f>
        <v>100.86258106994023</v>
      </c>
    </row>
    <row r="8" spans="1:14" x14ac:dyDescent="0.3">
      <c r="A8" s="1">
        <v>24</v>
      </c>
      <c r="B8" s="73">
        <v>225.99</v>
      </c>
      <c r="D8" s="35" t="s">
        <v>1131</v>
      </c>
      <c r="E8" s="35">
        <f>MEDIAN(table[AGE])</f>
        <v>48</v>
      </c>
      <c r="F8" s="35">
        <f>MEDIAN(table[Total Order Amt])</f>
        <v>132.23000000000002</v>
      </c>
      <c r="H8" t="s">
        <v>1131</v>
      </c>
      <c r="I8">
        <v>48</v>
      </c>
      <c r="J8">
        <v>132.23000000000002</v>
      </c>
    </row>
    <row r="9" spans="1:14" x14ac:dyDescent="0.3">
      <c r="A9" s="1">
        <v>24</v>
      </c>
      <c r="B9" s="73">
        <v>305.89</v>
      </c>
      <c r="D9" s="35" t="s">
        <v>1140</v>
      </c>
      <c r="E9" s="35">
        <f>_xlfn.STDEV.S(table[AGE])</f>
        <v>17.697783433569825</v>
      </c>
      <c r="F9" s="35">
        <f>_xlfn.STDEV.S(table[Total Order Amt])</f>
        <v>298.08192558196799</v>
      </c>
      <c r="H9" t="s">
        <v>1143</v>
      </c>
      <c r="I9">
        <v>40</v>
      </c>
      <c r="J9" t="e">
        <v>#N/A</v>
      </c>
      <c r="L9" t="s">
        <v>1181</v>
      </c>
    </row>
    <row r="10" spans="1:14" x14ac:dyDescent="0.3">
      <c r="A10" s="1">
        <v>24</v>
      </c>
      <c r="B10" s="73">
        <v>165.72</v>
      </c>
      <c r="D10" s="35" t="s">
        <v>1132</v>
      </c>
      <c r="E10" s="35">
        <f>_xlfn.PERCENTILE.INC(table[AGE], 0.95)</f>
        <v>75</v>
      </c>
      <c r="F10" s="35">
        <f>_xlfn.PERCENTILE.INC(table[Total Order Amt], 0.95)</f>
        <v>873.41199999999981</v>
      </c>
      <c r="H10" t="s">
        <v>1144</v>
      </c>
      <c r="I10">
        <v>17.697783433569825</v>
      </c>
      <c r="J10">
        <v>298.08192558196799</v>
      </c>
    </row>
    <row r="11" spans="1:14" x14ac:dyDescent="0.3">
      <c r="A11" s="1">
        <v>26</v>
      </c>
      <c r="B11" s="73">
        <v>746.40000000000009</v>
      </c>
      <c r="D11" s="35" t="s">
        <v>1133</v>
      </c>
      <c r="E11" s="35">
        <f>PERCENTILE(table[AGE],0.75)</f>
        <v>64</v>
      </c>
      <c r="F11" s="35">
        <f>PERCENTILE(table[Total Order Amt],0.75)</f>
        <v>431.39</v>
      </c>
      <c r="H11" t="s">
        <v>1145</v>
      </c>
      <c r="I11">
        <v>313.21153846153857</v>
      </c>
      <c r="J11">
        <v>88852.834358653898</v>
      </c>
    </row>
    <row r="12" spans="1:14" x14ac:dyDescent="0.3">
      <c r="A12" s="1">
        <v>27</v>
      </c>
      <c r="B12" s="73">
        <v>288.14999999999998</v>
      </c>
      <c r="D12" s="35" t="s">
        <v>1134</v>
      </c>
      <c r="E12" s="35">
        <f>_xlfn.QUARTILE.EXC(table[AGE],1)</f>
        <v>32</v>
      </c>
      <c r="F12" s="35">
        <f>_xlfn.QUARTILE.EXC(table[Total Order Amt],1)</f>
        <v>52.274999999999999</v>
      </c>
      <c r="H12" t="s">
        <v>1146</v>
      </c>
      <c r="I12">
        <v>-1.0972038591676627</v>
      </c>
      <c r="J12">
        <v>1.9026031701719752</v>
      </c>
    </row>
    <row r="13" spans="1:14" x14ac:dyDescent="0.3">
      <c r="A13" s="1">
        <v>27</v>
      </c>
      <c r="B13" s="73">
        <v>472.97</v>
      </c>
      <c r="D13" s="35" t="s">
        <v>1135</v>
      </c>
      <c r="E13" s="35">
        <f>_xlfn.QUARTILE.EXC(table[AGE],3)</f>
        <v>64</v>
      </c>
      <c r="F13" s="35">
        <f>_xlfn.QUARTILE.EXC(table[Total Order Amt],3)</f>
        <v>433.63</v>
      </c>
      <c r="H13" t="s">
        <v>1147</v>
      </c>
      <c r="I13">
        <v>5.8379296655016392E-2</v>
      </c>
      <c r="J13">
        <v>1.5194267438714322</v>
      </c>
    </row>
    <row r="14" spans="1:14" x14ac:dyDescent="0.3">
      <c r="A14" s="1">
        <v>28</v>
      </c>
      <c r="B14" s="73">
        <v>435.87</v>
      </c>
      <c r="D14" s="35" t="s">
        <v>1136</v>
      </c>
      <c r="E14" s="35">
        <f>(E13-E12)</f>
        <v>32</v>
      </c>
      <c r="F14" s="35">
        <f>(F13-F12)</f>
        <v>381.35500000000002</v>
      </c>
      <c r="H14" t="s">
        <v>1148</v>
      </c>
      <c r="I14">
        <v>60</v>
      </c>
      <c r="J14">
        <v>1260.1499999999999</v>
      </c>
    </row>
    <row r="15" spans="1:14" x14ac:dyDescent="0.3">
      <c r="A15" s="1">
        <v>30</v>
      </c>
      <c r="B15" s="73">
        <v>79.67</v>
      </c>
      <c r="D15" s="35" t="s">
        <v>1137</v>
      </c>
      <c r="E15" s="35">
        <f>(E13+1.5*E14)</f>
        <v>112</v>
      </c>
      <c r="F15" s="35">
        <f>(F13+1.5*F14)</f>
        <v>1005.6625</v>
      </c>
      <c r="H15" t="s">
        <v>1149</v>
      </c>
      <c r="I15">
        <v>19</v>
      </c>
      <c r="J15">
        <v>8.49</v>
      </c>
    </row>
    <row r="16" spans="1:14" x14ac:dyDescent="0.3">
      <c r="A16" s="1">
        <v>31</v>
      </c>
      <c r="B16" s="73">
        <v>61.08</v>
      </c>
      <c r="D16" s="35" t="s">
        <v>1138</v>
      </c>
      <c r="E16" s="35">
        <f>(E13-1.5*E14)</f>
        <v>16</v>
      </c>
      <c r="F16" s="35">
        <f>(F13-1.5*F14)</f>
        <v>-138.40250000000003</v>
      </c>
      <c r="H16" t="s">
        <v>1150</v>
      </c>
      <c r="I16">
        <v>79</v>
      </c>
      <c r="J16">
        <v>1268.6399999999999</v>
      </c>
    </row>
    <row r="17" spans="1:10" x14ac:dyDescent="0.3">
      <c r="A17" s="1">
        <v>32</v>
      </c>
      <c r="B17" s="73">
        <v>105.72</v>
      </c>
      <c r="H17" t="s">
        <v>1151</v>
      </c>
      <c r="I17">
        <v>3105</v>
      </c>
      <c r="J17">
        <v>17717.849999999995</v>
      </c>
    </row>
    <row r="18" spans="1:10" x14ac:dyDescent="0.3">
      <c r="A18" s="1">
        <v>32</v>
      </c>
      <c r="B18" s="73">
        <v>179.53</v>
      </c>
      <c r="H18" t="s">
        <v>1047</v>
      </c>
      <c r="I18">
        <v>65</v>
      </c>
      <c r="J18">
        <v>65</v>
      </c>
    </row>
    <row r="19" spans="1:10" x14ac:dyDescent="0.3">
      <c r="A19" s="1">
        <v>35</v>
      </c>
      <c r="B19" s="73">
        <v>73.449999999999989</v>
      </c>
      <c r="H19" t="s">
        <v>1152</v>
      </c>
      <c r="I19">
        <v>79</v>
      </c>
      <c r="J19">
        <v>1268.6399999999999</v>
      </c>
    </row>
    <row r="20" spans="1:10" x14ac:dyDescent="0.3">
      <c r="A20" s="1">
        <v>36</v>
      </c>
      <c r="B20" s="73">
        <v>366</v>
      </c>
      <c r="H20" t="s">
        <v>1153</v>
      </c>
      <c r="I20">
        <v>19</v>
      </c>
      <c r="J20">
        <v>8.49</v>
      </c>
    </row>
    <row r="21" spans="1:10" ht="15" thickBot="1" x14ac:dyDescent="0.35">
      <c r="A21" s="1">
        <v>38</v>
      </c>
      <c r="B21" s="73">
        <v>51.26</v>
      </c>
      <c r="H21" s="78" t="s">
        <v>1154</v>
      </c>
      <c r="I21" s="78">
        <v>4.3852960156720604</v>
      </c>
      <c r="J21" s="78">
        <v>73.861084666623057</v>
      </c>
    </row>
    <row r="22" spans="1:10" x14ac:dyDescent="0.3">
      <c r="A22" s="1">
        <v>40</v>
      </c>
      <c r="B22" s="73">
        <v>560</v>
      </c>
    </row>
    <row r="23" spans="1:10" x14ac:dyDescent="0.3">
      <c r="A23" s="1">
        <v>40</v>
      </c>
      <c r="B23" s="73">
        <v>104.8</v>
      </c>
    </row>
    <row r="24" spans="1:10" x14ac:dyDescent="0.3">
      <c r="A24" s="1">
        <v>40</v>
      </c>
      <c r="B24" s="73">
        <v>129.82</v>
      </c>
    </row>
    <row r="25" spans="1:10" x14ac:dyDescent="0.3">
      <c r="A25" s="1">
        <v>40</v>
      </c>
      <c r="B25" s="73">
        <v>100.5</v>
      </c>
    </row>
    <row r="26" spans="1:10" x14ac:dyDescent="0.3">
      <c r="A26" s="1">
        <v>40</v>
      </c>
      <c r="B26" s="73">
        <v>15.99</v>
      </c>
    </row>
    <row r="27" spans="1:10" x14ac:dyDescent="0.3">
      <c r="A27" s="1">
        <v>41</v>
      </c>
      <c r="B27" s="73">
        <v>190.2</v>
      </c>
    </row>
    <row r="28" spans="1:10" x14ac:dyDescent="0.3">
      <c r="A28" s="1">
        <v>42</v>
      </c>
      <c r="B28" s="73">
        <v>32.99</v>
      </c>
    </row>
    <row r="29" spans="1:10" x14ac:dyDescent="0.3">
      <c r="A29" s="1">
        <v>45</v>
      </c>
      <c r="B29" s="73">
        <v>49.260000000000005</v>
      </c>
    </row>
    <row r="30" spans="1:10" x14ac:dyDescent="0.3">
      <c r="A30" s="1">
        <v>45</v>
      </c>
      <c r="B30" s="73">
        <v>79.02000000000001</v>
      </c>
    </row>
    <row r="31" spans="1:10" x14ac:dyDescent="0.3">
      <c r="A31" s="1">
        <v>46</v>
      </c>
      <c r="B31" s="73">
        <v>24.66</v>
      </c>
    </row>
    <row r="32" spans="1:10" x14ac:dyDescent="0.3">
      <c r="A32" s="1">
        <v>46</v>
      </c>
      <c r="B32" s="73">
        <v>49.16</v>
      </c>
    </row>
    <row r="33" spans="1:2" x14ac:dyDescent="0.3">
      <c r="A33" s="1">
        <v>47</v>
      </c>
      <c r="B33" s="73">
        <v>195.91</v>
      </c>
    </row>
    <row r="34" spans="1:2" x14ac:dyDescent="0.3">
      <c r="A34" s="1">
        <v>48</v>
      </c>
      <c r="B34" s="73">
        <v>41.89</v>
      </c>
    </row>
    <row r="35" spans="1:2" x14ac:dyDescent="0.3">
      <c r="A35" s="1">
        <v>48</v>
      </c>
      <c r="B35" s="73">
        <v>53.29</v>
      </c>
    </row>
    <row r="36" spans="1:2" x14ac:dyDescent="0.3">
      <c r="A36" s="1">
        <v>49</v>
      </c>
      <c r="B36" s="73">
        <v>45.66</v>
      </c>
    </row>
    <row r="37" spans="1:2" x14ac:dyDescent="0.3">
      <c r="A37" s="1">
        <v>49</v>
      </c>
      <c r="B37" s="73">
        <v>39.74</v>
      </c>
    </row>
    <row r="38" spans="1:2" x14ac:dyDescent="0.3">
      <c r="A38" s="1">
        <v>49</v>
      </c>
      <c r="B38" s="73">
        <v>17.29</v>
      </c>
    </row>
    <row r="39" spans="1:2" x14ac:dyDescent="0.3">
      <c r="A39" s="1">
        <v>51</v>
      </c>
      <c r="B39" s="73">
        <v>100.39</v>
      </c>
    </row>
    <row r="40" spans="1:2" x14ac:dyDescent="0.3">
      <c r="A40" s="1">
        <v>52</v>
      </c>
      <c r="B40" s="73">
        <v>132.23000000000002</v>
      </c>
    </row>
    <row r="41" spans="1:2" x14ac:dyDescent="0.3">
      <c r="A41" s="1">
        <v>53</v>
      </c>
      <c r="B41" s="73">
        <v>118.09</v>
      </c>
    </row>
    <row r="42" spans="1:2" x14ac:dyDescent="0.3">
      <c r="A42" s="1">
        <v>53</v>
      </c>
      <c r="B42" s="73">
        <v>137.28</v>
      </c>
    </row>
    <row r="43" spans="1:2" x14ac:dyDescent="0.3">
      <c r="A43" s="1">
        <v>53</v>
      </c>
      <c r="B43" s="73">
        <v>891.47</v>
      </c>
    </row>
    <row r="44" spans="1:2" x14ac:dyDescent="0.3">
      <c r="A44" s="1">
        <v>54</v>
      </c>
      <c r="B44" s="73">
        <v>58.19</v>
      </c>
    </row>
    <row r="45" spans="1:2" x14ac:dyDescent="0.3">
      <c r="A45" s="1">
        <v>55</v>
      </c>
      <c r="B45" s="73">
        <v>788.25</v>
      </c>
    </row>
    <row r="46" spans="1:2" x14ac:dyDescent="0.3">
      <c r="A46" s="1">
        <v>55</v>
      </c>
      <c r="B46" s="73">
        <v>8.49</v>
      </c>
    </row>
    <row r="47" spans="1:2" x14ac:dyDescent="0.3">
      <c r="A47" s="1">
        <v>58</v>
      </c>
      <c r="B47" s="73">
        <v>33.33</v>
      </c>
    </row>
    <row r="48" spans="1:2" x14ac:dyDescent="0.3">
      <c r="A48" s="1">
        <v>60</v>
      </c>
      <c r="B48" s="73">
        <v>143.13</v>
      </c>
    </row>
    <row r="49" spans="1:2" x14ac:dyDescent="0.3">
      <c r="A49" s="1">
        <v>63</v>
      </c>
      <c r="B49" s="73">
        <v>33.340000000000003</v>
      </c>
    </row>
    <row r="50" spans="1:2" x14ac:dyDescent="0.3">
      <c r="A50" s="1">
        <v>64</v>
      </c>
      <c r="B50" s="73">
        <v>97.960000000000008</v>
      </c>
    </row>
    <row r="51" spans="1:2" x14ac:dyDescent="0.3">
      <c r="A51" s="1">
        <v>64</v>
      </c>
      <c r="B51" s="73">
        <v>10</v>
      </c>
    </row>
    <row r="52" spans="1:2" x14ac:dyDescent="0.3">
      <c r="A52" s="1">
        <v>65</v>
      </c>
      <c r="B52" s="73">
        <v>710.77</v>
      </c>
    </row>
    <row r="53" spans="1:2" x14ac:dyDescent="0.3">
      <c r="A53" s="1">
        <v>65</v>
      </c>
      <c r="B53" s="73">
        <v>1185.3400000000001</v>
      </c>
    </row>
    <row r="54" spans="1:2" x14ac:dyDescent="0.3">
      <c r="A54" s="1">
        <v>68</v>
      </c>
      <c r="B54" s="73">
        <v>1268.6399999999999</v>
      </c>
    </row>
    <row r="55" spans="1:2" x14ac:dyDescent="0.3">
      <c r="A55" s="1">
        <v>68</v>
      </c>
      <c r="B55" s="73">
        <v>801.18</v>
      </c>
    </row>
    <row r="56" spans="1:2" x14ac:dyDescent="0.3">
      <c r="A56" s="1">
        <v>69</v>
      </c>
      <c r="B56" s="73">
        <v>192.48</v>
      </c>
    </row>
    <row r="57" spans="1:2" x14ac:dyDescent="0.3">
      <c r="A57" s="1">
        <v>70</v>
      </c>
      <c r="B57" s="73">
        <v>22.85</v>
      </c>
    </row>
    <row r="58" spans="1:2" x14ac:dyDescent="0.3">
      <c r="A58" s="1">
        <v>72</v>
      </c>
      <c r="B58" s="73">
        <v>624.85</v>
      </c>
    </row>
    <row r="59" spans="1:2" x14ac:dyDescent="0.3">
      <c r="A59" s="1">
        <v>72</v>
      </c>
      <c r="B59" s="73">
        <v>126.46</v>
      </c>
    </row>
    <row r="60" spans="1:2" x14ac:dyDescent="0.3">
      <c r="A60" s="1">
        <v>73</v>
      </c>
      <c r="B60" s="73">
        <v>519.73</v>
      </c>
    </row>
    <row r="61" spans="1:2" x14ac:dyDescent="0.3">
      <c r="A61" s="1">
        <v>73</v>
      </c>
      <c r="B61" s="73">
        <v>431.39</v>
      </c>
    </row>
    <row r="62" spans="1:2" x14ac:dyDescent="0.3">
      <c r="A62" s="1">
        <v>75</v>
      </c>
      <c r="B62" s="73">
        <v>313.19</v>
      </c>
    </row>
    <row r="63" spans="1:2" x14ac:dyDescent="0.3">
      <c r="A63" s="1">
        <v>75</v>
      </c>
      <c r="B63" s="73">
        <v>891.83999999999992</v>
      </c>
    </row>
    <row r="64" spans="1:2" x14ac:dyDescent="0.3">
      <c r="A64" s="1">
        <v>76</v>
      </c>
      <c r="B64" s="73">
        <v>369.53</v>
      </c>
    </row>
    <row r="65" spans="1:2" x14ac:dyDescent="0.3">
      <c r="A65" s="1">
        <v>78</v>
      </c>
      <c r="B65" s="73">
        <v>512.72</v>
      </c>
    </row>
    <row r="66" spans="1:2" x14ac:dyDescent="0.3">
      <c r="A66" s="1">
        <v>79</v>
      </c>
      <c r="B66" s="73">
        <v>470.78</v>
      </c>
    </row>
    <row r="67" spans="1:2" x14ac:dyDescent="0.3">
      <c r="B67" s="73"/>
    </row>
    <row r="68" spans="1:2" x14ac:dyDescent="0.3">
      <c r="B68" s="73"/>
    </row>
    <row r="69" spans="1:2" x14ac:dyDescent="0.3">
      <c r="B69" s="73"/>
    </row>
    <row r="70" spans="1:2" x14ac:dyDescent="0.3">
      <c r="B70" s="73"/>
    </row>
    <row r="71" spans="1:2" x14ac:dyDescent="0.3">
      <c r="B71" s="73"/>
    </row>
    <row r="72" spans="1:2" x14ac:dyDescent="0.3">
      <c r="B72" s="73"/>
    </row>
    <row r="73" spans="1:2" x14ac:dyDescent="0.3">
      <c r="B73" s="73"/>
    </row>
    <row r="74" spans="1:2" x14ac:dyDescent="0.3">
      <c r="B74" s="73"/>
    </row>
    <row r="75" spans="1:2" x14ac:dyDescent="0.3">
      <c r="B75" s="73"/>
    </row>
    <row r="76" spans="1:2" x14ac:dyDescent="0.3">
      <c r="B76" s="73"/>
    </row>
    <row r="77" spans="1:2" x14ac:dyDescent="0.3">
      <c r="B77" s="73"/>
    </row>
    <row r="78" spans="1:2" x14ac:dyDescent="0.3">
      <c r="A78"/>
    </row>
    <row r="79" spans="1:2" x14ac:dyDescent="0.3">
      <c r="A79"/>
    </row>
    <row r="80" spans="1:2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</sheetData>
  <sortState xmlns:xlrd2="http://schemas.microsoft.com/office/spreadsheetml/2017/richdata2" ref="A2:B66">
    <sortCondition ref="A2:A66"/>
  </sortState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70D6-2B99-4C02-A69C-59B37F2CB8B6}">
  <dimension ref="A1:P20"/>
  <sheetViews>
    <sheetView zoomScale="115" zoomScaleNormal="115" workbookViewId="0">
      <selection activeCell="B15" sqref="B15"/>
    </sheetView>
  </sheetViews>
  <sheetFormatPr defaultRowHeight="14.4" x14ac:dyDescent="0.3"/>
  <cols>
    <col min="1" max="1" width="9.6640625" customWidth="1"/>
    <col min="2" max="2" width="13.109375" customWidth="1"/>
    <col min="14" max="14" width="8.109375" bestFit="1" customWidth="1"/>
    <col min="15" max="15" width="11.5546875" bestFit="1" customWidth="1"/>
  </cols>
  <sheetData>
    <row r="1" spans="1:16" ht="18" x14ac:dyDescent="0.35">
      <c r="A1" s="80" t="s">
        <v>1157</v>
      </c>
      <c r="B1" s="80" t="s">
        <v>1156</v>
      </c>
    </row>
    <row r="2" spans="1:16" ht="18" x14ac:dyDescent="0.35">
      <c r="A2" s="80" t="s">
        <v>1116</v>
      </c>
      <c r="B2" s="80">
        <v>917.21000000000015</v>
      </c>
      <c r="N2" s="83" t="s">
        <v>1157</v>
      </c>
      <c r="O2" s="83" t="s">
        <v>1156</v>
      </c>
    </row>
    <row r="3" spans="1:16" ht="18" x14ac:dyDescent="0.35">
      <c r="A3" s="80" t="s">
        <v>1117</v>
      </c>
      <c r="B3" s="80">
        <v>716.10000000000014</v>
      </c>
      <c r="N3" s="83">
        <v>1</v>
      </c>
      <c r="O3" s="83">
        <v>917.21000000000015</v>
      </c>
    </row>
    <row r="4" spans="1:16" ht="18" x14ac:dyDescent="0.35">
      <c r="A4" s="80" t="s">
        <v>1118</v>
      </c>
      <c r="B4" s="80">
        <v>2660.49</v>
      </c>
      <c r="N4" s="83">
        <v>2</v>
      </c>
      <c r="O4" s="83">
        <v>716.10000000000014</v>
      </c>
    </row>
    <row r="5" spans="1:16" ht="18" x14ac:dyDescent="0.35">
      <c r="A5" s="80" t="s">
        <v>1119</v>
      </c>
      <c r="B5" s="80">
        <v>1290.28</v>
      </c>
      <c r="N5" s="83">
        <v>3</v>
      </c>
      <c r="O5" s="83">
        <v>2660.49</v>
      </c>
    </row>
    <row r="6" spans="1:16" ht="18" x14ac:dyDescent="0.35">
      <c r="A6" s="80" t="s">
        <v>1120</v>
      </c>
      <c r="B6" s="80">
        <v>2782.1600000000003</v>
      </c>
      <c r="N6" s="83">
        <v>4</v>
      </c>
      <c r="O6" s="83">
        <v>1290.28</v>
      </c>
    </row>
    <row r="7" spans="1:16" ht="18" x14ac:dyDescent="0.35">
      <c r="A7" s="80" t="s">
        <v>1121</v>
      </c>
      <c r="B7" s="80">
        <v>1264.1499999999999</v>
      </c>
      <c r="N7" s="83">
        <v>5</v>
      </c>
      <c r="O7" s="83">
        <v>2782.1600000000003</v>
      </c>
    </row>
    <row r="8" spans="1:16" ht="18" x14ac:dyDescent="0.35">
      <c r="A8" s="80" t="s">
        <v>1122</v>
      </c>
      <c r="B8" s="80">
        <v>2181.2999999999997</v>
      </c>
      <c r="N8" s="83">
        <v>6</v>
      </c>
      <c r="O8" s="83">
        <v>1264.1499999999999</v>
      </c>
    </row>
    <row r="9" spans="1:16" ht="18" x14ac:dyDescent="0.35">
      <c r="A9" s="80" t="s">
        <v>1123</v>
      </c>
      <c r="B9" s="80">
        <v>276.65999999999997</v>
      </c>
      <c r="N9" s="83">
        <v>7</v>
      </c>
      <c r="O9" s="83">
        <v>2181.2999999999997</v>
      </c>
    </row>
    <row r="10" spans="1:16" ht="18" x14ac:dyDescent="0.35">
      <c r="A10" s="80" t="s">
        <v>1124</v>
      </c>
      <c r="B10" s="80">
        <v>1855.73</v>
      </c>
      <c r="N10" s="83">
        <v>8</v>
      </c>
      <c r="O10" s="83">
        <v>276.65999999999997</v>
      </c>
    </row>
    <row r="11" spans="1:16" ht="18" x14ac:dyDescent="0.35">
      <c r="A11" s="80" t="s">
        <v>1125</v>
      </c>
      <c r="B11" s="80">
        <v>1982.44</v>
      </c>
      <c r="N11" s="83">
        <v>9</v>
      </c>
      <c r="O11" s="83">
        <v>1855.73</v>
      </c>
    </row>
    <row r="12" spans="1:16" ht="18" x14ac:dyDescent="0.35">
      <c r="A12" s="80" t="s">
        <v>1126</v>
      </c>
      <c r="B12" s="80">
        <v>619.20000000000005</v>
      </c>
      <c r="N12" s="83">
        <v>10</v>
      </c>
      <c r="O12" s="83">
        <v>1982.44</v>
      </c>
    </row>
    <row r="13" spans="1:16" ht="18" x14ac:dyDescent="0.35">
      <c r="A13" s="80" t="s">
        <v>1127</v>
      </c>
      <c r="B13" s="80">
        <v>3657.38</v>
      </c>
      <c r="N13" s="83">
        <v>11</v>
      </c>
      <c r="O13" s="83">
        <v>619.20000000000005</v>
      </c>
    </row>
    <row r="14" spans="1:16" ht="18" x14ac:dyDescent="0.35">
      <c r="A14" s="80"/>
      <c r="B14" s="80"/>
      <c r="N14" s="83">
        <v>12</v>
      </c>
      <c r="O14" s="83">
        <v>3657.38</v>
      </c>
      <c r="P14" t="s">
        <v>1173</v>
      </c>
    </row>
    <row r="15" spans="1:16" ht="18" x14ac:dyDescent="0.35">
      <c r="N15" s="83">
        <v>13</v>
      </c>
      <c r="O15" s="83">
        <f>FORECAST(N15,O3:O14,N3:N14)</f>
        <v>2155.2125757575759</v>
      </c>
      <c r="P15" t="s">
        <v>1174</v>
      </c>
    </row>
    <row r="16" spans="1:16" ht="18" x14ac:dyDescent="0.35">
      <c r="N16" s="83">
        <v>14</v>
      </c>
      <c r="O16" s="83">
        <f t="shared" ref="O16:O20" si="0">FORECAST(N16,O4:O15,N4:N15)</f>
        <v>2149.8537373737377</v>
      </c>
    </row>
    <row r="17" spans="5:15" ht="18" x14ac:dyDescent="0.35">
      <c r="E17" t="s">
        <v>1158</v>
      </c>
      <c r="N17" s="83">
        <v>15</v>
      </c>
      <c r="O17" s="83">
        <f t="shared" si="0"/>
        <v>2043.776078206306</v>
      </c>
    </row>
    <row r="18" spans="5:15" ht="18" x14ac:dyDescent="0.35">
      <c r="N18" s="83">
        <v>16</v>
      </c>
      <c r="O18" s="83">
        <f t="shared" si="0"/>
        <v>2249.6149385266808</v>
      </c>
    </row>
    <row r="19" spans="5:15" ht="18" x14ac:dyDescent="0.35">
      <c r="N19" s="83">
        <v>17</v>
      </c>
      <c r="O19" s="83">
        <f t="shared" si="0"/>
        <v>2261.4485972171979</v>
      </c>
    </row>
    <row r="20" spans="5:15" ht="18" x14ac:dyDescent="0.35">
      <c r="N20" s="83">
        <v>18</v>
      </c>
      <c r="O20" s="83">
        <f t="shared" si="0"/>
        <v>2550.080069174554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B6A7-D0E6-45E9-9EBE-CBC6104AEC47}">
  <dimension ref="A1:H19"/>
  <sheetViews>
    <sheetView workbookViewId="0">
      <selection activeCell="D29" sqref="D29"/>
    </sheetView>
  </sheetViews>
  <sheetFormatPr defaultRowHeight="14.4" x14ac:dyDescent="0.3"/>
  <cols>
    <col min="1" max="1" width="10" customWidth="1"/>
    <col min="3" max="3" width="9.88671875" customWidth="1"/>
    <col min="4" max="4" width="24" customWidth="1"/>
    <col min="5" max="5" width="24.109375" customWidth="1"/>
    <col min="7" max="7" width="9.44140625" customWidth="1"/>
    <col min="8" max="8" width="7.6640625" customWidth="1"/>
  </cols>
  <sheetData>
    <row r="1" spans="1:8" x14ac:dyDescent="0.3">
      <c r="A1" t="s">
        <v>1159</v>
      </c>
      <c r="B1" t="s">
        <v>1160</v>
      </c>
      <c r="C1" t="s">
        <v>1161</v>
      </c>
      <c r="D1" t="s">
        <v>1162</v>
      </c>
      <c r="E1" t="s">
        <v>1163</v>
      </c>
      <c r="G1" t="s">
        <v>1164</v>
      </c>
      <c r="H1" t="s">
        <v>1165</v>
      </c>
    </row>
    <row r="2" spans="1:8" x14ac:dyDescent="0.3">
      <c r="A2">
        <v>1</v>
      </c>
      <c r="B2">
        <v>917.21000000000015</v>
      </c>
      <c r="G2" t="s">
        <v>1166</v>
      </c>
      <c r="H2" s="82">
        <f>_xlfn.FORECAST.ETS.STAT($B$2:$B$13,$A$2:$A$13,1,1,1)</f>
        <v>0.501</v>
      </c>
    </row>
    <row r="3" spans="1:8" x14ac:dyDescent="0.3">
      <c r="A3">
        <v>2</v>
      </c>
      <c r="B3">
        <v>716.10000000000014</v>
      </c>
      <c r="G3" t="s">
        <v>1167</v>
      </c>
      <c r="H3" s="82">
        <f>_xlfn.FORECAST.ETS.STAT($B$2:$B$13,$A$2:$A$13,2,1,1)</f>
        <v>1E-3</v>
      </c>
    </row>
    <row r="4" spans="1:8" x14ac:dyDescent="0.3">
      <c r="A4">
        <v>3</v>
      </c>
      <c r="B4">
        <v>2660.49</v>
      </c>
      <c r="G4" t="s">
        <v>1168</v>
      </c>
      <c r="H4" s="82">
        <f>_xlfn.FORECAST.ETS.STAT($B$2:$B$13,$A$2:$A$13,3,1,1)</f>
        <v>1E-3</v>
      </c>
    </row>
    <row r="5" spans="1:8" x14ac:dyDescent="0.3">
      <c r="A5">
        <v>4</v>
      </c>
      <c r="B5">
        <v>1290.28</v>
      </c>
      <c r="G5" t="s">
        <v>1169</v>
      </c>
      <c r="H5" s="82">
        <f>_xlfn.FORECAST.ETS.STAT($B$2:$B$13,$A$2:$A$13,4,1,1)</f>
        <v>1.1611026220456253</v>
      </c>
    </row>
    <row r="6" spans="1:8" x14ac:dyDescent="0.3">
      <c r="A6">
        <v>5</v>
      </c>
      <c r="B6">
        <v>2782.1600000000003</v>
      </c>
      <c r="G6" t="s">
        <v>1170</v>
      </c>
      <c r="H6" s="82">
        <f>_xlfn.FORECAST.ETS.STAT($B$2:$B$13,$A$2:$A$13,5,1,1)</f>
        <v>0.85258449636547273</v>
      </c>
    </row>
    <row r="7" spans="1:8" x14ac:dyDescent="0.3">
      <c r="A7">
        <v>6</v>
      </c>
      <c r="B7">
        <v>1264.1499999999999</v>
      </c>
      <c r="G7" t="s">
        <v>1171</v>
      </c>
      <c r="H7" s="82">
        <f>_xlfn.FORECAST.ETS.STAT($B$2:$B$13,$A$2:$A$13,6,1,1)</f>
        <v>1550.4684340404367</v>
      </c>
    </row>
    <row r="8" spans="1:8" x14ac:dyDescent="0.3">
      <c r="A8">
        <v>7</v>
      </c>
      <c r="B8">
        <v>2181.2999999999997</v>
      </c>
      <c r="G8" t="s">
        <v>1172</v>
      </c>
      <c r="H8" s="82">
        <f>_xlfn.FORECAST.ETS.STAT($B$2:$B$13,$A$2:$A$13,7,1,1)</f>
        <v>1882.6108150520463</v>
      </c>
    </row>
    <row r="9" spans="1:8" x14ac:dyDescent="0.3">
      <c r="A9">
        <v>8</v>
      </c>
      <c r="B9">
        <v>276.65999999999997</v>
      </c>
    </row>
    <row r="10" spans="1:8" x14ac:dyDescent="0.3">
      <c r="A10">
        <v>9</v>
      </c>
      <c r="B10">
        <v>1855.73</v>
      </c>
    </row>
    <row r="11" spans="1:8" x14ac:dyDescent="0.3">
      <c r="A11">
        <v>10</v>
      </c>
      <c r="B11">
        <v>1982.44</v>
      </c>
    </row>
    <row r="12" spans="1:8" x14ac:dyDescent="0.3">
      <c r="A12">
        <v>11</v>
      </c>
      <c r="B12">
        <v>619.20000000000005</v>
      </c>
    </row>
    <row r="13" spans="1:8" x14ac:dyDescent="0.3">
      <c r="A13">
        <v>12</v>
      </c>
      <c r="B13">
        <v>3657.38</v>
      </c>
      <c r="C13">
        <v>3657.38</v>
      </c>
      <c r="D13" s="81">
        <v>3657.38</v>
      </c>
      <c r="E13" s="81">
        <v>3657.38</v>
      </c>
    </row>
    <row r="14" spans="1:8" x14ac:dyDescent="0.3">
      <c r="A14">
        <v>13</v>
      </c>
      <c r="C14">
        <f t="shared" ref="C14:C19" si="0">_xlfn.FORECAST.ETS(A14,$B$2:$B$13,$A$2:$A$13,1,1)</f>
        <v>3321.8263322372932</v>
      </c>
      <c r="D14" s="81">
        <f t="shared" ref="D14:D19" si="1">C14-_xlfn.FORECAST.ETS.CONFINT(A14,$B$2:$B$13,$A$2:$A$13,0.95,1,1)</f>
        <v>926.01971010780198</v>
      </c>
      <c r="E14" s="81">
        <f t="shared" ref="E14:E19" si="2">C14+_xlfn.FORECAST.ETS.CONFINT(A14,$B$2:$B$13,$A$2:$A$13,0.95,1,1)</f>
        <v>5717.6329543667844</v>
      </c>
    </row>
    <row r="15" spans="1:8" x14ac:dyDescent="0.3">
      <c r="A15">
        <v>14</v>
      </c>
      <c r="C15">
        <f t="shared" si="0"/>
        <v>2355.7418996811525</v>
      </c>
      <c r="D15" s="81">
        <f t="shared" si="1"/>
        <v>-324.99763477536817</v>
      </c>
      <c r="E15" s="81">
        <f t="shared" si="2"/>
        <v>5036.4814341376732</v>
      </c>
    </row>
    <row r="16" spans="1:8" x14ac:dyDescent="0.3">
      <c r="A16">
        <v>15</v>
      </c>
      <c r="C16">
        <f t="shared" si="0"/>
        <v>3516.7443290249871</v>
      </c>
      <c r="D16" s="81">
        <f t="shared" si="1"/>
        <v>576.61028616732619</v>
      </c>
      <c r="E16" s="81">
        <f t="shared" si="2"/>
        <v>6456.878371882648</v>
      </c>
    </row>
    <row r="17" spans="1:5" x14ac:dyDescent="0.3">
      <c r="A17">
        <v>16</v>
      </c>
      <c r="C17">
        <f t="shared" si="0"/>
        <v>2550.6598964688465</v>
      </c>
      <c r="D17" s="81">
        <f t="shared" si="1"/>
        <v>-627.76926403526977</v>
      </c>
      <c r="E17" s="81">
        <f t="shared" si="2"/>
        <v>5729.0890569729627</v>
      </c>
    </row>
    <row r="18" spans="1:5" x14ac:dyDescent="0.3">
      <c r="A18">
        <v>17</v>
      </c>
      <c r="C18">
        <f t="shared" si="0"/>
        <v>3711.6623258126815</v>
      </c>
      <c r="D18" s="81">
        <f t="shared" si="1"/>
        <v>309.89363243507887</v>
      </c>
      <c r="E18" s="81">
        <f t="shared" si="2"/>
        <v>7113.4310191902841</v>
      </c>
    </row>
    <row r="19" spans="1:5" x14ac:dyDescent="0.3">
      <c r="A19">
        <v>18</v>
      </c>
      <c r="C19">
        <f t="shared" si="0"/>
        <v>2745.5778932565408</v>
      </c>
      <c r="D19" s="81">
        <f t="shared" si="1"/>
        <v>-865.74437956058046</v>
      </c>
      <c r="E19" s="81">
        <f t="shared" si="2"/>
        <v>6356.9001660736621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BD9F-0FE1-47EB-8133-AD58787D49E4}">
  <dimension ref="A1:V35"/>
  <sheetViews>
    <sheetView showGridLines="0" topLeftCell="F1" zoomScale="87" zoomScaleNormal="87" workbookViewId="0">
      <selection activeCell="G19" sqref="G19"/>
    </sheetView>
  </sheetViews>
  <sheetFormatPr defaultRowHeight="18" x14ac:dyDescent="0.35"/>
  <cols>
    <col min="1" max="1" width="22.6640625" style="80" customWidth="1"/>
    <col min="2" max="2" width="12.44140625" style="80" bestFit="1" customWidth="1"/>
    <col min="3" max="4" width="8.88671875" style="80"/>
    <col min="5" max="5" width="32.5546875" style="80" bestFit="1" customWidth="1"/>
    <col min="6" max="6" width="10.77734375" style="80" customWidth="1"/>
    <col min="7" max="7" width="26.88671875" style="80" customWidth="1"/>
    <col min="8" max="8" width="20.88671875" style="80" customWidth="1"/>
    <col min="9" max="9" width="8.88671875" style="80"/>
    <col min="10" max="11" width="20.88671875" style="80" customWidth="1"/>
    <col min="12" max="12" width="8.88671875" style="80"/>
    <col min="13" max="13" width="19" style="80" customWidth="1"/>
    <col min="14" max="14" width="17.5546875" style="80" customWidth="1"/>
    <col min="15" max="16" width="8.88671875" style="80"/>
    <col min="17" max="17" width="30.44140625" style="80" customWidth="1"/>
    <col min="18" max="16384" width="8.88671875" style="80"/>
  </cols>
  <sheetData>
    <row r="1" spans="1:22" x14ac:dyDescent="0.35">
      <c r="A1" s="95" t="s">
        <v>1026</v>
      </c>
      <c r="B1" s="95"/>
      <c r="D1" s="80" t="s">
        <v>1027</v>
      </c>
      <c r="I1" s="84" t="s">
        <v>1028</v>
      </c>
      <c r="J1" s="84" t="s">
        <v>1029</v>
      </c>
      <c r="K1" s="84" t="s">
        <v>1030</v>
      </c>
    </row>
    <row r="2" spans="1:22" x14ac:dyDescent="0.35">
      <c r="A2" s="83" t="s">
        <v>1031</v>
      </c>
      <c r="B2" s="83">
        <v>18</v>
      </c>
      <c r="D2" s="83" t="s">
        <v>1018</v>
      </c>
      <c r="E2" s="83" t="s">
        <v>1032</v>
      </c>
      <c r="F2" s="83">
        <v>30</v>
      </c>
      <c r="I2" s="83">
        <v>0</v>
      </c>
      <c r="J2" s="89">
        <f>_xlfn.BINOM.DIST(I2,$F$2,$F$4,0)</f>
        <v>3.9870144573276925E-7</v>
      </c>
      <c r="K2" s="90">
        <f>_xlfn.BINOM.DIST(I2,$F$2,$F$4,1)</f>
        <v>3.9870144573276925E-7</v>
      </c>
      <c r="U2" s="83" t="s">
        <v>1004</v>
      </c>
      <c r="V2" s="83">
        <v>67.8</v>
      </c>
    </row>
    <row r="3" spans="1:22" x14ac:dyDescent="0.35">
      <c r="A3" s="83" t="s">
        <v>1033</v>
      </c>
      <c r="B3" s="83">
        <v>7</v>
      </c>
      <c r="D3" s="83" t="s">
        <v>1034</v>
      </c>
      <c r="E3" s="83" t="s">
        <v>1035</v>
      </c>
      <c r="F3" s="83">
        <v>15</v>
      </c>
      <c r="I3" s="83">
        <v>1</v>
      </c>
      <c r="J3" s="89">
        <f t="shared" ref="J3:J32" si="0">_xlfn.BINOM.DIST(I3,$F$2,$F$4,0)</f>
        <v>7.58598776813873E-6</v>
      </c>
      <c r="K3" s="90">
        <f t="shared" ref="K3:K32" si="1">_xlfn.BINOM.DIST(I3,$F$2,$F$4,1)</f>
        <v>7.9846892138715043E-6</v>
      </c>
      <c r="U3" s="83" t="s">
        <v>1006</v>
      </c>
      <c r="V3" s="83">
        <v>1.6</v>
      </c>
    </row>
    <row r="4" spans="1:22" x14ac:dyDescent="0.35">
      <c r="A4" s="83" t="s">
        <v>1036</v>
      </c>
      <c r="B4" s="83">
        <f>B2-B3</f>
        <v>11</v>
      </c>
      <c r="D4" s="83"/>
      <c r="E4" s="83" t="s">
        <v>1005</v>
      </c>
      <c r="F4" s="83">
        <v>0.38808900000000002</v>
      </c>
      <c r="I4" s="83">
        <v>2</v>
      </c>
      <c r="J4" s="89">
        <f t="shared" si="0"/>
        <v>6.9762689183170941E-5</v>
      </c>
      <c r="K4" s="90">
        <f t="shared" si="1"/>
        <v>7.7747378397042418E-5</v>
      </c>
    </row>
    <row r="5" spans="1:22" x14ac:dyDescent="0.35">
      <c r="A5" s="83" t="s">
        <v>1037</v>
      </c>
      <c r="B5" s="83">
        <f>B3/B2</f>
        <v>0.3888888888888889</v>
      </c>
      <c r="D5" s="83"/>
      <c r="E5" s="83"/>
      <c r="F5" s="83"/>
      <c r="I5" s="83">
        <v>3</v>
      </c>
      <c r="J5" s="89">
        <f t="shared" si="0"/>
        <v>4.1295531752570441E-4</v>
      </c>
      <c r="K5" s="90">
        <f t="shared" si="1"/>
        <v>4.907026959227466E-4</v>
      </c>
      <c r="U5" s="80" t="s">
        <v>1009</v>
      </c>
      <c r="V5" s="80" t="s">
        <v>1010</v>
      </c>
    </row>
    <row r="6" spans="1:22" x14ac:dyDescent="0.35">
      <c r="A6" s="83" t="s">
        <v>1036</v>
      </c>
      <c r="B6" s="83">
        <f>B4/B2</f>
        <v>0.61111111111111116</v>
      </c>
      <c r="D6" s="83"/>
      <c r="E6" s="83" t="s">
        <v>1007</v>
      </c>
      <c r="F6" s="87">
        <f>_xlfn.BINOM.DIST(F3,F2,F4,0)</f>
        <v>6.6827429573232913E-2</v>
      </c>
      <c r="G6" s="88" t="s">
        <v>1176</v>
      </c>
      <c r="I6" s="83">
        <v>4</v>
      </c>
      <c r="J6" s="89">
        <f t="shared" si="0"/>
        <v>1.7678683003031863E-3</v>
      </c>
      <c r="K6" s="90">
        <f t="shared" si="1"/>
        <v>2.2585709962259326E-3</v>
      </c>
      <c r="T6" s="80" t="s">
        <v>1038</v>
      </c>
      <c r="U6" s="80">
        <f>$V$2-$V$3</f>
        <v>66.2</v>
      </c>
      <c r="V6" s="80">
        <f>$V$2+$V$3</f>
        <v>69.399999999999991</v>
      </c>
    </row>
    <row r="7" spans="1:22" x14ac:dyDescent="0.35">
      <c r="A7" s="83" t="s">
        <v>1024</v>
      </c>
      <c r="B7" s="83">
        <f>B5+B6</f>
        <v>1</v>
      </c>
      <c r="D7" s="83"/>
      <c r="E7" s="83"/>
      <c r="F7" s="87">
        <f>_xlfn.BINOM.DIST(F3,F2,F4,1)</f>
        <v>0.92433647563780597</v>
      </c>
      <c r="G7" s="88" t="s">
        <v>1177</v>
      </c>
      <c r="I7" s="83">
        <v>5</v>
      </c>
      <c r="J7" s="89">
        <f t="shared" si="0"/>
        <v>5.8303728028113351E-3</v>
      </c>
      <c r="K7" s="90">
        <f t="shared" si="1"/>
        <v>8.0889437990372699E-3</v>
      </c>
      <c r="T7" s="80" t="s">
        <v>1039</v>
      </c>
      <c r="U7" s="80">
        <f>$V$2-$V$3*2</f>
        <v>64.599999999999994</v>
      </c>
      <c r="V7" s="80">
        <f>$V$2+$V$3*2</f>
        <v>71</v>
      </c>
    </row>
    <row r="8" spans="1:22" x14ac:dyDescent="0.35">
      <c r="I8" s="83">
        <v>6</v>
      </c>
      <c r="J8" s="89">
        <f t="shared" si="0"/>
        <v>1.540735737897512E-2</v>
      </c>
      <c r="K8" s="90">
        <f t="shared" si="1"/>
        <v>2.349630117801239E-2</v>
      </c>
      <c r="T8" s="80" t="s">
        <v>1040</v>
      </c>
      <c r="U8" s="80">
        <f>$V$2-$V$3*3</f>
        <v>63</v>
      </c>
      <c r="V8" s="80">
        <f>$V$2+$V$3*3</f>
        <v>72.599999999999994</v>
      </c>
    </row>
    <row r="9" spans="1:22" x14ac:dyDescent="0.35">
      <c r="D9" s="80" t="s">
        <v>1175</v>
      </c>
      <c r="I9" s="83">
        <v>7</v>
      </c>
      <c r="J9" s="89">
        <f t="shared" si="0"/>
        <v>3.3503056590250539E-2</v>
      </c>
      <c r="K9" s="90">
        <f t="shared" si="1"/>
        <v>5.6999357768262982E-2</v>
      </c>
    </row>
    <row r="10" spans="1:22" x14ac:dyDescent="0.35">
      <c r="I10" s="83">
        <v>8</v>
      </c>
      <c r="J10" s="89">
        <f t="shared" si="0"/>
        <v>6.1089328711249752E-2</v>
      </c>
      <c r="K10" s="90">
        <f t="shared" si="1"/>
        <v>0.11808868647951279</v>
      </c>
    </row>
    <row r="11" spans="1:22" x14ac:dyDescent="0.35">
      <c r="I11" s="83">
        <v>9</v>
      </c>
      <c r="J11" s="89">
        <f t="shared" si="0"/>
        <v>9.4708421247324523E-2</v>
      </c>
      <c r="K11" s="90">
        <f t="shared" si="1"/>
        <v>0.21279710772683744</v>
      </c>
    </row>
    <row r="12" spans="1:22" x14ac:dyDescent="0.35">
      <c r="I12" s="83">
        <v>10</v>
      </c>
      <c r="J12" s="89">
        <f t="shared" si="0"/>
        <v>0.12613945922895833</v>
      </c>
      <c r="K12" s="90">
        <f t="shared" si="1"/>
        <v>0.33893656695579583</v>
      </c>
    </row>
    <row r="13" spans="1:22" x14ac:dyDescent="0.35">
      <c r="E13" s="83" t="s">
        <v>1041</v>
      </c>
      <c r="F13" s="83">
        <v>30</v>
      </c>
      <c r="I13" s="83">
        <v>11</v>
      </c>
      <c r="J13" s="89">
        <f t="shared" si="0"/>
        <v>0.14545590213641357</v>
      </c>
      <c r="K13" s="90">
        <f t="shared" si="1"/>
        <v>0.4843924690922094</v>
      </c>
    </row>
    <row r="14" spans="1:22" x14ac:dyDescent="0.35">
      <c r="E14" s="83" t="s">
        <v>667</v>
      </c>
      <c r="F14" s="83">
        <v>15</v>
      </c>
      <c r="I14" s="83">
        <v>12</v>
      </c>
      <c r="J14" s="89">
        <f t="shared" si="0"/>
        <v>0.14606520617107083</v>
      </c>
      <c r="K14" s="90">
        <f t="shared" si="1"/>
        <v>0.63045767526328</v>
      </c>
    </row>
    <row r="15" spans="1:22" x14ac:dyDescent="0.35">
      <c r="E15" s="83" t="s">
        <v>1042</v>
      </c>
      <c r="F15" s="84"/>
      <c r="I15" s="83">
        <v>13</v>
      </c>
      <c r="J15" s="89">
        <f t="shared" si="0"/>
        <v>0.12826820043576531</v>
      </c>
      <c r="K15" s="90">
        <f t="shared" si="1"/>
        <v>0.75872587569904537</v>
      </c>
    </row>
    <row r="16" spans="1:22" x14ac:dyDescent="0.35">
      <c r="A16" s="80" t="s">
        <v>1026</v>
      </c>
      <c r="E16" s="80" t="s">
        <v>1043</v>
      </c>
      <c r="I16" s="83">
        <v>14</v>
      </c>
      <c r="J16" s="89">
        <f t="shared" si="0"/>
        <v>9.8783170365527889E-2</v>
      </c>
      <c r="K16" s="90">
        <f t="shared" si="1"/>
        <v>0.85750904606457312</v>
      </c>
    </row>
    <row r="17" spans="1:11" x14ac:dyDescent="0.35">
      <c r="A17" s="80" t="s">
        <v>1028</v>
      </c>
      <c r="B17" s="80" t="s">
        <v>1044</v>
      </c>
      <c r="I17" s="85">
        <v>15</v>
      </c>
      <c r="J17" s="89">
        <f t="shared" si="0"/>
        <v>6.6827429573232913E-2</v>
      </c>
      <c r="K17" s="90">
        <f t="shared" si="1"/>
        <v>0.92433647563780597</v>
      </c>
    </row>
    <row r="18" spans="1:11" x14ac:dyDescent="0.35">
      <c r="A18" s="83">
        <v>1</v>
      </c>
      <c r="B18" s="83">
        <v>0</v>
      </c>
      <c r="E18" s="83" t="s">
        <v>1045</v>
      </c>
      <c r="F18" s="83"/>
      <c r="I18" s="83">
        <v>16</v>
      </c>
      <c r="J18" s="89">
        <f t="shared" si="0"/>
        <v>3.9734623860199388E-2</v>
      </c>
      <c r="K18" s="90">
        <f t="shared" si="1"/>
        <v>0.9640710994980054</v>
      </c>
    </row>
    <row r="19" spans="1:11" x14ac:dyDescent="0.35">
      <c r="A19" s="83">
        <v>2</v>
      </c>
      <c r="B19" s="83">
        <v>0</v>
      </c>
      <c r="E19" s="83" t="s">
        <v>1046</v>
      </c>
      <c r="F19" s="84">
        <f>_xlfn.BINOM.DIST.RANGE(F2,F4,10,15)</f>
        <v>0.7115393679109685</v>
      </c>
      <c r="I19" s="83">
        <v>17</v>
      </c>
      <c r="J19" s="89">
        <f t="shared" si="0"/>
        <v>2.075349732712314E-2</v>
      </c>
      <c r="K19" s="90">
        <f t="shared" si="1"/>
        <v>0.98482459682512857</v>
      </c>
    </row>
    <row r="20" spans="1:11" x14ac:dyDescent="0.35">
      <c r="A20" s="83">
        <v>3</v>
      </c>
      <c r="B20" s="83">
        <v>0</v>
      </c>
      <c r="I20" s="83">
        <v>18</v>
      </c>
      <c r="J20" s="89">
        <f t="shared" si="0"/>
        <v>9.5061620539240149E-3</v>
      </c>
      <c r="K20" s="90">
        <f t="shared" si="1"/>
        <v>0.99433075887905253</v>
      </c>
    </row>
    <row r="21" spans="1:11" x14ac:dyDescent="0.35">
      <c r="A21" s="83">
        <v>4</v>
      </c>
      <c r="B21" s="83">
        <v>1</v>
      </c>
      <c r="I21" s="83">
        <v>19</v>
      </c>
      <c r="J21" s="89">
        <f t="shared" si="0"/>
        <v>3.8078157998504701E-3</v>
      </c>
      <c r="K21" s="90">
        <f t="shared" si="1"/>
        <v>0.99813857467890299</v>
      </c>
    </row>
    <row r="22" spans="1:11" x14ac:dyDescent="0.35">
      <c r="A22" s="83">
        <v>5</v>
      </c>
      <c r="B22" s="83">
        <v>1</v>
      </c>
      <c r="I22" s="83">
        <v>20</v>
      </c>
      <c r="J22" s="89">
        <f t="shared" si="0"/>
        <v>1.3282557173698367E-3</v>
      </c>
      <c r="K22" s="90">
        <f t="shared" si="1"/>
        <v>0.99946683039627282</v>
      </c>
    </row>
    <row r="23" spans="1:11" x14ac:dyDescent="0.35">
      <c r="A23" s="83">
        <v>6</v>
      </c>
      <c r="B23" s="83">
        <v>0</v>
      </c>
      <c r="I23" s="83">
        <v>21</v>
      </c>
      <c r="J23" s="89">
        <f t="shared" si="0"/>
        <v>4.0114877669211464E-4</v>
      </c>
      <c r="K23" s="90">
        <f t="shared" si="1"/>
        <v>0.99986797917296499</v>
      </c>
    </row>
    <row r="24" spans="1:11" x14ac:dyDescent="0.35">
      <c r="A24" s="83">
        <v>7</v>
      </c>
      <c r="B24" s="83">
        <v>0</v>
      </c>
      <c r="I24" s="83">
        <v>22</v>
      </c>
      <c r="J24" s="89">
        <f t="shared" si="0"/>
        <v>1.040802612544957E-4</v>
      </c>
      <c r="K24" s="90">
        <f t="shared" si="1"/>
        <v>0.99997205943421941</v>
      </c>
    </row>
    <row r="25" spans="1:11" x14ac:dyDescent="0.35">
      <c r="A25" s="83">
        <v>8</v>
      </c>
      <c r="B25" s="83">
        <v>1</v>
      </c>
      <c r="I25" s="83">
        <v>23</v>
      </c>
      <c r="J25" s="89">
        <f t="shared" si="0"/>
        <v>2.2960090607092976E-5</v>
      </c>
      <c r="K25" s="90">
        <f t="shared" si="1"/>
        <v>0.99999501952482661</v>
      </c>
    </row>
    <row r="26" spans="1:11" x14ac:dyDescent="0.35">
      <c r="A26" s="83">
        <v>9</v>
      </c>
      <c r="B26" s="83">
        <v>0</v>
      </c>
      <c r="I26" s="83">
        <v>24</v>
      </c>
      <c r="J26" s="89">
        <f t="shared" si="0"/>
        <v>4.2472073978972436E-6</v>
      </c>
      <c r="K26" s="90">
        <f t="shared" si="1"/>
        <v>0.99999926673222439</v>
      </c>
    </row>
    <row r="27" spans="1:11" x14ac:dyDescent="0.35">
      <c r="A27" s="83">
        <v>10</v>
      </c>
      <c r="B27" s="83">
        <v>0</v>
      </c>
      <c r="I27" s="83">
        <v>25</v>
      </c>
      <c r="J27" s="89">
        <f t="shared" si="0"/>
        <v>6.4648400378847594E-7</v>
      </c>
      <c r="K27" s="90">
        <f t="shared" si="1"/>
        <v>0.99999991321622828</v>
      </c>
    </row>
    <row r="28" spans="1:11" x14ac:dyDescent="0.35">
      <c r="A28" s="83">
        <v>11</v>
      </c>
      <c r="B28" s="83">
        <v>1</v>
      </c>
      <c r="I28" s="83">
        <v>26</v>
      </c>
      <c r="J28" s="89">
        <f t="shared" si="0"/>
        <v>7.8849240188104991E-8</v>
      </c>
      <c r="K28" s="90">
        <f t="shared" si="1"/>
        <v>0.99999999206546841</v>
      </c>
    </row>
    <row r="29" spans="1:11" x14ac:dyDescent="0.35">
      <c r="A29" s="83">
        <v>12</v>
      </c>
      <c r="B29" s="83">
        <v>0</v>
      </c>
      <c r="I29" s="83">
        <v>27</v>
      </c>
      <c r="J29" s="89">
        <f t="shared" si="0"/>
        <v>7.4086113528520109E-9</v>
      </c>
      <c r="K29" s="90">
        <f t="shared" si="1"/>
        <v>0.9999999994740798</v>
      </c>
    </row>
    <row r="30" spans="1:11" x14ac:dyDescent="0.35">
      <c r="A30" s="83">
        <v>13</v>
      </c>
      <c r="B30" s="83">
        <v>1</v>
      </c>
      <c r="I30" s="83">
        <v>28</v>
      </c>
      <c r="J30" s="89">
        <f t="shared" si="0"/>
        <v>5.0343465646094855E-10</v>
      </c>
      <c r="K30" s="90">
        <f t="shared" si="1"/>
        <v>0.99999999997751443</v>
      </c>
    </row>
    <row r="31" spans="1:11" x14ac:dyDescent="0.35">
      <c r="A31" s="83">
        <v>14</v>
      </c>
      <c r="B31" s="83">
        <v>0</v>
      </c>
      <c r="I31" s="83">
        <v>29</v>
      </c>
      <c r="J31" s="89">
        <f t="shared" si="0"/>
        <v>2.2020043864985443E-11</v>
      </c>
      <c r="K31" s="90">
        <f t="shared" si="1"/>
        <v>0.99999999999953448</v>
      </c>
    </row>
    <row r="32" spans="1:11" x14ac:dyDescent="0.35">
      <c r="A32" s="83">
        <v>15</v>
      </c>
      <c r="B32" s="83">
        <v>1</v>
      </c>
      <c r="I32" s="83">
        <v>30</v>
      </c>
      <c r="J32" s="89">
        <f t="shared" si="0"/>
        <v>4.6552177269343588E-13</v>
      </c>
      <c r="K32" s="90">
        <f t="shared" si="1"/>
        <v>1</v>
      </c>
    </row>
    <row r="33" spans="1:10" x14ac:dyDescent="0.35">
      <c r="A33" s="83">
        <v>16</v>
      </c>
      <c r="B33" s="83">
        <v>0</v>
      </c>
      <c r="J33" s="86"/>
    </row>
    <row r="34" spans="1:10" x14ac:dyDescent="0.35">
      <c r="A34" s="83">
        <v>17</v>
      </c>
      <c r="B34" s="83">
        <v>1</v>
      </c>
    </row>
    <row r="35" spans="1:10" x14ac:dyDescent="0.35">
      <c r="A35" s="83">
        <v>18</v>
      </c>
      <c r="B35" s="83">
        <v>0</v>
      </c>
    </row>
  </sheetData>
  <mergeCells count="1">
    <mergeCell ref="A1:B1"/>
  </mergeCells>
  <pageMargins left="0.7" right="0.7" top="0.75" bottom="0.75" header="0.3" footer="0.3"/>
  <pageSetup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D984-FE11-45D3-90E1-B67A75590951}">
  <dimension ref="A1:N501"/>
  <sheetViews>
    <sheetView showGridLines="0" tabSelected="1" topLeftCell="E8" zoomScale="118" workbookViewId="0">
      <selection activeCell="G26" sqref="G26"/>
    </sheetView>
  </sheetViews>
  <sheetFormatPr defaultRowHeight="14.4" x14ac:dyDescent="0.3"/>
  <cols>
    <col min="1" max="1" width="10.88671875" customWidth="1"/>
    <col min="2" max="2" width="10.109375" bestFit="1" customWidth="1"/>
    <col min="3" max="3" width="9.6640625" bestFit="1" customWidth="1"/>
    <col min="4" max="4" width="9" bestFit="1" customWidth="1"/>
    <col min="6" max="6" width="17.88671875" bestFit="1" customWidth="1"/>
    <col min="7" max="7" width="12.21875" bestFit="1" customWidth="1"/>
    <col min="8" max="8" width="16" bestFit="1" customWidth="1"/>
    <col min="9" max="10" width="12.21875" bestFit="1" customWidth="1"/>
    <col min="11" max="11" width="12.88671875" bestFit="1" customWidth="1"/>
    <col min="12" max="12" width="12.21875" bestFit="1" customWidth="1"/>
    <col min="13" max="13" width="12.88671875" bestFit="1" customWidth="1"/>
    <col min="14" max="14" width="12.44140625" bestFit="1" customWidth="1"/>
    <col min="15" max="15" width="13.21875" bestFit="1" customWidth="1"/>
    <col min="16" max="16" width="12.6640625" bestFit="1" customWidth="1"/>
    <col min="17" max="17" width="13.21875" bestFit="1" customWidth="1"/>
    <col min="18" max="18" width="12.6640625" bestFit="1" customWidth="1"/>
  </cols>
  <sheetData>
    <row r="1" spans="1:11" x14ac:dyDescent="0.3">
      <c r="A1" s="36" t="s">
        <v>715</v>
      </c>
      <c r="B1" s="36" t="s">
        <v>716</v>
      </c>
      <c r="C1" s="36" t="s">
        <v>717</v>
      </c>
      <c r="D1" s="36" t="s">
        <v>718</v>
      </c>
      <c r="F1" t="s">
        <v>1203</v>
      </c>
    </row>
    <row r="2" spans="1:11" x14ac:dyDescent="0.3">
      <c r="A2" s="35">
        <v>650</v>
      </c>
      <c r="B2" s="35">
        <v>2</v>
      </c>
      <c r="C2" s="35">
        <v>1</v>
      </c>
      <c r="D2" s="35">
        <v>33000</v>
      </c>
      <c r="F2" t="s">
        <v>1204</v>
      </c>
    </row>
    <row r="3" spans="1:11" x14ac:dyDescent="0.3">
      <c r="A3" s="35">
        <v>750</v>
      </c>
      <c r="B3" s="35">
        <v>3</v>
      </c>
      <c r="C3" s="35">
        <v>0</v>
      </c>
      <c r="D3" s="35">
        <v>55000</v>
      </c>
    </row>
    <row r="4" spans="1:11" x14ac:dyDescent="0.3">
      <c r="A4" s="35">
        <v>247</v>
      </c>
      <c r="B4" s="35">
        <v>1</v>
      </c>
      <c r="C4" s="35">
        <v>0</v>
      </c>
      <c r="D4" s="35">
        <v>10500</v>
      </c>
    </row>
    <row r="5" spans="1:11" x14ac:dyDescent="0.3">
      <c r="A5" s="35">
        <v>1256</v>
      </c>
      <c r="B5" s="35">
        <v>4</v>
      </c>
      <c r="C5" s="35">
        <v>0</v>
      </c>
      <c r="D5" s="35">
        <v>65000</v>
      </c>
      <c r="F5" t="s">
        <v>1182</v>
      </c>
    </row>
    <row r="6" spans="1:11" ht="15" thickBot="1" x14ac:dyDescent="0.35">
      <c r="A6" s="35">
        <v>900</v>
      </c>
      <c r="B6" s="35">
        <v>3</v>
      </c>
      <c r="C6" s="35">
        <v>0</v>
      </c>
      <c r="D6" s="35">
        <v>37000</v>
      </c>
    </row>
    <row r="7" spans="1:11" x14ac:dyDescent="0.3">
      <c r="A7" s="35">
        <v>900</v>
      </c>
      <c r="B7" s="35">
        <v>3</v>
      </c>
      <c r="C7" s="35">
        <v>0</v>
      </c>
      <c r="D7" s="35">
        <v>50000</v>
      </c>
      <c r="F7" s="92" t="s">
        <v>1183</v>
      </c>
      <c r="G7" s="92"/>
    </row>
    <row r="8" spans="1:11" x14ac:dyDescent="0.3">
      <c r="A8" s="35">
        <v>550</v>
      </c>
      <c r="B8" s="35">
        <v>2</v>
      </c>
      <c r="C8" s="35">
        <v>0</v>
      </c>
      <c r="D8" s="35">
        <v>30000</v>
      </c>
      <c r="F8" t="s">
        <v>1184</v>
      </c>
      <c r="G8">
        <v>0.93670382773103722</v>
      </c>
    </row>
    <row r="9" spans="1:11" x14ac:dyDescent="0.3">
      <c r="A9" s="35">
        <v>1700</v>
      </c>
      <c r="B9" s="35">
        <v>4</v>
      </c>
      <c r="C9" s="35">
        <v>0</v>
      </c>
      <c r="D9" s="35">
        <v>72000</v>
      </c>
      <c r="F9" t="s">
        <v>1185</v>
      </c>
      <c r="G9">
        <v>0.87741406088597662</v>
      </c>
    </row>
    <row r="10" spans="1:11" x14ac:dyDescent="0.3">
      <c r="A10" s="35">
        <v>1300</v>
      </c>
      <c r="B10" s="35">
        <v>4</v>
      </c>
      <c r="C10" s="35">
        <v>0</v>
      </c>
      <c r="D10" s="35">
        <v>45000</v>
      </c>
      <c r="F10" t="s">
        <v>1186</v>
      </c>
      <c r="G10">
        <v>0.87648537952905226</v>
      </c>
    </row>
    <row r="11" spans="1:11" x14ac:dyDescent="0.3">
      <c r="A11" s="35">
        <v>1600</v>
      </c>
      <c r="B11" s="35">
        <v>4</v>
      </c>
      <c r="C11" s="35">
        <v>2</v>
      </c>
      <c r="D11" s="35">
        <v>57000</v>
      </c>
      <c r="F11" t="s">
        <v>1142</v>
      </c>
      <c r="G11">
        <v>6956.4231149935513</v>
      </c>
    </row>
    <row r="12" spans="1:11" ht="15" thickBot="1" x14ac:dyDescent="0.35">
      <c r="A12" s="35">
        <v>475</v>
      </c>
      <c r="B12" s="35">
        <v>2</v>
      </c>
      <c r="C12" s="35">
        <v>1</v>
      </c>
      <c r="D12" s="35">
        <v>30000</v>
      </c>
      <c r="F12" s="78" t="s">
        <v>1187</v>
      </c>
      <c r="G12" s="78">
        <v>400</v>
      </c>
    </row>
    <row r="13" spans="1:11" x14ac:dyDescent="0.3">
      <c r="A13" s="35">
        <v>800</v>
      </c>
      <c r="B13" s="35">
        <v>3</v>
      </c>
      <c r="C13" s="35">
        <v>0</v>
      </c>
      <c r="D13" s="35">
        <v>45000</v>
      </c>
    </row>
    <row r="14" spans="1:11" ht="15" thickBot="1" x14ac:dyDescent="0.35">
      <c r="A14" s="35">
        <v>350</v>
      </c>
      <c r="B14" s="35">
        <v>2</v>
      </c>
      <c r="C14" s="35">
        <v>0</v>
      </c>
      <c r="D14" s="35">
        <v>15000</v>
      </c>
      <c r="F14" t="s">
        <v>1188</v>
      </c>
    </row>
    <row r="15" spans="1:11" x14ac:dyDescent="0.3">
      <c r="A15" s="35">
        <v>247</v>
      </c>
      <c r="B15" s="35">
        <v>1</v>
      </c>
      <c r="C15" s="35">
        <v>0</v>
      </c>
      <c r="D15" s="35">
        <v>11500</v>
      </c>
      <c r="F15" s="79"/>
      <c r="G15" s="79" t="s">
        <v>1192</v>
      </c>
      <c r="H15" s="79" t="s">
        <v>565</v>
      </c>
      <c r="I15" s="79" t="s">
        <v>1193</v>
      </c>
      <c r="J15" s="79" t="s">
        <v>1194</v>
      </c>
      <c r="K15" s="79" t="s">
        <v>1195</v>
      </c>
    </row>
    <row r="16" spans="1:11" x14ac:dyDescent="0.3">
      <c r="A16" s="35">
        <v>247</v>
      </c>
      <c r="B16" s="35">
        <v>1</v>
      </c>
      <c r="C16" s="35">
        <v>0</v>
      </c>
      <c r="D16" s="35">
        <v>16500</v>
      </c>
      <c r="F16" t="s">
        <v>1189</v>
      </c>
      <c r="G16">
        <v>3</v>
      </c>
      <c r="H16" s="81">
        <v>137161143243.29263</v>
      </c>
      <c r="I16">
        <v>45720381081.097542</v>
      </c>
      <c r="J16">
        <v>944.79560114329388</v>
      </c>
      <c r="K16">
        <v>4.8374205606941412E-180</v>
      </c>
    </row>
    <row r="17" spans="1:14" x14ac:dyDescent="0.3">
      <c r="A17" s="35">
        <v>247</v>
      </c>
      <c r="B17" s="35">
        <v>1</v>
      </c>
      <c r="C17" s="35">
        <v>0</v>
      </c>
      <c r="D17" s="35">
        <v>15000</v>
      </c>
      <c r="F17" t="s">
        <v>1190</v>
      </c>
      <c r="G17">
        <v>396</v>
      </c>
      <c r="H17" s="81">
        <v>19163161731.707367</v>
      </c>
      <c r="I17">
        <v>48391822.554816581</v>
      </c>
    </row>
    <row r="18" spans="1:14" ht="15" thickBot="1" x14ac:dyDescent="0.35">
      <c r="A18" s="35">
        <v>330</v>
      </c>
      <c r="B18" s="35">
        <v>2</v>
      </c>
      <c r="C18" s="35">
        <v>0</v>
      </c>
      <c r="D18" s="35">
        <v>16000</v>
      </c>
      <c r="F18" s="78" t="s">
        <v>1024</v>
      </c>
      <c r="G18" s="78">
        <v>399</v>
      </c>
      <c r="H18" s="93">
        <v>156324304975</v>
      </c>
      <c r="I18" s="78"/>
      <c r="J18" s="78"/>
      <c r="K18" s="78"/>
    </row>
    <row r="19" spans="1:14" ht="15" thickBot="1" x14ac:dyDescent="0.35">
      <c r="A19" s="35">
        <v>450</v>
      </c>
      <c r="B19" s="35">
        <v>2</v>
      </c>
      <c r="C19" s="35">
        <v>2</v>
      </c>
      <c r="D19" s="35">
        <v>25000</v>
      </c>
    </row>
    <row r="20" spans="1:14" x14ac:dyDescent="0.3">
      <c r="A20" s="35">
        <v>325</v>
      </c>
      <c r="B20" s="35">
        <v>1</v>
      </c>
      <c r="C20" s="35">
        <v>0</v>
      </c>
      <c r="D20" s="35">
        <v>13500</v>
      </c>
      <c r="F20" s="79"/>
      <c r="G20" s="79" t="s">
        <v>1196</v>
      </c>
      <c r="H20" s="79" t="s">
        <v>1142</v>
      </c>
      <c r="I20" s="79" t="s">
        <v>1197</v>
      </c>
      <c r="J20" s="79" t="s">
        <v>1198</v>
      </c>
      <c r="K20" s="79" t="s">
        <v>1199</v>
      </c>
      <c r="L20" s="79" t="s">
        <v>1200</v>
      </c>
      <c r="M20" s="79" t="s">
        <v>1201</v>
      </c>
      <c r="N20" s="79" t="s">
        <v>1202</v>
      </c>
    </row>
    <row r="21" spans="1:14" x14ac:dyDescent="0.3">
      <c r="A21" s="35">
        <v>1650</v>
      </c>
      <c r="B21" s="35">
        <v>4</v>
      </c>
      <c r="C21" s="35">
        <v>0</v>
      </c>
      <c r="D21" s="35">
        <v>90000</v>
      </c>
      <c r="F21" t="s">
        <v>1191</v>
      </c>
      <c r="G21">
        <v>1401.7746952647501</v>
      </c>
      <c r="H21">
        <v>1100.1059700114979</v>
      </c>
      <c r="I21">
        <v>1.2742178785286469</v>
      </c>
      <c r="J21" s="81">
        <v>0.20333347246680797</v>
      </c>
      <c r="K21">
        <v>-761.00350819167102</v>
      </c>
      <c r="L21">
        <v>3564.552898721171</v>
      </c>
      <c r="M21">
        <v>-761.00350819167102</v>
      </c>
      <c r="N21">
        <v>3564.552898721171</v>
      </c>
    </row>
    <row r="22" spans="1:14" x14ac:dyDescent="0.3">
      <c r="A22" s="35">
        <v>650</v>
      </c>
      <c r="B22" s="35">
        <v>2</v>
      </c>
      <c r="C22" s="35">
        <v>0</v>
      </c>
      <c r="D22" s="35">
        <v>31000</v>
      </c>
      <c r="F22" t="s">
        <v>715</v>
      </c>
      <c r="G22">
        <v>27.67508832998605</v>
      </c>
      <c r="H22">
        <v>1.7968253948662105</v>
      </c>
      <c r="I22">
        <v>15.402213486662516</v>
      </c>
      <c r="J22" s="81">
        <v>2.811466325155561E-42</v>
      </c>
      <c r="K22">
        <v>24.142578821476611</v>
      </c>
      <c r="L22">
        <v>31.207597838495488</v>
      </c>
      <c r="M22">
        <v>24.142578821476611</v>
      </c>
      <c r="N22">
        <v>31.207597838495488</v>
      </c>
    </row>
    <row r="23" spans="1:14" x14ac:dyDescent="0.3">
      <c r="A23" s="35">
        <v>1650</v>
      </c>
      <c r="B23" s="35">
        <v>4</v>
      </c>
      <c r="C23" s="35">
        <v>0</v>
      </c>
      <c r="D23" s="35">
        <v>65000</v>
      </c>
      <c r="F23" t="s">
        <v>716</v>
      </c>
      <c r="G23">
        <v>5838.7008136343629</v>
      </c>
      <c r="H23">
        <v>853.01571838022085</v>
      </c>
      <c r="I23">
        <v>6.8447751756806863</v>
      </c>
      <c r="J23" s="81">
        <v>2.9272096019440574E-11</v>
      </c>
      <c r="K23">
        <v>4161.6952767048788</v>
      </c>
      <c r="L23">
        <v>7515.7063505638471</v>
      </c>
      <c r="M23">
        <v>4161.6952767048788</v>
      </c>
      <c r="N23">
        <v>7515.7063505638471</v>
      </c>
    </row>
    <row r="24" spans="1:14" ht="15" thickBot="1" x14ac:dyDescent="0.35">
      <c r="A24" s="35">
        <v>900</v>
      </c>
      <c r="B24" s="35">
        <v>3</v>
      </c>
      <c r="C24" s="35">
        <v>0</v>
      </c>
      <c r="D24" s="35">
        <v>40000</v>
      </c>
      <c r="F24" s="78" t="s">
        <v>717</v>
      </c>
      <c r="G24" s="78">
        <v>677.46520989891951</v>
      </c>
      <c r="H24" s="78">
        <v>498.931388507213</v>
      </c>
      <c r="I24" s="78">
        <v>1.3578324104359802</v>
      </c>
      <c r="J24" s="93">
        <v>0.17529005253093086</v>
      </c>
      <c r="K24" s="78">
        <v>-303.42023341193692</v>
      </c>
      <c r="L24" s="78">
        <v>1658.3506532097758</v>
      </c>
      <c r="M24" s="78">
        <v>-303.42023341193692</v>
      </c>
      <c r="N24" s="78">
        <v>1658.3506532097758</v>
      </c>
    </row>
    <row r="25" spans="1:14" x14ac:dyDescent="0.3">
      <c r="A25" s="35">
        <v>635</v>
      </c>
      <c r="B25" s="35">
        <v>2</v>
      </c>
      <c r="C25" s="35">
        <v>0</v>
      </c>
      <c r="D25" s="35">
        <v>30000</v>
      </c>
    </row>
    <row r="26" spans="1:14" x14ac:dyDescent="0.3">
      <c r="A26" s="35">
        <v>475</v>
      </c>
      <c r="B26" s="35">
        <v>2</v>
      </c>
      <c r="C26" s="35">
        <v>2</v>
      </c>
      <c r="D26" s="35">
        <v>28000</v>
      </c>
    </row>
    <row r="27" spans="1:14" x14ac:dyDescent="0.3">
      <c r="A27" s="35">
        <v>1120</v>
      </c>
      <c r="B27" s="35">
        <v>3</v>
      </c>
      <c r="C27" s="35">
        <v>0</v>
      </c>
      <c r="D27" s="35">
        <v>45000</v>
      </c>
      <c r="G27" t="s">
        <v>1205</v>
      </c>
      <c r="J27" t="s">
        <v>1207</v>
      </c>
    </row>
    <row r="28" spans="1:14" x14ac:dyDescent="0.3">
      <c r="A28" s="35">
        <v>1000</v>
      </c>
      <c r="B28" s="35">
        <v>3</v>
      </c>
      <c r="C28" s="35">
        <v>0</v>
      </c>
      <c r="D28" s="35">
        <v>38000</v>
      </c>
      <c r="F28" s="94" t="s">
        <v>1206</v>
      </c>
      <c r="G28" s="36" t="s">
        <v>715</v>
      </c>
      <c r="H28" s="36" t="s">
        <v>716</v>
      </c>
      <c r="I28" s="36" t="s">
        <v>717</v>
      </c>
      <c r="J28" s="36" t="s">
        <v>718</v>
      </c>
    </row>
    <row r="29" spans="1:14" x14ac:dyDescent="0.3">
      <c r="A29" s="35">
        <v>900</v>
      </c>
      <c r="B29" s="35">
        <v>3</v>
      </c>
      <c r="C29" s="35">
        <v>2</v>
      </c>
      <c r="D29" s="35">
        <v>50000</v>
      </c>
      <c r="F29">
        <v>402</v>
      </c>
      <c r="G29" s="35">
        <v>335</v>
      </c>
      <c r="H29" s="35">
        <v>2</v>
      </c>
      <c r="I29" s="35">
        <v>1</v>
      </c>
      <c r="J29" s="35">
        <f>(G29*G22 + H29*G23 + I29*G24 + G21)</f>
        <v>23027.796122977725</v>
      </c>
    </row>
    <row r="30" spans="1:14" x14ac:dyDescent="0.3">
      <c r="A30" s="35">
        <v>610</v>
      </c>
      <c r="B30" s="35">
        <v>3</v>
      </c>
      <c r="C30" s="35">
        <v>0</v>
      </c>
      <c r="D30" s="35">
        <v>28000</v>
      </c>
    </row>
    <row r="31" spans="1:14" x14ac:dyDescent="0.3">
      <c r="A31" s="35">
        <v>400</v>
      </c>
      <c r="B31" s="35">
        <v>2</v>
      </c>
      <c r="C31" s="35">
        <v>0</v>
      </c>
      <c r="D31" s="35">
        <v>17000</v>
      </c>
    </row>
    <row r="32" spans="1:14" x14ac:dyDescent="0.3">
      <c r="A32" s="35">
        <v>700</v>
      </c>
      <c r="B32" s="35">
        <v>2</v>
      </c>
      <c r="C32" s="35">
        <v>1</v>
      </c>
      <c r="D32" s="35">
        <v>35000</v>
      </c>
    </row>
    <row r="33" spans="1:4" x14ac:dyDescent="0.3">
      <c r="A33" s="35">
        <v>750</v>
      </c>
      <c r="B33" s="35">
        <v>3</v>
      </c>
      <c r="C33" s="35">
        <v>0</v>
      </c>
      <c r="D33" s="35">
        <v>40000</v>
      </c>
    </row>
    <row r="34" spans="1:4" x14ac:dyDescent="0.3">
      <c r="A34" s="35">
        <v>300</v>
      </c>
      <c r="B34" s="35">
        <v>1</v>
      </c>
      <c r="C34" s="35">
        <v>0</v>
      </c>
      <c r="D34" s="35">
        <v>13000</v>
      </c>
    </row>
    <row r="35" spans="1:4" x14ac:dyDescent="0.3">
      <c r="A35" s="35">
        <v>1310</v>
      </c>
      <c r="B35" s="35">
        <v>4</v>
      </c>
      <c r="C35" s="35">
        <v>0</v>
      </c>
      <c r="D35" s="35">
        <v>67000</v>
      </c>
    </row>
    <row r="36" spans="1:4" x14ac:dyDescent="0.3">
      <c r="A36" s="35">
        <v>950</v>
      </c>
      <c r="B36" s="35">
        <v>3</v>
      </c>
      <c r="C36" s="35">
        <v>0</v>
      </c>
      <c r="D36" s="35">
        <v>39000</v>
      </c>
    </row>
    <row r="37" spans="1:4" x14ac:dyDescent="0.3">
      <c r="A37" s="35">
        <v>950</v>
      </c>
      <c r="B37" s="35">
        <v>3</v>
      </c>
      <c r="C37" s="35">
        <v>0</v>
      </c>
      <c r="D37" s="35">
        <v>52000</v>
      </c>
    </row>
    <row r="38" spans="1:4" x14ac:dyDescent="0.3">
      <c r="A38" s="35">
        <v>590</v>
      </c>
      <c r="B38" s="35">
        <v>2</v>
      </c>
      <c r="C38" s="35">
        <v>0</v>
      </c>
      <c r="D38" s="35">
        <v>32500</v>
      </c>
    </row>
    <row r="39" spans="1:4" x14ac:dyDescent="0.3">
      <c r="A39" s="35">
        <v>1910</v>
      </c>
      <c r="B39" s="35">
        <v>4</v>
      </c>
      <c r="C39" s="35">
        <v>0</v>
      </c>
      <c r="D39" s="35">
        <v>81000</v>
      </c>
    </row>
    <row r="40" spans="1:4" x14ac:dyDescent="0.3">
      <c r="A40" s="35">
        <v>1412</v>
      </c>
      <c r="B40" s="35">
        <v>4</v>
      </c>
      <c r="C40" s="35">
        <v>0</v>
      </c>
      <c r="D40" s="35">
        <v>49000</v>
      </c>
    </row>
    <row r="41" spans="1:4" x14ac:dyDescent="0.3">
      <c r="A41" s="35">
        <v>1800</v>
      </c>
      <c r="B41" s="35">
        <v>4</v>
      </c>
      <c r="C41" s="35">
        <v>2</v>
      </c>
      <c r="D41" s="35">
        <v>63000</v>
      </c>
    </row>
    <row r="42" spans="1:4" x14ac:dyDescent="0.3">
      <c r="A42" s="35">
        <v>320</v>
      </c>
      <c r="B42" s="35">
        <v>2</v>
      </c>
      <c r="C42" s="35">
        <v>1</v>
      </c>
      <c r="D42" s="35">
        <v>25000</v>
      </c>
    </row>
    <row r="43" spans="1:4" x14ac:dyDescent="0.3">
      <c r="A43" s="35">
        <v>650</v>
      </c>
      <c r="B43" s="35">
        <v>3</v>
      </c>
      <c r="C43" s="35">
        <v>0</v>
      </c>
      <c r="D43" s="35">
        <v>40000</v>
      </c>
    </row>
    <row r="44" spans="1:4" x14ac:dyDescent="0.3">
      <c r="A44" s="35">
        <v>390</v>
      </c>
      <c r="B44" s="35">
        <v>2</v>
      </c>
      <c r="C44" s="35">
        <v>0</v>
      </c>
      <c r="D44" s="35">
        <v>19000</v>
      </c>
    </row>
    <row r="45" spans="1:4" x14ac:dyDescent="0.3">
      <c r="A45" s="35">
        <v>250</v>
      </c>
      <c r="B45" s="35">
        <v>1</v>
      </c>
      <c r="C45" s="35">
        <v>0</v>
      </c>
      <c r="D45" s="35">
        <v>12000</v>
      </c>
    </row>
    <row r="46" spans="1:4" x14ac:dyDescent="0.3">
      <c r="A46" s="35">
        <v>247</v>
      </c>
      <c r="B46" s="35">
        <v>1</v>
      </c>
      <c r="C46" s="35">
        <v>0</v>
      </c>
      <c r="D46" s="35">
        <v>16500</v>
      </c>
    </row>
    <row r="47" spans="1:4" x14ac:dyDescent="0.3">
      <c r="A47" s="35">
        <v>247</v>
      </c>
      <c r="B47" s="35">
        <v>1</v>
      </c>
      <c r="C47" s="35">
        <v>0</v>
      </c>
      <c r="D47" s="35">
        <v>14500</v>
      </c>
    </row>
    <row r="48" spans="1:4" x14ac:dyDescent="0.3">
      <c r="A48" s="35">
        <v>310</v>
      </c>
      <c r="B48" s="35">
        <v>2</v>
      </c>
      <c r="C48" s="35">
        <v>0</v>
      </c>
      <c r="D48" s="35">
        <v>15900</v>
      </c>
    </row>
    <row r="49" spans="1:4" x14ac:dyDescent="0.3">
      <c r="A49" s="35">
        <v>490</v>
      </c>
      <c r="B49" s="35">
        <v>2</v>
      </c>
      <c r="C49" s="35">
        <v>2</v>
      </c>
      <c r="D49" s="35">
        <v>27000</v>
      </c>
    </row>
    <row r="50" spans="1:4" x14ac:dyDescent="0.3">
      <c r="A50" s="35">
        <v>430</v>
      </c>
      <c r="B50" s="35">
        <v>1</v>
      </c>
      <c r="C50" s="35">
        <v>0</v>
      </c>
      <c r="D50" s="35">
        <v>15000</v>
      </c>
    </row>
    <row r="51" spans="1:4" x14ac:dyDescent="0.3">
      <c r="A51" s="35">
        <v>1500</v>
      </c>
      <c r="B51" s="35">
        <v>4</v>
      </c>
      <c r="C51" s="35">
        <v>0</v>
      </c>
      <c r="D51" s="35">
        <v>80000</v>
      </c>
    </row>
    <row r="52" spans="1:4" x14ac:dyDescent="0.3">
      <c r="A52" s="35">
        <v>700</v>
      </c>
      <c r="B52" s="35">
        <v>2</v>
      </c>
      <c r="C52" s="35">
        <v>0</v>
      </c>
      <c r="D52" s="35">
        <v>29000</v>
      </c>
    </row>
    <row r="53" spans="1:4" x14ac:dyDescent="0.3">
      <c r="A53" s="35">
        <v>1750</v>
      </c>
      <c r="B53" s="35">
        <v>4</v>
      </c>
      <c r="C53" s="35">
        <v>0</v>
      </c>
      <c r="D53" s="35">
        <v>71000</v>
      </c>
    </row>
    <row r="54" spans="1:4" x14ac:dyDescent="0.3">
      <c r="A54" s="35">
        <v>950</v>
      </c>
      <c r="B54" s="35">
        <v>3</v>
      </c>
      <c r="C54" s="35">
        <v>0</v>
      </c>
      <c r="D54" s="35">
        <v>45000</v>
      </c>
    </row>
    <row r="55" spans="1:4" x14ac:dyDescent="0.3">
      <c r="A55" s="35">
        <v>722</v>
      </c>
      <c r="B55" s="35">
        <v>2</v>
      </c>
      <c r="C55" s="35">
        <v>0</v>
      </c>
      <c r="D55" s="35">
        <v>32000</v>
      </c>
    </row>
    <row r="56" spans="1:4" x14ac:dyDescent="0.3">
      <c r="A56" s="35">
        <v>422</v>
      </c>
      <c r="B56" s="35">
        <v>2</v>
      </c>
      <c r="C56" s="35">
        <v>2</v>
      </c>
      <c r="D56" s="35">
        <v>26500</v>
      </c>
    </row>
    <row r="57" spans="1:4" x14ac:dyDescent="0.3">
      <c r="A57" s="35">
        <v>1180</v>
      </c>
      <c r="B57" s="35">
        <v>3</v>
      </c>
      <c r="C57" s="35">
        <v>0</v>
      </c>
      <c r="D57" s="35">
        <v>44000</v>
      </c>
    </row>
    <row r="58" spans="1:4" x14ac:dyDescent="0.3">
      <c r="A58" s="35">
        <v>1112</v>
      </c>
      <c r="B58" s="35">
        <v>3</v>
      </c>
      <c r="C58" s="35">
        <v>0</v>
      </c>
      <c r="D58" s="35">
        <v>39000</v>
      </c>
    </row>
    <row r="59" spans="1:4" x14ac:dyDescent="0.3">
      <c r="A59" s="35">
        <v>800</v>
      </c>
      <c r="B59" s="35">
        <v>3</v>
      </c>
      <c r="C59" s="35">
        <v>2</v>
      </c>
      <c r="D59" s="35">
        <v>51000</v>
      </c>
    </row>
    <row r="60" spans="1:4" x14ac:dyDescent="0.3">
      <c r="A60" s="35">
        <v>600</v>
      </c>
      <c r="B60" s="35">
        <v>3</v>
      </c>
      <c r="C60" s="35">
        <v>0</v>
      </c>
      <c r="D60" s="35">
        <v>27000</v>
      </c>
    </row>
    <row r="61" spans="1:4" x14ac:dyDescent="0.3">
      <c r="A61" s="35">
        <v>300</v>
      </c>
      <c r="B61" s="35">
        <v>2</v>
      </c>
      <c r="C61" s="35">
        <v>0</v>
      </c>
      <c r="D61" s="35">
        <v>15000</v>
      </c>
    </row>
    <row r="62" spans="1:4" x14ac:dyDescent="0.3">
      <c r="A62" s="35">
        <v>660</v>
      </c>
      <c r="B62" s="35">
        <v>2</v>
      </c>
      <c r="C62" s="35">
        <v>1</v>
      </c>
      <c r="D62" s="35">
        <v>36000</v>
      </c>
    </row>
    <row r="63" spans="1:4" x14ac:dyDescent="0.3">
      <c r="A63" s="35">
        <v>760</v>
      </c>
      <c r="B63" s="35">
        <v>3</v>
      </c>
      <c r="C63" s="35">
        <v>0</v>
      </c>
      <c r="D63" s="35">
        <v>58000</v>
      </c>
    </row>
    <row r="64" spans="1:4" x14ac:dyDescent="0.3">
      <c r="A64" s="35">
        <v>257</v>
      </c>
      <c r="B64" s="35">
        <v>1</v>
      </c>
      <c r="C64" s="35">
        <v>0</v>
      </c>
      <c r="D64" s="35">
        <v>13500</v>
      </c>
    </row>
    <row r="65" spans="1:4" x14ac:dyDescent="0.3">
      <c r="A65" s="35">
        <v>1266</v>
      </c>
      <c r="B65" s="35">
        <v>4</v>
      </c>
      <c r="C65" s="35">
        <v>0</v>
      </c>
      <c r="D65" s="35">
        <v>68000</v>
      </c>
    </row>
    <row r="66" spans="1:4" x14ac:dyDescent="0.3">
      <c r="A66" s="35">
        <v>910</v>
      </c>
      <c r="B66" s="35">
        <v>3</v>
      </c>
      <c r="C66" s="35">
        <v>0</v>
      </c>
      <c r="D66" s="35">
        <v>40000</v>
      </c>
    </row>
    <row r="67" spans="1:4" x14ac:dyDescent="0.3">
      <c r="A67" s="35">
        <v>910</v>
      </c>
      <c r="B67" s="35">
        <v>3</v>
      </c>
      <c r="C67" s="35">
        <v>0</v>
      </c>
      <c r="D67" s="35">
        <v>53000</v>
      </c>
    </row>
    <row r="68" spans="1:4" x14ac:dyDescent="0.3">
      <c r="A68" s="35">
        <v>560</v>
      </c>
      <c r="B68" s="35">
        <v>2</v>
      </c>
      <c r="C68" s="35">
        <v>0</v>
      </c>
      <c r="D68" s="35">
        <v>33000</v>
      </c>
    </row>
    <row r="69" spans="1:4" x14ac:dyDescent="0.3">
      <c r="A69" s="35">
        <v>1710</v>
      </c>
      <c r="B69" s="35">
        <v>4</v>
      </c>
      <c r="C69" s="35">
        <v>0</v>
      </c>
      <c r="D69" s="35">
        <v>75000</v>
      </c>
    </row>
    <row r="70" spans="1:4" x14ac:dyDescent="0.3">
      <c r="A70" s="35">
        <v>1310</v>
      </c>
      <c r="B70" s="35">
        <v>4</v>
      </c>
      <c r="C70" s="35">
        <v>0</v>
      </c>
      <c r="D70" s="35">
        <v>48000</v>
      </c>
    </row>
    <row r="71" spans="1:4" x14ac:dyDescent="0.3">
      <c r="A71" s="35">
        <v>1610</v>
      </c>
      <c r="B71" s="35">
        <v>4</v>
      </c>
      <c r="C71" s="35">
        <v>2</v>
      </c>
      <c r="D71" s="35">
        <v>60000</v>
      </c>
    </row>
    <row r="72" spans="1:4" x14ac:dyDescent="0.3">
      <c r="A72" s="35">
        <v>485</v>
      </c>
      <c r="B72" s="35">
        <v>2</v>
      </c>
      <c r="C72" s="35">
        <v>1</v>
      </c>
      <c r="D72" s="35">
        <v>33000</v>
      </c>
    </row>
    <row r="73" spans="1:4" x14ac:dyDescent="0.3">
      <c r="A73" s="35">
        <v>810</v>
      </c>
      <c r="B73" s="35">
        <v>3</v>
      </c>
      <c r="C73" s="35">
        <v>0</v>
      </c>
      <c r="D73" s="35">
        <v>48000</v>
      </c>
    </row>
    <row r="74" spans="1:4" x14ac:dyDescent="0.3">
      <c r="A74" s="35">
        <v>360</v>
      </c>
      <c r="B74" s="35">
        <v>2</v>
      </c>
      <c r="C74" s="35">
        <v>0</v>
      </c>
      <c r="D74" s="35">
        <v>18000</v>
      </c>
    </row>
    <row r="75" spans="1:4" x14ac:dyDescent="0.3">
      <c r="A75" s="35">
        <v>257</v>
      </c>
      <c r="B75" s="35">
        <v>1</v>
      </c>
      <c r="C75" s="35">
        <v>0</v>
      </c>
      <c r="D75" s="35">
        <v>14500</v>
      </c>
    </row>
    <row r="76" spans="1:4" x14ac:dyDescent="0.3">
      <c r="A76" s="35">
        <v>257</v>
      </c>
      <c r="B76" s="35">
        <v>1</v>
      </c>
      <c r="C76" s="35">
        <v>0</v>
      </c>
      <c r="D76" s="35">
        <v>19500</v>
      </c>
    </row>
    <row r="77" spans="1:4" x14ac:dyDescent="0.3">
      <c r="A77" s="35">
        <v>257</v>
      </c>
      <c r="B77" s="35">
        <v>1</v>
      </c>
      <c r="C77" s="35">
        <v>0</v>
      </c>
      <c r="D77" s="35">
        <v>18000</v>
      </c>
    </row>
    <row r="78" spans="1:4" x14ac:dyDescent="0.3">
      <c r="A78" s="35">
        <v>340</v>
      </c>
      <c r="B78" s="35">
        <v>2</v>
      </c>
      <c r="C78" s="35">
        <v>0</v>
      </c>
      <c r="D78" s="35">
        <v>19000</v>
      </c>
    </row>
    <row r="79" spans="1:4" x14ac:dyDescent="0.3">
      <c r="A79" s="35">
        <v>460</v>
      </c>
      <c r="B79" s="35">
        <v>2</v>
      </c>
      <c r="C79" s="35">
        <v>2</v>
      </c>
      <c r="D79" s="35">
        <v>28000</v>
      </c>
    </row>
    <row r="80" spans="1:4" x14ac:dyDescent="0.3">
      <c r="A80" s="35">
        <v>335</v>
      </c>
      <c r="B80" s="35">
        <v>1</v>
      </c>
      <c r="C80" s="35">
        <v>0</v>
      </c>
      <c r="D80" s="35">
        <v>16500</v>
      </c>
    </row>
    <row r="81" spans="1:4" x14ac:dyDescent="0.3">
      <c r="A81" s="35">
        <v>1660</v>
      </c>
      <c r="B81" s="35">
        <v>4</v>
      </c>
      <c r="C81" s="35">
        <v>0</v>
      </c>
      <c r="D81" s="35">
        <v>93000</v>
      </c>
    </row>
    <row r="82" spans="1:4" x14ac:dyDescent="0.3">
      <c r="A82" s="35">
        <v>660</v>
      </c>
      <c r="B82" s="35">
        <v>2</v>
      </c>
      <c r="C82" s="35">
        <v>0</v>
      </c>
      <c r="D82" s="35">
        <v>34000</v>
      </c>
    </row>
    <row r="83" spans="1:4" x14ac:dyDescent="0.3">
      <c r="A83" s="35">
        <v>1660</v>
      </c>
      <c r="B83" s="35">
        <v>4</v>
      </c>
      <c r="C83" s="35">
        <v>0</v>
      </c>
      <c r="D83" s="35">
        <v>68000</v>
      </c>
    </row>
    <row r="84" spans="1:4" x14ac:dyDescent="0.3">
      <c r="A84" s="35">
        <v>910</v>
      </c>
      <c r="B84" s="35">
        <v>3</v>
      </c>
      <c r="C84" s="35">
        <v>0</v>
      </c>
      <c r="D84" s="35">
        <v>43000</v>
      </c>
    </row>
    <row r="85" spans="1:4" x14ac:dyDescent="0.3">
      <c r="A85" s="35">
        <v>645</v>
      </c>
      <c r="B85" s="35">
        <v>2</v>
      </c>
      <c r="C85" s="35">
        <v>0</v>
      </c>
      <c r="D85" s="35">
        <v>33000</v>
      </c>
    </row>
    <row r="86" spans="1:4" x14ac:dyDescent="0.3">
      <c r="A86" s="35">
        <v>485</v>
      </c>
      <c r="B86" s="35">
        <v>2</v>
      </c>
      <c r="C86" s="35">
        <v>2</v>
      </c>
      <c r="D86" s="35">
        <v>31000</v>
      </c>
    </row>
    <row r="87" spans="1:4" x14ac:dyDescent="0.3">
      <c r="A87" s="35">
        <v>1130</v>
      </c>
      <c r="B87" s="35">
        <v>3</v>
      </c>
      <c r="C87" s="35">
        <v>0</v>
      </c>
      <c r="D87" s="35">
        <v>48000</v>
      </c>
    </row>
    <row r="88" spans="1:4" x14ac:dyDescent="0.3">
      <c r="A88" s="35">
        <v>1010</v>
      </c>
      <c r="B88" s="35">
        <v>3</v>
      </c>
      <c r="C88" s="35">
        <v>0</v>
      </c>
      <c r="D88" s="35">
        <v>41000</v>
      </c>
    </row>
    <row r="89" spans="1:4" x14ac:dyDescent="0.3">
      <c r="A89" s="35">
        <v>910</v>
      </c>
      <c r="B89" s="35">
        <v>3</v>
      </c>
      <c r="C89" s="35">
        <v>2</v>
      </c>
      <c r="D89" s="35">
        <v>53000</v>
      </c>
    </row>
    <row r="90" spans="1:4" x14ac:dyDescent="0.3">
      <c r="A90" s="35">
        <v>620</v>
      </c>
      <c r="B90" s="35">
        <v>3</v>
      </c>
      <c r="C90" s="35">
        <v>0</v>
      </c>
      <c r="D90" s="35">
        <v>31000</v>
      </c>
    </row>
    <row r="91" spans="1:4" x14ac:dyDescent="0.3">
      <c r="A91" s="35">
        <v>410</v>
      </c>
      <c r="B91" s="35">
        <v>2</v>
      </c>
      <c r="C91" s="35">
        <v>0</v>
      </c>
      <c r="D91" s="35">
        <v>20000</v>
      </c>
    </row>
    <row r="92" spans="1:4" x14ac:dyDescent="0.3">
      <c r="A92" s="35">
        <v>710</v>
      </c>
      <c r="B92" s="35">
        <v>2</v>
      </c>
      <c r="C92" s="35">
        <v>1</v>
      </c>
      <c r="D92" s="35">
        <v>38000</v>
      </c>
    </row>
    <row r="93" spans="1:4" x14ac:dyDescent="0.3">
      <c r="A93" s="35">
        <v>760</v>
      </c>
      <c r="B93" s="35">
        <v>3</v>
      </c>
      <c r="C93" s="35">
        <v>0</v>
      </c>
      <c r="D93" s="35">
        <v>43000</v>
      </c>
    </row>
    <row r="94" spans="1:4" x14ac:dyDescent="0.3">
      <c r="A94" s="35">
        <v>310</v>
      </c>
      <c r="B94" s="35">
        <v>1</v>
      </c>
      <c r="C94" s="35">
        <v>0</v>
      </c>
      <c r="D94" s="35">
        <v>16000</v>
      </c>
    </row>
    <row r="95" spans="1:4" x14ac:dyDescent="0.3">
      <c r="A95" s="35">
        <v>1320</v>
      </c>
      <c r="B95" s="35">
        <v>4</v>
      </c>
      <c r="C95" s="35">
        <v>0</v>
      </c>
      <c r="D95" s="35">
        <v>70000</v>
      </c>
    </row>
    <row r="96" spans="1:4" x14ac:dyDescent="0.3">
      <c r="A96" s="35">
        <v>960</v>
      </c>
      <c r="B96" s="35">
        <v>3</v>
      </c>
      <c r="C96" s="35">
        <v>0</v>
      </c>
      <c r="D96" s="35">
        <v>42000</v>
      </c>
    </row>
    <row r="97" spans="1:4" x14ac:dyDescent="0.3">
      <c r="A97" s="35">
        <v>960</v>
      </c>
      <c r="B97" s="35">
        <v>3</v>
      </c>
      <c r="C97" s="35">
        <v>0</v>
      </c>
      <c r="D97" s="35">
        <v>55000</v>
      </c>
    </row>
    <row r="98" spans="1:4" x14ac:dyDescent="0.3">
      <c r="A98" s="35">
        <v>600</v>
      </c>
      <c r="B98" s="35">
        <v>2</v>
      </c>
      <c r="C98" s="35">
        <v>0</v>
      </c>
      <c r="D98" s="35">
        <v>35500</v>
      </c>
    </row>
    <row r="99" spans="1:4" x14ac:dyDescent="0.3">
      <c r="A99" s="35">
        <v>1920</v>
      </c>
      <c r="B99" s="35">
        <v>4</v>
      </c>
      <c r="C99" s="35">
        <v>0</v>
      </c>
      <c r="D99" s="35">
        <v>84000</v>
      </c>
    </row>
    <row r="100" spans="1:4" x14ac:dyDescent="0.3">
      <c r="A100" s="35">
        <v>1422</v>
      </c>
      <c r="B100" s="35">
        <v>4</v>
      </c>
      <c r="C100" s="35">
        <v>0</v>
      </c>
      <c r="D100" s="35">
        <v>52000</v>
      </c>
    </row>
    <row r="101" spans="1:4" x14ac:dyDescent="0.3">
      <c r="A101" s="35">
        <v>1810</v>
      </c>
      <c r="B101" s="35">
        <v>4</v>
      </c>
      <c r="C101" s="35">
        <v>2</v>
      </c>
      <c r="D101" s="35">
        <v>66000</v>
      </c>
    </row>
    <row r="102" spans="1:4" x14ac:dyDescent="0.3">
      <c r="A102" s="35">
        <v>330</v>
      </c>
      <c r="B102" s="35">
        <v>2</v>
      </c>
      <c r="C102" s="35">
        <v>1</v>
      </c>
      <c r="D102" s="35">
        <v>28000</v>
      </c>
    </row>
    <row r="103" spans="1:4" x14ac:dyDescent="0.3">
      <c r="A103" s="35">
        <v>660</v>
      </c>
      <c r="B103" s="35">
        <v>3</v>
      </c>
      <c r="C103" s="35">
        <v>0</v>
      </c>
      <c r="D103" s="35">
        <v>43000</v>
      </c>
    </row>
    <row r="104" spans="1:4" x14ac:dyDescent="0.3">
      <c r="A104" s="35">
        <v>400</v>
      </c>
      <c r="B104" s="35">
        <v>2</v>
      </c>
      <c r="C104" s="35">
        <v>0</v>
      </c>
      <c r="D104" s="35">
        <v>22000</v>
      </c>
    </row>
    <row r="105" spans="1:4" x14ac:dyDescent="0.3">
      <c r="A105" s="35">
        <v>260</v>
      </c>
      <c r="B105" s="35">
        <v>1</v>
      </c>
      <c r="C105" s="35">
        <v>0</v>
      </c>
      <c r="D105" s="35">
        <v>15000</v>
      </c>
    </row>
    <row r="106" spans="1:4" x14ac:dyDescent="0.3">
      <c r="A106" s="35">
        <v>257</v>
      </c>
      <c r="B106" s="35">
        <v>1</v>
      </c>
      <c r="C106" s="35">
        <v>0</v>
      </c>
      <c r="D106" s="35">
        <v>19500</v>
      </c>
    </row>
    <row r="107" spans="1:4" x14ac:dyDescent="0.3">
      <c r="A107" s="35">
        <v>257</v>
      </c>
      <c r="B107" s="35">
        <v>1</v>
      </c>
      <c r="C107" s="35">
        <v>0</v>
      </c>
      <c r="D107" s="35">
        <v>17500</v>
      </c>
    </row>
    <row r="108" spans="1:4" x14ac:dyDescent="0.3">
      <c r="A108" s="35">
        <v>320</v>
      </c>
      <c r="B108" s="35">
        <v>2</v>
      </c>
      <c r="C108" s="35">
        <v>0</v>
      </c>
      <c r="D108" s="35">
        <v>18900</v>
      </c>
    </row>
    <row r="109" spans="1:4" x14ac:dyDescent="0.3">
      <c r="A109" s="35">
        <v>500</v>
      </c>
      <c r="B109" s="35">
        <v>2</v>
      </c>
      <c r="C109" s="35">
        <v>2</v>
      </c>
      <c r="D109" s="35">
        <v>30000</v>
      </c>
    </row>
    <row r="110" spans="1:4" x14ac:dyDescent="0.3">
      <c r="A110" s="35">
        <v>440</v>
      </c>
      <c r="B110" s="35">
        <v>1</v>
      </c>
      <c r="C110" s="35">
        <v>0</v>
      </c>
      <c r="D110" s="35">
        <v>18000</v>
      </c>
    </row>
    <row r="111" spans="1:4" x14ac:dyDescent="0.3">
      <c r="A111" s="35">
        <v>1510</v>
      </c>
      <c r="B111" s="35">
        <v>4</v>
      </c>
      <c r="C111" s="35">
        <v>0</v>
      </c>
      <c r="D111" s="35">
        <v>83000</v>
      </c>
    </row>
    <row r="112" spans="1:4" x14ac:dyDescent="0.3">
      <c r="A112" s="35">
        <v>710</v>
      </c>
      <c r="B112" s="35">
        <v>2</v>
      </c>
      <c r="C112" s="35">
        <v>0</v>
      </c>
      <c r="D112" s="35">
        <v>32000</v>
      </c>
    </row>
    <row r="113" spans="1:4" x14ac:dyDescent="0.3">
      <c r="A113" s="35">
        <v>1760</v>
      </c>
      <c r="B113" s="35">
        <v>4</v>
      </c>
      <c r="C113" s="35">
        <v>0</v>
      </c>
      <c r="D113" s="35">
        <v>74000</v>
      </c>
    </row>
    <row r="114" spans="1:4" x14ac:dyDescent="0.3">
      <c r="A114" s="35">
        <v>960</v>
      </c>
      <c r="B114" s="35">
        <v>3</v>
      </c>
      <c r="C114" s="35">
        <v>0</v>
      </c>
      <c r="D114" s="35">
        <v>48000</v>
      </c>
    </row>
    <row r="115" spans="1:4" x14ac:dyDescent="0.3">
      <c r="A115" s="35">
        <v>732</v>
      </c>
      <c r="B115" s="35">
        <v>2</v>
      </c>
      <c r="C115" s="35">
        <v>0</v>
      </c>
      <c r="D115" s="35">
        <v>35000</v>
      </c>
    </row>
    <row r="116" spans="1:4" x14ac:dyDescent="0.3">
      <c r="A116" s="35">
        <v>432</v>
      </c>
      <c r="B116" s="35">
        <v>2</v>
      </c>
      <c r="C116" s="35">
        <v>2</v>
      </c>
      <c r="D116" s="35">
        <v>29500</v>
      </c>
    </row>
    <row r="117" spans="1:4" x14ac:dyDescent="0.3">
      <c r="A117" s="35">
        <v>1190</v>
      </c>
      <c r="B117" s="35">
        <v>3</v>
      </c>
      <c r="C117" s="35">
        <v>0</v>
      </c>
      <c r="D117" s="35">
        <v>47000</v>
      </c>
    </row>
    <row r="118" spans="1:4" x14ac:dyDescent="0.3">
      <c r="A118" s="35">
        <v>1122</v>
      </c>
      <c r="B118" s="35">
        <v>3</v>
      </c>
      <c r="C118" s="35">
        <v>0</v>
      </c>
      <c r="D118" s="35">
        <v>42000</v>
      </c>
    </row>
    <row r="119" spans="1:4" x14ac:dyDescent="0.3">
      <c r="A119" s="35">
        <v>810</v>
      </c>
      <c r="B119" s="35">
        <v>3</v>
      </c>
      <c r="C119" s="35">
        <v>2</v>
      </c>
      <c r="D119" s="35">
        <v>54000</v>
      </c>
    </row>
    <row r="120" spans="1:4" x14ac:dyDescent="0.3">
      <c r="A120" s="35">
        <v>610</v>
      </c>
      <c r="B120" s="35">
        <v>3</v>
      </c>
      <c r="C120" s="35">
        <v>0</v>
      </c>
      <c r="D120" s="35">
        <v>30000</v>
      </c>
    </row>
    <row r="121" spans="1:4" x14ac:dyDescent="0.3">
      <c r="A121" s="35">
        <v>310</v>
      </c>
      <c r="B121" s="35">
        <v>2</v>
      </c>
      <c r="C121" s="35">
        <v>0</v>
      </c>
      <c r="D121" s="35">
        <v>18000</v>
      </c>
    </row>
    <row r="122" spans="1:4" x14ac:dyDescent="0.3">
      <c r="A122" s="35">
        <v>615</v>
      </c>
      <c r="B122" s="35">
        <v>2</v>
      </c>
      <c r="C122" s="35">
        <v>1</v>
      </c>
      <c r="D122" s="35">
        <v>31500</v>
      </c>
    </row>
    <row r="123" spans="1:4" x14ac:dyDescent="0.3">
      <c r="A123" s="35">
        <v>715</v>
      </c>
      <c r="B123" s="35">
        <v>3</v>
      </c>
      <c r="C123" s="35">
        <v>0</v>
      </c>
      <c r="D123" s="35">
        <v>53500</v>
      </c>
    </row>
    <row r="124" spans="1:4" x14ac:dyDescent="0.3">
      <c r="A124" s="35">
        <v>212</v>
      </c>
      <c r="B124" s="35">
        <v>1</v>
      </c>
      <c r="C124" s="35">
        <v>0</v>
      </c>
      <c r="D124" s="35">
        <v>9000</v>
      </c>
    </row>
    <row r="125" spans="1:4" x14ac:dyDescent="0.3">
      <c r="A125" s="35">
        <v>1221</v>
      </c>
      <c r="B125" s="35">
        <v>4</v>
      </c>
      <c r="C125" s="35">
        <v>0</v>
      </c>
      <c r="D125" s="35">
        <v>63500</v>
      </c>
    </row>
    <row r="126" spans="1:4" x14ac:dyDescent="0.3">
      <c r="A126" s="35">
        <v>865</v>
      </c>
      <c r="B126" s="35">
        <v>3</v>
      </c>
      <c r="C126" s="35">
        <v>0</v>
      </c>
      <c r="D126" s="35">
        <v>35500</v>
      </c>
    </row>
    <row r="127" spans="1:4" x14ac:dyDescent="0.3">
      <c r="A127" s="35">
        <v>865</v>
      </c>
      <c r="B127" s="35">
        <v>3</v>
      </c>
      <c r="C127" s="35">
        <v>0</v>
      </c>
      <c r="D127" s="35">
        <v>48500</v>
      </c>
    </row>
    <row r="128" spans="1:4" x14ac:dyDescent="0.3">
      <c r="A128" s="35">
        <v>515</v>
      </c>
      <c r="B128" s="35">
        <v>2</v>
      </c>
      <c r="C128" s="35">
        <v>0</v>
      </c>
      <c r="D128" s="35">
        <v>28500</v>
      </c>
    </row>
    <row r="129" spans="1:4" x14ac:dyDescent="0.3">
      <c r="A129" s="35">
        <v>1665</v>
      </c>
      <c r="B129" s="35">
        <v>4</v>
      </c>
      <c r="C129" s="35">
        <v>0</v>
      </c>
      <c r="D129" s="35">
        <v>70500</v>
      </c>
    </row>
    <row r="130" spans="1:4" x14ac:dyDescent="0.3">
      <c r="A130" s="35">
        <v>1265</v>
      </c>
      <c r="B130" s="35">
        <v>4</v>
      </c>
      <c r="C130" s="35">
        <v>0</v>
      </c>
      <c r="D130" s="35">
        <v>43500</v>
      </c>
    </row>
    <row r="131" spans="1:4" x14ac:dyDescent="0.3">
      <c r="A131" s="35">
        <v>1565</v>
      </c>
      <c r="B131" s="35">
        <v>4</v>
      </c>
      <c r="C131" s="35">
        <v>2</v>
      </c>
      <c r="D131" s="35">
        <v>55500</v>
      </c>
    </row>
    <row r="132" spans="1:4" x14ac:dyDescent="0.3">
      <c r="A132" s="35">
        <v>440</v>
      </c>
      <c r="B132" s="35">
        <v>2</v>
      </c>
      <c r="C132" s="35">
        <v>1</v>
      </c>
      <c r="D132" s="35">
        <v>28500</v>
      </c>
    </row>
    <row r="133" spans="1:4" x14ac:dyDescent="0.3">
      <c r="A133" s="35">
        <v>765</v>
      </c>
      <c r="B133" s="35">
        <v>3</v>
      </c>
      <c r="C133" s="35">
        <v>0</v>
      </c>
      <c r="D133" s="35">
        <v>43500</v>
      </c>
    </row>
    <row r="134" spans="1:4" x14ac:dyDescent="0.3">
      <c r="A134" s="35">
        <v>315</v>
      </c>
      <c r="B134" s="35">
        <v>2</v>
      </c>
      <c r="C134" s="35">
        <v>0</v>
      </c>
      <c r="D134" s="35">
        <v>13500</v>
      </c>
    </row>
    <row r="135" spans="1:4" x14ac:dyDescent="0.3">
      <c r="A135" s="35">
        <v>212</v>
      </c>
      <c r="B135" s="35">
        <v>1</v>
      </c>
      <c r="C135" s="35">
        <v>0</v>
      </c>
      <c r="D135" s="35">
        <v>10000</v>
      </c>
    </row>
    <row r="136" spans="1:4" x14ac:dyDescent="0.3">
      <c r="A136" s="35">
        <v>212</v>
      </c>
      <c r="B136" s="35">
        <v>1</v>
      </c>
      <c r="C136" s="35">
        <v>0</v>
      </c>
      <c r="D136" s="35">
        <v>15000</v>
      </c>
    </row>
    <row r="137" spans="1:4" x14ac:dyDescent="0.3">
      <c r="A137" s="35">
        <v>212</v>
      </c>
      <c r="B137" s="35">
        <v>1</v>
      </c>
      <c r="C137" s="35">
        <v>0</v>
      </c>
      <c r="D137" s="35">
        <v>13500</v>
      </c>
    </row>
    <row r="138" spans="1:4" x14ac:dyDescent="0.3">
      <c r="A138" s="35">
        <v>295</v>
      </c>
      <c r="B138" s="35">
        <v>2</v>
      </c>
      <c r="C138" s="35">
        <v>0</v>
      </c>
      <c r="D138" s="35">
        <v>14500</v>
      </c>
    </row>
    <row r="139" spans="1:4" x14ac:dyDescent="0.3">
      <c r="A139" s="35">
        <v>415</v>
      </c>
      <c r="B139" s="35">
        <v>2</v>
      </c>
      <c r="C139" s="35">
        <v>2</v>
      </c>
      <c r="D139" s="35">
        <v>23500</v>
      </c>
    </row>
    <row r="140" spans="1:4" x14ac:dyDescent="0.3">
      <c r="A140" s="35">
        <v>290</v>
      </c>
      <c r="B140" s="35">
        <v>1</v>
      </c>
      <c r="C140" s="35">
        <v>0</v>
      </c>
      <c r="D140" s="35">
        <v>12000</v>
      </c>
    </row>
    <row r="141" spans="1:4" x14ac:dyDescent="0.3">
      <c r="A141" s="35">
        <v>1615</v>
      </c>
      <c r="B141" s="35">
        <v>4</v>
      </c>
      <c r="C141" s="35">
        <v>0</v>
      </c>
      <c r="D141" s="35">
        <v>88500</v>
      </c>
    </row>
    <row r="142" spans="1:4" x14ac:dyDescent="0.3">
      <c r="A142" s="35">
        <v>615</v>
      </c>
      <c r="B142" s="35">
        <v>2</v>
      </c>
      <c r="C142" s="35">
        <v>0</v>
      </c>
      <c r="D142" s="35">
        <v>29500</v>
      </c>
    </row>
    <row r="143" spans="1:4" x14ac:dyDescent="0.3">
      <c r="A143" s="35">
        <v>1615</v>
      </c>
      <c r="B143" s="35">
        <v>4</v>
      </c>
      <c r="C143" s="35">
        <v>0</v>
      </c>
      <c r="D143" s="35">
        <v>63500</v>
      </c>
    </row>
    <row r="144" spans="1:4" x14ac:dyDescent="0.3">
      <c r="A144" s="35">
        <v>865</v>
      </c>
      <c r="B144" s="35">
        <v>3</v>
      </c>
      <c r="C144" s="35">
        <v>0</v>
      </c>
      <c r="D144" s="35">
        <v>38500</v>
      </c>
    </row>
    <row r="145" spans="1:4" x14ac:dyDescent="0.3">
      <c r="A145" s="35">
        <v>600</v>
      </c>
      <c r="B145" s="35">
        <v>2</v>
      </c>
      <c r="C145" s="35">
        <v>0</v>
      </c>
      <c r="D145" s="35">
        <v>28500</v>
      </c>
    </row>
    <row r="146" spans="1:4" x14ac:dyDescent="0.3">
      <c r="A146" s="35">
        <v>440</v>
      </c>
      <c r="B146" s="35">
        <v>2</v>
      </c>
      <c r="C146" s="35">
        <v>2</v>
      </c>
      <c r="D146" s="35">
        <v>26500</v>
      </c>
    </row>
    <row r="147" spans="1:4" x14ac:dyDescent="0.3">
      <c r="A147" s="35">
        <v>1085</v>
      </c>
      <c r="B147" s="35">
        <v>3</v>
      </c>
      <c r="C147" s="35">
        <v>0</v>
      </c>
      <c r="D147" s="35">
        <v>43500</v>
      </c>
    </row>
    <row r="148" spans="1:4" x14ac:dyDescent="0.3">
      <c r="A148" s="35">
        <v>965</v>
      </c>
      <c r="B148" s="35">
        <v>3</v>
      </c>
      <c r="C148" s="35">
        <v>0</v>
      </c>
      <c r="D148" s="35">
        <v>36500</v>
      </c>
    </row>
    <row r="149" spans="1:4" x14ac:dyDescent="0.3">
      <c r="A149" s="35">
        <v>865</v>
      </c>
      <c r="B149" s="35">
        <v>3</v>
      </c>
      <c r="C149" s="35">
        <v>2</v>
      </c>
      <c r="D149" s="35">
        <v>48500</v>
      </c>
    </row>
    <row r="150" spans="1:4" x14ac:dyDescent="0.3">
      <c r="A150" s="35">
        <v>575</v>
      </c>
      <c r="B150" s="35">
        <v>3</v>
      </c>
      <c r="C150" s="35">
        <v>0</v>
      </c>
      <c r="D150" s="35">
        <v>26500</v>
      </c>
    </row>
    <row r="151" spans="1:4" x14ac:dyDescent="0.3">
      <c r="A151" s="35">
        <v>365</v>
      </c>
      <c r="B151" s="35">
        <v>2</v>
      </c>
      <c r="C151" s="35">
        <v>0</v>
      </c>
      <c r="D151" s="35">
        <v>15500</v>
      </c>
    </row>
    <row r="152" spans="1:4" x14ac:dyDescent="0.3">
      <c r="A152" s="35">
        <v>665</v>
      </c>
      <c r="B152" s="35">
        <v>2</v>
      </c>
      <c r="C152" s="35">
        <v>1</v>
      </c>
      <c r="D152" s="35">
        <v>33500</v>
      </c>
    </row>
    <row r="153" spans="1:4" x14ac:dyDescent="0.3">
      <c r="A153" s="35">
        <v>715</v>
      </c>
      <c r="B153" s="35">
        <v>3</v>
      </c>
      <c r="C153" s="35">
        <v>0</v>
      </c>
      <c r="D153" s="35">
        <v>38500</v>
      </c>
    </row>
    <row r="154" spans="1:4" x14ac:dyDescent="0.3">
      <c r="A154" s="35">
        <v>265</v>
      </c>
      <c r="B154" s="35">
        <v>1</v>
      </c>
      <c r="C154" s="35">
        <v>0</v>
      </c>
      <c r="D154" s="35">
        <v>11500</v>
      </c>
    </row>
    <row r="155" spans="1:4" x14ac:dyDescent="0.3">
      <c r="A155" s="35">
        <v>1275</v>
      </c>
      <c r="B155" s="35">
        <v>4</v>
      </c>
      <c r="C155" s="35">
        <v>0</v>
      </c>
      <c r="D155" s="35">
        <v>65500</v>
      </c>
    </row>
    <row r="156" spans="1:4" x14ac:dyDescent="0.3">
      <c r="A156" s="35">
        <v>915</v>
      </c>
      <c r="B156" s="35">
        <v>3</v>
      </c>
      <c r="C156" s="35">
        <v>0</v>
      </c>
      <c r="D156" s="35">
        <v>37500</v>
      </c>
    </row>
    <row r="157" spans="1:4" x14ac:dyDescent="0.3">
      <c r="A157" s="35">
        <v>915</v>
      </c>
      <c r="B157" s="35">
        <v>3</v>
      </c>
      <c r="C157" s="35">
        <v>0</v>
      </c>
      <c r="D157" s="35">
        <v>50500</v>
      </c>
    </row>
    <row r="158" spans="1:4" x14ac:dyDescent="0.3">
      <c r="A158" s="35">
        <v>555</v>
      </c>
      <c r="B158" s="35">
        <v>2</v>
      </c>
      <c r="C158" s="35">
        <v>0</v>
      </c>
      <c r="D158" s="35">
        <v>31000</v>
      </c>
    </row>
    <row r="159" spans="1:4" x14ac:dyDescent="0.3">
      <c r="A159" s="35">
        <v>1875</v>
      </c>
      <c r="B159" s="35">
        <v>4</v>
      </c>
      <c r="C159" s="35">
        <v>0</v>
      </c>
      <c r="D159" s="35">
        <v>79500</v>
      </c>
    </row>
    <row r="160" spans="1:4" x14ac:dyDescent="0.3">
      <c r="A160" s="35">
        <v>1377</v>
      </c>
      <c r="B160" s="35">
        <v>4</v>
      </c>
      <c r="C160" s="35">
        <v>0</v>
      </c>
      <c r="D160" s="35">
        <v>47500</v>
      </c>
    </row>
    <row r="161" spans="1:4" x14ac:dyDescent="0.3">
      <c r="A161" s="35">
        <v>1765</v>
      </c>
      <c r="B161" s="35">
        <v>4</v>
      </c>
      <c r="C161" s="35">
        <v>2</v>
      </c>
      <c r="D161" s="35">
        <v>61500</v>
      </c>
    </row>
    <row r="162" spans="1:4" x14ac:dyDescent="0.3">
      <c r="A162" s="35">
        <v>285</v>
      </c>
      <c r="B162" s="35">
        <v>2</v>
      </c>
      <c r="C162" s="35">
        <v>1</v>
      </c>
      <c r="D162" s="35">
        <v>23500</v>
      </c>
    </row>
    <row r="163" spans="1:4" x14ac:dyDescent="0.3">
      <c r="A163" s="35">
        <v>615</v>
      </c>
      <c r="B163" s="35">
        <v>3</v>
      </c>
      <c r="C163" s="35">
        <v>0</v>
      </c>
      <c r="D163" s="35">
        <v>38500</v>
      </c>
    </row>
    <row r="164" spans="1:4" x14ac:dyDescent="0.3">
      <c r="A164" s="35">
        <v>355</v>
      </c>
      <c r="B164" s="35">
        <v>2</v>
      </c>
      <c r="C164" s="35">
        <v>0</v>
      </c>
      <c r="D164" s="35">
        <v>17500</v>
      </c>
    </row>
    <row r="165" spans="1:4" x14ac:dyDescent="0.3">
      <c r="A165" s="35">
        <v>215</v>
      </c>
      <c r="B165" s="35">
        <v>1</v>
      </c>
      <c r="C165" s="35">
        <v>0</v>
      </c>
      <c r="D165" s="35">
        <v>10500</v>
      </c>
    </row>
    <row r="166" spans="1:4" x14ac:dyDescent="0.3">
      <c r="A166" s="35">
        <v>212</v>
      </c>
      <c r="B166" s="35">
        <v>1</v>
      </c>
      <c r="C166" s="35">
        <v>0</v>
      </c>
      <c r="D166" s="35">
        <v>15000</v>
      </c>
    </row>
    <row r="167" spans="1:4" x14ac:dyDescent="0.3">
      <c r="A167" s="35">
        <v>212</v>
      </c>
      <c r="B167" s="35">
        <v>1</v>
      </c>
      <c r="C167" s="35">
        <v>0</v>
      </c>
      <c r="D167" s="35">
        <v>13000</v>
      </c>
    </row>
    <row r="168" spans="1:4" x14ac:dyDescent="0.3">
      <c r="A168" s="35">
        <v>275</v>
      </c>
      <c r="B168" s="35">
        <v>2</v>
      </c>
      <c r="C168" s="35">
        <v>0</v>
      </c>
      <c r="D168" s="35">
        <v>14400</v>
      </c>
    </row>
    <row r="169" spans="1:4" x14ac:dyDescent="0.3">
      <c r="A169" s="35">
        <v>455</v>
      </c>
      <c r="B169" s="35">
        <v>2</v>
      </c>
      <c r="C169" s="35">
        <v>2</v>
      </c>
      <c r="D169" s="35">
        <v>25500</v>
      </c>
    </row>
    <row r="170" spans="1:4" x14ac:dyDescent="0.3">
      <c r="A170" s="35">
        <v>395</v>
      </c>
      <c r="B170" s="35">
        <v>1</v>
      </c>
      <c r="C170" s="35">
        <v>0</v>
      </c>
      <c r="D170" s="35">
        <v>13500</v>
      </c>
    </row>
    <row r="171" spans="1:4" x14ac:dyDescent="0.3">
      <c r="A171" s="35">
        <v>1465</v>
      </c>
      <c r="B171" s="35">
        <v>4</v>
      </c>
      <c r="C171" s="35">
        <v>0</v>
      </c>
      <c r="D171" s="35">
        <v>78500</v>
      </c>
    </row>
    <row r="172" spans="1:4" x14ac:dyDescent="0.3">
      <c r="A172" s="35">
        <v>665</v>
      </c>
      <c r="B172" s="35">
        <v>2</v>
      </c>
      <c r="C172" s="35">
        <v>0</v>
      </c>
      <c r="D172" s="35">
        <v>27500</v>
      </c>
    </row>
    <row r="173" spans="1:4" x14ac:dyDescent="0.3">
      <c r="A173" s="35">
        <v>1715</v>
      </c>
      <c r="B173" s="35">
        <v>4</v>
      </c>
      <c r="C173" s="35">
        <v>0</v>
      </c>
      <c r="D173" s="35">
        <v>69500</v>
      </c>
    </row>
    <row r="174" spans="1:4" x14ac:dyDescent="0.3">
      <c r="A174" s="35">
        <v>915</v>
      </c>
      <c r="B174" s="35">
        <v>3</v>
      </c>
      <c r="C174" s="35">
        <v>0</v>
      </c>
      <c r="D174" s="35">
        <v>43500</v>
      </c>
    </row>
    <row r="175" spans="1:4" x14ac:dyDescent="0.3">
      <c r="A175" s="35">
        <v>687</v>
      </c>
      <c r="B175" s="35">
        <v>2</v>
      </c>
      <c r="C175" s="35">
        <v>0</v>
      </c>
      <c r="D175" s="35">
        <v>30500</v>
      </c>
    </row>
    <row r="176" spans="1:4" x14ac:dyDescent="0.3">
      <c r="A176" s="35">
        <v>387</v>
      </c>
      <c r="B176" s="35">
        <v>2</v>
      </c>
      <c r="C176" s="35">
        <v>2</v>
      </c>
      <c r="D176" s="35">
        <v>25000</v>
      </c>
    </row>
    <row r="177" spans="1:4" x14ac:dyDescent="0.3">
      <c r="A177" s="35">
        <v>1145</v>
      </c>
      <c r="B177" s="35">
        <v>3</v>
      </c>
      <c r="C177" s="35">
        <v>0</v>
      </c>
      <c r="D177" s="35">
        <v>42500</v>
      </c>
    </row>
    <row r="178" spans="1:4" x14ac:dyDescent="0.3">
      <c r="A178" s="35">
        <v>1077</v>
      </c>
      <c r="B178" s="35">
        <v>3</v>
      </c>
      <c r="C178" s="35">
        <v>0</v>
      </c>
      <c r="D178" s="35">
        <v>37500</v>
      </c>
    </row>
    <row r="179" spans="1:4" x14ac:dyDescent="0.3">
      <c r="A179" s="35">
        <v>765</v>
      </c>
      <c r="B179" s="35">
        <v>3</v>
      </c>
      <c r="C179" s="35">
        <v>2</v>
      </c>
      <c r="D179" s="35">
        <v>49500</v>
      </c>
    </row>
    <row r="180" spans="1:4" x14ac:dyDescent="0.3">
      <c r="A180" s="35">
        <v>565</v>
      </c>
      <c r="B180" s="35">
        <v>3</v>
      </c>
      <c r="C180" s="35">
        <v>0</v>
      </c>
      <c r="D180" s="35">
        <v>25500</v>
      </c>
    </row>
    <row r="181" spans="1:4" x14ac:dyDescent="0.3">
      <c r="A181" s="35">
        <v>265</v>
      </c>
      <c r="B181" s="35">
        <v>2</v>
      </c>
      <c r="C181" s="35">
        <v>0</v>
      </c>
      <c r="D181" s="35">
        <v>13500</v>
      </c>
    </row>
    <row r="182" spans="1:4" x14ac:dyDescent="0.3">
      <c r="A182" s="35">
        <v>625</v>
      </c>
      <c r="B182" s="35">
        <v>2</v>
      </c>
      <c r="C182" s="35">
        <v>1</v>
      </c>
      <c r="D182" s="35">
        <v>34500</v>
      </c>
    </row>
    <row r="183" spans="1:4" x14ac:dyDescent="0.3">
      <c r="A183" s="35">
        <v>725</v>
      </c>
      <c r="B183" s="35">
        <v>3</v>
      </c>
      <c r="C183" s="35">
        <v>0</v>
      </c>
      <c r="D183" s="35">
        <v>56500</v>
      </c>
    </row>
    <row r="184" spans="1:4" x14ac:dyDescent="0.3">
      <c r="A184" s="35">
        <v>222</v>
      </c>
      <c r="B184" s="35">
        <v>1</v>
      </c>
      <c r="C184" s="35">
        <v>0</v>
      </c>
      <c r="D184" s="35">
        <v>12000</v>
      </c>
    </row>
    <row r="185" spans="1:4" x14ac:dyDescent="0.3">
      <c r="A185" s="35">
        <v>1231</v>
      </c>
      <c r="B185" s="35">
        <v>4</v>
      </c>
      <c r="C185" s="35">
        <v>0</v>
      </c>
      <c r="D185" s="35">
        <v>66500</v>
      </c>
    </row>
    <row r="186" spans="1:4" x14ac:dyDescent="0.3">
      <c r="A186" s="35">
        <v>875</v>
      </c>
      <c r="B186" s="35">
        <v>3</v>
      </c>
      <c r="C186" s="35">
        <v>0</v>
      </c>
      <c r="D186" s="35">
        <v>38500</v>
      </c>
    </row>
    <row r="187" spans="1:4" x14ac:dyDescent="0.3">
      <c r="A187" s="35">
        <v>875</v>
      </c>
      <c r="B187" s="35">
        <v>3</v>
      </c>
      <c r="C187" s="35">
        <v>0</v>
      </c>
      <c r="D187" s="35">
        <v>51500</v>
      </c>
    </row>
    <row r="188" spans="1:4" x14ac:dyDescent="0.3">
      <c r="A188" s="35">
        <v>525</v>
      </c>
      <c r="B188" s="35">
        <v>2</v>
      </c>
      <c r="C188" s="35">
        <v>0</v>
      </c>
      <c r="D188" s="35">
        <v>31500</v>
      </c>
    </row>
    <row r="189" spans="1:4" x14ac:dyDescent="0.3">
      <c r="A189" s="35">
        <v>1675</v>
      </c>
      <c r="B189" s="35">
        <v>4</v>
      </c>
      <c r="C189" s="35">
        <v>0</v>
      </c>
      <c r="D189" s="35">
        <v>73500</v>
      </c>
    </row>
    <row r="190" spans="1:4" x14ac:dyDescent="0.3">
      <c r="A190" s="35">
        <v>1275</v>
      </c>
      <c r="B190" s="35">
        <v>4</v>
      </c>
      <c r="C190" s="35">
        <v>0</v>
      </c>
      <c r="D190" s="35">
        <v>46500</v>
      </c>
    </row>
    <row r="191" spans="1:4" x14ac:dyDescent="0.3">
      <c r="A191" s="35">
        <v>1575</v>
      </c>
      <c r="B191" s="35">
        <v>4</v>
      </c>
      <c r="C191" s="35">
        <v>2</v>
      </c>
      <c r="D191" s="35">
        <v>58500</v>
      </c>
    </row>
    <row r="192" spans="1:4" x14ac:dyDescent="0.3">
      <c r="A192" s="35">
        <v>450</v>
      </c>
      <c r="B192" s="35">
        <v>2</v>
      </c>
      <c r="C192" s="35">
        <v>1</v>
      </c>
      <c r="D192" s="35">
        <v>31500</v>
      </c>
    </row>
    <row r="193" spans="1:4" x14ac:dyDescent="0.3">
      <c r="A193" s="35">
        <v>775</v>
      </c>
      <c r="B193" s="35">
        <v>3</v>
      </c>
      <c r="C193" s="35">
        <v>0</v>
      </c>
      <c r="D193" s="35">
        <v>46500</v>
      </c>
    </row>
    <row r="194" spans="1:4" x14ac:dyDescent="0.3">
      <c r="A194" s="35">
        <v>325</v>
      </c>
      <c r="B194" s="35">
        <v>2</v>
      </c>
      <c r="C194" s="35">
        <v>0</v>
      </c>
      <c r="D194" s="35">
        <v>16500</v>
      </c>
    </row>
    <row r="195" spans="1:4" x14ac:dyDescent="0.3">
      <c r="A195" s="35">
        <v>222</v>
      </c>
      <c r="B195" s="35">
        <v>1</v>
      </c>
      <c r="C195" s="35">
        <v>0</v>
      </c>
      <c r="D195" s="35">
        <v>13000</v>
      </c>
    </row>
    <row r="196" spans="1:4" x14ac:dyDescent="0.3">
      <c r="A196" s="35">
        <v>222</v>
      </c>
      <c r="B196" s="35">
        <v>1</v>
      </c>
      <c r="C196" s="35">
        <v>0</v>
      </c>
      <c r="D196" s="35">
        <v>18000</v>
      </c>
    </row>
    <row r="197" spans="1:4" x14ac:dyDescent="0.3">
      <c r="A197" s="35">
        <v>222</v>
      </c>
      <c r="B197" s="35">
        <v>1</v>
      </c>
      <c r="C197" s="35">
        <v>0</v>
      </c>
      <c r="D197" s="35">
        <v>16500</v>
      </c>
    </row>
    <row r="198" spans="1:4" x14ac:dyDescent="0.3">
      <c r="A198" s="35">
        <v>305</v>
      </c>
      <c r="B198" s="35">
        <v>2</v>
      </c>
      <c r="C198" s="35">
        <v>0</v>
      </c>
      <c r="D198" s="35">
        <v>17500</v>
      </c>
    </row>
    <row r="199" spans="1:4" x14ac:dyDescent="0.3">
      <c r="A199" s="35">
        <v>425</v>
      </c>
      <c r="B199" s="35">
        <v>2</v>
      </c>
      <c r="C199" s="35">
        <v>2</v>
      </c>
      <c r="D199" s="35">
        <v>26500</v>
      </c>
    </row>
    <row r="200" spans="1:4" x14ac:dyDescent="0.3">
      <c r="A200" s="35">
        <v>300</v>
      </c>
      <c r="B200" s="35">
        <v>1</v>
      </c>
      <c r="C200" s="35">
        <v>0</v>
      </c>
      <c r="D200" s="35">
        <v>15000</v>
      </c>
    </row>
    <row r="201" spans="1:4" x14ac:dyDescent="0.3">
      <c r="A201" s="35">
        <v>1625</v>
      </c>
      <c r="B201" s="35">
        <v>4</v>
      </c>
      <c r="C201" s="35">
        <v>0</v>
      </c>
      <c r="D201" s="35">
        <v>91500</v>
      </c>
    </row>
    <row r="202" spans="1:4" x14ac:dyDescent="0.3">
      <c r="A202" s="35">
        <v>625</v>
      </c>
      <c r="B202" s="35">
        <v>2</v>
      </c>
      <c r="C202" s="35">
        <v>0</v>
      </c>
      <c r="D202" s="35">
        <v>32500</v>
      </c>
    </row>
    <row r="203" spans="1:4" x14ac:dyDescent="0.3">
      <c r="A203" s="35">
        <v>1625</v>
      </c>
      <c r="B203" s="35">
        <v>4</v>
      </c>
      <c r="C203" s="35">
        <v>0</v>
      </c>
      <c r="D203" s="35">
        <v>66500</v>
      </c>
    </row>
    <row r="204" spans="1:4" x14ac:dyDescent="0.3">
      <c r="A204" s="35">
        <v>875</v>
      </c>
      <c r="B204" s="35">
        <v>3</v>
      </c>
      <c r="C204" s="35">
        <v>0</v>
      </c>
      <c r="D204" s="35">
        <v>41500</v>
      </c>
    </row>
    <row r="205" spans="1:4" x14ac:dyDescent="0.3">
      <c r="A205" s="35">
        <v>610</v>
      </c>
      <c r="B205" s="35">
        <v>2</v>
      </c>
      <c r="C205" s="35">
        <v>0</v>
      </c>
      <c r="D205" s="35">
        <v>31500</v>
      </c>
    </row>
    <row r="206" spans="1:4" x14ac:dyDescent="0.3">
      <c r="A206" s="35">
        <v>450</v>
      </c>
      <c r="B206" s="35">
        <v>2</v>
      </c>
      <c r="C206" s="35">
        <v>2</v>
      </c>
      <c r="D206" s="35">
        <v>29500</v>
      </c>
    </row>
    <row r="207" spans="1:4" x14ac:dyDescent="0.3">
      <c r="A207" s="35">
        <v>1095</v>
      </c>
      <c r="B207" s="35">
        <v>3</v>
      </c>
      <c r="C207" s="35">
        <v>0</v>
      </c>
      <c r="D207" s="35">
        <v>46500</v>
      </c>
    </row>
    <row r="208" spans="1:4" x14ac:dyDescent="0.3">
      <c r="A208" s="35">
        <v>975</v>
      </c>
      <c r="B208" s="35">
        <v>3</v>
      </c>
      <c r="C208" s="35">
        <v>0</v>
      </c>
      <c r="D208" s="35">
        <v>39500</v>
      </c>
    </row>
    <row r="209" spans="1:4" x14ac:dyDescent="0.3">
      <c r="A209" s="35">
        <v>875</v>
      </c>
      <c r="B209" s="35">
        <v>3</v>
      </c>
      <c r="C209" s="35">
        <v>2</v>
      </c>
      <c r="D209" s="35">
        <v>51500</v>
      </c>
    </row>
    <row r="210" spans="1:4" x14ac:dyDescent="0.3">
      <c r="A210" s="35">
        <v>585</v>
      </c>
      <c r="B210" s="35">
        <v>3</v>
      </c>
      <c r="C210" s="35">
        <v>0</v>
      </c>
      <c r="D210" s="35">
        <v>29500</v>
      </c>
    </row>
    <row r="211" spans="1:4" x14ac:dyDescent="0.3">
      <c r="A211" s="35">
        <v>375</v>
      </c>
      <c r="B211" s="35">
        <v>2</v>
      </c>
      <c r="C211" s="35">
        <v>0</v>
      </c>
      <c r="D211" s="35">
        <v>18500</v>
      </c>
    </row>
    <row r="212" spans="1:4" x14ac:dyDescent="0.3">
      <c r="A212" s="35">
        <v>675</v>
      </c>
      <c r="B212" s="35">
        <v>2</v>
      </c>
      <c r="C212" s="35">
        <v>1</v>
      </c>
      <c r="D212" s="35">
        <v>36500</v>
      </c>
    </row>
    <row r="213" spans="1:4" x14ac:dyDescent="0.3">
      <c r="A213" s="35">
        <v>725</v>
      </c>
      <c r="B213" s="35">
        <v>3</v>
      </c>
      <c r="C213" s="35">
        <v>0</v>
      </c>
      <c r="D213" s="35">
        <v>41500</v>
      </c>
    </row>
    <row r="214" spans="1:4" x14ac:dyDescent="0.3">
      <c r="A214" s="35">
        <v>275</v>
      </c>
      <c r="B214" s="35">
        <v>1</v>
      </c>
      <c r="C214" s="35">
        <v>0</v>
      </c>
      <c r="D214" s="35">
        <v>14500</v>
      </c>
    </row>
    <row r="215" spans="1:4" x14ac:dyDescent="0.3">
      <c r="A215" s="35">
        <v>1285</v>
      </c>
      <c r="B215" s="35">
        <v>4</v>
      </c>
      <c r="C215" s="35">
        <v>0</v>
      </c>
      <c r="D215" s="35">
        <v>68500</v>
      </c>
    </row>
    <row r="216" spans="1:4" x14ac:dyDescent="0.3">
      <c r="A216" s="35">
        <v>925</v>
      </c>
      <c r="B216" s="35">
        <v>3</v>
      </c>
      <c r="C216" s="35">
        <v>0</v>
      </c>
      <c r="D216" s="35">
        <v>40500</v>
      </c>
    </row>
    <row r="217" spans="1:4" x14ac:dyDescent="0.3">
      <c r="A217" s="35">
        <v>925</v>
      </c>
      <c r="B217" s="35">
        <v>3</v>
      </c>
      <c r="C217" s="35">
        <v>0</v>
      </c>
      <c r="D217" s="35">
        <v>53500</v>
      </c>
    </row>
    <row r="218" spans="1:4" x14ac:dyDescent="0.3">
      <c r="A218" s="35">
        <v>565</v>
      </c>
      <c r="B218" s="35">
        <v>2</v>
      </c>
      <c r="C218" s="35">
        <v>0</v>
      </c>
      <c r="D218" s="35">
        <v>34000</v>
      </c>
    </row>
    <row r="219" spans="1:4" x14ac:dyDescent="0.3">
      <c r="A219" s="35">
        <v>1885</v>
      </c>
      <c r="B219" s="35">
        <v>4</v>
      </c>
      <c r="C219" s="35">
        <v>0</v>
      </c>
      <c r="D219" s="35">
        <v>82500</v>
      </c>
    </row>
    <row r="220" spans="1:4" x14ac:dyDescent="0.3">
      <c r="A220" s="35">
        <v>1387</v>
      </c>
      <c r="B220" s="35">
        <v>4</v>
      </c>
      <c r="C220" s="35">
        <v>0</v>
      </c>
      <c r="D220" s="35">
        <v>50500</v>
      </c>
    </row>
    <row r="221" spans="1:4" x14ac:dyDescent="0.3">
      <c r="A221" s="35">
        <v>1775</v>
      </c>
      <c r="B221" s="35">
        <v>4</v>
      </c>
      <c r="C221" s="35">
        <v>2</v>
      </c>
      <c r="D221" s="35">
        <v>64500</v>
      </c>
    </row>
    <row r="222" spans="1:4" x14ac:dyDescent="0.3">
      <c r="A222" s="35">
        <v>295</v>
      </c>
      <c r="B222" s="35">
        <v>2</v>
      </c>
      <c r="C222" s="35">
        <v>1</v>
      </c>
      <c r="D222" s="35">
        <v>26500</v>
      </c>
    </row>
    <row r="223" spans="1:4" x14ac:dyDescent="0.3">
      <c r="A223" s="35">
        <v>625</v>
      </c>
      <c r="B223" s="35">
        <v>3</v>
      </c>
      <c r="C223" s="35">
        <v>0</v>
      </c>
      <c r="D223" s="35">
        <v>41500</v>
      </c>
    </row>
    <row r="224" spans="1:4" x14ac:dyDescent="0.3">
      <c r="A224" s="35">
        <v>365</v>
      </c>
      <c r="B224" s="35">
        <v>2</v>
      </c>
      <c r="C224" s="35">
        <v>0</v>
      </c>
      <c r="D224" s="35">
        <v>20500</v>
      </c>
    </row>
    <row r="225" spans="1:4" x14ac:dyDescent="0.3">
      <c r="A225" s="35">
        <v>225</v>
      </c>
      <c r="B225" s="35">
        <v>1</v>
      </c>
      <c r="C225" s="35">
        <v>0</v>
      </c>
      <c r="D225" s="35">
        <v>13500</v>
      </c>
    </row>
    <row r="226" spans="1:4" x14ac:dyDescent="0.3">
      <c r="A226" s="35">
        <v>222</v>
      </c>
      <c r="B226" s="35">
        <v>1</v>
      </c>
      <c r="C226" s="35">
        <v>0</v>
      </c>
      <c r="D226" s="35">
        <v>18000</v>
      </c>
    </row>
    <row r="227" spans="1:4" x14ac:dyDescent="0.3">
      <c r="A227" s="35">
        <v>222</v>
      </c>
      <c r="B227" s="35">
        <v>1</v>
      </c>
      <c r="C227" s="35">
        <v>0</v>
      </c>
      <c r="D227" s="35">
        <v>16000</v>
      </c>
    </row>
    <row r="228" spans="1:4" x14ac:dyDescent="0.3">
      <c r="A228" s="35">
        <v>285</v>
      </c>
      <c r="B228" s="35">
        <v>2</v>
      </c>
      <c r="C228" s="35">
        <v>0</v>
      </c>
      <c r="D228" s="35">
        <v>17400</v>
      </c>
    </row>
    <row r="229" spans="1:4" x14ac:dyDescent="0.3">
      <c r="A229" s="35">
        <v>465</v>
      </c>
      <c r="B229" s="35">
        <v>2</v>
      </c>
      <c r="C229" s="35">
        <v>2</v>
      </c>
      <c r="D229" s="35">
        <v>28500</v>
      </c>
    </row>
    <row r="230" spans="1:4" x14ac:dyDescent="0.3">
      <c r="A230" s="35">
        <v>405</v>
      </c>
      <c r="B230" s="35">
        <v>1</v>
      </c>
      <c r="C230" s="35">
        <v>0</v>
      </c>
      <c r="D230" s="35">
        <v>16500</v>
      </c>
    </row>
    <row r="231" spans="1:4" x14ac:dyDescent="0.3">
      <c r="A231" s="35">
        <v>1475</v>
      </c>
      <c r="B231" s="35">
        <v>4</v>
      </c>
      <c r="C231" s="35">
        <v>0</v>
      </c>
      <c r="D231" s="35">
        <v>81500</v>
      </c>
    </row>
    <row r="232" spans="1:4" x14ac:dyDescent="0.3">
      <c r="A232" s="35">
        <v>675</v>
      </c>
      <c r="B232" s="35">
        <v>2</v>
      </c>
      <c r="C232" s="35">
        <v>0</v>
      </c>
      <c r="D232" s="35">
        <v>30500</v>
      </c>
    </row>
    <row r="233" spans="1:4" x14ac:dyDescent="0.3">
      <c r="A233" s="35">
        <v>1725</v>
      </c>
      <c r="B233" s="35">
        <v>4</v>
      </c>
      <c r="C233" s="35">
        <v>0</v>
      </c>
      <c r="D233" s="35">
        <v>72500</v>
      </c>
    </row>
    <row r="234" spans="1:4" x14ac:dyDescent="0.3">
      <c r="A234" s="35">
        <v>925</v>
      </c>
      <c r="B234" s="35">
        <v>3</v>
      </c>
      <c r="C234" s="35">
        <v>0</v>
      </c>
      <c r="D234" s="35">
        <v>46500</v>
      </c>
    </row>
    <row r="235" spans="1:4" x14ac:dyDescent="0.3">
      <c r="A235" s="35">
        <v>697</v>
      </c>
      <c r="B235" s="35">
        <v>2</v>
      </c>
      <c r="C235" s="35">
        <v>0</v>
      </c>
      <c r="D235" s="35">
        <v>33500</v>
      </c>
    </row>
    <row r="236" spans="1:4" x14ac:dyDescent="0.3">
      <c r="A236" s="35">
        <v>397</v>
      </c>
      <c r="B236" s="35">
        <v>2</v>
      </c>
      <c r="C236" s="35">
        <v>2</v>
      </c>
      <c r="D236" s="35">
        <v>28000</v>
      </c>
    </row>
    <row r="237" spans="1:4" x14ac:dyDescent="0.3">
      <c r="A237" s="35">
        <v>1155</v>
      </c>
      <c r="B237" s="35">
        <v>3</v>
      </c>
      <c r="C237" s="35">
        <v>0</v>
      </c>
      <c r="D237" s="35">
        <v>45500</v>
      </c>
    </row>
    <row r="238" spans="1:4" x14ac:dyDescent="0.3">
      <c r="A238" s="35">
        <v>1087</v>
      </c>
      <c r="B238" s="35">
        <v>3</v>
      </c>
      <c r="C238" s="35">
        <v>0</v>
      </c>
      <c r="D238" s="35">
        <v>40500</v>
      </c>
    </row>
    <row r="239" spans="1:4" x14ac:dyDescent="0.3">
      <c r="A239" s="35">
        <v>775</v>
      </c>
      <c r="B239" s="35">
        <v>3</v>
      </c>
      <c r="C239" s="35">
        <v>2</v>
      </c>
      <c r="D239" s="35">
        <v>52500</v>
      </c>
    </row>
    <row r="240" spans="1:4" x14ac:dyDescent="0.3">
      <c r="A240" s="35">
        <v>575</v>
      </c>
      <c r="B240" s="35">
        <v>3</v>
      </c>
      <c r="C240" s="35">
        <v>0</v>
      </c>
      <c r="D240" s="35">
        <v>28500</v>
      </c>
    </row>
    <row r="241" spans="1:4" x14ac:dyDescent="0.3">
      <c r="A241" s="35">
        <v>275</v>
      </c>
      <c r="B241" s="35">
        <v>2</v>
      </c>
      <c r="C241" s="35">
        <v>0</v>
      </c>
      <c r="D241" s="35">
        <v>16500</v>
      </c>
    </row>
    <row r="242" spans="1:4" x14ac:dyDescent="0.3">
      <c r="A242" s="35">
        <v>700</v>
      </c>
      <c r="B242" s="35">
        <v>2</v>
      </c>
      <c r="C242" s="35">
        <v>1</v>
      </c>
      <c r="D242" s="35">
        <v>35000</v>
      </c>
    </row>
    <row r="243" spans="1:4" x14ac:dyDescent="0.3">
      <c r="A243" s="35">
        <v>800</v>
      </c>
      <c r="B243" s="35">
        <v>3</v>
      </c>
      <c r="C243" s="35">
        <v>0</v>
      </c>
      <c r="D243" s="35">
        <v>57000</v>
      </c>
    </row>
    <row r="244" spans="1:4" x14ac:dyDescent="0.3">
      <c r="A244" s="35">
        <v>297</v>
      </c>
      <c r="B244" s="35">
        <v>1</v>
      </c>
      <c r="C244" s="35">
        <v>0</v>
      </c>
      <c r="D244" s="35">
        <v>12500</v>
      </c>
    </row>
    <row r="245" spans="1:4" x14ac:dyDescent="0.3">
      <c r="A245" s="35">
        <v>1306</v>
      </c>
      <c r="B245" s="35">
        <v>4</v>
      </c>
      <c r="C245" s="35">
        <v>0</v>
      </c>
      <c r="D245" s="35">
        <v>67000</v>
      </c>
    </row>
    <row r="246" spans="1:4" x14ac:dyDescent="0.3">
      <c r="A246" s="35">
        <v>950</v>
      </c>
      <c r="B246" s="35">
        <v>3</v>
      </c>
      <c r="C246" s="35">
        <v>0</v>
      </c>
      <c r="D246" s="35">
        <v>39000</v>
      </c>
    </row>
    <row r="247" spans="1:4" x14ac:dyDescent="0.3">
      <c r="A247" s="35">
        <v>950</v>
      </c>
      <c r="B247" s="35">
        <v>3</v>
      </c>
      <c r="C247" s="35">
        <v>0</v>
      </c>
      <c r="D247" s="35">
        <v>52000</v>
      </c>
    </row>
    <row r="248" spans="1:4" x14ac:dyDescent="0.3">
      <c r="A248" s="35">
        <v>600</v>
      </c>
      <c r="B248" s="35">
        <v>2</v>
      </c>
      <c r="C248" s="35">
        <v>0</v>
      </c>
      <c r="D248" s="35">
        <v>32000</v>
      </c>
    </row>
    <row r="249" spans="1:4" x14ac:dyDescent="0.3">
      <c r="A249" s="35">
        <v>1750</v>
      </c>
      <c r="B249" s="35">
        <v>4</v>
      </c>
      <c r="C249" s="35">
        <v>0</v>
      </c>
      <c r="D249" s="35">
        <v>74000</v>
      </c>
    </row>
    <row r="250" spans="1:4" x14ac:dyDescent="0.3">
      <c r="A250" s="35">
        <v>1350</v>
      </c>
      <c r="B250" s="35">
        <v>4</v>
      </c>
      <c r="C250" s="35">
        <v>0</v>
      </c>
      <c r="D250" s="35">
        <v>47000</v>
      </c>
    </row>
    <row r="251" spans="1:4" x14ac:dyDescent="0.3">
      <c r="A251" s="35">
        <v>1650</v>
      </c>
      <c r="B251" s="35">
        <v>4</v>
      </c>
      <c r="C251" s="35">
        <v>2</v>
      </c>
      <c r="D251" s="35">
        <v>59000</v>
      </c>
    </row>
    <row r="252" spans="1:4" x14ac:dyDescent="0.3">
      <c r="A252" s="35">
        <v>525</v>
      </c>
      <c r="B252" s="35">
        <v>2</v>
      </c>
      <c r="C252" s="35">
        <v>1</v>
      </c>
      <c r="D252" s="35">
        <v>32000</v>
      </c>
    </row>
    <row r="253" spans="1:4" x14ac:dyDescent="0.3">
      <c r="A253" s="35">
        <v>850</v>
      </c>
      <c r="B253" s="35">
        <v>3</v>
      </c>
      <c r="C253" s="35">
        <v>0</v>
      </c>
      <c r="D253" s="35">
        <v>47000</v>
      </c>
    </row>
    <row r="254" spans="1:4" x14ac:dyDescent="0.3">
      <c r="A254" s="35">
        <v>400</v>
      </c>
      <c r="B254" s="35">
        <v>2</v>
      </c>
      <c r="C254" s="35">
        <v>0</v>
      </c>
      <c r="D254" s="35">
        <v>17000</v>
      </c>
    </row>
    <row r="255" spans="1:4" x14ac:dyDescent="0.3">
      <c r="A255" s="35">
        <v>297</v>
      </c>
      <c r="B255" s="35">
        <v>1</v>
      </c>
      <c r="C255" s="35">
        <v>0</v>
      </c>
      <c r="D255" s="35">
        <v>13500</v>
      </c>
    </row>
    <row r="256" spans="1:4" x14ac:dyDescent="0.3">
      <c r="A256" s="35">
        <v>297</v>
      </c>
      <c r="B256" s="35">
        <v>1</v>
      </c>
      <c r="C256" s="35">
        <v>0</v>
      </c>
      <c r="D256" s="35">
        <v>18500</v>
      </c>
    </row>
    <row r="257" spans="1:4" x14ac:dyDescent="0.3">
      <c r="A257" s="35">
        <v>297</v>
      </c>
      <c r="B257" s="35">
        <v>1</v>
      </c>
      <c r="C257" s="35">
        <v>0</v>
      </c>
      <c r="D257" s="35">
        <v>17000</v>
      </c>
    </row>
    <row r="258" spans="1:4" x14ac:dyDescent="0.3">
      <c r="A258" s="35">
        <v>380</v>
      </c>
      <c r="B258" s="35">
        <v>2</v>
      </c>
      <c r="C258" s="35">
        <v>0</v>
      </c>
      <c r="D258" s="35">
        <v>18000</v>
      </c>
    </row>
    <row r="259" spans="1:4" x14ac:dyDescent="0.3">
      <c r="A259" s="35">
        <v>500</v>
      </c>
      <c r="B259" s="35">
        <v>2</v>
      </c>
      <c r="C259" s="35">
        <v>2</v>
      </c>
      <c r="D259" s="35">
        <v>27000</v>
      </c>
    </row>
    <row r="260" spans="1:4" x14ac:dyDescent="0.3">
      <c r="A260" s="35">
        <v>375</v>
      </c>
      <c r="B260" s="35">
        <v>1</v>
      </c>
      <c r="C260" s="35">
        <v>0</v>
      </c>
      <c r="D260" s="35">
        <v>15500</v>
      </c>
    </row>
    <row r="261" spans="1:4" x14ac:dyDescent="0.3">
      <c r="A261" s="35">
        <v>1700</v>
      </c>
      <c r="B261" s="35">
        <v>4</v>
      </c>
      <c r="C261" s="35">
        <v>0</v>
      </c>
      <c r="D261" s="35">
        <v>92000</v>
      </c>
    </row>
    <row r="262" spans="1:4" x14ac:dyDescent="0.3">
      <c r="A262" s="35">
        <v>700</v>
      </c>
      <c r="B262" s="35">
        <v>2</v>
      </c>
      <c r="C262" s="35">
        <v>0</v>
      </c>
      <c r="D262" s="35">
        <v>33000</v>
      </c>
    </row>
    <row r="263" spans="1:4" x14ac:dyDescent="0.3">
      <c r="A263" s="35">
        <v>1700</v>
      </c>
      <c r="B263" s="35">
        <v>4</v>
      </c>
      <c r="C263" s="35">
        <v>0</v>
      </c>
      <c r="D263" s="35">
        <v>67000</v>
      </c>
    </row>
    <row r="264" spans="1:4" x14ac:dyDescent="0.3">
      <c r="A264" s="35">
        <v>950</v>
      </c>
      <c r="B264" s="35">
        <v>3</v>
      </c>
      <c r="C264" s="35">
        <v>0</v>
      </c>
      <c r="D264" s="35">
        <v>42000</v>
      </c>
    </row>
    <row r="265" spans="1:4" x14ac:dyDescent="0.3">
      <c r="A265" s="35">
        <v>685</v>
      </c>
      <c r="B265" s="35">
        <v>2</v>
      </c>
      <c r="C265" s="35">
        <v>0</v>
      </c>
      <c r="D265" s="35">
        <v>32000</v>
      </c>
    </row>
    <row r="266" spans="1:4" x14ac:dyDescent="0.3">
      <c r="A266" s="35">
        <v>525</v>
      </c>
      <c r="B266" s="35">
        <v>2</v>
      </c>
      <c r="C266" s="35">
        <v>2</v>
      </c>
      <c r="D266" s="35">
        <v>30000</v>
      </c>
    </row>
    <row r="267" spans="1:4" x14ac:dyDescent="0.3">
      <c r="A267" s="35">
        <v>1170</v>
      </c>
      <c r="B267" s="35">
        <v>3</v>
      </c>
      <c r="C267" s="35">
        <v>0</v>
      </c>
      <c r="D267" s="35">
        <v>47000</v>
      </c>
    </row>
    <row r="268" spans="1:4" x14ac:dyDescent="0.3">
      <c r="A268" s="35">
        <v>1050</v>
      </c>
      <c r="B268" s="35">
        <v>3</v>
      </c>
      <c r="C268" s="35">
        <v>0</v>
      </c>
      <c r="D268" s="35">
        <v>40000</v>
      </c>
    </row>
    <row r="269" spans="1:4" x14ac:dyDescent="0.3">
      <c r="A269" s="35">
        <v>950</v>
      </c>
      <c r="B269" s="35">
        <v>3</v>
      </c>
      <c r="C269" s="35">
        <v>2</v>
      </c>
      <c r="D269" s="35">
        <v>52000</v>
      </c>
    </row>
    <row r="270" spans="1:4" x14ac:dyDescent="0.3">
      <c r="A270" s="35">
        <v>660</v>
      </c>
      <c r="B270" s="35">
        <v>3</v>
      </c>
      <c r="C270" s="35">
        <v>0</v>
      </c>
      <c r="D270" s="35">
        <v>30000</v>
      </c>
    </row>
    <row r="271" spans="1:4" x14ac:dyDescent="0.3">
      <c r="A271" s="35">
        <v>450</v>
      </c>
      <c r="B271" s="35">
        <v>2</v>
      </c>
      <c r="C271" s="35">
        <v>0</v>
      </c>
      <c r="D271" s="35">
        <v>19000</v>
      </c>
    </row>
    <row r="272" spans="1:4" x14ac:dyDescent="0.3">
      <c r="A272" s="35">
        <v>750</v>
      </c>
      <c r="B272" s="35">
        <v>2</v>
      </c>
      <c r="C272" s="35">
        <v>1</v>
      </c>
      <c r="D272" s="35">
        <v>37000</v>
      </c>
    </row>
    <row r="273" spans="1:4" x14ac:dyDescent="0.3">
      <c r="A273" s="35">
        <v>800</v>
      </c>
      <c r="B273" s="35">
        <v>3</v>
      </c>
      <c r="C273" s="35">
        <v>0</v>
      </c>
      <c r="D273" s="35">
        <v>42000</v>
      </c>
    </row>
    <row r="274" spans="1:4" x14ac:dyDescent="0.3">
      <c r="A274" s="35">
        <v>350</v>
      </c>
      <c r="B274" s="35">
        <v>1</v>
      </c>
      <c r="C274" s="35">
        <v>0</v>
      </c>
      <c r="D274" s="35">
        <v>15000</v>
      </c>
    </row>
    <row r="275" spans="1:4" x14ac:dyDescent="0.3">
      <c r="A275" s="35">
        <v>1360</v>
      </c>
      <c r="B275" s="35">
        <v>4</v>
      </c>
      <c r="C275" s="35">
        <v>0</v>
      </c>
      <c r="D275" s="35">
        <v>69000</v>
      </c>
    </row>
    <row r="276" spans="1:4" x14ac:dyDescent="0.3">
      <c r="A276" s="35">
        <v>1000</v>
      </c>
      <c r="B276" s="35">
        <v>3</v>
      </c>
      <c r="C276" s="35">
        <v>0</v>
      </c>
      <c r="D276" s="35">
        <v>41000</v>
      </c>
    </row>
    <row r="277" spans="1:4" x14ac:dyDescent="0.3">
      <c r="A277" s="35">
        <v>1000</v>
      </c>
      <c r="B277" s="35">
        <v>3</v>
      </c>
      <c r="C277" s="35">
        <v>0</v>
      </c>
      <c r="D277" s="35">
        <v>54000</v>
      </c>
    </row>
    <row r="278" spans="1:4" x14ac:dyDescent="0.3">
      <c r="A278" s="35">
        <v>640</v>
      </c>
      <c r="B278" s="35">
        <v>2</v>
      </c>
      <c r="C278" s="35">
        <v>0</v>
      </c>
      <c r="D278" s="35">
        <v>34500</v>
      </c>
    </row>
    <row r="279" spans="1:4" x14ac:dyDescent="0.3">
      <c r="A279" s="35">
        <v>1960</v>
      </c>
      <c r="B279" s="35">
        <v>4</v>
      </c>
      <c r="C279" s="35">
        <v>0</v>
      </c>
      <c r="D279" s="35">
        <v>83000</v>
      </c>
    </row>
    <row r="280" spans="1:4" x14ac:dyDescent="0.3">
      <c r="A280" s="35">
        <v>1462</v>
      </c>
      <c r="B280" s="35">
        <v>4</v>
      </c>
      <c r="C280" s="35">
        <v>0</v>
      </c>
      <c r="D280" s="35">
        <v>51000</v>
      </c>
    </row>
    <row r="281" spans="1:4" x14ac:dyDescent="0.3">
      <c r="A281" s="35">
        <v>1850</v>
      </c>
      <c r="B281" s="35">
        <v>4</v>
      </c>
      <c r="C281" s="35">
        <v>2</v>
      </c>
      <c r="D281" s="35">
        <v>65000</v>
      </c>
    </row>
    <row r="282" spans="1:4" x14ac:dyDescent="0.3">
      <c r="A282" s="35">
        <v>370</v>
      </c>
      <c r="B282" s="35">
        <v>2</v>
      </c>
      <c r="C282" s="35">
        <v>1</v>
      </c>
      <c r="D282" s="35">
        <v>27000</v>
      </c>
    </row>
    <row r="283" spans="1:4" x14ac:dyDescent="0.3">
      <c r="A283" s="35">
        <v>700</v>
      </c>
      <c r="B283" s="35">
        <v>3</v>
      </c>
      <c r="C283" s="35">
        <v>0</v>
      </c>
      <c r="D283" s="35">
        <v>42000</v>
      </c>
    </row>
    <row r="284" spans="1:4" x14ac:dyDescent="0.3">
      <c r="A284" s="35">
        <v>440</v>
      </c>
      <c r="B284" s="35">
        <v>2</v>
      </c>
      <c r="C284" s="35">
        <v>0</v>
      </c>
      <c r="D284" s="35">
        <v>21000</v>
      </c>
    </row>
    <row r="285" spans="1:4" x14ac:dyDescent="0.3">
      <c r="A285" s="35">
        <v>300</v>
      </c>
      <c r="B285" s="35">
        <v>1</v>
      </c>
      <c r="C285" s="35">
        <v>0</v>
      </c>
      <c r="D285" s="35">
        <v>14000</v>
      </c>
    </row>
    <row r="286" spans="1:4" x14ac:dyDescent="0.3">
      <c r="A286" s="35">
        <v>297</v>
      </c>
      <c r="B286" s="35">
        <v>1</v>
      </c>
      <c r="C286" s="35">
        <v>0</v>
      </c>
      <c r="D286" s="35">
        <v>18500</v>
      </c>
    </row>
    <row r="287" spans="1:4" x14ac:dyDescent="0.3">
      <c r="A287" s="35">
        <v>297</v>
      </c>
      <c r="B287" s="35">
        <v>1</v>
      </c>
      <c r="C287" s="35">
        <v>0</v>
      </c>
      <c r="D287" s="35">
        <v>16500</v>
      </c>
    </row>
    <row r="288" spans="1:4" x14ac:dyDescent="0.3">
      <c r="A288" s="35">
        <v>360</v>
      </c>
      <c r="B288" s="35">
        <v>2</v>
      </c>
      <c r="C288" s="35">
        <v>0</v>
      </c>
      <c r="D288" s="35">
        <v>17900</v>
      </c>
    </row>
    <row r="289" spans="1:4" x14ac:dyDescent="0.3">
      <c r="A289" s="35">
        <v>540</v>
      </c>
      <c r="B289" s="35">
        <v>2</v>
      </c>
      <c r="C289" s="35">
        <v>2</v>
      </c>
      <c r="D289" s="35">
        <v>29000</v>
      </c>
    </row>
    <row r="290" spans="1:4" x14ac:dyDescent="0.3">
      <c r="A290" s="35">
        <v>480</v>
      </c>
      <c r="B290" s="35">
        <v>1</v>
      </c>
      <c r="C290" s="35">
        <v>0</v>
      </c>
      <c r="D290" s="35">
        <v>17000</v>
      </c>
    </row>
    <row r="291" spans="1:4" x14ac:dyDescent="0.3">
      <c r="A291" s="35">
        <v>1550</v>
      </c>
      <c r="B291" s="35">
        <v>4</v>
      </c>
      <c r="C291" s="35">
        <v>0</v>
      </c>
      <c r="D291" s="35">
        <v>82000</v>
      </c>
    </row>
    <row r="292" spans="1:4" x14ac:dyDescent="0.3">
      <c r="A292" s="35">
        <v>750</v>
      </c>
      <c r="B292" s="35">
        <v>2</v>
      </c>
      <c r="C292" s="35">
        <v>0</v>
      </c>
      <c r="D292" s="35">
        <v>31000</v>
      </c>
    </row>
    <row r="293" spans="1:4" x14ac:dyDescent="0.3">
      <c r="A293" s="35">
        <v>1800</v>
      </c>
      <c r="B293" s="35">
        <v>4</v>
      </c>
      <c r="C293" s="35">
        <v>0</v>
      </c>
      <c r="D293" s="35">
        <v>73000</v>
      </c>
    </row>
    <row r="294" spans="1:4" x14ac:dyDescent="0.3">
      <c r="A294" s="35">
        <v>1000</v>
      </c>
      <c r="B294" s="35">
        <v>3</v>
      </c>
      <c r="C294" s="35">
        <v>0</v>
      </c>
      <c r="D294" s="35">
        <v>47000</v>
      </c>
    </row>
    <row r="295" spans="1:4" x14ac:dyDescent="0.3">
      <c r="A295" s="35">
        <v>772</v>
      </c>
      <c r="B295" s="35">
        <v>2</v>
      </c>
      <c r="C295" s="35">
        <v>0</v>
      </c>
      <c r="D295" s="35">
        <v>34000</v>
      </c>
    </row>
    <row r="296" spans="1:4" x14ac:dyDescent="0.3">
      <c r="A296" s="35">
        <v>472</v>
      </c>
      <c r="B296" s="35">
        <v>2</v>
      </c>
      <c r="C296" s="35">
        <v>2</v>
      </c>
      <c r="D296" s="35">
        <v>28500</v>
      </c>
    </row>
    <row r="297" spans="1:4" x14ac:dyDescent="0.3">
      <c r="A297" s="35">
        <v>1230</v>
      </c>
      <c r="B297" s="35">
        <v>3</v>
      </c>
      <c r="C297" s="35">
        <v>0</v>
      </c>
      <c r="D297" s="35">
        <v>46000</v>
      </c>
    </row>
    <row r="298" spans="1:4" x14ac:dyDescent="0.3">
      <c r="A298" s="35">
        <v>1162</v>
      </c>
      <c r="B298" s="35">
        <v>3</v>
      </c>
      <c r="C298" s="35">
        <v>0</v>
      </c>
      <c r="D298" s="35">
        <v>41000</v>
      </c>
    </row>
    <row r="299" spans="1:4" x14ac:dyDescent="0.3">
      <c r="A299" s="35">
        <v>850</v>
      </c>
      <c r="B299" s="35">
        <v>3</v>
      </c>
      <c r="C299" s="35">
        <v>2</v>
      </c>
      <c r="D299" s="35">
        <v>53000</v>
      </c>
    </row>
    <row r="300" spans="1:4" x14ac:dyDescent="0.3">
      <c r="A300" s="35">
        <v>650</v>
      </c>
      <c r="B300" s="35">
        <v>3</v>
      </c>
      <c r="C300" s="35">
        <v>0</v>
      </c>
      <c r="D300" s="35">
        <v>29000</v>
      </c>
    </row>
    <row r="301" spans="1:4" x14ac:dyDescent="0.3">
      <c r="A301" s="35">
        <v>350</v>
      </c>
      <c r="B301" s="35">
        <v>2</v>
      </c>
      <c r="C301" s="35">
        <v>0</v>
      </c>
      <c r="D301" s="35">
        <v>17000</v>
      </c>
    </row>
    <row r="302" spans="1:4" x14ac:dyDescent="0.3">
      <c r="A302" s="35">
        <v>710</v>
      </c>
      <c r="B302" s="35">
        <v>2</v>
      </c>
      <c r="C302" s="35">
        <v>1</v>
      </c>
      <c r="D302" s="35">
        <v>38000</v>
      </c>
    </row>
    <row r="303" spans="1:4" x14ac:dyDescent="0.3">
      <c r="A303" s="35">
        <v>810</v>
      </c>
      <c r="B303" s="35">
        <v>3</v>
      </c>
      <c r="C303" s="35">
        <v>0</v>
      </c>
      <c r="D303" s="35">
        <v>60000</v>
      </c>
    </row>
    <row r="304" spans="1:4" x14ac:dyDescent="0.3">
      <c r="A304" s="35">
        <v>307</v>
      </c>
      <c r="B304" s="35">
        <v>1</v>
      </c>
      <c r="C304" s="35">
        <v>0</v>
      </c>
      <c r="D304" s="35">
        <v>15500</v>
      </c>
    </row>
    <row r="305" spans="1:4" x14ac:dyDescent="0.3">
      <c r="A305" s="35">
        <v>1316</v>
      </c>
      <c r="B305" s="35">
        <v>4</v>
      </c>
      <c r="C305" s="35">
        <v>0</v>
      </c>
      <c r="D305" s="35">
        <v>70000</v>
      </c>
    </row>
    <row r="306" spans="1:4" x14ac:dyDescent="0.3">
      <c r="A306" s="35">
        <v>960</v>
      </c>
      <c r="B306" s="35">
        <v>3</v>
      </c>
      <c r="C306" s="35">
        <v>0</v>
      </c>
      <c r="D306" s="35">
        <v>42000</v>
      </c>
    </row>
    <row r="307" spans="1:4" x14ac:dyDescent="0.3">
      <c r="A307" s="35">
        <v>960</v>
      </c>
      <c r="B307" s="35">
        <v>3</v>
      </c>
      <c r="C307" s="35">
        <v>0</v>
      </c>
      <c r="D307" s="35">
        <v>55000</v>
      </c>
    </row>
    <row r="308" spans="1:4" x14ac:dyDescent="0.3">
      <c r="A308" s="35">
        <v>610</v>
      </c>
      <c r="B308" s="35">
        <v>2</v>
      </c>
      <c r="C308" s="35">
        <v>0</v>
      </c>
      <c r="D308" s="35">
        <v>35000</v>
      </c>
    </row>
    <row r="309" spans="1:4" x14ac:dyDescent="0.3">
      <c r="A309" s="35">
        <v>1760</v>
      </c>
      <c r="B309" s="35">
        <v>4</v>
      </c>
      <c r="C309" s="35">
        <v>0</v>
      </c>
      <c r="D309" s="35">
        <v>77000</v>
      </c>
    </row>
    <row r="310" spans="1:4" x14ac:dyDescent="0.3">
      <c r="A310" s="35">
        <v>1360</v>
      </c>
      <c r="B310" s="35">
        <v>4</v>
      </c>
      <c r="C310" s="35">
        <v>0</v>
      </c>
      <c r="D310" s="35">
        <v>50000</v>
      </c>
    </row>
    <row r="311" spans="1:4" x14ac:dyDescent="0.3">
      <c r="A311" s="35">
        <v>1660</v>
      </c>
      <c r="B311" s="35">
        <v>4</v>
      </c>
      <c r="C311" s="35">
        <v>2</v>
      </c>
      <c r="D311" s="35">
        <v>62000</v>
      </c>
    </row>
    <row r="312" spans="1:4" x14ac:dyDescent="0.3">
      <c r="A312" s="35">
        <v>535</v>
      </c>
      <c r="B312" s="35">
        <v>2</v>
      </c>
      <c r="C312" s="35">
        <v>1</v>
      </c>
      <c r="D312" s="35">
        <v>35000</v>
      </c>
    </row>
    <row r="313" spans="1:4" x14ac:dyDescent="0.3">
      <c r="A313" s="35">
        <v>860</v>
      </c>
      <c r="B313" s="35">
        <v>3</v>
      </c>
      <c r="C313" s="35">
        <v>0</v>
      </c>
      <c r="D313" s="35">
        <v>50000</v>
      </c>
    </row>
    <row r="314" spans="1:4" x14ac:dyDescent="0.3">
      <c r="A314" s="35">
        <v>410</v>
      </c>
      <c r="B314" s="35">
        <v>2</v>
      </c>
      <c r="C314" s="35">
        <v>0</v>
      </c>
      <c r="D314" s="35">
        <v>20000</v>
      </c>
    </row>
    <row r="315" spans="1:4" x14ac:dyDescent="0.3">
      <c r="A315" s="35">
        <v>307</v>
      </c>
      <c r="B315" s="35">
        <v>1</v>
      </c>
      <c r="C315" s="35">
        <v>0</v>
      </c>
      <c r="D315" s="35">
        <v>16500</v>
      </c>
    </row>
    <row r="316" spans="1:4" x14ac:dyDescent="0.3">
      <c r="A316" s="35">
        <v>307</v>
      </c>
      <c r="B316" s="35">
        <v>1</v>
      </c>
      <c r="C316" s="35">
        <v>0</v>
      </c>
      <c r="D316" s="35">
        <v>21500</v>
      </c>
    </row>
    <row r="317" spans="1:4" x14ac:dyDescent="0.3">
      <c r="A317" s="35">
        <v>307</v>
      </c>
      <c r="B317" s="35">
        <v>1</v>
      </c>
      <c r="C317" s="35">
        <v>0</v>
      </c>
      <c r="D317" s="35">
        <v>20000</v>
      </c>
    </row>
    <row r="318" spans="1:4" x14ac:dyDescent="0.3">
      <c r="A318" s="35">
        <v>390</v>
      </c>
      <c r="B318" s="35">
        <v>2</v>
      </c>
      <c r="C318" s="35">
        <v>0</v>
      </c>
      <c r="D318" s="35">
        <v>21000</v>
      </c>
    </row>
    <row r="319" spans="1:4" x14ac:dyDescent="0.3">
      <c r="A319" s="35">
        <v>510</v>
      </c>
      <c r="B319" s="35">
        <v>2</v>
      </c>
      <c r="C319" s="35">
        <v>2</v>
      </c>
      <c r="D319" s="35">
        <v>30000</v>
      </c>
    </row>
    <row r="320" spans="1:4" x14ac:dyDescent="0.3">
      <c r="A320" s="35">
        <v>385</v>
      </c>
      <c r="B320" s="35">
        <v>1</v>
      </c>
      <c r="C320" s="35">
        <v>0</v>
      </c>
      <c r="D320" s="35">
        <v>18500</v>
      </c>
    </row>
    <row r="321" spans="1:4" x14ac:dyDescent="0.3">
      <c r="A321" s="35">
        <v>1710</v>
      </c>
      <c r="B321" s="35">
        <v>4</v>
      </c>
      <c r="C321" s="35">
        <v>0</v>
      </c>
      <c r="D321" s="35">
        <v>95000</v>
      </c>
    </row>
    <row r="322" spans="1:4" x14ac:dyDescent="0.3">
      <c r="A322" s="35">
        <v>710</v>
      </c>
      <c r="B322" s="35">
        <v>2</v>
      </c>
      <c r="C322" s="35">
        <v>0</v>
      </c>
      <c r="D322" s="35">
        <v>36000</v>
      </c>
    </row>
    <row r="323" spans="1:4" x14ac:dyDescent="0.3">
      <c r="A323" s="35">
        <v>1710</v>
      </c>
      <c r="B323" s="35">
        <v>4</v>
      </c>
      <c r="C323" s="35">
        <v>0</v>
      </c>
      <c r="D323" s="35">
        <v>70000</v>
      </c>
    </row>
    <row r="324" spans="1:4" x14ac:dyDescent="0.3">
      <c r="A324" s="35">
        <v>960</v>
      </c>
      <c r="B324" s="35">
        <v>3</v>
      </c>
      <c r="C324" s="35">
        <v>0</v>
      </c>
      <c r="D324" s="35">
        <v>45000</v>
      </c>
    </row>
    <row r="325" spans="1:4" x14ac:dyDescent="0.3">
      <c r="A325" s="35">
        <v>695</v>
      </c>
      <c r="B325" s="35">
        <v>2</v>
      </c>
      <c r="C325" s="35">
        <v>0</v>
      </c>
      <c r="D325" s="35">
        <v>35000</v>
      </c>
    </row>
    <row r="326" spans="1:4" x14ac:dyDescent="0.3">
      <c r="A326" s="35">
        <v>535</v>
      </c>
      <c r="B326" s="35">
        <v>2</v>
      </c>
      <c r="C326" s="35">
        <v>2</v>
      </c>
      <c r="D326" s="35">
        <v>33000</v>
      </c>
    </row>
    <row r="327" spans="1:4" x14ac:dyDescent="0.3">
      <c r="A327" s="35">
        <v>1180</v>
      </c>
      <c r="B327" s="35">
        <v>3</v>
      </c>
      <c r="C327" s="35">
        <v>0</v>
      </c>
      <c r="D327" s="35">
        <v>50000</v>
      </c>
    </row>
    <row r="328" spans="1:4" x14ac:dyDescent="0.3">
      <c r="A328" s="35">
        <v>1060</v>
      </c>
      <c r="B328" s="35">
        <v>3</v>
      </c>
      <c r="C328" s="35">
        <v>0</v>
      </c>
      <c r="D328" s="35">
        <v>43000</v>
      </c>
    </row>
    <row r="329" spans="1:4" x14ac:dyDescent="0.3">
      <c r="A329" s="35">
        <v>960</v>
      </c>
      <c r="B329" s="35">
        <v>3</v>
      </c>
      <c r="C329" s="35">
        <v>2</v>
      </c>
      <c r="D329" s="35">
        <v>55000</v>
      </c>
    </row>
    <row r="330" spans="1:4" x14ac:dyDescent="0.3">
      <c r="A330" s="35">
        <v>670</v>
      </c>
      <c r="B330" s="35">
        <v>3</v>
      </c>
      <c r="C330" s="35">
        <v>0</v>
      </c>
      <c r="D330" s="35">
        <v>33000</v>
      </c>
    </row>
    <row r="331" spans="1:4" x14ac:dyDescent="0.3">
      <c r="A331" s="35">
        <v>460</v>
      </c>
      <c r="B331" s="35">
        <v>2</v>
      </c>
      <c r="C331" s="35">
        <v>0</v>
      </c>
      <c r="D331" s="35">
        <v>22000</v>
      </c>
    </row>
    <row r="332" spans="1:4" x14ac:dyDescent="0.3">
      <c r="A332" s="35">
        <v>760</v>
      </c>
      <c r="B332" s="35">
        <v>2</v>
      </c>
      <c r="C332" s="35">
        <v>1</v>
      </c>
      <c r="D332" s="35">
        <v>40000</v>
      </c>
    </row>
    <row r="333" spans="1:4" x14ac:dyDescent="0.3">
      <c r="A333" s="35">
        <v>810</v>
      </c>
      <c r="B333" s="35">
        <v>3</v>
      </c>
      <c r="C333" s="35">
        <v>0</v>
      </c>
      <c r="D333" s="35">
        <v>45000</v>
      </c>
    </row>
    <row r="334" spans="1:4" x14ac:dyDescent="0.3">
      <c r="A334" s="35">
        <v>360</v>
      </c>
      <c r="B334" s="35">
        <v>1</v>
      </c>
      <c r="C334" s="35">
        <v>0</v>
      </c>
      <c r="D334" s="35">
        <v>18000</v>
      </c>
    </row>
    <row r="335" spans="1:4" x14ac:dyDescent="0.3">
      <c r="A335" s="35">
        <v>1370</v>
      </c>
      <c r="B335" s="35">
        <v>4</v>
      </c>
      <c r="C335" s="35">
        <v>0</v>
      </c>
      <c r="D335" s="35">
        <v>72000</v>
      </c>
    </row>
    <row r="336" spans="1:4" x14ac:dyDescent="0.3">
      <c r="A336" s="35">
        <v>1010</v>
      </c>
      <c r="B336" s="35">
        <v>3</v>
      </c>
      <c r="C336" s="35">
        <v>0</v>
      </c>
      <c r="D336" s="35">
        <v>44000</v>
      </c>
    </row>
    <row r="337" spans="1:4" x14ac:dyDescent="0.3">
      <c r="A337" s="35">
        <v>1010</v>
      </c>
      <c r="B337" s="35">
        <v>3</v>
      </c>
      <c r="C337" s="35">
        <v>0</v>
      </c>
      <c r="D337" s="35">
        <v>57000</v>
      </c>
    </row>
    <row r="338" spans="1:4" x14ac:dyDescent="0.3">
      <c r="A338" s="35">
        <v>650</v>
      </c>
      <c r="B338" s="35">
        <v>2</v>
      </c>
      <c r="C338" s="35">
        <v>0</v>
      </c>
      <c r="D338" s="35">
        <v>37500</v>
      </c>
    </row>
    <row r="339" spans="1:4" x14ac:dyDescent="0.3">
      <c r="A339" s="35">
        <v>1970</v>
      </c>
      <c r="B339" s="35">
        <v>4</v>
      </c>
      <c r="C339" s="35">
        <v>0</v>
      </c>
      <c r="D339" s="35">
        <v>86000</v>
      </c>
    </row>
    <row r="340" spans="1:4" x14ac:dyDescent="0.3">
      <c r="A340" s="35">
        <v>1472</v>
      </c>
      <c r="B340" s="35">
        <v>4</v>
      </c>
      <c r="C340" s="35">
        <v>0</v>
      </c>
      <c r="D340" s="35">
        <v>54000</v>
      </c>
    </row>
    <row r="341" spans="1:4" x14ac:dyDescent="0.3">
      <c r="A341" s="35">
        <v>1860</v>
      </c>
      <c r="B341" s="35">
        <v>4</v>
      </c>
      <c r="C341" s="35">
        <v>2</v>
      </c>
      <c r="D341" s="35">
        <v>68000</v>
      </c>
    </row>
    <row r="342" spans="1:4" x14ac:dyDescent="0.3">
      <c r="A342" s="35">
        <v>380</v>
      </c>
      <c r="B342" s="35">
        <v>2</v>
      </c>
      <c r="C342" s="35">
        <v>1</v>
      </c>
      <c r="D342" s="35">
        <v>30000</v>
      </c>
    </row>
    <row r="343" spans="1:4" x14ac:dyDescent="0.3">
      <c r="A343" s="35">
        <v>710</v>
      </c>
      <c r="B343" s="35">
        <v>3</v>
      </c>
      <c r="C343" s="35">
        <v>0</v>
      </c>
      <c r="D343" s="35">
        <v>45000</v>
      </c>
    </row>
    <row r="344" spans="1:4" x14ac:dyDescent="0.3">
      <c r="A344" s="35">
        <v>450</v>
      </c>
      <c r="B344" s="35">
        <v>2</v>
      </c>
      <c r="C344" s="35">
        <v>0</v>
      </c>
      <c r="D344" s="35">
        <v>24000</v>
      </c>
    </row>
    <row r="345" spans="1:4" x14ac:dyDescent="0.3">
      <c r="A345" s="35">
        <v>310</v>
      </c>
      <c r="B345" s="35">
        <v>1</v>
      </c>
      <c r="C345" s="35">
        <v>0</v>
      </c>
      <c r="D345" s="35">
        <v>17000</v>
      </c>
    </row>
    <row r="346" spans="1:4" x14ac:dyDescent="0.3">
      <c r="A346" s="35">
        <v>307</v>
      </c>
      <c r="B346" s="35">
        <v>1</v>
      </c>
      <c r="C346" s="35">
        <v>0</v>
      </c>
      <c r="D346" s="35">
        <v>21500</v>
      </c>
    </row>
    <row r="347" spans="1:4" x14ac:dyDescent="0.3">
      <c r="A347" s="35">
        <v>307</v>
      </c>
      <c r="B347" s="35">
        <v>1</v>
      </c>
      <c r="C347" s="35">
        <v>0</v>
      </c>
      <c r="D347" s="35">
        <v>19500</v>
      </c>
    </row>
    <row r="348" spans="1:4" x14ac:dyDescent="0.3">
      <c r="A348" s="35">
        <v>370</v>
      </c>
      <c r="B348" s="35">
        <v>2</v>
      </c>
      <c r="C348" s="35">
        <v>0</v>
      </c>
      <c r="D348" s="35">
        <v>20900</v>
      </c>
    </row>
    <row r="349" spans="1:4" x14ac:dyDescent="0.3">
      <c r="A349" s="35">
        <v>550</v>
      </c>
      <c r="B349" s="35">
        <v>2</v>
      </c>
      <c r="C349" s="35">
        <v>2</v>
      </c>
      <c r="D349" s="35">
        <v>32000</v>
      </c>
    </row>
    <row r="350" spans="1:4" x14ac:dyDescent="0.3">
      <c r="A350" s="35">
        <v>490</v>
      </c>
      <c r="B350" s="35">
        <v>1</v>
      </c>
      <c r="C350" s="35">
        <v>0</v>
      </c>
      <c r="D350" s="35">
        <v>20000</v>
      </c>
    </row>
    <row r="351" spans="1:4" x14ac:dyDescent="0.3">
      <c r="A351" s="35">
        <v>1560</v>
      </c>
      <c r="B351" s="35">
        <v>4</v>
      </c>
      <c r="C351" s="35">
        <v>0</v>
      </c>
      <c r="D351" s="35">
        <v>85000</v>
      </c>
    </row>
    <row r="352" spans="1:4" x14ac:dyDescent="0.3">
      <c r="A352" s="35">
        <v>760</v>
      </c>
      <c r="B352" s="35">
        <v>2</v>
      </c>
      <c r="C352" s="35">
        <v>0</v>
      </c>
      <c r="D352" s="35">
        <v>34000</v>
      </c>
    </row>
    <row r="353" spans="1:4" x14ac:dyDescent="0.3">
      <c r="A353" s="35">
        <v>1810</v>
      </c>
      <c r="B353" s="35">
        <v>4</v>
      </c>
      <c r="C353" s="35">
        <v>0</v>
      </c>
      <c r="D353" s="35">
        <v>76000</v>
      </c>
    </row>
    <row r="354" spans="1:4" x14ac:dyDescent="0.3">
      <c r="A354" s="35">
        <v>1010</v>
      </c>
      <c r="B354" s="35">
        <v>3</v>
      </c>
      <c r="C354" s="35">
        <v>0</v>
      </c>
      <c r="D354" s="35">
        <v>50000</v>
      </c>
    </row>
    <row r="355" spans="1:4" x14ac:dyDescent="0.3">
      <c r="A355" s="35">
        <v>782</v>
      </c>
      <c r="B355" s="35">
        <v>2</v>
      </c>
      <c r="C355" s="35">
        <v>0</v>
      </c>
      <c r="D355" s="35">
        <v>37000</v>
      </c>
    </row>
    <row r="356" spans="1:4" x14ac:dyDescent="0.3">
      <c r="A356" s="35">
        <v>482</v>
      </c>
      <c r="B356" s="35">
        <v>2</v>
      </c>
      <c r="C356" s="35">
        <v>2</v>
      </c>
      <c r="D356" s="35">
        <v>31500</v>
      </c>
    </row>
    <row r="357" spans="1:4" x14ac:dyDescent="0.3">
      <c r="A357" s="35">
        <v>1240</v>
      </c>
      <c r="B357" s="35">
        <v>3</v>
      </c>
      <c r="C357" s="35">
        <v>0</v>
      </c>
      <c r="D357" s="35">
        <v>49000</v>
      </c>
    </row>
    <row r="358" spans="1:4" x14ac:dyDescent="0.3">
      <c r="A358" s="35">
        <v>1172</v>
      </c>
      <c r="B358" s="35">
        <v>3</v>
      </c>
      <c r="C358" s="35">
        <v>0</v>
      </c>
      <c r="D358" s="35">
        <v>44000</v>
      </c>
    </row>
    <row r="359" spans="1:4" x14ac:dyDescent="0.3">
      <c r="A359" s="35">
        <v>860</v>
      </c>
      <c r="B359" s="35">
        <v>3</v>
      </c>
      <c r="C359" s="35">
        <v>2</v>
      </c>
      <c r="D359" s="35">
        <v>56000</v>
      </c>
    </row>
    <row r="360" spans="1:4" x14ac:dyDescent="0.3">
      <c r="A360" s="35">
        <v>660</v>
      </c>
      <c r="B360" s="35">
        <v>3</v>
      </c>
      <c r="C360" s="35">
        <v>0</v>
      </c>
      <c r="D360" s="35">
        <v>32000</v>
      </c>
    </row>
    <row r="361" spans="1:4" x14ac:dyDescent="0.3">
      <c r="A361" s="35">
        <v>360</v>
      </c>
      <c r="B361" s="35">
        <v>2</v>
      </c>
      <c r="C361" s="35">
        <v>0</v>
      </c>
      <c r="D361" s="35">
        <v>20000</v>
      </c>
    </row>
    <row r="362" spans="1:4" x14ac:dyDescent="0.3">
      <c r="A362" s="35">
        <v>665</v>
      </c>
      <c r="B362" s="35">
        <v>2</v>
      </c>
      <c r="C362" s="35">
        <v>1</v>
      </c>
      <c r="D362" s="35">
        <v>33500</v>
      </c>
    </row>
    <row r="363" spans="1:4" x14ac:dyDescent="0.3">
      <c r="A363" s="35">
        <v>765</v>
      </c>
      <c r="B363" s="35">
        <v>3</v>
      </c>
      <c r="C363" s="35">
        <v>0</v>
      </c>
      <c r="D363" s="35">
        <v>55500</v>
      </c>
    </row>
    <row r="364" spans="1:4" x14ac:dyDescent="0.3">
      <c r="A364" s="35">
        <v>262</v>
      </c>
      <c r="B364" s="35">
        <v>1</v>
      </c>
      <c r="C364" s="35">
        <v>0</v>
      </c>
      <c r="D364" s="35">
        <v>11000</v>
      </c>
    </row>
    <row r="365" spans="1:4" x14ac:dyDescent="0.3">
      <c r="A365" s="35">
        <v>1271</v>
      </c>
      <c r="B365" s="35">
        <v>4</v>
      </c>
      <c r="C365" s="35">
        <v>0</v>
      </c>
      <c r="D365" s="35">
        <v>65500</v>
      </c>
    </row>
    <row r="366" spans="1:4" x14ac:dyDescent="0.3">
      <c r="A366" s="35">
        <v>915</v>
      </c>
      <c r="B366" s="35">
        <v>3</v>
      </c>
      <c r="C366" s="35">
        <v>0</v>
      </c>
      <c r="D366" s="35">
        <v>37500</v>
      </c>
    </row>
    <row r="367" spans="1:4" x14ac:dyDescent="0.3">
      <c r="A367" s="35">
        <v>915</v>
      </c>
      <c r="B367" s="35">
        <v>3</v>
      </c>
      <c r="C367" s="35">
        <v>0</v>
      </c>
      <c r="D367" s="35">
        <v>50500</v>
      </c>
    </row>
    <row r="368" spans="1:4" x14ac:dyDescent="0.3">
      <c r="A368" s="35">
        <v>565</v>
      </c>
      <c r="B368" s="35">
        <v>2</v>
      </c>
      <c r="C368" s="35">
        <v>0</v>
      </c>
      <c r="D368" s="35">
        <v>30500</v>
      </c>
    </row>
    <row r="369" spans="1:4" x14ac:dyDescent="0.3">
      <c r="A369" s="35">
        <v>1715</v>
      </c>
      <c r="B369" s="35">
        <v>4</v>
      </c>
      <c r="C369" s="35">
        <v>0</v>
      </c>
      <c r="D369" s="35">
        <v>72500</v>
      </c>
    </row>
    <row r="370" spans="1:4" x14ac:dyDescent="0.3">
      <c r="A370" s="35">
        <v>1315</v>
      </c>
      <c r="B370" s="35">
        <v>4</v>
      </c>
      <c r="C370" s="35">
        <v>0</v>
      </c>
      <c r="D370" s="35">
        <v>45500</v>
      </c>
    </row>
    <row r="371" spans="1:4" x14ac:dyDescent="0.3">
      <c r="A371" s="35">
        <v>1615</v>
      </c>
      <c r="B371" s="35">
        <v>4</v>
      </c>
      <c r="C371" s="35">
        <v>2</v>
      </c>
      <c r="D371" s="35">
        <v>57500</v>
      </c>
    </row>
    <row r="372" spans="1:4" x14ac:dyDescent="0.3">
      <c r="A372" s="35">
        <v>490</v>
      </c>
      <c r="B372" s="35">
        <v>2</v>
      </c>
      <c r="C372" s="35">
        <v>1</v>
      </c>
      <c r="D372" s="35">
        <v>30500</v>
      </c>
    </row>
    <row r="373" spans="1:4" x14ac:dyDescent="0.3">
      <c r="A373" s="35">
        <v>815</v>
      </c>
      <c r="B373" s="35">
        <v>3</v>
      </c>
      <c r="C373" s="35">
        <v>0</v>
      </c>
      <c r="D373" s="35">
        <v>45500</v>
      </c>
    </row>
    <row r="374" spans="1:4" x14ac:dyDescent="0.3">
      <c r="A374" s="35">
        <v>365</v>
      </c>
      <c r="B374" s="35">
        <v>2</v>
      </c>
      <c r="C374" s="35">
        <v>0</v>
      </c>
      <c r="D374" s="35">
        <v>15500</v>
      </c>
    </row>
    <row r="375" spans="1:4" x14ac:dyDescent="0.3">
      <c r="A375" s="35">
        <v>262</v>
      </c>
      <c r="B375" s="35">
        <v>1</v>
      </c>
      <c r="C375" s="35">
        <v>0</v>
      </c>
      <c r="D375" s="35">
        <v>12000</v>
      </c>
    </row>
    <row r="376" spans="1:4" x14ac:dyDescent="0.3">
      <c r="A376" s="35">
        <v>262</v>
      </c>
      <c r="B376" s="35">
        <v>1</v>
      </c>
      <c r="C376" s="35">
        <v>0</v>
      </c>
      <c r="D376" s="35">
        <v>17000</v>
      </c>
    </row>
    <row r="377" spans="1:4" x14ac:dyDescent="0.3">
      <c r="A377" s="35">
        <v>262</v>
      </c>
      <c r="B377" s="35">
        <v>1</v>
      </c>
      <c r="C377" s="35">
        <v>0</v>
      </c>
      <c r="D377" s="35">
        <v>15500</v>
      </c>
    </row>
    <row r="378" spans="1:4" x14ac:dyDescent="0.3">
      <c r="A378" s="35">
        <v>345</v>
      </c>
      <c r="B378" s="35">
        <v>2</v>
      </c>
      <c r="C378" s="35">
        <v>0</v>
      </c>
      <c r="D378" s="35">
        <v>16500</v>
      </c>
    </row>
    <row r="379" spans="1:4" x14ac:dyDescent="0.3">
      <c r="A379" s="35">
        <v>465</v>
      </c>
      <c r="B379" s="35">
        <v>2</v>
      </c>
      <c r="C379" s="35">
        <v>2</v>
      </c>
      <c r="D379" s="35">
        <v>25500</v>
      </c>
    </row>
    <row r="380" spans="1:4" x14ac:dyDescent="0.3">
      <c r="A380" s="35">
        <v>340</v>
      </c>
      <c r="B380" s="35">
        <v>1</v>
      </c>
      <c r="C380" s="35">
        <v>0</v>
      </c>
      <c r="D380" s="35">
        <v>14000</v>
      </c>
    </row>
    <row r="381" spans="1:4" x14ac:dyDescent="0.3">
      <c r="A381" s="35">
        <v>1665</v>
      </c>
      <c r="B381" s="35">
        <v>4</v>
      </c>
      <c r="C381" s="35">
        <v>0</v>
      </c>
      <c r="D381" s="35">
        <v>90500</v>
      </c>
    </row>
    <row r="382" spans="1:4" x14ac:dyDescent="0.3">
      <c r="A382" s="35">
        <v>665</v>
      </c>
      <c r="B382" s="35">
        <v>2</v>
      </c>
      <c r="C382" s="35">
        <v>0</v>
      </c>
      <c r="D382" s="35">
        <v>31500</v>
      </c>
    </row>
    <row r="383" spans="1:4" x14ac:dyDescent="0.3">
      <c r="A383" s="35">
        <v>1665</v>
      </c>
      <c r="B383" s="35">
        <v>4</v>
      </c>
      <c r="C383" s="35">
        <v>0</v>
      </c>
      <c r="D383" s="35">
        <v>65500</v>
      </c>
    </row>
    <row r="384" spans="1:4" x14ac:dyDescent="0.3">
      <c r="A384" s="35">
        <v>915</v>
      </c>
      <c r="B384" s="35">
        <v>3</v>
      </c>
      <c r="C384" s="35">
        <v>0</v>
      </c>
      <c r="D384" s="35">
        <v>40500</v>
      </c>
    </row>
    <row r="385" spans="1:4" x14ac:dyDescent="0.3">
      <c r="A385" s="35">
        <v>650</v>
      </c>
      <c r="B385" s="35">
        <v>2</v>
      </c>
      <c r="C385" s="35">
        <v>0</v>
      </c>
      <c r="D385" s="35">
        <v>30500</v>
      </c>
    </row>
    <row r="386" spans="1:4" x14ac:dyDescent="0.3">
      <c r="A386" s="35">
        <v>490</v>
      </c>
      <c r="B386" s="35">
        <v>2</v>
      </c>
      <c r="C386" s="35">
        <v>2</v>
      </c>
      <c r="D386" s="35">
        <v>28500</v>
      </c>
    </row>
    <row r="387" spans="1:4" x14ac:dyDescent="0.3">
      <c r="A387" s="35">
        <v>1135</v>
      </c>
      <c r="B387" s="35">
        <v>3</v>
      </c>
      <c r="C387" s="35">
        <v>0</v>
      </c>
      <c r="D387" s="35">
        <v>45500</v>
      </c>
    </row>
    <row r="388" spans="1:4" x14ac:dyDescent="0.3">
      <c r="A388" s="35">
        <v>1015</v>
      </c>
      <c r="B388" s="35">
        <v>3</v>
      </c>
      <c r="C388" s="35">
        <v>0</v>
      </c>
      <c r="D388" s="35">
        <v>38500</v>
      </c>
    </row>
    <row r="389" spans="1:4" x14ac:dyDescent="0.3">
      <c r="A389" s="35">
        <v>915</v>
      </c>
      <c r="B389" s="35">
        <v>3</v>
      </c>
      <c r="C389" s="35">
        <v>2</v>
      </c>
      <c r="D389" s="35">
        <v>50500</v>
      </c>
    </row>
    <row r="390" spans="1:4" x14ac:dyDescent="0.3">
      <c r="A390" s="35">
        <v>625</v>
      </c>
      <c r="B390" s="35">
        <v>3</v>
      </c>
      <c r="C390" s="35">
        <v>0</v>
      </c>
      <c r="D390" s="35">
        <v>28500</v>
      </c>
    </row>
    <row r="391" spans="1:4" x14ac:dyDescent="0.3">
      <c r="A391" s="35">
        <v>415</v>
      </c>
      <c r="B391" s="35">
        <v>2</v>
      </c>
      <c r="C391" s="35">
        <v>0</v>
      </c>
      <c r="D391" s="35">
        <v>17500</v>
      </c>
    </row>
    <row r="392" spans="1:4" x14ac:dyDescent="0.3">
      <c r="A392" s="35">
        <v>715</v>
      </c>
      <c r="B392" s="35">
        <v>2</v>
      </c>
      <c r="C392" s="35">
        <v>1</v>
      </c>
      <c r="D392" s="35">
        <v>35500</v>
      </c>
    </row>
    <row r="393" spans="1:4" x14ac:dyDescent="0.3">
      <c r="A393" s="35">
        <v>765</v>
      </c>
      <c r="B393" s="35">
        <v>3</v>
      </c>
      <c r="C393" s="35">
        <v>0</v>
      </c>
      <c r="D393" s="35">
        <v>40500</v>
      </c>
    </row>
    <row r="394" spans="1:4" x14ac:dyDescent="0.3">
      <c r="A394" s="35">
        <v>315</v>
      </c>
      <c r="B394" s="35">
        <v>1</v>
      </c>
      <c r="C394" s="35">
        <v>0</v>
      </c>
      <c r="D394" s="35">
        <v>13500</v>
      </c>
    </row>
    <row r="395" spans="1:4" x14ac:dyDescent="0.3">
      <c r="A395" s="35">
        <v>1325</v>
      </c>
      <c r="B395" s="35">
        <v>4</v>
      </c>
      <c r="C395" s="35">
        <v>0</v>
      </c>
      <c r="D395" s="35">
        <v>67500</v>
      </c>
    </row>
    <row r="396" spans="1:4" x14ac:dyDescent="0.3">
      <c r="A396" s="35">
        <v>965</v>
      </c>
      <c r="B396" s="35">
        <v>3</v>
      </c>
      <c r="C396" s="35">
        <v>0</v>
      </c>
      <c r="D396" s="35">
        <v>39500</v>
      </c>
    </row>
    <row r="397" spans="1:4" x14ac:dyDescent="0.3">
      <c r="A397" s="35">
        <v>965</v>
      </c>
      <c r="B397" s="35">
        <v>3</v>
      </c>
      <c r="C397" s="35">
        <v>0</v>
      </c>
      <c r="D397" s="35">
        <v>52500</v>
      </c>
    </row>
    <row r="398" spans="1:4" x14ac:dyDescent="0.3">
      <c r="A398" s="35">
        <v>605</v>
      </c>
      <c r="B398" s="35">
        <v>2</v>
      </c>
      <c r="C398" s="35">
        <v>0</v>
      </c>
      <c r="D398" s="35">
        <v>33000</v>
      </c>
    </row>
    <row r="399" spans="1:4" x14ac:dyDescent="0.3">
      <c r="A399" s="35">
        <v>1925</v>
      </c>
      <c r="B399" s="35">
        <v>4</v>
      </c>
      <c r="C399" s="35">
        <v>0</v>
      </c>
      <c r="D399" s="35">
        <v>81500</v>
      </c>
    </row>
    <row r="400" spans="1:4" x14ac:dyDescent="0.3">
      <c r="A400" s="35">
        <v>1427</v>
      </c>
      <c r="B400" s="35">
        <v>4</v>
      </c>
      <c r="C400" s="35">
        <v>0</v>
      </c>
      <c r="D400" s="35">
        <v>49500</v>
      </c>
    </row>
    <row r="401" spans="1:4" x14ac:dyDescent="0.3">
      <c r="A401" s="35">
        <v>1815</v>
      </c>
      <c r="B401" s="35">
        <v>4</v>
      </c>
      <c r="C401" s="35">
        <v>2</v>
      </c>
      <c r="D401" s="35">
        <v>63500</v>
      </c>
    </row>
    <row r="402" spans="1:4" x14ac:dyDescent="0.3">
      <c r="A402" s="35">
        <v>335</v>
      </c>
      <c r="B402" s="35">
        <v>2</v>
      </c>
      <c r="C402" s="35">
        <v>1</v>
      </c>
      <c r="D402" s="35">
        <v>25500</v>
      </c>
    </row>
    <row r="403" spans="1:4" x14ac:dyDescent="0.3">
      <c r="A403" s="35">
        <v>665</v>
      </c>
      <c r="B403" s="35">
        <v>3</v>
      </c>
      <c r="C403" s="35">
        <v>0</v>
      </c>
      <c r="D403" s="35">
        <v>40500</v>
      </c>
    </row>
    <row r="404" spans="1:4" x14ac:dyDescent="0.3">
      <c r="A404" s="35">
        <v>405</v>
      </c>
      <c r="B404" s="35">
        <v>2</v>
      </c>
      <c r="C404" s="35">
        <v>0</v>
      </c>
      <c r="D404" s="35">
        <v>19500</v>
      </c>
    </row>
    <row r="405" spans="1:4" x14ac:dyDescent="0.3">
      <c r="A405" s="35">
        <v>265</v>
      </c>
      <c r="B405" s="35">
        <v>1</v>
      </c>
      <c r="C405" s="35">
        <v>0</v>
      </c>
      <c r="D405" s="35">
        <v>12500</v>
      </c>
    </row>
    <row r="406" spans="1:4" x14ac:dyDescent="0.3">
      <c r="A406" s="35">
        <v>262</v>
      </c>
      <c r="B406" s="35">
        <v>1</v>
      </c>
      <c r="C406" s="35">
        <v>0</v>
      </c>
      <c r="D406" s="35">
        <v>17000</v>
      </c>
    </row>
    <row r="407" spans="1:4" x14ac:dyDescent="0.3">
      <c r="A407" s="35">
        <v>262</v>
      </c>
      <c r="B407" s="35">
        <v>1</v>
      </c>
      <c r="C407" s="35">
        <v>0</v>
      </c>
      <c r="D407" s="35">
        <v>15000</v>
      </c>
    </row>
    <row r="408" spans="1:4" x14ac:dyDescent="0.3">
      <c r="A408" s="35">
        <v>325</v>
      </c>
      <c r="B408" s="35">
        <v>2</v>
      </c>
      <c r="C408" s="35">
        <v>0</v>
      </c>
      <c r="D408" s="35">
        <v>16400</v>
      </c>
    </row>
    <row r="409" spans="1:4" x14ac:dyDescent="0.3">
      <c r="A409" s="35">
        <v>505</v>
      </c>
      <c r="B409" s="35">
        <v>2</v>
      </c>
      <c r="C409" s="35">
        <v>2</v>
      </c>
      <c r="D409" s="35">
        <v>27500</v>
      </c>
    </row>
    <row r="410" spans="1:4" x14ac:dyDescent="0.3">
      <c r="A410" s="35">
        <v>445</v>
      </c>
      <c r="B410" s="35">
        <v>1</v>
      </c>
      <c r="C410" s="35">
        <v>0</v>
      </c>
      <c r="D410" s="35">
        <v>15500</v>
      </c>
    </row>
    <row r="411" spans="1:4" x14ac:dyDescent="0.3">
      <c r="A411" s="35">
        <v>1515</v>
      </c>
      <c r="B411" s="35">
        <v>4</v>
      </c>
      <c r="C411" s="35">
        <v>0</v>
      </c>
      <c r="D411" s="35">
        <v>80500</v>
      </c>
    </row>
    <row r="412" spans="1:4" x14ac:dyDescent="0.3">
      <c r="A412" s="35">
        <v>715</v>
      </c>
      <c r="B412" s="35">
        <v>2</v>
      </c>
      <c r="C412" s="35">
        <v>0</v>
      </c>
      <c r="D412" s="35">
        <v>29500</v>
      </c>
    </row>
    <row r="413" spans="1:4" x14ac:dyDescent="0.3">
      <c r="A413" s="35">
        <v>1765</v>
      </c>
      <c r="B413" s="35">
        <v>4</v>
      </c>
      <c r="C413" s="35">
        <v>0</v>
      </c>
      <c r="D413" s="35">
        <v>71500</v>
      </c>
    </row>
    <row r="414" spans="1:4" x14ac:dyDescent="0.3">
      <c r="A414" s="35">
        <v>965</v>
      </c>
      <c r="B414" s="35">
        <v>3</v>
      </c>
      <c r="C414" s="35">
        <v>0</v>
      </c>
      <c r="D414" s="35">
        <v>45500</v>
      </c>
    </row>
    <row r="415" spans="1:4" x14ac:dyDescent="0.3">
      <c r="A415" s="35">
        <v>737</v>
      </c>
      <c r="B415" s="35">
        <v>2</v>
      </c>
      <c r="C415" s="35">
        <v>0</v>
      </c>
      <c r="D415" s="35">
        <v>32500</v>
      </c>
    </row>
    <row r="416" spans="1:4" x14ac:dyDescent="0.3">
      <c r="A416" s="35">
        <v>437</v>
      </c>
      <c r="B416" s="35">
        <v>2</v>
      </c>
      <c r="C416" s="35">
        <v>2</v>
      </c>
      <c r="D416" s="35">
        <v>27000</v>
      </c>
    </row>
    <row r="417" spans="1:4" x14ac:dyDescent="0.3">
      <c r="A417" s="35">
        <v>1195</v>
      </c>
      <c r="B417" s="35">
        <v>3</v>
      </c>
      <c r="C417" s="35">
        <v>0</v>
      </c>
      <c r="D417" s="35">
        <v>44500</v>
      </c>
    </row>
    <row r="418" spans="1:4" x14ac:dyDescent="0.3">
      <c r="A418" s="35">
        <v>1127</v>
      </c>
      <c r="B418" s="35">
        <v>3</v>
      </c>
      <c r="C418" s="35">
        <v>0</v>
      </c>
      <c r="D418" s="35">
        <v>39500</v>
      </c>
    </row>
    <row r="419" spans="1:4" x14ac:dyDescent="0.3">
      <c r="A419" s="35">
        <v>815</v>
      </c>
      <c r="B419" s="35">
        <v>3</v>
      </c>
      <c r="C419" s="35">
        <v>2</v>
      </c>
      <c r="D419" s="35">
        <v>51500</v>
      </c>
    </row>
    <row r="420" spans="1:4" x14ac:dyDescent="0.3">
      <c r="A420" s="35">
        <v>615</v>
      </c>
      <c r="B420" s="35">
        <v>3</v>
      </c>
      <c r="C420" s="35">
        <v>0</v>
      </c>
      <c r="D420" s="35">
        <v>27500</v>
      </c>
    </row>
    <row r="421" spans="1:4" x14ac:dyDescent="0.3">
      <c r="A421" s="35">
        <v>315</v>
      </c>
      <c r="B421" s="35">
        <v>2</v>
      </c>
      <c r="C421" s="35">
        <v>0</v>
      </c>
      <c r="D421" s="35">
        <v>15500</v>
      </c>
    </row>
    <row r="422" spans="1:4" x14ac:dyDescent="0.3">
      <c r="A422" s="35">
        <v>675</v>
      </c>
      <c r="B422" s="35">
        <v>2</v>
      </c>
      <c r="C422" s="35">
        <v>1</v>
      </c>
      <c r="D422" s="35">
        <v>36500</v>
      </c>
    </row>
    <row r="423" spans="1:4" x14ac:dyDescent="0.3">
      <c r="A423" s="35">
        <v>775</v>
      </c>
      <c r="B423" s="35">
        <v>3</v>
      </c>
      <c r="C423" s="35">
        <v>0</v>
      </c>
      <c r="D423" s="35">
        <v>58500</v>
      </c>
    </row>
    <row r="424" spans="1:4" x14ac:dyDescent="0.3">
      <c r="A424" s="35">
        <v>272</v>
      </c>
      <c r="B424" s="35">
        <v>1</v>
      </c>
      <c r="C424" s="35">
        <v>0</v>
      </c>
      <c r="D424" s="35">
        <v>14000</v>
      </c>
    </row>
    <row r="425" spans="1:4" x14ac:dyDescent="0.3">
      <c r="A425" s="35">
        <v>1281</v>
      </c>
      <c r="B425" s="35">
        <v>4</v>
      </c>
      <c r="C425" s="35">
        <v>0</v>
      </c>
      <c r="D425" s="35">
        <v>68500</v>
      </c>
    </row>
    <row r="426" spans="1:4" x14ac:dyDescent="0.3">
      <c r="A426" s="35">
        <v>925</v>
      </c>
      <c r="B426" s="35">
        <v>3</v>
      </c>
      <c r="C426" s="35">
        <v>0</v>
      </c>
      <c r="D426" s="35">
        <v>40500</v>
      </c>
    </row>
    <row r="427" spans="1:4" x14ac:dyDescent="0.3">
      <c r="A427" s="35">
        <v>925</v>
      </c>
      <c r="B427" s="35">
        <v>3</v>
      </c>
      <c r="C427" s="35">
        <v>0</v>
      </c>
      <c r="D427" s="35">
        <v>53500</v>
      </c>
    </row>
    <row r="428" spans="1:4" x14ac:dyDescent="0.3">
      <c r="A428" s="35">
        <v>575</v>
      </c>
      <c r="B428" s="35">
        <v>2</v>
      </c>
      <c r="C428" s="35">
        <v>0</v>
      </c>
      <c r="D428" s="35">
        <v>33500</v>
      </c>
    </row>
    <row r="429" spans="1:4" x14ac:dyDescent="0.3">
      <c r="A429" s="35">
        <v>1725</v>
      </c>
      <c r="B429" s="35">
        <v>4</v>
      </c>
      <c r="C429" s="35">
        <v>0</v>
      </c>
      <c r="D429" s="35">
        <v>75500</v>
      </c>
    </row>
    <row r="430" spans="1:4" x14ac:dyDescent="0.3">
      <c r="A430" s="35">
        <v>1325</v>
      </c>
      <c r="B430" s="35">
        <v>4</v>
      </c>
      <c r="C430" s="35">
        <v>0</v>
      </c>
      <c r="D430" s="35">
        <v>48500</v>
      </c>
    </row>
    <row r="431" spans="1:4" x14ac:dyDescent="0.3">
      <c r="A431" s="35">
        <v>1625</v>
      </c>
      <c r="B431" s="35">
        <v>4</v>
      </c>
      <c r="C431" s="35">
        <v>2</v>
      </c>
      <c r="D431" s="35">
        <v>60500</v>
      </c>
    </row>
    <row r="432" spans="1:4" x14ac:dyDescent="0.3">
      <c r="A432" s="35">
        <v>500</v>
      </c>
      <c r="B432" s="35">
        <v>2</v>
      </c>
      <c r="C432" s="35">
        <v>1</v>
      </c>
      <c r="D432" s="35">
        <v>33500</v>
      </c>
    </row>
    <row r="433" spans="1:4" x14ac:dyDescent="0.3">
      <c r="A433" s="35">
        <v>825</v>
      </c>
      <c r="B433" s="35">
        <v>3</v>
      </c>
      <c r="C433" s="35">
        <v>0</v>
      </c>
      <c r="D433" s="35">
        <v>48500</v>
      </c>
    </row>
    <row r="434" spans="1:4" x14ac:dyDescent="0.3">
      <c r="A434" s="35">
        <v>375</v>
      </c>
      <c r="B434" s="35">
        <v>2</v>
      </c>
      <c r="C434" s="35">
        <v>0</v>
      </c>
      <c r="D434" s="35">
        <v>18500</v>
      </c>
    </row>
    <row r="435" spans="1:4" x14ac:dyDescent="0.3">
      <c r="A435" s="35">
        <v>272</v>
      </c>
      <c r="B435" s="35">
        <v>1</v>
      </c>
      <c r="C435" s="35">
        <v>0</v>
      </c>
      <c r="D435" s="35">
        <v>15000</v>
      </c>
    </row>
    <row r="436" spans="1:4" x14ac:dyDescent="0.3">
      <c r="A436" s="35">
        <v>272</v>
      </c>
      <c r="B436" s="35">
        <v>1</v>
      </c>
      <c r="C436" s="35">
        <v>0</v>
      </c>
      <c r="D436" s="35">
        <v>20000</v>
      </c>
    </row>
    <row r="437" spans="1:4" x14ac:dyDescent="0.3">
      <c r="A437" s="35">
        <v>272</v>
      </c>
      <c r="B437" s="35">
        <v>1</v>
      </c>
      <c r="C437" s="35">
        <v>0</v>
      </c>
      <c r="D437" s="35">
        <v>18500</v>
      </c>
    </row>
    <row r="438" spans="1:4" x14ac:dyDescent="0.3">
      <c r="A438" s="35">
        <v>355</v>
      </c>
      <c r="B438" s="35">
        <v>2</v>
      </c>
      <c r="C438" s="35">
        <v>0</v>
      </c>
      <c r="D438" s="35">
        <v>19500</v>
      </c>
    </row>
    <row r="439" spans="1:4" x14ac:dyDescent="0.3">
      <c r="A439" s="35">
        <v>475</v>
      </c>
      <c r="B439" s="35">
        <v>2</v>
      </c>
      <c r="C439" s="35">
        <v>2</v>
      </c>
      <c r="D439" s="35">
        <v>28500</v>
      </c>
    </row>
    <row r="440" spans="1:4" x14ac:dyDescent="0.3">
      <c r="A440" s="35">
        <v>350</v>
      </c>
      <c r="B440" s="35">
        <v>1</v>
      </c>
      <c r="C440" s="35">
        <v>0</v>
      </c>
      <c r="D440" s="35">
        <v>17000</v>
      </c>
    </row>
    <row r="441" spans="1:4" x14ac:dyDescent="0.3">
      <c r="A441" s="35">
        <v>1675</v>
      </c>
      <c r="B441" s="35">
        <v>4</v>
      </c>
      <c r="C441" s="35">
        <v>0</v>
      </c>
      <c r="D441" s="35">
        <v>93500</v>
      </c>
    </row>
    <row r="442" spans="1:4" x14ac:dyDescent="0.3">
      <c r="A442" s="35">
        <v>675</v>
      </c>
      <c r="B442" s="35">
        <v>2</v>
      </c>
      <c r="C442" s="35">
        <v>0</v>
      </c>
      <c r="D442" s="35">
        <v>34500</v>
      </c>
    </row>
    <row r="443" spans="1:4" x14ac:dyDescent="0.3">
      <c r="A443" s="35">
        <v>1675</v>
      </c>
      <c r="B443" s="35">
        <v>4</v>
      </c>
      <c r="C443" s="35">
        <v>0</v>
      </c>
      <c r="D443" s="35">
        <v>68500</v>
      </c>
    </row>
    <row r="444" spans="1:4" x14ac:dyDescent="0.3">
      <c r="A444" s="35">
        <v>925</v>
      </c>
      <c r="B444" s="35">
        <v>3</v>
      </c>
      <c r="C444" s="35">
        <v>0</v>
      </c>
      <c r="D444" s="35">
        <v>43500</v>
      </c>
    </row>
    <row r="445" spans="1:4" x14ac:dyDescent="0.3">
      <c r="A445" s="35">
        <v>660</v>
      </c>
      <c r="B445" s="35">
        <v>2</v>
      </c>
      <c r="C445" s="35">
        <v>0</v>
      </c>
      <c r="D445" s="35">
        <v>33500</v>
      </c>
    </row>
    <row r="446" spans="1:4" x14ac:dyDescent="0.3">
      <c r="A446" s="35">
        <v>500</v>
      </c>
      <c r="B446" s="35">
        <v>2</v>
      </c>
      <c r="C446" s="35">
        <v>2</v>
      </c>
      <c r="D446" s="35">
        <v>31500</v>
      </c>
    </row>
    <row r="447" spans="1:4" x14ac:dyDescent="0.3">
      <c r="A447" s="35">
        <v>1145</v>
      </c>
      <c r="B447" s="35">
        <v>3</v>
      </c>
      <c r="C447" s="35">
        <v>0</v>
      </c>
      <c r="D447" s="35">
        <v>48500</v>
      </c>
    </row>
    <row r="448" spans="1:4" x14ac:dyDescent="0.3">
      <c r="A448" s="35">
        <v>1025</v>
      </c>
      <c r="B448" s="35">
        <v>3</v>
      </c>
      <c r="C448" s="35">
        <v>0</v>
      </c>
      <c r="D448" s="35">
        <v>41500</v>
      </c>
    </row>
    <row r="449" spans="1:4" x14ac:dyDescent="0.3">
      <c r="A449" s="35">
        <v>925</v>
      </c>
      <c r="B449" s="35">
        <v>3</v>
      </c>
      <c r="C449" s="35">
        <v>2</v>
      </c>
      <c r="D449" s="35">
        <v>53500</v>
      </c>
    </row>
    <row r="450" spans="1:4" x14ac:dyDescent="0.3">
      <c r="A450" s="35">
        <v>635</v>
      </c>
      <c r="B450" s="35">
        <v>3</v>
      </c>
      <c r="C450" s="35">
        <v>0</v>
      </c>
      <c r="D450" s="35">
        <v>31500</v>
      </c>
    </row>
    <row r="451" spans="1:4" x14ac:dyDescent="0.3">
      <c r="A451" s="35">
        <v>425</v>
      </c>
      <c r="B451" s="35">
        <v>2</v>
      </c>
      <c r="C451" s="35">
        <v>0</v>
      </c>
      <c r="D451" s="35">
        <v>20500</v>
      </c>
    </row>
    <row r="452" spans="1:4" x14ac:dyDescent="0.3">
      <c r="A452" s="35">
        <v>725</v>
      </c>
      <c r="B452" s="35">
        <v>2</v>
      </c>
      <c r="C452" s="35">
        <v>1</v>
      </c>
      <c r="D452" s="35">
        <v>38500</v>
      </c>
    </row>
    <row r="453" spans="1:4" x14ac:dyDescent="0.3">
      <c r="A453" s="35">
        <v>775</v>
      </c>
      <c r="B453" s="35">
        <v>3</v>
      </c>
      <c r="C453" s="35">
        <v>0</v>
      </c>
      <c r="D453" s="35">
        <v>43500</v>
      </c>
    </row>
    <row r="454" spans="1:4" x14ac:dyDescent="0.3">
      <c r="A454" s="35">
        <v>325</v>
      </c>
      <c r="B454" s="35">
        <v>1</v>
      </c>
      <c r="C454" s="35">
        <v>0</v>
      </c>
      <c r="D454" s="35">
        <v>16500</v>
      </c>
    </row>
    <row r="455" spans="1:4" x14ac:dyDescent="0.3">
      <c r="A455" s="35">
        <v>1335</v>
      </c>
      <c r="B455" s="35">
        <v>4</v>
      </c>
      <c r="C455" s="35">
        <v>0</v>
      </c>
      <c r="D455" s="35">
        <v>70500</v>
      </c>
    </row>
    <row r="456" spans="1:4" x14ac:dyDescent="0.3">
      <c r="A456" s="35">
        <v>975</v>
      </c>
      <c r="B456" s="35">
        <v>3</v>
      </c>
      <c r="C456" s="35">
        <v>0</v>
      </c>
      <c r="D456" s="35">
        <v>42500</v>
      </c>
    </row>
    <row r="457" spans="1:4" x14ac:dyDescent="0.3">
      <c r="A457" s="35">
        <v>975</v>
      </c>
      <c r="B457" s="35">
        <v>3</v>
      </c>
      <c r="C457" s="35">
        <v>0</v>
      </c>
      <c r="D457" s="35">
        <v>55500</v>
      </c>
    </row>
    <row r="458" spans="1:4" x14ac:dyDescent="0.3">
      <c r="A458" s="35">
        <v>615</v>
      </c>
      <c r="B458" s="35">
        <v>2</v>
      </c>
      <c r="C458" s="35">
        <v>0</v>
      </c>
      <c r="D458" s="35">
        <v>36000</v>
      </c>
    </row>
    <row r="459" spans="1:4" x14ac:dyDescent="0.3">
      <c r="A459" s="35">
        <v>1935</v>
      </c>
      <c r="B459" s="35">
        <v>4</v>
      </c>
      <c r="C459" s="35">
        <v>0</v>
      </c>
      <c r="D459" s="35">
        <v>84500</v>
      </c>
    </row>
    <row r="460" spans="1:4" x14ac:dyDescent="0.3">
      <c r="A460" s="35">
        <v>1437</v>
      </c>
      <c r="B460" s="35">
        <v>4</v>
      </c>
      <c r="C460" s="35">
        <v>0</v>
      </c>
      <c r="D460" s="35">
        <v>52500</v>
      </c>
    </row>
    <row r="461" spans="1:4" x14ac:dyDescent="0.3">
      <c r="A461" s="35">
        <v>1825</v>
      </c>
      <c r="B461" s="35">
        <v>4</v>
      </c>
      <c r="C461" s="35">
        <v>2</v>
      </c>
      <c r="D461" s="35">
        <v>66500</v>
      </c>
    </row>
    <row r="462" spans="1:4" x14ac:dyDescent="0.3">
      <c r="A462" s="35">
        <v>345</v>
      </c>
      <c r="B462" s="35">
        <v>2</v>
      </c>
      <c r="C462" s="35">
        <v>1</v>
      </c>
      <c r="D462" s="35">
        <v>28500</v>
      </c>
    </row>
    <row r="463" spans="1:4" x14ac:dyDescent="0.3">
      <c r="A463" s="35">
        <v>675</v>
      </c>
      <c r="B463" s="35">
        <v>3</v>
      </c>
      <c r="C463" s="35">
        <v>0</v>
      </c>
      <c r="D463" s="35">
        <v>43500</v>
      </c>
    </row>
    <row r="464" spans="1:4" x14ac:dyDescent="0.3">
      <c r="A464" s="35">
        <v>415</v>
      </c>
      <c r="B464" s="35">
        <v>2</v>
      </c>
      <c r="C464" s="35">
        <v>0</v>
      </c>
      <c r="D464" s="35">
        <v>22500</v>
      </c>
    </row>
    <row r="465" spans="1:4" x14ac:dyDescent="0.3">
      <c r="A465" s="35">
        <v>275</v>
      </c>
      <c r="B465" s="35">
        <v>1</v>
      </c>
      <c r="C465" s="35">
        <v>0</v>
      </c>
      <c r="D465" s="35">
        <v>15500</v>
      </c>
    </row>
    <row r="466" spans="1:4" x14ac:dyDescent="0.3">
      <c r="A466" s="35">
        <v>272</v>
      </c>
      <c r="B466" s="35">
        <v>1</v>
      </c>
      <c r="C466" s="35">
        <v>0</v>
      </c>
      <c r="D466" s="35">
        <v>20000</v>
      </c>
    </row>
    <row r="467" spans="1:4" x14ac:dyDescent="0.3">
      <c r="A467" s="35">
        <v>272</v>
      </c>
      <c r="B467" s="35">
        <v>1</v>
      </c>
      <c r="C467" s="35">
        <v>0</v>
      </c>
      <c r="D467" s="35">
        <v>18000</v>
      </c>
    </row>
    <row r="468" spans="1:4" x14ac:dyDescent="0.3">
      <c r="A468" s="35">
        <v>335</v>
      </c>
      <c r="B468" s="35">
        <v>2</v>
      </c>
      <c r="C468" s="35">
        <v>0</v>
      </c>
      <c r="D468" s="35">
        <v>19400</v>
      </c>
    </row>
    <row r="469" spans="1:4" x14ac:dyDescent="0.3">
      <c r="A469" s="35">
        <v>515</v>
      </c>
      <c r="B469" s="35">
        <v>2</v>
      </c>
      <c r="C469" s="35">
        <v>2</v>
      </c>
      <c r="D469" s="35">
        <v>30500</v>
      </c>
    </row>
    <row r="470" spans="1:4" x14ac:dyDescent="0.3">
      <c r="A470" s="35">
        <v>455</v>
      </c>
      <c r="B470" s="35">
        <v>1</v>
      </c>
      <c r="C470" s="35">
        <v>0</v>
      </c>
      <c r="D470" s="35">
        <v>18500</v>
      </c>
    </row>
    <row r="471" spans="1:4" x14ac:dyDescent="0.3">
      <c r="A471" s="35">
        <v>1525</v>
      </c>
      <c r="B471" s="35">
        <v>4</v>
      </c>
      <c r="C471" s="35">
        <v>0</v>
      </c>
      <c r="D471" s="35">
        <v>83500</v>
      </c>
    </row>
    <row r="472" spans="1:4" x14ac:dyDescent="0.3">
      <c r="A472" s="35">
        <v>725</v>
      </c>
      <c r="B472" s="35">
        <v>2</v>
      </c>
      <c r="C472" s="35">
        <v>0</v>
      </c>
      <c r="D472" s="35">
        <v>32500</v>
      </c>
    </row>
    <row r="473" spans="1:4" x14ac:dyDescent="0.3">
      <c r="A473" s="35">
        <v>1775</v>
      </c>
      <c r="B473" s="35">
        <v>4</v>
      </c>
      <c r="C473" s="35">
        <v>0</v>
      </c>
      <c r="D473" s="35">
        <v>74500</v>
      </c>
    </row>
    <row r="474" spans="1:4" x14ac:dyDescent="0.3">
      <c r="A474" s="35">
        <v>975</v>
      </c>
      <c r="B474" s="35">
        <v>3</v>
      </c>
      <c r="C474" s="35">
        <v>0</v>
      </c>
      <c r="D474" s="35">
        <v>48500</v>
      </c>
    </row>
    <row r="475" spans="1:4" x14ac:dyDescent="0.3">
      <c r="A475" s="35">
        <v>747</v>
      </c>
      <c r="B475" s="35">
        <v>2</v>
      </c>
      <c r="C475" s="35">
        <v>0</v>
      </c>
      <c r="D475" s="35">
        <v>35500</v>
      </c>
    </row>
    <row r="476" spans="1:4" x14ac:dyDescent="0.3">
      <c r="A476" s="35">
        <v>447</v>
      </c>
      <c r="B476" s="35">
        <v>2</v>
      </c>
      <c r="C476" s="35">
        <v>2</v>
      </c>
      <c r="D476" s="35">
        <v>30000</v>
      </c>
    </row>
    <row r="477" spans="1:4" x14ac:dyDescent="0.3">
      <c r="A477" s="35">
        <v>1205</v>
      </c>
      <c r="B477" s="35">
        <v>3</v>
      </c>
      <c r="C477" s="35">
        <v>0</v>
      </c>
      <c r="D477" s="35">
        <v>47500</v>
      </c>
    </row>
    <row r="478" spans="1:4" x14ac:dyDescent="0.3">
      <c r="A478" s="35">
        <v>1137</v>
      </c>
      <c r="B478" s="35">
        <v>3</v>
      </c>
      <c r="C478" s="35">
        <v>0</v>
      </c>
      <c r="D478" s="35">
        <v>42500</v>
      </c>
    </row>
    <row r="479" spans="1:4" x14ac:dyDescent="0.3">
      <c r="A479" s="35">
        <v>825</v>
      </c>
      <c r="B479" s="35">
        <v>3</v>
      </c>
      <c r="C479" s="35">
        <v>2</v>
      </c>
      <c r="D479" s="35">
        <v>54500</v>
      </c>
    </row>
    <row r="480" spans="1:4" x14ac:dyDescent="0.3">
      <c r="A480" s="35">
        <v>625</v>
      </c>
      <c r="B480" s="35">
        <v>3</v>
      </c>
      <c r="C480" s="35">
        <v>0</v>
      </c>
      <c r="D480" s="35">
        <v>30500</v>
      </c>
    </row>
    <row r="481" spans="1:4" x14ac:dyDescent="0.3">
      <c r="A481" s="35">
        <v>325</v>
      </c>
      <c r="B481" s="35">
        <v>2</v>
      </c>
      <c r="C481" s="35">
        <v>0</v>
      </c>
      <c r="D481" s="35">
        <v>18500</v>
      </c>
    </row>
    <row r="482" spans="1:4" x14ac:dyDescent="0.3">
      <c r="A482" s="35">
        <v>340</v>
      </c>
      <c r="B482" s="35">
        <v>2</v>
      </c>
      <c r="C482" s="35">
        <v>1</v>
      </c>
      <c r="D482" s="35">
        <v>28200</v>
      </c>
    </row>
    <row r="483" spans="1:4" x14ac:dyDescent="0.3">
      <c r="A483" s="35">
        <v>670</v>
      </c>
      <c r="B483" s="35">
        <v>3</v>
      </c>
      <c r="C483" s="35">
        <v>0</v>
      </c>
      <c r="D483" s="35">
        <v>43200</v>
      </c>
    </row>
    <row r="484" spans="1:4" x14ac:dyDescent="0.3">
      <c r="A484" s="35">
        <v>410</v>
      </c>
      <c r="B484" s="35">
        <v>2</v>
      </c>
      <c r="C484" s="35">
        <v>0</v>
      </c>
      <c r="D484" s="35">
        <v>22200</v>
      </c>
    </row>
    <row r="485" spans="1:4" x14ac:dyDescent="0.3">
      <c r="A485" s="35">
        <v>270</v>
      </c>
      <c r="B485" s="35">
        <v>1</v>
      </c>
      <c r="C485" s="35">
        <v>0</v>
      </c>
      <c r="D485" s="35">
        <v>15200</v>
      </c>
    </row>
    <row r="486" spans="1:4" x14ac:dyDescent="0.3">
      <c r="A486" s="35">
        <v>267</v>
      </c>
      <c r="B486" s="35">
        <v>1</v>
      </c>
      <c r="C486" s="35">
        <v>0</v>
      </c>
      <c r="D486" s="35">
        <v>19700</v>
      </c>
    </row>
    <row r="487" spans="1:4" x14ac:dyDescent="0.3">
      <c r="A487" s="35">
        <v>267</v>
      </c>
      <c r="B487" s="35">
        <v>1</v>
      </c>
      <c r="C487" s="35">
        <v>0</v>
      </c>
      <c r="D487" s="35">
        <v>17700</v>
      </c>
    </row>
    <row r="488" spans="1:4" x14ac:dyDescent="0.3">
      <c r="A488" s="35">
        <v>330</v>
      </c>
      <c r="B488" s="35">
        <v>2</v>
      </c>
      <c r="C488" s="35">
        <v>0</v>
      </c>
      <c r="D488" s="35">
        <v>19100</v>
      </c>
    </row>
    <row r="489" spans="1:4" x14ac:dyDescent="0.3">
      <c r="A489" s="35">
        <v>510</v>
      </c>
      <c r="B489" s="35">
        <v>2</v>
      </c>
      <c r="C489" s="35">
        <v>2</v>
      </c>
      <c r="D489" s="35">
        <v>30200</v>
      </c>
    </row>
    <row r="490" spans="1:4" x14ac:dyDescent="0.3">
      <c r="A490" s="35">
        <v>450</v>
      </c>
      <c r="B490" s="35">
        <v>1</v>
      </c>
      <c r="C490" s="35">
        <v>0</v>
      </c>
      <c r="D490" s="35">
        <v>18200</v>
      </c>
    </row>
    <row r="491" spans="1:4" x14ac:dyDescent="0.3">
      <c r="A491" s="35">
        <v>1520</v>
      </c>
      <c r="B491" s="35">
        <v>4</v>
      </c>
      <c r="C491" s="35">
        <v>0</v>
      </c>
      <c r="D491" s="35">
        <v>83200</v>
      </c>
    </row>
    <row r="492" spans="1:4" x14ac:dyDescent="0.3">
      <c r="A492" s="35">
        <v>720</v>
      </c>
      <c r="B492" s="35">
        <v>2</v>
      </c>
      <c r="C492" s="35">
        <v>0</v>
      </c>
      <c r="D492" s="35">
        <v>32200</v>
      </c>
    </row>
    <row r="493" spans="1:4" x14ac:dyDescent="0.3">
      <c r="A493" s="35">
        <v>1770</v>
      </c>
      <c r="B493" s="35">
        <v>4</v>
      </c>
      <c r="C493" s="35">
        <v>0</v>
      </c>
      <c r="D493" s="35">
        <v>74200</v>
      </c>
    </row>
    <row r="494" spans="1:4" x14ac:dyDescent="0.3">
      <c r="A494" s="35">
        <v>970</v>
      </c>
      <c r="B494" s="35">
        <v>3</v>
      </c>
      <c r="C494" s="35">
        <v>0</v>
      </c>
      <c r="D494" s="35">
        <v>48200</v>
      </c>
    </row>
    <row r="495" spans="1:4" x14ac:dyDescent="0.3">
      <c r="A495" s="35">
        <v>742</v>
      </c>
      <c r="B495" s="35">
        <v>2</v>
      </c>
      <c r="C495" s="35">
        <v>0</v>
      </c>
      <c r="D495" s="35">
        <v>35200</v>
      </c>
    </row>
    <row r="496" spans="1:4" x14ac:dyDescent="0.3">
      <c r="A496" s="35">
        <v>442</v>
      </c>
      <c r="B496" s="35">
        <v>2</v>
      </c>
      <c r="C496" s="35">
        <v>2</v>
      </c>
      <c r="D496" s="35">
        <v>29700</v>
      </c>
    </row>
    <row r="497" spans="1:4" x14ac:dyDescent="0.3">
      <c r="A497" s="35">
        <v>1200</v>
      </c>
      <c r="B497" s="35">
        <v>3</v>
      </c>
      <c r="C497" s="35">
        <v>0</v>
      </c>
      <c r="D497" s="35">
        <v>47200</v>
      </c>
    </row>
    <row r="498" spans="1:4" x14ac:dyDescent="0.3">
      <c r="A498" s="35">
        <v>1132</v>
      </c>
      <c r="B498" s="35">
        <v>3</v>
      </c>
      <c r="C498" s="35">
        <v>0</v>
      </c>
      <c r="D498" s="35">
        <v>42200</v>
      </c>
    </row>
    <row r="499" spans="1:4" x14ac:dyDescent="0.3">
      <c r="A499" s="35">
        <v>820</v>
      </c>
      <c r="B499" s="35">
        <v>3</v>
      </c>
      <c r="C499" s="35">
        <v>2</v>
      </c>
      <c r="D499" s="35">
        <v>54200</v>
      </c>
    </row>
    <row r="500" spans="1:4" x14ac:dyDescent="0.3">
      <c r="A500" s="35">
        <v>620</v>
      </c>
      <c r="B500" s="35">
        <v>3</v>
      </c>
      <c r="C500" s="35">
        <v>0</v>
      </c>
      <c r="D500" s="35">
        <v>30200</v>
      </c>
    </row>
    <row r="501" spans="1:4" x14ac:dyDescent="0.3">
      <c r="A501" s="35">
        <v>320</v>
      </c>
      <c r="B501" s="35">
        <v>2</v>
      </c>
      <c r="C501" s="35">
        <v>0</v>
      </c>
      <c r="D501" s="35">
        <v>18200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8F5A-45B1-43F7-8F73-8F5A61AE4565}">
  <dimension ref="A1:P232"/>
  <sheetViews>
    <sheetView showGridLines="0" topLeftCell="A2" zoomScaleNormal="100" workbookViewId="0">
      <selection activeCell="I32" sqref="I31:I32"/>
    </sheetView>
  </sheetViews>
  <sheetFormatPr defaultRowHeight="14.4" x14ac:dyDescent="0.3"/>
  <cols>
    <col min="1" max="1" width="15" style="1" customWidth="1"/>
    <col min="2" max="2" width="19.44140625" style="1" bestFit="1" customWidth="1"/>
    <col min="15" max="15" width="18" bestFit="1" customWidth="1"/>
    <col min="18" max="18" width="11.6640625" customWidth="1"/>
  </cols>
  <sheetData>
    <row r="1" spans="1:16" x14ac:dyDescent="0.3">
      <c r="A1" s="35" t="s">
        <v>995</v>
      </c>
      <c r="B1" s="35" t="s">
        <v>996</v>
      </c>
      <c r="K1" s="60" t="s">
        <v>715</v>
      </c>
      <c r="L1" s="60" t="s">
        <v>718</v>
      </c>
      <c r="O1" s="62" t="s">
        <v>997</v>
      </c>
      <c r="P1" s="35"/>
    </row>
    <row r="2" spans="1:16" x14ac:dyDescent="0.3">
      <c r="A2" s="35">
        <v>1</v>
      </c>
      <c r="B2" s="35">
        <v>1</v>
      </c>
      <c r="K2" s="61">
        <v>212</v>
      </c>
      <c r="L2" s="61">
        <v>9000</v>
      </c>
      <c r="O2" s="62" t="s">
        <v>998</v>
      </c>
      <c r="P2" s="35"/>
    </row>
    <row r="3" spans="1:16" x14ac:dyDescent="0.3">
      <c r="A3" s="35">
        <v>2</v>
      </c>
      <c r="B3" s="35">
        <v>2</v>
      </c>
      <c r="K3" s="61">
        <v>215</v>
      </c>
      <c r="L3" s="61">
        <v>10500</v>
      </c>
    </row>
    <row r="4" spans="1:16" x14ac:dyDescent="0.3">
      <c r="A4" s="35">
        <v>2</v>
      </c>
      <c r="B4" s="35">
        <v>3</v>
      </c>
      <c r="K4" s="61">
        <v>222</v>
      </c>
      <c r="L4" s="61">
        <v>12000</v>
      </c>
    </row>
    <row r="5" spans="1:16" x14ac:dyDescent="0.3">
      <c r="A5" s="35">
        <v>3</v>
      </c>
      <c r="B5" s="35">
        <v>6</v>
      </c>
      <c r="K5" s="61">
        <v>225</v>
      </c>
      <c r="L5" s="61">
        <v>13500</v>
      </c>
    </row>
    <row r="6" spans="1:16" x14ac:dyDescent="0.3">
      <c r="A6" s="62" t="s">
        <v>997</v>
      </c>
      <c r="B6" s="62"/>
      <c r="K6" s="61">
        <v>247</v>
      </c>
      <c r="L6" s="61">
        <v>10500</v>
      </c>
    </row>
    <row r="7" spans="1:16" x14ac:dyDescent="0.3">
      <c r="A7" s="62" t="s">
        <v>998</v>
      </c>
      <c r="B7" s="62"/>
      <c r="K7" s="61">
        <v>250</v>
      </c>
      <c r="L7" s="61">
        <v>12000</v>
      </c>
    </row>
    <row r="8" spans="1:16" x14ac:dyDescent="0.3">
      <c r="K8" s="61">
        <v>257</v>
      </c>
      <c r="L8" s="61">
        <v>13500</v>
      </c>
    </row>
    <row r="9" spans="1:16" x14ac:dyDescent="0.3">
      <c r="K9" s="61">
        <v>260</v>
      </c>
      <c r="L9" s="61">
        <v>15000</v>
      </c>
    </row>
    <row r="10" spans="1:16" x14ac:dyDescent="0.3">
      <c r="K10" s="61">
        <v>262</v>
      </c>
      <c r="L10" s="61">
        <v>11000</v>
      </c>
    </row>
    <row r="11" spans="1:16" x14ac:dyDescent="0.3">
      <c r="K11" s="61">
        <v>265</v>
      </c>
      <c r="L11" s="61">
        <v>11500</v>
      </c>
    </row>
    <row r="12" spans="1:16" x14ac:dyDescent="0.3">
      <c r="K12" s="61">
        <v>267</v>
      </c>
      <c r="L12" s="61">
        <v>19700</v>
      </c>
    </row>
    <row r="13" spans="1:16" x14ac:dyDescent="0.3">
      <c r="K13" s="61">
        <v>270</v>
      </c>
      <c r="L13" s="61">
        <v>15200</v>
      </c>
    </row>
    <row r="14" spans="1:16" x14ac:dyDescent="0.3">
      <c r="K14" s="61">
        <v>272</v>
      </c>
      <c r="L14" s="61">
        <v>14000</v>
      </c>
    </row>
    <row r="15" spans="1:16" x14ac:dyDescent="0.3">
      <c r="K15" s="61">
        <v>275</v>
      </c>
      <c r="L15" s="61">
        <v>14400</v>
      </c>
    </row>
    <row r="16" spans="1:16" x14ac:dyDescent="0.3">
      <c r="K16" s="61">
        <v>285</v>
      </c>
      <c r="L16" s="61">
        <v>23500</v>
      </c>
    </row>
    <row r="17" spans="11:12" x14ac:dyDescent="0.3">
      <c r="K17" s="61">
        <v>290</v>
      </c>
      <c r="L17" s="61">
        <v>12000</v>
      </c>
    </row>
    <row r="18" spans="11:12" x14ac:dyDescent="0.3">
      <c r="K18" s="61">
        <v>295</v>
      </c>
      <c r="L18" s="61">
        <v>14500</v>
      </c>
    </row>
    <row r="19" spans="11:12" x14ac:dyDescent="0.3">
      <c r="K19" s="61">
        <v>297</v>
      </c>
      <c r="L19" s="61">
        <v>12500</v>
      </c>
    </row>
    <row r="20" spans="11:12" x14ac:dyDescent="0.3">
      <c r="K20" s="61">
        <v>300</v>
      </c>
      <c r="L20" s="61">
        <v>13000</v>
      </c>
    </row>
    <row r="21" spans="11:12" x14ac:dyDescent="0.3">
      <c r="K21" s="61">
        <v>305</v>
      </c>
      <c r="L21" s="61">
        <v>17500</v>
      </c>
    </row>
    <row r="22" spans="11:12" x14ac:dyDescent="0.3">
      <c r="K22" s="61">
        <v>307</v>
      </c>
      <c r="L22" s="61">
        <v>15500</v>
      </c>
    </row>
    <row r="23" spans="11:12" x14ac:dyDescent="0.3">
      <c r="K23" s="61">
        <v>310</v>
      </c>
      <c r="L23" s="61">
        <v>15900</v>
      </c>
    </row>
    <row r="24" spans="11:12" x14ac:dyDescent="0.3">
      <c r="K24" s="61">
        <v>315</v>
      </c>
      <c r="L24" s="61">
        <v>13500</v>
      </c>
    </row>
    <row r="25" spans="11:12" x14ac:dyDescent="0.3">
      <c r="K25" s="61">
        <v>320</v>
      </c>
      <c r="L25" s="61">
        <v>25000</v>
      </c>
    </row>
    <row r="26" spans="11:12" x14ac:dyDescent="0.3">
      <c r="K26" s="61">
        <v>325</v>
      </c>
      <c r="L26" s="61">
        <v>13500</v>
      </c>
    </row>
    <row r="27" spans="11:12" x14ac:dyDescent="0.3">
      <c r="K27" s="61">
        <v>330</v>
      </c>
      <c r="L27" s="61">
        <v>16000</v>
      </c>
    </row>
    <row r="28" spans="11:12" x14ac:dyDescent="0.3">
      <c r="K28" s="61">
        <v>335</v>
      </c>
      <c r="L28" s="61">
        <v>16500</v>
      </c>
    </row>
    <row r="29" spans="11:12" x14ac:dyDescent="0.3">
      <c r="K29" s="61">
        <v>340</v>
      </c>
      <c r="L29" s="61">
        <v>19000</v>
      </c>
    </row>
    <row r="30" spans="11:12" x14ac:dyDescent="0.3">
      <c r="K30" s="61">
        <v>345</v>
      </c>
      <c r="L30" s="61">
        <v>16500</v>
      </c>
    </row>
    <row r="31" spans="11:12" x14ac:dyDescent="0.3">
      <c r="K31" s="61">
        <v>350</v>
      </c>
      <c r="L31" s="61">
        <v>15000</v>
      </c>
    </row>
    <row r="32" spans="11:12" x14ac:dyDescent="0.3">
      <c r="K32" s="61">
        <v>355</v>
      </c>
      <c r="L32" s="61">
        <v>17500</v>
      </c>
    </row>
    <row r="33" spans="11:12" x14ac:dyDescent="0.3">
      <c r="K33" s="61">
        <v>360</v>
      </c>
      <c r="L33" s="61">
        <v>18000</v>
      </c>
    </row>
    <row r="34" spans="11:12" x14ac:dyDescent="0.3">
      <c r="K34" s="61">
        <v>365</v>
      </c>
      <c r="L34" s="61">
        <v>15500</v>
      </c>
    </row>
    <row r="35" spans="11:12" x14ac:dyDescent="0.3">
      <c r="K35" s="61">
        <v>370</v>
      </c>
      <c r="L35" s="61">
        <v>27000</v>
      </c>
    </row>
    <row r="36" spans="11:12" x14ac:dyDescent="0.3">
      <c r="K36" s="61">
        <v>375</v>
      </c>
      <c r="L36" s="61">
        <v>18500</v>
      </c>
    </row>
    <row r="37" spans="11:12" x14ac:dyDescent="0.3">
      <c r="K37" s="61">
        <v>380</v>
      </c>
      <c r="L37" s="61">
        <v>18000</v>
      </c>
    </row>
    <row r="38" spans="11:12" x14ac:dyDescent="0.3">
      <c r="K38" s="61">
        <v>385</v>
      </c>
      <c r="L38" s="61">
        <v>18500</v>
      </c>
    </row>
    <row r="39" spans="11:12" x14ac:dyDescent="0.3">
      <c r="K39" s="61">
        <v>387</v>
      </c>
      <c r="L39" s="61">
        <v>25000</v>
      </c>
    </row>
    <row r="40" spans="11:12" x14ac:dyDescent="0.3">
      <c r="K40" s="61">
        <v>390</v>
      </c>
      <c r="L40" s="61">
        <v>19000</v>
      </c>
    </row>
    <row r="41" spans="11:12" x14ac:dyDescent="0.3">
      <c r="K41" s="61">
        <v>395</v>
      </c>
      <c r="L41" s="61">
        <v>13500</v>
      </c>
    </row>
    <row r="42" spans="11:12" x14ac:dyDescent="0.3">
      <c r="K42" s="61">
        <v>397</v>
      </c>
      <c r="L42" s="61">
        <v>28000</v>
      </c>
    </row>
    <row r="43" spans="11:12" x14ac:dyDescent="0.3">
      <c r="K43" s="61">
        <v>400</v>
      </c>
      <c r="L43" s="61">
        <v>17000</v>
      </c>
    </row>
    <row r="44" spans="11:12" x14ac:dyDescent="0.3">
      <c r="K44" s="61">
        <v>405</v>
      </c>
      <c r="L44" s="61">
        <v>16500</v>
      </c>
    </row>
    <row r="45" spans="11:12" x14ac:dyDescent="0.3">
      <c r="K45" s="61">
        <v>410</v>
      </c>
      <c r="L45" s="61">
        <v>20000</v>
      </c>
    </row>
    <row r="46" spans="11:12" x14ac:dyDescent="0.3">
      <c r="K46" s="61">
        <v>415</v>
      </c>
      <c r="L46" s="61">
        <v>23500</v>
      </c>
    </row>
    <row r="47" spans="11:12" x14ac:dyDescent="0.3">
      <c r="K47" s="61">
        <v>422</v>
      </c>
      <c r="L47" s="61">
        <v>26500</v>
      </c>
    </row>
    <row r="48" spans="11:12" x14ac:dyDescent="0.3">
      <c r="K48" s="61">
        <v>425</v>
      </c>
      <c r="L48" s="61">
        <v>26500</v>
      </c>
    </row>
    <row r="49" spans="11:12" x14ac:dyDescent="0.3">
      <c r="K49" s="61">
        <v>430</v>
      </c>
      <c r="L49" s="61">
        <v>15000</v>
      </c>
    </row>
    <row r="50" spans="11:12" x14ac:dyDescent="0.3">
      <c r="K50" s="61">
        <v>432</v>
      </c>
      <c r="L50" s="61">
        <v>29500</v>
      </c>
    </row>
    <row r="51" spans="11:12" x14ac:dyDescent="0.3">
      <c r="K51" s="61">
        <v>437</v>
      </c>
      <c r="L51" s="61">
        <v>27000</v>
      </c>
    </row>
    <row r="52" spans="11:12" x14ac:dyDescent="0.3">
      <c r="K52" s="61">
        <v>440</v>
      </c>
      <c r="L52" s="61">
        <v>18000</v>
      </c>
    </row>
    <row r="53" spans="11:12" x14ac:dyDescent="0.3">
      <c r="K53" s="61">
        <v>442</v>
      </c>
      <c r="L53" s="61">
        <v>29700</v>
      </c>
    </row>
    <row r="54" spans="11:12" x14ac:dyDescent="0.3">
      <c r="K54" s="61">
        <v>445</v>
      </c>
      <c r="L54" s="61">
        <v>15500</v>
      </c>
    </row>
    <row r="55" spans="11:12" x14ac:dyDescent="0.3">
      <c r="K55" s="61">
        <v>447</v>
      </c>
      <c r="L55" s="61">
        <v>30000</v>
      </c>
    </row>
    <row r="56" spans="11:12" x14ac:dyDescent="0.3">
      <c r="K56" s="61">
        <v>450</v>
      </c>
      <c r="L56" s="61">
        <v>25000</v>
      </c>
    </row>
    <row r="57" spans="11:12" x14ac:dyDescent="0.3">
      <c r="K57" s="61">
        <v>455</v>
      </c>
      <c r="L57" s="61">
        <v>25500</v>
      </c>
    </row>
    <row r="58" spans="11:12" x14ac:dyDescent="0.3">
      <c r="K58" s="61">
        <v>460</v>
      </c>
      <c r="L58" s="61">
        <v>28000</v>
      </c>
    </row>
    <row r="59" spans="11:12" x14ac:dyDescent="0.3">
      <c r="K59" s="61">
        <v>465</v>
      </c>
      <c r="L59" s="61">
        <v>28500</v>
      </c>
    </row>
    <row r="60" spans="11:12" x14ac:dyDescent="0.3">
      <c r="K60" s="61">
        <v>472</v>
      </c>
      <c r="L60" s="61">
        <v>28500</v>
      </c>
    </row>
    <row r="61" spans="11:12" x14ac:dyDescent="0.3">
      <c r="K61" s="61">
        <v>475</v>
      </c>
      <c r="L61" s="61">
        <v>30000</v>
      </c>
    </row>
    <row r="62" spans="11:12" x14ac:dyDescent="0.3">
      <c r="K62" s="61">
        <v>480</v>
      </c>
      <c r="L62" s="61">
        <v>17000</v>
      </c>
    </row>
    <row r="63" spans="11:12" x14ac:dyDescent="0.3">
      <c r="K63" s="61">
        <v>482</v>
      </c>
      <c r="L63" s="61">
        <v>31500</v>
      </c>
    </row>
    <row r="64" spans="11:12" x14ac:dyDescent="0.3">
      <c r="K64" s="61">
        <v>485</v>
      </c>
      <c r="L64" s="61">
        <v>33000</v>
      </c>
    </row>
    <row r="65" spans="11:12" x14ac:dyDescent="0.3">
      <c r="K65" s="61">
        <v>490</v>
      </c>
      <c r="L65" s="61">
        <v>27000</v>
      </c>
    </row>
    <row r="66" spans="11:12" x14ac:dyDescent="0.3">
      <c r="K66" s="61">
        <v>500</v>
      </c>
      <c r="L66" s="61">
        <v>30000</v>
      </c>
    </row>
    <row r="67" spans="11:12" x14ac:dyDescent="0.3">
      <c r="K67" s="61">
        <v>505</v>
      </c>
      <c r="L67" s="61">
        <v>27500</v>
      </c>
    </row>
    <row r="68" spans="11:12" x14ac:dyDescent="0.3">
      <c r="K68" s="61">
        <v>510</v>
      </c>
      <c r="L68" s="61">
        <v>30000</v>
      </c>
    </row>
    <row r="69" spans="11:12" x14ac:dyDescent="0.3">
      <c r="K69" s="61">
        <v>515</v>
      </c>
      <c r="L69" s="61">
        <v>28500</v>
      </c>
    </row>
    <row r="70" spans="11:12" x14ac:dyDescent="0.3">
      <c r="K70" s="61">
        <v>525</v>
      </c>
      <c r="L70" s="61">
        <v>31500</v>
      </c>
    </row>
    <row r="71" spans="11:12" x14ac:dyDescent="0.3">
      <c r="K71" s="61">
        <v>535</v>
      </c>
      <c r="L71" s="61">
        <v>35000</v>
      </c>
    </row>
    <row r="72" spans="11:12" x14ac:dyDescent="0.3">
      <c r="K72" s="61">
        <v>540</v>
      </c>
      <c r="L72" s="61">
        <v>29000</v>
      </c>
    </row>
    <row r="73" spans="11:12" x14ac:dyDescent="0.3">
      <c r="K73" s="61">
        <v>550</v>
      </c>
      <c r="L73" s="61">
        <v>30000</v>
      </c>
    </row>
    <row r="74" spans="11:12" x14ac:dyDescent="0.3">
      <c r="K74" s="61">
        <v>555</v>
      </c>
      <c r="L74" s="61">
        <v>31000</v>
      </c>
    </row>
    <row r="75" spans="11:12" x14ac:dyDescent="0.3">
      <c r="K75" s="61">
        <v>560</v>
      </c>
      <c r="L75" s="61">
        <v>33000</v>
      </c>
    </row>
    <row r="76" spans="11:12" x14ac:dyDescent="0.3">
      <c r="K76" s="61">
        <v>565</v>
      </c>
      <c r="L76" s="61">
        <v>25500</v>
      </c>
    </row>
    <row r="77" spans="11:12" x14ac:dyDescent="0.3">
      <c r="K77" s="61">
        <v>575</v>
      </c>
      <c r="L77" s="61">
        <v>26500</v>
      </c>
    </row>
    <row r="78" spans="11:12" x14ac:dyDescent="0.3">
      <c r="K78" s="61">
        <v>585</v>
      </c>
      <c r="L78" s="61">
        <v>29500</v>
      </c>
    </row>
    <row r="79" spans="11:12" x14ac:dyDescent="0.3">
      <c r="K79" s="61">
        <v>590</v>
      </c>
      <c r="L79" s="61">
        <v>32500</v>
      </c>
    </row>
    <row r="80" spans="11:12" x14ac:dyDescent="0.3">
      <c r="K80" s="61">
        <v>600</v>
      </c>
      <c r="L80" s="61">
        <v>27000</v>
      </c>
    </row>
    <row r="81" spans="1:12" x14ac:dyDescent="0.3">
      <c r="K81" s="61">
        <v>605</v>
      </c>
      <c r="L81" s="61">
        <v>33000</v>
      </c>
    </row>
    <row r="82" spans="1:12" x14ac:dyDescent="0.3">
      <c r="K82" s="61">
        <v>610</v>
      </c>
      <c r="L82" s="61">
        <v>28000</v>
      </c>
    </row>
    <row r="83" spans="1:12" x14ac:dyDescent="0.3">
      <c r="K83" s="61">
        <v>615</v>
      </c>
      <c r="L83" s="61">
        <v>31500</v>
      </c>
    </row>
    <row r="84" spans="1:12" x14ac:dyDescent="0.3">
      <c r="K84" s="61">
        <v>620</v>
      </c>
      <c r="L84" s="61">
        <v>31000</v>
      </c>
    </row>
    <row r="85" spans="1:12" x14ac:dyDescent="0.3">
      <c r="K85" s="61">
        <v>625</v>
      </c>
      <c r="L85" s="61">
        <v>34500</v>
      </c>
    </row>
    <row r="86" spans="1:12" x14ac:dyDescent="0.3">
      <c r="K86" s="61">
        <v>635</v>
      </c>
      <c r="L86" s="61">
        <v>30000</v>
      </c>
    </row>
    <row r="87" spans="1:12" x14ac:dyDescent="0.3">
      <c r="K87" s="61">
        <v>640</v>
      </c>
      <c r="L87" s="61">
        <v>34500</v>
      </c>
    </row>
    <row r="88" spans="1:12" x14ac:dyDescent="0.3">
      <c r="K88" s="61">
        <v>645</v>
      </c>
      <c r="L88" s="61">
        <v>33000</v>
      </c>
    </row>
    <row r="89" spans="1:12" x14ac:dyDescent="0.3">
      <c r="K89" s="61">
        <v>650</v>
      </c>
      <c r="L89" s="61">
        <v>33000</v>
      </c>
    </row>
    <row r="90" spans="1:12" x14ac:dyDescent="0.3">
      <c r="A90" s="63"/>
      <c r="K90" s="61">
        <v>660</v>
      </c>
      <c r="L90" s="61">
        <v>36000</v>
      </c>
    </row>
    <row r="91" spans="1:12" x14ac:dyDescent="0.3">
      <c r="K91" s="61">
        <v>665</v>
      </c>
      <c r="L91" s="61">
        <v>33500</v>
      </c>
    </row>
    <row r="92" spans="1:12" x14ac:dyDescent="0.3">
      <c r="K92" s="61">
        <v>670</v>
      </c>
      <c r="L92" s="61">
        <v>33000</v>
      </c>
    </row>
    <row r="93" spans="1:12" x14ac:dyDescent="0.3">
      <c r="K93" s="61">
        <v>675</v>
      </c>
      <c r="L93" s="61">
        <v>36500</v>
      </c>
    </row>
    <row r="94" spans="1:12" x14ac:dyDescent="0.3">
      <c r="K94" s="61">
        <v>685</v>
      </c>
      <c r="L94" s="61">
        <v>32000</v>
      </c>
    </row>
    <row r="95" spans="1:12" x14ac:dyDescent="0.3">
      <c r="K95" s="61">
        <v>687</v>
      </c>
      <c r="L95" s="61">
        <v>30500</v>
      </c>
    </row>
    <row r="96" spans="1:12" x14ac:dyDescent="0.3">
      <c r="K96" s="61">
        <v>695</v>
      </c>
      <c r="L96" s="61">
        <v>35000</v>
      </c>
    </row>
    <row r="97" spans="11:12" x14ac:dyDescent="0.3">
      <c r="K97" s="61">
        <v>697</v>
      </c>
      <c r="L97" s="61">
        <v>33500</v>
      </c>
    </row>
    <row r="98" spans="11:12" x14ac:dyDescent="0.3">
      <c r="K98" s="61">
        <v>700</v>
      </c>
      <c r="L98" s="61">
        <v>35000</v>
      </c>
    </row>
    <row r="99" spans="11:12" x14ac:dyDescent="0.3">
      <c r="K99" s="61">
        <v>710</v>
      </c>
      <c r="L99" s="61">
        <v>38000</v>
      </c>
    </row>
    <row r="100" spans="11:12" x14ac:dyDescent="0.3">
      <c r="K100" s="61">
        <v>715</v>
      </c>
      <c r="L100" s="61">
        <v>53500</v>
      </c>
    </row>
    <row r="101" spans="11:12" x14ac:dyDescent="0.3">
      <c r="K101" s="61">
        <v>720</v>
      </c>
      <c r="L101" s="61">
        <v>32200</v>
      </c>
    </row>
    <row r="102" spans="11:12" x14ac:dyDescent="0.3">
      <c r="K102" s="61">
        <v>722</v>
      </c>
      <c r="L102" s="61">
        <v>32000</v>
      </c>
    </row>
    <row r="103" spans="11:12" x14ac:dyDescent="0.3">
      <c r="K103" s="61">
        <v>725</v>
      </c>
      <c r="L103" s="61">
        <v>56500</v>
      </c>
    </row>
    <row r="104" spans="11:12" x14ac:dyDescent="0.3">
      <c r="K104" s="61">
        <v>732</v>
      </c>
      <c r="L104" s="61">
        <v>35000</v>
      </c>
    </row>
    <row r="105" spans="11:12" x14ac:dyDescent="0.3">
      <c r="K105" s="61">
        <v>737</v>
      </c>
      <c r="L105" s="61">
        <v>32500</v>
      </c>
    </row>
    <row r="106" spans="11:12" x14ac:dyDescent="0.3">
      <c r="K106" s="61">
        <v>742</v>
      </c>
      <c r="L106" s="61">
        <v>35200</v>
      </c>
    </row>
    <row r="107" spans="11:12" x14ac:dyDescent="0.3">
      <c r="K107" s="61">
        <v>747</v>
      </c>
      <c r="L107" s="61">
        <v>35500</v>
      </c>
    </row>
    <row r="108" spans="11:12" x14ac:dyDescent="0.3">
      <c r="K108" s="61">
        <v>750</v>
      </c>
      <c r="L108" s="61">
        <v>55000</v>
      </c>
    </row>
    <row r="109" spans="11:12" x14ac:dyDescent="0.3">
      <c r="K109" s="61">
        <v>760</v>
      </c>
      <c r="L109" s="61">
        <v>58000</v>
      </c>
    </row>
    <row r="110" spans="11:12" x14ac:dyDescent="0.3">
      <c r="K110" s="61">
        <v>765</v>
      </c>
      <c r="L110" s="61">
        <v>43500</v>
      </c>
    </row>
    <row r="111" spans="11:12" x14ac:dyDescent="0.3">
      <c r="K111" s="61">
        <v>772</v>
      </c>
      <c r="L111" s="61">
        <v>34000</v>
      </c>
    </row>
    <row r="112" spans="11:12" x14ac:dyDescent="0.3">
      <c r="K112" s="61">
        <v>775</v>
      </c>
      <c r="L112" s="61">
        <v>46500</v>
      </c>
    </row>
    <row r="113" spans="11:12" x14ac:dyDescent="0.3">
      <c r="K113" s="61">
        <v>782</v>
      </c>
      <c r="L113" s="61">
        <v>37000</v>
      </c>
    </row>
    <row r="114" spans="11:12" x14ac:dyDescent="0.3">
      <c r="K114" s="61">
        <v>800</v>
      </c>
      <c r="L114" s="61">
        <v>45000</v>
      </c>
    </row>
    <row r="115" spans="11:12" x14ac:dyDescent="0.3">
      <c r="K115" s="61">
        <v>810</v>
      </c>
      <c r="L115" s="61">
        <v>48000</v>
      </c>
    </row>
    <row r="116" spans="11:12" x14ac:dyDescent="0.3">
      <c r="K116" s="61">
        <v>815</v>
      </c>
      <c r="L116" s="61">
        <v>45500</v>
      </c>
    </row>
    <row r="117" spans="11:12" x14ac:dyDescent="0.3">
      <c r="K117" s="61">
        <v>820</v>
      </c>
      <c r="L117" s="61">
        <v>54200</v>
      </c>
    </row>
    <row r="118" spans="11:12" x14ac:dyDescent="0.3">
      <c r="K118" s="61">
        <v>825</v>
      </c>
      <c r="L118" s="61">
        <v>48500</v>
      </c>
    </row>
    <row r="119" spans="11:12" x14ac:dyDescent="0.3">
      <c r="K119" s="61">
        <v>850</v>
      </c>
      <c r="L119" s="61">
        <v>47000</v>
      </c>
    </row>
    <row r="120" spans="11:12" x14ac:dyDescent="0.3">
      <c r="K120" s="61">
        <v>860</v>
      </c>
      <c r="L120" s="61">
        <v>50000</v>
      </c>
    </row>
    <row r="121" spans="11:12" x14ac:dyDescent="0.3">
      <c r="K121" s="61">
        <v>865</v>
      </c>
      <c r="L121" s="61">
        <v>35500</v>
      </c>
    </row>
    <row r="122" spans="11:12" x14ac:dyDescent="0.3">
      <c r="K122" s="61">
        <v>875</v>
      </c>
      <c r="L122" s="61">
        <v>38500</v>
      </c>
    </row>
    <row r="123" spans="11:12" x14ac:dyDescent="0.3">
      <c r="K123" s="61">
        <v>900</v>
      </c>
      <c r="L123" s="61">
        <v>37000</v>
      </c>
    </row>
    <row r="124" spans="11:12" x14ac:dyDescent="0.3">
      <c r="K124" s="61">
        <v>910</v>
      </c>
      <c r="L124" s="61">
        <v>40000</v>
      </c>
    </row>
    <row r="125" spans="11:12" x14ac:dyDescent="0.3">
      <c r="K125" s="61">
        <v>915</v>
      </c>
      <c r="L125" s="61">
        <v>37500</v>
      </c>
    </row>
    <row r="126" spans="11:12" x14ac:dyDescent="0.3">
      <c r="K126" s="61">
        <v>925</v>
      </c>
      <c r="L126" s="61">
        <v>40500</v>
      </c>
    </row>
    <row r="127" spans="11:12" x14ac:dyDescent="0.3">
      <c r="K127" s="61">
        <v>950</v>
      </c>
      <c r="L127" s="61">
        <v>39000</v>
      </c>
    </row>
    <row r="128" spans="11:12" x14ac:dyDescent="0.3">
      <c r="K128" s="61">
        <v>960</v>
      </c>
      <c r="L128" s="61">
        <v>42000</v>
      </c>
    </row>
    <row r="129" spans="11:12" x14ac:dyDescent="0.3">
      <c r="K129" s="61">
        <v>965</v>
      </c>
      <c r="L129" s="61">
        <v>36500</v>
      </c>
    </row>
    <row r="130" spans="11:12" x14ac:dyDescent="0.3">
      <c r="K130" s="61">
        <v>970</v>
      </c>
      <c r="L130" s="61">
        <v>48200</v>
      </c>
    </row>
    <row r="131" spans="11:12" x14ac:dyDescent="0.3">
      <c r="K131" s="61">
        <v>975</v>
      </c>
      <c r="L131" s="61">
        <v>39500</v>
      </c>
    </row>
    <row r="132" spans="11:12" x14ac:dyDescent="0.3">
      <c r="K132" s="61">
        <v>1000</v>
      </c>
      <c r="L132" s="61">
        <v>38000</v>
      </c>
    </row>
    <row r="133" spans="11:12" x14ac:dyDescent="0.3">
      <c r="K133" s="61">
        <v>1010</v>
      </c>
      <c r="L133" s="61">
        <v>41000</v>
      </c>
    </row>
    <row r="134" spans="11:12" x14ac:dyDescent="0.3">
      <c r="K134" s="61">
        <v>1015</v>
      </c>
      <c r="L134" s="61">
        <v>38500</v>
      </c>
    </row>
    <row r="135" spans="11:12" x14ac:dyDescent="0.3">
      <c r="K135" s="61">
        <v>1025</v>
      </c>
      <c r="L135" s="61">
        <v>41500</v>
      </c>
    </row>
    <row r="136" spans="11:12" x14ac:dyDescent="0.3">
      <c r="K136" s="61">
        <v>1050</v>
      </c>
      <c r="L136" s="61">
        <v>40000</v>
      </c>
    </row>
    <row r="137" spans="11:12" x14ac:dyDescent="0.3">
      <c r="K137" s="61">
        <v>1060</v>
      </c>
      <c r="L137" s="61">
        <v>43000</v>
      </c>
    </row>
    <row r="138" spans="11:12" x14ac:dyDescent="0.3">
      <c r="K138" s="61">
        <v>1077</v>
      </c>
      <c r="L138" s="61">
        <v>37500</v>
      </c>
    </row>
    <row r="139" spans="11:12" x14ac:dyDescent="0.3">
      <c r="K139" s="61">
        <v>1085</v>
      </c>
      <c r="L139" s="61">
        <v>43500</v>
      </c>
    </row>
    <row r="140" spans="11:12" x14ac:dyDescent="0.3">
      <c r="K140" s="61">
        <v>1087</v>
      </c>
      <c r="L140" s="61">
        <v>40500</v>
      </c>
    </row>
    <row r="141" spans="11:12" x14ac:dyDescent="0.3">
      <c r="K141" s="61">
        <v>1095</v>
      </c>
      <c r="L141" s="61">
        <v>46500</v>
      </c>
    </row>
    <row r="142" spans="11:12" x14ac:dyDescent="0.3">
      <c r="K142" s="61">
        <v>1112</v>
      </c>
      <c r="L142" s="61">
        <v>39000</v>
      </c>
    </row>
    <row r="143" spans="11:12" x14ac:dyDescent="0.3">
      <c r="K143" s="61">
        <v>1120</v>
      </c>
      <c r="L143" s="61">
        <v>45000</v>
      </c>
    </row>
    <row r="144" spans="11:12" x14ac:dyDescent="0.3">
      <c r="K144" s="61">
        <v>1122</v>
      </c>
      <c r="L144" s="61">
        <v>42000</v>
      </c>
    </row>
    <row r="145" spans="11:12" x14ac:dyDescent="0.3">
      <c r="K145" s="61">
        <v>1127</v>
      </c>
      <c r="L145" s="61">
        <v>39500</v>
      </c>
    </row>
    <row r="146" spans="11:12" x14ac:dyDescent="0.3">
      <c r="K146" s="61">
        <v>1130</v>
      </c>
      <c r="L146" s="61">
        <v>48000</v>
      </c>
    </row>
    <row r="147" spans="11:12" x14ac:dyDescent="0.3">
      <c r="K147" s="61">
        <v>1132</v>
      </c>
      <c r="L147" s="61">
        <v>42200</v>
      </c>
    </row>
    <row r="148" spans="11:12" x14ac:dyDescent="0.3">
      <c r="K148" s="61">
        <v>1135</v>
      </c>
      <c r="L148" s="61">
        <v>45500</v>
      </c>
    </row>
    <row r="149" spans="11:12" x14ac:dyDescent="0.3">
      <c r="K149" s="61">
        <v>1137</v>
      </c>
      <c r="L149" s="61">
        <v>42500</v>
      </c>
    </row>
    <row r="150" spans="11:12" x14ac:dyDescent="0.3">
      <c r="K150" s="61">
        <v>1145</v>
      </c>
      <c r="L150" s="61">
        <v>42500</v>
      </c>
    </row>
    <row r="151" spans="11:12" x14ac:dyDescent="0.3">
      <c r="K151" s="61">
        <v>1155</v>
      </c>
      <c r="L151" s="61">
        <v>45500</v>
      </c>
    </row>
    <row r="152" spans="11:12" x14ac:dyDescent="0.3">
      <c r="K152" s="61">
        <v>1162</v>
      </c>
      <c r="L152" s="61">
        <v>41000</v>
      </c>
    </row>
    <row r="153" spans="11:12" x14ac:dyDescent="0.3">
      <c r="K153" s="61">
        <v>1170</v>
      </c>
      <c r="L153" s="61">
        <v>47000</v>
      </c>
    </row>
    <row r="154" spans="11:12" x14ac:dyDescent="0.3">
      <c r="K154" s="61">
        <v>1172</v>
      </c>
      <c r="L154" s="61">
        <v>44000</v>
      </c>
    </row>
    <row r="155" spans="11:12" x14ac:dyDescent="0.3">
      <c r="K155" s="61">
        <v>1180</v>
      </c>
      <c r="L155" s="61">
        <v>44000</v>
      </c>
    </row>
    <row r="156" spans="11:12" x14ac:dyDescent="0.3">
      <c r="K156" s="61">
        <v>1190</v>
      </c>
      <c r="L156" s="61">
        <v>47000</v>
      </c>
    </row>
    <row r="157" spans="11:12" x14ac:dyDescent="0.3">
      <c r="K157" s="61">
        <v>1195</v>
      </c>
      <c r="L157" s="61">
        <v>44500</v>
      </c>
    </row>
    <row r="158" spans="11:12" x14ac:dyDescent="0.3">
      <c r="K158" s="61">
        <v>1200</v>
      </c>
      <c r="L158" s="61">
        <v>47200</v>
      </c>
    </row>
    <row r="159" spans="11:12" x14ac:dyDescent="0.3">
      <c r="K159" s="61">
        <v>1205</v>
      </c>
      <c r="L159" s="61">
        <v>47500</v>
      </c>
    </row>
    <row r="160" spans="11:12" x14ac:dyDescent="0.3">
      <c r="K160" s="61">
        <v>1221</v>
      </c>
      <c r="L160" s="61">
        <v>63500</v>
      </c>
    </row>
    <row r="161" spans="11:12" x14ac:dyDescent="0.3">
      <c r="K161" s="61">
        <v>1230</v>
      </c>
      <c r="L161" s="61">
        <v>46000</v>
      </c>
    </row>
    <row r="162" spans="11:12" x14ac:dyDescent="0.3">
      <c r="K162" s="61">
        <v>1231</v>
      </c>
      <c r="L162" s="61">
        <v>66500</v>
      </c>
    </row>
    <row r="163" spans="11:12" x14ac:dyDescent="0.3">
      <c r="K163" s="61">
        <v>1240</v>
      </c>
      <c r="L163" s="61">
        <v>49000</v>
      </c>
    </row>
    <row r="164" spans="11:12" x14ac:dyDescent="0.3">
      <c r="K164" s="61">
        <v>1256</v>
      </c>
      <c r="L164" s="61">
        <v>65000</v>
      </c>
    </row>
    <row r="165" spans="11:12" x14ac:dyDescent="0.3">
      <c r="K165" s="61">
        <v>1265</v>
      </c>
      <c r="L165" s="61">
        <v>43500</v>
      </c>
    </row>
    <row r="166" spans="11:12" x14ac:dyDescent="0.3">
      <c r="K166" s="61">
        <v>1266</v>
      </c>
      <c r="L166" s="61">
        <v>68000</v>
      </c>
    </row>
    <row r="167" spans="11:12" x14ac:dyDescent="0.3">
      <c r="K167" s="61">
        <v>1271</v>
      </c>
      <c r="L167" s="61">
        <v>65500</v>
      </c>
    </row>
    <row r="168" spans="11:12" x14ac:dyDescent="0.3">
      <c r="K168" s="61">
        <v>1275</v>
      </c>
      <c r="L168" s="61">
        <v>65500</v>
      </c>
    </row>
    <row r="169" spans="11:12" x14ac:dyDescent="0.3">
      <c r="K169" s="61">
        <v>1281</v>
      </c>
      <c r="L169" s="61">
        <v>68500</v>
      </c>
    </row>
    <row r="170" spans="11:12" x14ac:dyDescent="0.3">
      <c r="K170" s="61">
        <v>1285</v>
      </c>
      <c r="L170" s="61">
        <v>68500</v>
      </c>
    </row>
    <row r="171" spans="11:12" x14ac:dyDescent="0.3">
      <c r="K171" s="61">
        <v>1300</v>
      </c>
      <c r="L171" s="61">
        <v>45000</v>
      </c>
    </row>
    <row r="172" spans="11:12" x14ac:dyDescent="0.3">
      <c r="K172" s="61">
        <v>1306</v>
      </c>
      <c r="L172" s="61">
        <v>67000</v>
      </c>
    </row>
    <row r="173" spans="11:12" x14ac:dyDescent="0.3">
      <c r="K173" s="61">
        <v>1310</v>
      </c>
      <c r="L173" s="61">
        <v>67000</v>
      </c>
    </row>
    <row r="174" spans="11:12" x14ac:dyDescent="0.3">
      <c r="K174" s="61">
        <v>1315</v>
      </c>
      <c r="L174" s="61">
        <v>45500</v>
      </c>
    </row>
    <row r="175" spans="11:12" x14ac:dyDescent="0.3">
      <c r="K175" s="61">
        <v>1316</v>
      </c>
      <c r="L175" s="61">
        <v>70000</v>
      </c>
    </row>
    <row r="176" spans="11:12" x14ac:dyDescent="0.3">
      <c r="K176" s="61">
        <v>1320</v>
      </c>
      <c r="L176" s="61">
        <v>70000</v>
      </c>
    </row>
    <row r="177" spans="11:12" x14ac:dyDescent="0.3">
      <c r="K177" s="61">
        <v>1325</v>
      </c>
      <c r="L177" s="61">
        <v>67500</v>
      </c>
    </row>
    <row r="178" spans="11:12" x14ac:dyDescent="0.3">
      <c r="K178" s="61">
        <v>1335</v>
      </c>
      <c r="L178" s="61">
        <v>70500</v>
      </c>
    </row>
    <row r="179" spans="11:12" x14ac:dyDescent="0.3">
      <c r="K179" s="61">
        <v>1350</v>
      </c>
      <c r="L179" s="61">
        <v>47000</v>
      </c>
    </row>
    <row r="180" spans="11:12" x14ac:dyDescent="0.3">
      <c r="K180" s="61">
        <v>1360</v>
      </c>
      <c r="L180" s="61">
        <v>69000</v>
      </c>
    </row>
    <row r="181" spans="11:12" x14ac:dyDescent="0.3">
      <c r="K181" s="61">
        <v>1370</v>
      </c>
      <c r="L181" s="61">
        <v>72000</v>
      </c>
    </row>
    <row r="182" spans="11:12" x14ac:dyDescent="0.3">
      <c r="K182" s="61">
        <v>1377</v>
      </c>
      <c r="L182" s="61">
        <v>47500</v>
      </c>
    </row>
    <row r="183" spans="11:12" x14ac:dyDescent="0.3">
      <c r="K183" s="61">
        <v>1387</v>
      </c>
      <c r="L183" s="61">
        <v>50500</v>
      </c>
    </row>
    <row r="184" spans="11:12" x14ac:dyDescent="0.3">
      <c r="K184" s="61">
        <v>1412</v>
      </c>
      <c r="L184" s="61">
        <v>49000</v>
      </c>
    </row>
    <row r="185" spans="11:12" x14ac:dyDescent="0.3">
      <c r="K185" s="61">
        <v>1422</v>
      </c>
      <c r="L185" s="61">
        <v>52000</v>
      </c>
    </row>
    <row r="186" spans="11:12" x14ac:dyDescent="0.3">
      <c r="K186" s="61">
        <v>1427</v>
      </c>
      <c r="L186" s="61">
        <v>49500</v>
      </c>
    </row>
    <row r="187" spans="11:12" x14ac:dyDescent="0.3">
      <c r="K187" s="61">
        <v>1437</v>
      </c>
      <c r="L187" s="61">
        <v>52500</v>
      </c>
    </row>
    <row r="188" spans="11:12" x14ac:dyDescent="0.3">
      <c r="K188" s="61">
        <v>1462</v>
      </c>
      <c r="L188" s="61">
        <v>51000</v>
      </c>
    </row>
    <row r="189" spans="11:12" x14ac:dyDescent="0.3">
      <c r="K189" s="61">
        <v>1465</v>
      </c>
      <c r="L189" s="61">
        <v>78500</v>
      </c>
    </row>
    <row r="190" spans="11:12" x14ac:dyDescent="0.3">
      <c r="K190" s="61">
        <v>1472</v>
      </c>
      <c r="L190" s="61">
        <v>54000</v>
      </c>
    </row>
    <row r="191" spans="11:12" x14ac:dyDescent="0.3">
      <c r="K191" s="61">
        <v>1475</v>
      </c>
      <c r="L191" s="61">
        <v>81500</v>
      </c>
    </row>
    <row r="192" spans="11:12" x14ac:dyDescent="0.3">
      <c r="K192" s="61">
        <v>1500</v>
      </c>
      <c r="L192" s="61">
        <v>80000</v>
      </c>
    </row>
    <row r="193" spans="11:12" x14ac:dyDescent="0.3">
      <c r="K193" s="61">
        <v>1510</v>
      </c>
      <c r="L193" s="61">
        <v>83000</v>
      </c>
    </row>
    <row r="194" spans="11:12" x14ac:dyDescent="0.3">
      <c r="K194" s="61">
        <v>1515</v>
      </c>
      <c r="L194" s="61">
        <v>80500</v>
      </c>
    </row>
    <row r="195" spans="11:12" x14ac:dyDescent="0.3">
      <c r="K195" s="61">
        <v>1520</v>
      </c>
      <c r="L195" s="61">
        <v>83200</v>
      </c>
    </row>
    <row r="196" spans="11:12" x14ac:dyDescent="0.3">
      <c r="K196" s="61">
        <v>1525</v>
      </c>
      <c r="L196" s="61">
        <v>83500</v>
      </c>
    </row>
    <row r="197" spans="11:12" x14ac:dyDescent="0.3">
      <c r="K197" s="61">
        <v>1550</v>
      </c>
      <c r="L197" s="61">
        <v>82000</v>
      </c>
    </row>
    <row r="198" spans="11:12" x14ac:dyDescent="0.3">
      <c r="K198" s="61">
        <v>1560</v>
      </c>
      <c r="L198" s="61">
        <v>85000</v>
      </c>
    </row>
    <row r="199" spans="11:12" x14ac:dyDescent="0.3">
      <c r="K199" s="61">
        <v>1565</v>
      </c>
      <c r="L199" s="61">
        <v>55500</v>
      </c>
    </row>
    <row r="200" spans="11:12" x14ac:dyDescent="0.3">
      <c r="K200" s="61">
        <v>1575</v>
      </c>
      <c r="L200" s="61">
        <v>58500</v>
      </c>
    </row>
    <row r="201" spans="11:12" x14ac:dyDescent="0.3">
      <c r="K201" s="61">
        <v>1600</v>
      </c>
      <c r="L201" s="61">
        <v>57000</v>
      </c>
    </row>
    <row r="202" spans="11:12" x14ac:dyDescent="0.3">
      <c r="K202" s="61">
        <v>1610</v>
      </c>
      <c r="L202" s="61">
        <v>60000</v>
      </c>
    </row>
    <row r="203" spans="11:12" x14ac:dyDescent="0.3">
      <c r="K203" s="61">
        <v>1615</v>
      </c>
      <c r="L203" s="61">
        <v>88500</v>
      </c>
    </row>
    <row r="204" spans="11:12" x14ac:dyDescent="0.3">
      <c r="K204" s="61">
        <v>1625</v>
      </c>
      <c r="L204" s="61">
        <v>91500</v>
      </c>
    </row>
    <row r="205" spans="11:12" x14ac:dyDescent="0.3">
      <c r="K205" s="61">
        <v>1650</v>
      </c>
      <c r="L205" s="61">
        <v>90000</v>
      </c>
    </row>
    <row r="206" spans="11:12" x14ac:dyDescent="0.3">
      <c r="K206" s="61">
        <v>1660</v>
      </c>
      <c r="L206" s="61">
        <v>93000</v>
      </c>
    </row>
    <row r="207" spans="11:12" x14ac:dyDescent="0.3">
      <c r="K207" s="61">
        <v>1665</v>
      </c>
      <c r="L207" s="61">
        <v>70500</v>
      </c>
    </row>
    <row r="208" spans="11:12" x14ac:dyDescent="0.3">
      <c r="K208" s="61">
        <v>1675</v>
      </c>
      <c r="L208" s="61">
        <v>73500</v>
      </c>
    </row>
    <row r="209" spans="11:12" x14ac:dyDescent="0.3">
      <c r="K209" s="61">
        <v>1700</v>
      </c>
      <c r="L209" s="61">
        <v>72000</v>
      </c>
    </row>
    <row r="210" spans="11:12" x14ac:dyDescent="0.3">
      <c r="K210" s="61">
        <v>1710</v>
      </c>
      <c r="L210" s="61">
        <v>75000</v>
      </c>
    </row>
    <row r="211" spans="11:12" x14ac:dyDescent="0.3">
      <c r="K211" s="61">
        <v>1715</v>
      </c>
      <c r="L211" s="61">
        <v>69500</v>
      </c>
    </row>
    <row r="212" spans="11:12" x14ac:dyDescent="0.3">
      <c r="K212" s="61">
        <v>1725</v>
      </c>
      <c r="L212" s="61">
        <v>72500</v>
      </c>
    </row>
    <row r="213" spans="11:12" x14ac:dyDescent="0.3">
      <c r="K213" s="61">
        <v>1750</v>
      </c>
      <c r="L213" s="61">
        <v>71000</v>
      </c>
    </row>
    <row r="214" spans="11:12" x14ac:dyDescent="0.3">
      <c r="K214" s="61">
        <v>1760</v>
      </c>
      <c r="L214" s="61">
        <v>74000</v>
      </c>
    </row>
    <row r="215" spans="11:12" x14ac:dyDescent="0.3">
      <c r="K215" s="61">
        <v>1765</v>
      </c>
      <c r="L215" s="61">
        <v>61500</v>
      </c>
    </row>
    <row r="216" spans="11:12" x14ac:dyDescent="0.3">
      <c r="K216" s="61">
        <v>1770</v>
      </c>
      <c r="L216" s="61">
        <v>74200</v>
      </c>
    </row>
    <row r="217" spans="11:12" x14ac:dyDescent="0.3">
      <c r="K217" s="61">
        <v>1775</v>
      </c>
      <c r="L217" s="61">
        <v>64500</v>
      </c>
    </row>
    <row r="218" spans="11:12" x14ac:dyDescent="0.3">
      <c r="K218" s="61">
        <v>1800</v>
      </c>
      <c r="L218" s="61">
        <v>63000</v>
      </c>
    </row>
    <row r="219" spans="11:12" x14ac:dyDescent="0.3">
      <c r="K219" s="61">
        <v>1810</v>
      </c>
      <c r="L219" s="61">
        <v>66000</v>
      </c>
    </row>
    <row r="220" spans="11:12" x14ac:dyDescent="0.3">
      <c r="K220" s="61">
        <v>1815</v>
      </c>
      <c r="L220" s="61">
        <v>63500</v>
      </c>
    </row>
    <row r="221" spans="11:12" x14ac:dyDescent="0.3">
      <c r="K221" s="61">
        <v>1825</v>
      </c>
      <c r="L221" s="61">
        <v>66500</v>
      </c>
    </row>
    <row r="222" spans="11:12" x14ac:dyDescent="0.3">
      <c r="K222" s="61">
        <v>1850</v>
      </c>
      <c r="L222" s="61">
        <v>65000</v>
      </c>
    </row>
    <row r="223" spans="11:12" x14ac:dyDescent="0.3">
      <c r="K223" s="61">
        <v>1860</v>
      </c>
      <c r="L223" s="61">
        <v>68000</v>
      </c>
    </row>
    <row r="224" spans="11:12" x14ac:dyDescent="0.3">
      <c r="K224" s="61">
        <v>1875</v>
      </c>
      <c r="L224" s="61">
        <v>79500</v>
      </c>
    </row>
    <row r="225" spans="11:12" x14ac:dyDescent="0.3">
      <c r="K225" s="61">
        <v>1885</v>
      </c>
      <c r="L225" s="61">
        <v>82500</v>
      </c>
    </row>
    <row r="226" spans="11:12" x14ac:dyDescent="0.3">
      <c r="K226" s="61">
        <v>1910</v>
      </c>
      <c r="L226" s="61">
        <v>81000</v>
      </c>
    </row>
    <row r="227" spans="11:12" x14ac:dyDescent="0.3">
      <c r="K227" s="61">
        <v>1920</v>
      </c>
      <c r="L227" s="61">
        <v>84000</v>
      </c>
    </row>
    <row r="228" spans="11:12" x14ac:dyDescent="0.3">
      <c r="K228" s="61">
        <v>1925</v>
      </c>
      <c r="L228" s="61">
        <v>81500</v>
      </c>
    </row>
    <row r="229" spans="11:12" x14ac:dyDescent="0.3">
      <c r="K229" s="61">
        <v>1935</v>
      </c>
      <c r="L229" s="61">
        <v>84500</v>
      </c>
    </row>
    <row r="230" spans="11:12" x14ac:dyDescent="0.3">
      <c r="K230" s="61">
        <v>1960</v>
      </c>
      <c r="L230" s="61">
        <v>83000</v>
      </c>
    </row>
    <row r="231" spans="11:12" x14ac:dyDescent="0.3">
      <c r="K231" s="61">
        <v>1970</v>
      </c>
      <c r="L231" s="61">
        <v>86000</v>
      </c>
    </row>
    <row r="232" spans="11:12" x14ac:dyDescent="0.3">
      <c r="K232" s="35"/>
      <c r="L232" s="35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1854-DE12-42CD-AF84-AE76BFCC2421}">
  <dimension ref="A1:E1001"/>
  <sheetViews>
    <sheetView showGridLines="0" zoomScale="80" zoomScaleNormal="80" workbookViewId="0">
      <selection activeCell="F11" sqref="F11"/>
    </sheetView>
  </sheetViews>
  <sheetFormatPr defaultRowHeight="14.4" x14ac:dyDescent="0.3"/>
  <cols>
    <col min="1" max="1" width="11.6640625" bestFit="1" customWidth="1"/>
    <col min="5" max="5" width="13.109375" bestFit="1" customWidth="1"/>
  </cols>
  <sheetData>
    <row r="1" spans="1:5" x14ac:dyDescent="0.3">
      <c r="A1" s="36" t="s">
        <v>719</v>
      </c>
      <c r="B1" s="36" t="s">
        <v>720</v>
      </c>
      <c r="D1" s="35" t="s">
        <v>1024</v>
      </c>
      <c r="E1" s="35">
        <v>1000</v>
      </c>
    </row>
    <row r="2" spans="1:5" x14ac:dyDescent="0.3">
      <c r="A2" s="35">
        <v>1</v>
      </c>
      <c r="B2" s="35">
        <v>0</v>
      </c>
      <c r="D2" s="35" t="s">
        <v>1047</v>
      </c>
      <c r="E2" s="35">
        <f>SUM(B2:B1001)</f>
        <v>240</v>
      </c>
    </row>
    <row r="3" spans="1:5" x14ac:dyDescent="0.3">
      <c r="A3" s="35">
        <v>2</v>
      </c>
      <c r="B3" s="35">
        <v>0</v>
      </c>
      <c r="D3" s="35" t="s">
        <v>1048</v>
      </c>
      <c r="E3" s="35">
        <f>E2/E1</f>
        <v>0.24</v>
      </c>
    </row>
    <row r="4" spans="1:5" x14ac:dyDescent="0.3">
      <c r="A4" s="35">
        <v>3</v>
      </c>
      <c r="B4" s="35">
        <v>0</v>
      </c>
      <c r="D4" s="35" t="s">
        <v>1006</v>
      </c>
      <c r="E4" s="35">
        <f>STDEV(B2:B1001)</f>
        <v>0.42729683193604723</v>
      </c>
    </row>
    <row r="5" spans="1:5" x14ac:dyDescent="0.3">
      <c r="A5" s="35">
        <v>4</v>
      </c>
      <c r="B5" s="35">
        <v>0</v>
      </c>
      <c r="D5" s="35" t="s">
        <v>1049</v>
      </c>
      <c r="E5" s="71">
        <f>E4/SQRT(E2)</f>
        <v>2.7581891899591673E-2</v>
      </c>
    </row>
    <row r="6" spans="1:5" x14ac:dyDescent="0.3">
      <c r="A6" s="35">
        <v>5</v>
      </c>
      <c r="B6" s="35">
        <v>0</v>
      </c>
    </row>
    <row r="7" spans="1:5" x14ac:dyDescent="0.3">
      <c r="A7" s="35">
        <v>6</v>
      </c>
      <c r="B7" s="35">
        <v>0</v>
      </c>
    </row>
    <row r="8" spans="1:5" x14ac:dyDescent="0.3">
      <c r="A8" s="35">
        <v>7</v>
      </c>
      <c r="B8" s="35">
        <v>0</v>
      </c>
    </row>
    <row r="9" spans="1:5" x14ac:dyDescent="0.3">
      <c r="A9" s="35">
        <v>8</v>
      </c>
      <c r="B9" s="35">
        <v>0</v>
      </c>
    </row>
    <row r="10" spans="1:5" x14ac:dyDescent="0.3">
      <c r="A10" s="35">
        <v>9</v>
      </c>
      <c r="B10" s="35">
        <v>0</v>
      </c>
    </row>
    <row r="11" spans="1:5" x14ac:dyDescent="0.3">
      <c r="A11" s="35">
        <v>10</v>
      </c>
      <c r="B11" s="35">
        <v>0</v>
      </c>
    </row>
    <row r="12" spans="1:5" x14ac:dyDescent="0.3">
      <c r="A12" s="35">
        <v>11</v>
      </c>
      <c r="B12" s="35">
        <v>0</v>
      </c>
    </row>
    <row r="13" spans="1:5" x14ac:dyDescent="0.3">
      <c r="A13" s="35">
        <v>12</v>
      </c>
      <c r="B13" s="35">
        <v>0</v>
      </c>
    </row>
    <row r="14" spans="1:5" x14ac:dyDescent="0.3">
      <c r="A14" s="35">
        <v>13</v>
      </c>
      <c r="B14" s="35">
        <v>0</v>
      </c>
    </row>
    <row r="15" spans="1:5" x14ac:dyDescent="0.3">
      <c r="A15" s="35">
        <v>14</v>
      </c>
      <c r="B15" s="35">
        <v>0</v>
      </c>
    </row>
    <row r="16" spans="1:5" x14ac:dyDescent="0.3">
      <c r="A16" s="35">
        <v>15</v>
      </c>
      <c r="B16" s="35">
        <v>1</v>
      </c>
    </row>
    <row r="17" spans="1:2" x14ac:dyDescent="0.3">
      <c r="A17" s="35">
        <v>16</v>
      </c>
      <c r="B17" s="35">
        <v>0</v>
      </c>
    </row>
    <row r="18" spans="1:2" x14ac:dyDescent="0.3">
      <c r="A18" s="35">
        <v>17</v>
      </c>
      <c r="B18" s="35">
        <v>0</v>
      </c>
    </row>
    <row r="19" spans="1:2" x14ac:dyDescent="0.3">
      <c r="A19" s="35">
        <v>18</v>
      </c>
      <c r="B19" s="35">
        <v>0</v>
      </c>
    </row>
    <row r="20" spans="1:2" x14ac:dyDescent="0.3">
      <c r="A20" s="35">
        <v>19</v>
      </c>
      <c r="B20" s="35">
        <v>0</v>
      </c>
    </row>
    <row r="21" spans="1:2" x14ac:dyDescent="0.3">
      <c r="A21" s="35">
        <v>20</v>
      </c>
      <c r="B21" s="35">
        <v>0</v>
      </c>
    </row>
    <row r="22" spans="1:2" x14ac:dyDescent="0.3">
      <c r="A22" s="35">
        <v>21</v>
      </c>
      <c r="B22" s="35">
        <v>0</v>
      </c>
    </row>
    <row r="23" spans="1:2" x14ac:dyDescent="0.3">
      <c r="A23" s="35">
        <v>22</v>
      </c>
      <c r="B23" s="35">
        <v>1</v>
      </c>
    </row>
    <row r="24" spans="1:2" x14ac:dyDescent="0.3">
      <c r="A24" s="35">
        <v>23</v>
      </c>
      <c r="B24" s="35">
        <v>0</v>
      </c>
    </row>
    <row r="25" spans="1:2" x14ac:dyDescent="0.3">
      <c r="A25" s="35">
        <v>24</v>
      </c>
      <c r="B25" s="35">
        <v>1</v>
      </c>
    </row>
    <row r="26" spans="1:2" x14ac:dyDescent="0.3">
      <c r="A26" s="35">
        <v>25</v>
      </c>
      <c r="B26" s="35">
        <v>0</v>
      </c>
    </row>
    <row r="27" spans="1:2" x14ac:dyDescent="0.3">
      <c r="A27" s="35">
        <v>26</v>
      </c>
      <c r="B27" s="35">
        <v>0</v>
      </c>
    </row>
    <row r="28" spans="1:2" x14ac:dyDescent="0.3">
      <c r="A28" s="35">
        <v>27</v>
      </c>
      <c r="B28" s="35">
        <v>0</v>
      </c>
    </row>
    <row r="29" spans="1:2" x14ac:dyDescent="0.3">
      <c r="A29" s="35">
        <v>28</v>
      </c>
      <c r="B29" s="35">
        <v>0</v>
      </c>
    </row>
    <row r="30" spans="1:2" x14ac:dyDescent="0.3">
      <c r="A30" s="35">
        <v>29</v>
      </c>
      <c r="B30" s="35">
        <v>0</v>
      </c>
    </row>
    <row r="31" spans="1:2" x14ac:dyDescent="0.3">
      <c r="A31" s="35">
        <v>30</v>
      </c>
      <c r="B31" s="35">
        <v>0</v>
      </c>
    </row>
    <row r="32" spans="1:2" x14ac:dyDescent="0.3">
      <c r="A32" s="35">
        <v>31</v>
      </c>
      <c r="B32" s="35">
        <v>0</v>
      </c>
    </row>
    <row r="33" spans="1:2" x14ac:dyDescent="0.3">
      <c r="A33" s="35">
        <v>32</v>
      </c>
      <c r="B33" s="35">
        <v>0</v>
      </c>
    </row>
    <row r="34" spans="1:2" x14ac:dyDescent="0.3">
      <c r="A34" s="35">
        <v>33</v>
      </c>
      <c r="B34" s="35">
        <v>0</v>
      </c>
    </row>
    <row r="35" spans="1:2" x14ac:dyDescent="0.3">
      <c r="A35" s="35">
        <v>34</v>
      </c>
      <c r="B35" s="35">
        <v>1</v>
      </c>
    </row>
    <row r="36" spans="1:2" x14ac:dyDescent="0.3">
      <c r="A36" s="35">
        <v>35</v>
      </c>
      <c r="B36" s="35">
        <v>0</v>
      </c>
    </row>
    <row r="37" spans="1:2" x14ac:dyDescent="0.3">
      <c r="A37" s="35">
        <v>36</v>
      </c>
      <c r="B37" s="35">
        <v>0</v>
      </c>
    </row>
    <row r="38" spans="1:2" x14ac:dyDescent="0.3">
      <c r="A38" s="35">
        <v>37</v>
      </c>
      <c r="B38" s="35">
        <v>0</v>
      </c>
    </row>
    <row r="39" spans="1:2" x14ac:dyDescent="0.3">
      <c r="A39" s="35">
        <v>38</v>
      </c>
      <c r="B39" s="35">
        <v>0</v>
      </c>
    </row>
    <row r="40" spans="1:2" x14ac:dyDescent="0.3">
      <c r="A40" s="35">
        <v>39</v>
      </c>
      <c r="B40" s="35">
        <v>0</v>
      </c>
    </row>
    <row r="41" spans="1:2" x14ac:dyDescent="0.3">
      <c r="A41" s="35">
        <v>40</v>
      </c>
      <c r="B41" s="35">
        <v>1</v>
      </c>
    </row>
    <row r="42" spans="1:2" x14ac:dyDescent="0.3">
      <c r="A42" s="35">
        <v>41</v>
      </c>
      <c r="B42" s="35">
        <v>0</v>
      </c>
    </row>
    <row r="43" spans="1:2" x14ac:dyDescent="0.3">
      <c r="A43" s="35">
        <v>42</v>
      </c>
      <c r="B43" s="35">
        <v>0</v>
      </c>
    </row>
    <row r="44" spans="1:2" x14ac:dyDescent="0.3">
      <c r="A44" s="35">
        <v>43</v>
      </c>
      <c r="B44" s="35">
        <v>0</v>
      </c>
    </row>
    <row r="45" spans="1:2" x14ac:dyDescent="0.3">
      <c r="A45" s="35">
        <v>44</v>
      </c>
      <c r="B45" s="35">
        <v>0</v>
      </c>
    </row>
    <row r="46" spans="1:2" x14ac:dyDescent="0.3">
      <c r="A46" s="35">
        <v>45</v>
      </c>
      <c r="B46" s="35">
        <v>0</v>
      </c>
    </row>
    <row r="47" spans="1:2" x14ac:dyDescent="0.3">
      <c r="A47" s="35">
        <v>46</v>
      </c>
      <c r="B47" s="35">
        <v>0</v>
      </c>
    </row>
    <row r="48" spans="1:2" x14ac:dyDescent="0.3">
      <c r="A48" s="35">
        <v>47</v>
      </c>
      <c r="B48" s="35">
        <v>0</v>
      </c>
    </row>
    <row r="49" spans="1:2" x14ac:dyDescent="0.3">
      <c r="A49" s="35">
        <v>48</v>
      </c>
      <c r="B49" s="35">
        <v>0</v>
      </c>
    </row>
    <row r="50" spans="1:2" x14ac:dyDescent="0.3">
      <c r="A50" s="35">
        <v>49</v>
      </c>
      <c r="B50" s="35">
        <v>0</v>
      </c>
    </row>
    <row r="51" spans="1:2" x14ac:dyDescent="0.3">
      <c r="A51" s="35">
        <v>50</v>
      </c>
      <c r="B51" s="35">
        <v>0</v>
      </c>
    </row>
    <row r="52" spans="1:2" x14ac:dyDescent="0.3">
      <c r="A52" s="35">
        <v>51</v>
      </c>
      <c r="B52" s="35">
        <v>0</v>
      </c>
    </row>
    <row r="53" spans="1:2" x14ac:dyDescent="0.3">
      <c r="A53" s="35">
        <v>52</v>
      </c>
      <c r="B53" s="35">
        <v>0</v>
      </c>
    </row>
    <row r="54" spans="1:2" x14ac:dyDescent="0.3">
      <c r="A54" s="35">
        <v>53</v>
      </c>
      <c r="B54" s="35">
        <v>0</v>
      </c>
    </row>
    <row r="55" spans="1:2" x14ac:dyDescent="0.3">
      <c r="A55" s="35">
        <v>54</v>
      </c>
      <c r="B55" s="35">
        <v>0</v>
      </c>
    </row>
    <row r="56" spans="1:2" x14ac:dyDescent="0.3">
      <c r="A56" s="35">
        <v>55</v>
      </c>
      <c r="B56" s="35">
        <v>0</v>
      </c>
    </row>
    <row r="57" spans="1:2" x14ac:dyDescent="0.3">
      <c r="A57" s="35">
        <v>56</v>
      </c>
      <c r="B57" s="35">
        <v>0</v>
      </c>
    </row>
    <row r="58" spans="1:2" x14ac:dyDescent="0.3">
      <c r="A58" s="35">
        <v>57</v>
      </c>
      <c r="B58" s="35">
        <v>0</v>
      </c>
    </row>
    <row r="59" spans="1:2" x14ac:dyDescent="0.3">
      <c r="A59" s="35">
        <v>58</v>
      </c>
      <c r="B59" s="35">
        <v>0</v>
      </c>
    </row>
    <row r="60" spans="1:2" x14ac:dyDescent="0.3">
      <c r="A60" s="35">
        <v>59</v>
      </c>
      <c r="B60" s="35">
        <v>0</v>
      </c>
    </row>
    <row r="61" spans="1:2" x14ac:dyDescent="0.3">
      <c r="A61" s="35">
        <v>60</v>
      </c>
      <c r="B61" s="35">
        <v>0</v>
      </c>
    </row>
    <row r="62" spans="1:2" x14ac:dyDescent="0.3">
      <c r="A62" s="35">
        <v>61</v>
      </c>
      <c r="B62" s="35">
        <v>1</v>
      </c>
    </row>
    <row r="63" spans="1:2" x14ac:dyDescent="0.3">
      <c r="A63" s="35">
        <v>62</v>
      </c>
      <c r="B63" s="35">
        <v>0</v>
      </c>
    </row>
    <row r="64" spans="1:2" x14ac:dyDescent="0.3">
      <c r="A64" s="35">
        <v>63</v>
      </c>
      <c r="B64" s="35">
        <v>1</v>
      </c>
    </row>
    <row r="65" spans="1:2" x14ac:dyDescent="0.3">
      <c r="A65" s="35">
        <v>64</v>
      </c>
      <c r="B65" s="35">
        <v>0</v>
      </c>
    </row>
    <row r="66" spans="1:2" x14ac:dyDescent="0.3">
      <c r="A66" s="35">
        <v>65</v>
      </c>
      <c r="B66" s="35">
        <v>0</v>
      </c>
    </row>
    <row r="67" spans="1:2" x14ac:dyDescent="0.3">
      <c r="A67" s="35">
        <v>66</v>
      </c>
      <c r="B67" s="35">
        <v>0</v>
      </c>
    </row>
    <row r="68" spans="1:2" x14ac:dyDescent="0.3">
      <c r="A68" s="35">
        <v>67</v>
      </c>
      <c r="B68" s="35">
        <v>0</v>
      </c>
    </row>
    <row r="69" spans="1:2" x14ac:dyDescent="0.3">
      <c r="A69" s="35">
        <v>68</v>
      </c>
      <c r="B69" s="35">
        <v>0</v>
      </c>
    </row>
    <row r="70" spans="1:2" x14ac:dyDescent="0.3">
      <c r="A70" s="35">
        <v>69</v>
      </c>
      <c r="B70" s="35">
        <v>0</v>
      </c>
    </row>
    <row r="71" spans="1:2" x14ac:dyDescent="0.3">
      <c r="A71" s="35">
        <v>70</v>
      </c>
      <c r="B71" s="35">
        <v>0</v>
      </c>
    </row>
    <row r="72" spans="1:2" x14ac:dyDescent="0.3">
      <c r="A72" s="35">
        <v>71</v>
      </c>
      <c r="B72" s="35">
        <v>0</v>
      </c>
    </row>
    <row r="73" spans="1:2" x14ac:dyDescent="0.3">
      <c r="A73" s="35">
        <v>72</v>
      </c>
      <c r="B73" s="35">
        <v>0</v>
      </c>
    </row>
    <row r="74" spans="1:2" x14ac:dyDescent="0.3">
      <c r="A74" s="35">
        <v>73</v>
      </c>
      <c r="B74" s="35">
        <v>0</v>
      </c>
    </row>
    <row r="75" spans="1:2" x14ac:dyDescent="0.3">
      <c r="A75" s="35">
        <v>74</v>
      </c>
      <c r="B75" s="35">
        <v>0</v>
      </c>
    </row>
    <row r="76" spans="1:2" x14ac:dyDescent="0.3">
      <c r="A76" s="35">
        <v>75</v>
      </c>
      <c r="B76" s="35">
        <v>0</v>
      </c>
    </row>
    <row r="77" spans="1:2" x14ac:dyDescent="0.3">
      <c r="A77" s="35">
        <v>76</v>
      </c>
      <c r="B77" s="35">
        <v>0</v>
      </c>
    </row>
    <row r="78" spans="1:2" x14ac:dyDescent="0.3">
      <c r="A78" s="35">
        <v>77</v>
      </c>
      <c r="B78" s="35">
        <v>0</v>
      </c>
    </row>
    <row r="79" spans="1:2" x14ac:dyDescent="0.3">
      <c r="A79" s="35">
        <v>78</v>
      </c>
      <c r="B79" s="35">
        <v>0</v>
      </c>
    </row>
    <row r="80" spans="1:2" x14ac:dyDescent="0.3">
      <c r="A80" s="35">
        <v>79</v>
      </c>
      <c r="B80" s="35">
        <v>0</v>
      </c>
    </row>
    <row r="81" spans="1:2" x14ac:dyDescent="0.3">
      <c r="A81" s="35">
        <v>80</v>
      </c>
      <c r="B81" s="35">
        <v>1</v>
      </c>
    </row>
    <row r="82" spans="1:2" x14ac:dyDescent="0.3">
      <c r="A82" s="35">
        <v>81</v>
      </c>
      <c r="B82" s="35">
        <v>0</v>
      </c>
    </row>
    <row r="83" spans="1:2" x14ac:dyDescent="0.3">
      <c r="A83" s="35">
        <v>82</v>
      </c>
      <c r="B83" s="35">
        <v>0</v>
      </c>
    </row>
    <row r="84" spans="1:2" x14ac:dyDescent="0.3">
      <c r="A84" s="35">
        <v>83</v>
      </c>
      <c r="B84" s="35">
        <v>0</v>
      </c>
    </row>
    <row r="85" spans="1:2" x14ac:dyDescent="0.3">
      <c r="A85" s="35">
        <v>84</v>
      </c>
      <c r="B85" s="35">
        <v>0</v>
      </c>
    </row>
    <row r="86" spans="1:2" x14ac:dyDescent="0.3">
      <c r="A86" s="35">
        <v>85</v>
      </c>
      <c r="B86" s="35">
        <v>0</v>
      </c>
    </row>
    <row r="87" spans="1:2" x14ac:dyDescent="0.3">
      <c r="A87" s="35">
        <v>86</v>
      </c>
      <c r="B87" s="35">
        <v>0</v>
      </c>
    </row>
    <row r="88" spans="1:2" x14ac:dyDescent="0.3">
      <c r="A88" s="35">
        <v>87</v>
      </c>
      <c r="B88" s="35">
        <v>0</v>
      </c>
    </row>
    <row r="89" spans="1:2" x14ac:dyDescent="0.3">
      <c r="A89" s="35">
        <v>88</v>
      </c>
      <c r="B89" s="35">
        <v>0</v>
      </c>
    </row>
    <row r="90" spans="1:2" x14ac:dyDescent="0.3">
      <c r="A90" s="35">
        <v>89</v>
      </c>
      <c r="B90" s="35">
        <v>1</v>
      </c>
    </row>
    <row r="91" spans="1:2" x14ac:dyDescent="0.3">
      <c r="A91" s="35">
        <v>90</v>
      </c>
      <c r="B91" s="35">
        <v>0</v>
      </c>
    </row>
    <row r="92" spans="1:2" x14ac:dyDescent="0.3">
      <c r="A92" s="35">
        <v>91</v>
      </c>
      <c r="B92" s="35">
        <v>0</v>
      </c>
    </row>
    <row r="93" spans="1:2" x14ac:dyDescent="0.3">
      <c r="A93" s="35">
        <v>92</v>
      </c>
      <c r="B93" s="35">
        <v>0</v>
      </c>
    </row>
    <row r="94" spans="1:2" x14ac:dyDescent="0.3">
      <c r="A94" s="35">
        <v>93</v>
      </c>
      <c r="B94" s="35">
        <v>1</v>
      </c>
    </row>
    <row r="95" spans="1:2" x14ac:dyDescent="0.3">
      <c r="A95" s="35">
        <v>94</v>
      </c>
      <c r="B95" s="35">
        <v>0</v>
      </c>
    </row>
    <row r="96" spans="1:2" x14ac:dyDescent="0.3">
      <c r="A96" s="35">
        <v>95</v>
      </c>
      <c r="B96" s="35">
        <v>0</v>
      </c>
    </row>
    <row r="97" spans="1:2" x14ac:dyDescent="0.3">
      <c r="A97" s="35">
        <v>96</v>
      </c>
      <c r="B97" s="35">
        <v>1</v>
      </c>
    </row>
    <row r="98" spans="1:2" x14ac:dyDescent="0.3">
      <c r="A98" s="35">
        <v>97</v>
      </c>
      <c r="B98" s="35">
        <v>1</v>
      </c>
    </row>
    <row r="99" spans="1:2" x14ac:dyDescent="0.3">
      <c r="A99" s="35">
        <v>98</v>
      </c>
      <c r="B99" s="35">
        <v>0</v>
      </c>
    </row>
    <row r="100" spans="1:2" x14ac:dyDescent="0.3">
      <c r="A100" s="35">
        <v>99</v>
      </c>
      <c r="B100" s="35">
        <v>0</v>
      </c>
    </row>
    <row r="101" spans="1:2" x14ac:dyDescent="0.3">
      <c r="A101" s="35">
        <v>100</v>
      </c>
      <c r="B101" s="35">
        <v>0</v>
      </c>
    </row>
    <row r="102" spans="1:2" x14ac:dyDescent="0.3">
      <c r="A102" s="35">
        <v>101</v>
      </c>
      <c r="B102" s="35">
        <v>0</v>
      </c>
    </row>
    <row r="103" spans="1:2" x14ac:dyDescent="0.3">
      <c r="A103" s="35">
        <v>102</v>
      </c>
      <c r="B103" s="35">
        <v>0</v>
      </c>
    </row>
    <row r="104" spans="1:2" x14ac:dyDescent="0.3">
      <c r="A104" s="35">
        <v>103</v>
      </c>
      <c r="B104" s="35">
        <v>0</v>
      </c>
    </row>
    <row r="105" spans="1:2" x14ac:dyDescent="0.3">
      <c r="A105" s="35">
        <v>104</v>
      </c>
      <c r="B105" s="35">
        <v>0</v>
      </c>
    </row>
    <row r="106" spans="1:2" x14ac:dyDescent="0.3">
      <c r="A106" s="35">
        <v>105</v>
      </c>
      <c r="B106" s="35">
        <v>1</v>
      </c>
    </row>
    <row r="107" spans="1:2" x14ac:dyDescent="0.3">
      <c r="A107" s="35">
        <v>106</v>
      </c>
      <c r="B107" s="35">
        <v>0</v>
      </c>
    </row>
    <row r="108" spans="1:2" x14ac:dyDescent="0.3">
      <c r="A108" s="35">
        <v>107</v>
      </c>
      <c r="B108" s="35">
        <v>0</v>
      </c>
    </row>
    <row r="109" spans="1:2" x14ac:dyDescent="0.3">
      <c r="A109" s="35">
        <v>108</v>
      </c>
      <c r="B109" s="35">
        <v>0</v>
      </c>
    </row>
    <row r="110" spans="1:2" x14ac:dyDescent="0.3">
      <c r="A110" s="35">
        <v>109</v>
      </c>
      <c r="B110" s="35">
        <v>0</v>
      </c>
    </row>
    <row r="111" spans="1:2" x14ac:dyDescent="0.3">
      <c r="A111" s="35">
        <v>110</v>
      </c>
      <c r="B111" s="35">
        <v>0</v>
      </c>
    </row>
    <row r="112" spans="1:2" x14ac:dyDescent="0.3">
      <c r="A112" s="35">
        <v>111</v>
      </c>
      <c r="B112" s="35">
        <v>0</v>
      </c>
    </row>
    <row r="113" spans="1:2" x14ac:dyDescent="0.3">
      <c r="A113" s="35">
        <v>112</v>
      </c>
      <c r="B113" s="35">
        <v>0</v>
      </c>
    </row>
    <row r="114" spans="1:2" x14ac:dyDescent="0.3">
      <c r="A114" s="35">
        <v>113</v>
      </c>
      <c r="B114" s="35">
        <v>1</v>
      </c>
    </row>
    <row r="115" spans="1:2" x14ac:dyDescent="0.3">
      <c r="A115" s="35">
        <v>114</v>
      </c>
      <c r="B115" s="35">
        <v>0</v>
      </c>
    </row>
    <row r="116" spans="1:2" x14ac:dyDescent="0.3">
      <c r="A116" s="35">
        <v>115</v>
      </c>
      <c r="B116" s="35">
        <v>0</v>
      </c>
    </row>
    <row r="117" spans="1:2" x14ac:dyDescent="0.3">
      <c r="A117" s="35">
        <v>116</v>
      </c>
      <c r="B117" s="35">
        <v>0</v>
      </c>
    </row>
    <row r="118" spans="1:2" x14ac:dyDescent="0.3">
      <c r="A118" s="35">
        <v>117</v>
      </c>
      <c r="B118" s="35">
        <v>0</v>
      </c>
    </row>
    <row r="119" spans="1:2" x14ac:dyDescent="0.3">
      <c r="A119" s="35">
        <v>118</v>
      </c>
      <c r="B119" s="35">
        <v>0</v>
      </c>
    </row>
    <row r="120" spans="1:2" x14ac:dyDescent="0.3">
      <c r="A120" s="35">
        <v>119</v>
      </c>
      <c r="B120" s="35">
        <v>0</v>
      </c>
    </row>
    <row r="121" spans="1:2" x14ac:dyDescent="0.3">
      <c r="A121" s="35">
        <v>120</v>
      </c>
      <c r="B121" s="35">
        <v>0</v>
      </c>
    </row>
    <row r="122" spans="1:2" x14ac:dyDescent="0.3">
      <c r="A122" s="35">
        <v>121</v>
      </c>
      <c r="B122" s="35">
        <v>0</v>
      </c>
    </row>
    <row r="123" spans="1:2" x14ac:dyDescent="0.3">
      <c r="A123" s="35">
        <v>122</v>
      </c>
      <c r="B123" s="35">
        <v>0</v>
      </c>
    </row>
    <row r="124" spans="1:2" x14ac:dyDescent="0.3">
      <c r="A124" s="35">
        <v>123</v>
      </c>
      <c r="B124" s="35">
        <v>0</v>
      </c>
    </row>
    <row r="125" spans="1:2" x14ac:dyDescent="0.3">
      <c r="A125" s="35">
        <v>124</v>
      </c>
      <c r="B125" s="35">
        <v>0</v>
      </c>
    </row>
    <row r="126" spans="1:2" x14ac:dyDescent="0.3">
      <c r="A126" s="35">
        <v>125</v>
      </c>
      <c r="B126" s="35">
        <v>0</v>
      </c>
    </row>
    <row r="127" spans="1:2" x14ac:dyDescent="0.3">
      <c r="A127" s="35">
        <v>126</v>
      </c>
      <c r="B127" s="35">
        <v>1</v>
      </c>
    </row>
    <row r="128" spans="1:2" x14ac:dyDescent="0.3">
      <c r="A128" s="35">
        <v>127</v>
      </c>
      <c r="B128" s="35">
        <v>0</v>
      </c>
    </row>
    <row r="129" spans="1:2" x14ac:dyDescent="0.3">
      <c r="A129" s="35">
        <v>128</v>
      </c>
      <c r="B129" s="35">
        <v>0</v>
      </c>
    </row>
    <row r="130" spans="1:2" x14ac:dyDescent="0.3">
      <c r="A130" s="35">
        <v>129</v>
      </c>
      <c r="B130" s="35">
        <v>0</v>
      </c>
    </row>
    <row r="131" spans="1:2" x14ac:dyDescent="0.3">
      <c r="A131" s="35">
        <v>130</v>
      </c>
      <c r="B131" s="35">
        <v>0</v>
      </c>
    </row>
    <row r="132" spans="1:2" x14ac:dyDescent="0.3">
      <c r="A132" s="35">
        <v>131</v>
      </c>
      <c r="B132" s="35">
        <v>0</v>
      </c>
    </row>
    <row r="133" spans="1:2" x14ac:dyDescent="0.3">
      <c r="A133" s="35">
        <v>132</v>
      </c>
      <c r="B133" s="35">
        <v>0</v>
      </c>
    </row>
    <row r="134" spans="1:2" x14ac:dyDescent="0.3">
      <c r="A134" s="35">
        <v>133</v>
      </c>
      <c r="B134" s="35">
        <v>0</v>
      </c>
    </row>
    <row r="135" spans="1:2" x14ac:dyDescent="0.3">
      <c r="A135" s="35">
        <v>134</v>
      </c>
      <c r="B135" s="35">
        <v>0</v>
      </c>
    </row>
    <row r="136" spans="1:2" x14ac:dyDescent="0.3">
      <c r="A136" s="35">
        <v>135</v>
      </c>
      <c r="B136" s="35">
        <v>0</v>
      </c>
    </row>
    <row r="137" spans="1:2" x14ac:dyDescent="0.3">
      <c r="A137" s="35">
        <v>136</v>
      </c>
      <c r="B137" s="35">
        <v>0</v>
      </c>
    </row>
    <row r="138" spans="1:2" x14ac:dyDescent="0.3">
      <c r="A138" s="35">
        <v>137</v>
      </c>
      <c r="B138" s="35">
        <v>1</v>
      </c>
    </row>
    <row r="139" spans="1:2" x14ac:dyDescent="0.3">
      <c r="A139" s="35">
        <v>138</v>
      </c>
      <c r="B139" s="35">
        <v>0</v>
      </c>
    </row>
    <row r="140" spans="1:2" x14ac:dyDescent="0.3">
      <c r="A140" s="35">
        <v>139</v>
      </c>
      <c r="B140" s="35">
        <v>0</v>
      </c>
    </row>
    <row r="141" spans="1:2" x14ac:dyDescent="0.3">
      <c r="A141" s="35">
        <v>140</v>
      </c>
      <c r="B141" s="35">
        <v>0</v>
      </c>
    </row>
    <row r="142" spans="1:2" x14ac:dyDescent="0.3">
      <c r="A142" s="35">
        <v>141</v>
      </c>
      <c r="B142" s="35">
        <v>1</v>
      </c>
    </row>
    <row r="143" spans="1:2" x14ac:dyDescent="0.3">
      <c r="A143" s="35">
        <v>142</v>
      </c>
      <c r="B143" s="35">
        <v>0</v>
      </c>
    </row>
    <row r="144" spans="1:2" x14ac:dyDescent="0.3">
      <c r="A144" s="35">
        <v>143</v>
      </c>
      <c r="B144" s="35">
        <v>0</v>
      </c>
    </row>
    <row r="145" spans="1:2" x14ac:dyDescent="0.3">
      <c r="A145" s="35">
        <v>144</v>
      </c>
      <c r="B145" s="35">
        <v>0</v>
      </c>
    </row>
    <row r="146" spans="1:2" x14ac:dyDescent="0.3">
      <c r="A146" s="35">
        <v>145</v>
      </c>
      <c r="B146" s="35">
        <v>0</v>
      </c>
    </row>
    <row r="147" spans="1:2" x14ac:dyDescent="0.3">
      <c r="A147" s="35">
        <v>146</v>
      </c>
      <c r="B147" s="35">
        <v>0</v>
      </c>
    </row>
    <row r="148" spans="1:2" x14ac:dyDescent="0.3">
      <c r="A148" s="35">
        <v>147</v>
      </c>
      <c r="B148" s="35">
        <v>0</v>
      </c>
    </row>
    <row r="149" spans="1:2" x14ac:dyDescent="0.3">
      <c r="A149" s="35">
        <v>148</v>
      </c>
      <c r="B149" s="35">
        <v>0</v>
      </c>
    </row>
    <row r="150" spans="1:2" x14ac:dyDescent="0.3">
      <c r="A150" s="35">
        <v>149</v>
      </c>
      <c r="B150" s="35">
        <v>0</v>
      </c>
    </row>
    <row r="151" spans="1:2" x14ac:dyDescent="0.3">
      <c r="A151" s="35">
        <v>150</v>
      </c>
      <c r="B151" s="35">
        <v>1</v>
      </c>
    </row>
    <row r="152" spans="1:2" x14ac:dyDescent="0.3">
      <c r="A152" s="35">
        <v>151</v>
      </c>
      <c r="B152" s="35">
        <v>1</v>
      </c>
    </row>
    <row r="153" spans="1:2" x14ac:dyDescent="0.3">
      <c r="A153" s="35">
        <v>152</v>
      </c>
      <c r="B153" s="35">
        <v>0</v>
      </c>
    </row>
    <row r="154" spans="1:2" x14ac:dyDescent="0.3">
      <c r="A154" s="35">
        <v>153</v>
      </c>
      <c r="B154" s="35">
        <v>1</v>
      </c>
    </row>
    <row r="155" spans="1:2" x14ac:dyDescent="0.3">
      <c r="A155" s="35">
        <v>154</v>
      </c>
      <c r="B155" s="35">
        <v>0</v>
      </c>
    </row>
    <row r="156" spans="1:2" x14ac:dyDescent="0.3">
      <c r="A156" s="35">
        <v>155</v>
      </c>
      <c r="B156" s="35">
        <v>0</v>
      </c>
    </row>
    <row r="157" spans="1:2" x14ac:dyDescent="0.3">
      <c r="A157" s="35">
        <v>156</v>
      </c>
      <c r="B157" s="35">
        <v>0</v>
      </c>
    </row>
    <row r="158" spans="1:2" x14ac:dyDescent="0.3">
      <c r="A158" s="35">
        <v>157</v>
      </c>
      <c r="B158" s="35">
        <v>0</v>
      </c>
    </row>
    <row r="159" spans="1:2" x14ac:dyDescent="0.3">
      <c r="A159" s="35">
        <v>158</v>
      </c>
      <c r="B159" s="35">
        <v>0</v>
      </c>
    </row>
    <row r="160" spans="1:2" x14ac:dyDescent="0.3">
      <c r="A160" s="35">
        <v>159</v>
      </c>
      <c r="B160" s="35">
        <v>1</v>
      </c>
    </row>
    <row r="161" spans="1:2" x14ac:dyDescent="0.3">
      <c r="A161" s="35">
        <v>160</v>
      </c>
      <c r="B161" s="35">
        <v>1</v>
      </c>
    </row>
    <row r="162" spans="1:2" x14ac:dyDescent="0.3">
      <c r="A162" s="35">
        <v>161</v>
      </c>
      <c r="B162" s="35">
        <v>0</v>
      </c>
    </row>
    <row r="163" spans="1:2" x14ac:dyDescent="0.3">
      <c r="A163" s="35">
        <v>162</v>
      </c>
      <c r="B163" s="35">
        <v>0</v>
      </c>
    </row>
    <row r="164" spans="1:2" x14ac:dyDescent="0.3">
      <c r="A164" s="35">
        <v>163</v>
      </c>
      <c r="B164" s="35">
        <v>1</v>
      </c>
    </row>
    <row r="165" spans="1:2" x14ac:dyDescent="0.3">
      <c r="A165" s="35">
        <v>164</v>
      </c>
      <c r="B165" s="35">
        <v>0</v>
      </c>
    </row>
    <row r="166" spans="1:2" x14ac:dyDescent="0.3">
      <c r="A166" s="35">
        <v>165</v>
      </c>
      <c r="B166" s="35">
        <v>0</v>
      </c>
    </row>
    <row r="167" spans="1:2" x14ac:dyDescent="0.3">
      <c r="A167" s="35">
        <v>166</v>
      </c>
      <c r="B167" s="35">
        <v>0</v>
      </c>
    </row>
    <row r="168" spans="1:2" x14ac:dyDescent="0.3">
      <c r="A168" s="35">
        <v>167</v>
      </c>
      <c r="B168" s="35">
        <v>0</v>
      </c>
    </row>
    <row r="169" spans="1:2" x14ac:dyDescent="0.3">
      <c r="A169" s="35">
        <v>168</v>
      </c>
      <c r="B169" s="35">
        <v>0</v>
      </c>
    </row>
    <row r="170" spans="1:2" x14ac:dyDescent="0.3">
      <c r="A170" s="35">
        <v>169</v>
      </c>
      <c r="B170" s="35">
        <v>0</v>
      </c>
    </row>
    <row r="171" spans="1:2" x14ac:dyDescent="0.3">
      <c r="A171" s="35">
        <v>170</v>
      </c>
      <c r="B171" s="35">
        <v>0</v>
      </c>
    </row>
    <row r="172" spans="1:2" x14ac:dyDescent="0.3">
      <c r="A172" s="35">
        <v>171</v>
      </c>
      <c r="B172" s="35">
        <v>0</v>
      </c>
    </row>
    <row r="173" spans="1:2" x14ac:dyDescent="0.3">
      <c r="A173" s="35">
        <v>172</v>
      </c>
      <c r="B173" s="35">
        <v>0</v>
      </c>
    </row>
    <row r="174" spans="1:2" x14ac:dyDescent="0.3">
      <c r="A174" s="35">
        <v>173</v>
      </c>
      <c r="B174" s="35">
        <v>0</v>
      </c>
    </row>
    <row r="175" spans="1:2" x14ac:dyDescent="0.3">
      <c r="A175" s="35">
        <v>174</v>
      </c>
      <c r="B175" s="35">
        <v>1</v>
      </c>
    </row>
    <row r="176" spans="1:2" x14ac:dyDescent="0.3">
      <c r="A176" s="35">
        <v>175</v>
      </c>
      <c r="B176" s="35">
        <v>0</v>
      </c>
    </row>
    <row r="177" spans="1:2" x14ac:dyDescent="0.3">
      <c r="A177" s="35">
        <v>176</v>
      </c>
      <c r="B177" s="35">
        <v>0</v>
      </c>
    </row>
    <row r="178" spans="1:2" x14ac:dyDescent="0.3">
      <c r="A178" s="35">
        <v>177</v>
      </c>
      <c r="B178" s="35">
        <v>0</v>
      </c>
    </row>
    <row r="179" spans="1:2" x14ac:dyDescent="0.3">
      <c r="A179" s="35">
        <v>178</v>
      </c>
      <c r="B179" s="35">
        <v>0</v>
      </c>
    </row>
    <row r="180" spans="1:2" x14ac:dyDescent="0.3">
      <c r="A180" s="35">
        <v>179</v>
      </c>
      <c r="B180" s="35">
        <v>0</v>
      </c>
    </row>
    <row r="181" spans="1:2" x14ac:dyDescent="0.3">
      <c r="A181" s="35">
        <v>180</v>
      </c>
      <c r="B181" s="35">
        <v>0</v>
      </c>
    </row>
    <row r="182" spans="1:2" x14ac:dyDescent="0.3">
      <c r="A182" s="35">
        <v>181</v>
      </c>
      <c r="B182" s="35">
        <v>1</v>
      </c>
    </row>
    <row r="183" spans="1:2" x14ac:dyDescent="0.3">
      <c r="A183" s="35">
        <v>182</v>
      </c>
      <c r="B183" s="35">
        <v>0</v>
      </c>
    </row>
    <row r="184" spans="1:2" x14ac:dyDescent="0.3">
      <c r="A184" s="35">
        <v>183</v>
      </c>
      <c r="B184" s="35">
        <v>0</v>
      </c>
    </row>
    <row r="185" spans="1:2" x14ac:dyDescent="0.3">
      <c r="A185" s="35">
        <v>184</v>
      </c>
      <c r="B185" s="35">
        <v>0</v>
      </c>
    </row>
    <row r="186" spans="1:2" x14ac:dyDescent="0.3">
      <c r="A186" s="35">
        <v>185</v>
      </c>
      <c r="B186" s="35">
        <v>0</v>
      </c>
    </row>
    <row r="187" spans="1:2" x14ac:dyDescent="0.3">
      <c r="A187" s="35">
        <v>186</v>
      </c>
      <c r="B187" s="35">
        <v>0</v>
      </c>
    </row>
    <row r="188" spans="1:2" x14ac:dyDescent="0.3">
      <c r="A188" s="35">
        <v>187</v>
      </c>
      <c r="B188" s="35">
        <v>0</v>
      </c>
    </row>
    <row r="189" spans="1:2" x14ac:dyDescent="0.3">
      <c r="A189" s="35">
        <v>188</v>
      </c>
      <c r="B189" s="35">
        <v>0</v>
      </c>
    </row>
    <row r="190" spans="1:2" x14ac:dyDescent="0.3">
      <c r="A190" s="35">
        <v>189</v>
      </c>
      <c r="B190" s="35">
        <v>1</v>
      </c>
    </row>
    <row r="191" spans="1:2" x14ac:dyDescent="0.3">
      <c r="A191" s="35">
        <v>190</v>
      </c>
      <c r="B191" s="35">
        <v>0</v>
      </c>
    </row>
    <row r="192" spans="1:2" x14ac:dyDescent="0.3">
      <c r="A192" s="35">
        <v>191</v>
      </c>
      <c r="B192" s="35">
        <v>0</v>
      </c>
    </row>
    <row r="193" spans="1:2" x14ac:dyDescent="0.3">
      <c r="A193" s="35">
        <v>192</v>
      </c>
      <c r="B193" s="35">
        <v>0</v>
      </c>
    </row>
    <row r="194" spans="1:2" x14ac:dyDescent="0.3">
      <c r="A194" s="35">
        <v>193</v>
      </c>
      <c r="B194" s="35">
        <v>1</v>
      </c>
    </row>
    <row r="195" spans="1:2" x14ac:dyDescent="0.3">
      <c r="A195" s="35">
        <v>194</v>
      </c>
      <c r="B195" s="35">
        <v>0</v>
      </c>
    </row>
    <row r="196" spans="1:2" x14ac:dyDescent="0.3">
      <c r="A196" s="35">
        <v>195</v>
      </c>
      <c r="B196" s="35">
        <v>0</v>
      </c>
    </row>
    <row r="197" spans="1:2" x14ac:dyDescent="0.3">
      <c r="A197" s="35">
        <v>196</v>
      </c>
      <c r="B197" s="35">
        <v>0</v>
      </c>
    </row>
    <row r="198" spans="1:2" x14ac:dyDescent="0.3">
      <c r="A198" s="35">
        <v>197</v>
      </c>
      <c r="B198" s="35">
        <v>0</v>
      </c>
    </row>
    <row r="199" spans="1:2" x14ac:dyDescent="0.3">
      <c r="A199" s="35">
        <v>198</v>
      </c>
      <c r="B199" s="35">
        <v>1</v>
      </c>
    </row>
    <row r="200" spans="1:2" x14ac:dyDescent="0.3">
      <c r="A200" s="35">
        <v>199</v>
      </c>
      <c r="B200" s="35">
        <v>0</v>
      </c>
    </row>
    <row r="201" spans="1:2" x14ac:dyDescent="0.3">
      <c r="A201" s="35">
        <v>200</v>
      </c>
      <c r="B201" s="35">
        <v>0</v>
      </c>
    </row>
    <row r="202" spans="1:2" x14ac:dyDescent="0.3">
      <c r="A202" s="35">
        <v>201</v>
      </c>
      <c r="B202" s="35">
        <v>0</v>
      </c>
    </row>
    <row r="203" spans="1:2" x14ac:dyDescent="0.3">
      <c r="A203" s="35">
        <v>202</v>
      </c>
      <c r="B203" s="35">
        <v>0</v>
      </c>
    </row>
    <row r="204" spans="1:2" x14ac:dyDescent="0.3">
      <c r="A204" s="35">
        <v>203</v>
      </c>
      <c r="B204" s="35">
        <v>0</v>
      </c>
    </row>
    <row r="205" spans="1:2" x14ac:dyDescent="0.3">
      <c r="A205" s="35">
        <v>204</v>
      </c>
      <c r="B205" s="35">
        <v>0</v>
      </c>
    </row>
    <row r="206" spans="1:2" x14ac:dyDescent="0.3">
      <c r="A206" s="35">
        <v>205</v>
      </c>
      <c r="B206" s="35">
        <v>0</v>
      </c>
    </row>
    <row r="207" spans="1:2" x14ac:dyDescent="0.3">
      <c r="A207" s="35">
        <v>206</v>
      </c>
      <c r="B207" s="35">
        <v>0</v>
      </c>
    </row>
    <row r="208" spans="1:2" x14ac:dyDescent="0.3">
      <c r="A208" s="35">
        <v>207</v>
      </c>
      <c r="B208" s="35">
        <v>0</v>
      </c>
    </row>
    <row r="209" spans="1:2" x14ac:dyDescent="0.3">
      <c r="A209" s="35">
        <v>208</v>
      </c>
      <c r="B209" s="35">
        <v>0</v>
      </c>
    </row>
    <row r="210" spans="1:2" x14ac:dyDescent="0.3">
      <c r="A210" s="35">
        <v>209</v>
      </c>
      <c r="B210" s="35">
        <v>1</v>
      </c>
    </row>
    <row r="211" spans="1:2" x14ac:dyDescent="0.3">
      <c r="A211" s="35">
        <v>210</v>
      </c>
      <c r="B211" s="35">
        <v>1</v>
      </c>
    </row>
    <row r="212" spans="1:2" x14ac:dyDescent="0.3">
      <c r="A212" s="35">
        <v>211</v>
      </c>
      <c r="B212" s="35">
        <v>0</v>
      </c>
    </row>
    <row r="213" spans="1:2" x14ac:dyDescent="0.3">
      <c r="A213" s="35">
        <v>212</v>
      </c>
      <c r="B213" s="35">
        <v>0</v>
      </c>
    </row>
    <row r="214" spans="1:2" x14ac:dyDescent="0.3">
      <c r="A214" s="35">
        <v>213</v>
      </c>
      <c r="B214" s="35">
        <v>0</v>
      </c>
    </row>
    <row r="215" spans="1:2" x14ac:dyDescent="0.3">
      <c r="A215" s="35">
        <v>214</v>
      </c>
      <c r="B215" s="35">
        <v>1</v>
      </c>
    </row>
    <row r="216" spans="1:2" x14ac:dyDescent="0.3">
      <c r="A216" s="35">
        <v>215</v>
      </c>
      <c r="B216" s="35">
        <v>0</v>
      </c>
    </row>
    <row r="217" spans="1:2" x14ac:dyDescent="0.3">
      <c r="A217" s="35">
        <v>216</v>
      </c>
      <c r="B217" s="35">
        <v>1</v>
      </c>
    </row>
    <row r="218" spans="1:2" x14ac:dyDescent="0.3">
      <c r="A218" s="35">
        <v>217</v>
      </c>
      <c r="B218" s="35">
        <v>0</v>
      </c>
    </row>
    <row r="219" spans="1:2" x14ac:dyDescent="0.3">
      <c r="A219" s="35">
        <v>218</v>
      </c>
      <c r="B219" s="35">
        <v>1</v>
      </c>
    </row>
    <row r="220" spans="1:2" x14ac:dyDescent="0.3">
      <c r="A220" s="35">
        <v>219</v>
      </c>
      <c r="B220" s="35">
        <v>1</v>
      </c>
    </row>
    <row r="221" spans="1:2" x14ac:dyDescent="0.3">
      <c r="A221" s="35">
        <v>220</v>
      </c>
      <c r="B221" s="35">
        <v>0</v>
      </c>
    </row>
    <row r="222" spans="1:2" x14ac:dyDescent="0.3">
      <c r="A222" s="35">
        <v>221</v>
      </c>
      <c r="B222" s="35">
        <v>0</v>
      </c>
    </row>
    <row r="223" spans="1:2" x14ac:dyDescent="0.3">
      <c r="A223" s="35">
        <v>222</v>
      </c>
      <c r="B223" s="35">
        <v>0</v>
      </c>
    </row>
    <row r="224" spans="1:2" x14ac:dyDescent="0.3">
      <c r="A224" s="35">
        <v>223</v>
      </c>
      <c r="B224" s="35">
        <v>1</v>
      </c>
    </row>
    <row r="225" spans="1:2" x14ac:dyDescent="0.3">
      <c r="A225" s="35">
        <v>224</v>
      </c>
      <c r="B225" s="35">
        <v>0</v>
      </c>
    </row>
    <row r="226" spans="1:2" x14ac:dyDescent="0.3">
      <c r="A226" s="35">
        <v>225</v>
      </c>
      <c r="B226" s="35">
        <v>0</v>
      </c>
    </row>
    <row r="227" spans="1:2" x14ac:dyDescent="0.3">
      <c r="A227" s="35">
        <v>226</v>
      </c>
      <c r="B227" s="35">
        <v>0</v>
      </c>
    </row>
    <row r="228" spans="1:2" x14ac:dyDescent="0.3">
      <c r="A228" s="35">
        <v>227</v>
      </c>
      <c r="B228" s="35">
        <v>0</v>
      </c>
    </row>
    <row r="229" spans="1:2" x14ac:dyDescent="0.3">
      <c r="A229" s="35">
        <v>228</v>
      </c>
      <c r="B229" s="35">
        <v>0</v>
      </c>
    </row>
    <row r="230" spans="1:2" x14ac:dyDescent="0.3">
      <c r="A230" s="35">
        <v>229</v>
      </c>
      <c r="B230" s="35">
        <v>0</v>
      </c>
    </row>
    <row r="231" spans="1:2" x14ac:dyDescent="0.3">
      <c r="A231" s="35">
        <v>230</v>
      </c>
      <c r="B231" s="35">
        <v>1</v>
      </c>
    </row>
    <row r="232" spans="1:2" x14ac:dyDescent="0.3">
      <c r="A232" s="35">
        <v>231</v>
      </c>
      <c r="B232" s="35">
        <v>0</v>
      </c>
    </row>
    <row r="233" spans="1:2" x14ac:dyDescent="0.3">
      <c r="A233" s="35">
        <v>232</v>
      </c>
      <c r="B233" s="35">
        <v>1</v>
      </c>
    </row>
    <row r="234" spans="1:2" x14ac:dyDescent="0.3">
      <c r="A234" s="35">
        <v>233</v>
      </c>
      <c r="B234" s="35">
        <v>0</v>
      </c>
    </row>
    <row r="235" spans="1:2" x14ac:dyDescent="0.3">
      <c r="A235" s="35">
        <v>234</v>
      </c>
      <c r="B235" s="35">
        <v>0</v>
      </c>
    </row>
    <row r="236" spans="1:2" x14ac:dyDescent="0.3">
      <c r="A236" s="35">
        <v>235</v>
      </c>
      <c r="B236" s="35">
        <v>1</v>
      </c>
    </row>
    <row r="237" spans="1:2" x14ac:dyDescent="0.3">
      <c r="A237" s="35">
        <v>236</v>
      </c>
      <c r="B237" s="35">
        <v>1</v>
      </c>
    </row>
    <row r="238" spans="1:2" x14ac:dyDescent="0.3">
      <c r="A238" s="35">
        <v>237</v>
      </c>
      <c r="B238" s="35">
        <v>1</v>
      </c>
    </row>
    <row r="239" spans="1:2" x14ac:dyDescent="0.3">
      <c r="A239" s="35">
        <v>238</v>
      </c>
      <c r="B239" s="35">
        <v>0</v>
      </c>
    </row>
    <row r="240" spans="1:2" x14ac:dyDescent="0.3">
      <c r="A240" s="35">
        <v>239</v>
      </c>
      <c r="B240" s="35">
        <v>0</v>
      </c>
    </row>
    <row r="241" spans="1:2" x14ac:dyDescent="0.3">
      <c r="A241" s="35">
        <v>240</v>
      </c>
      <c r="B241" s="35">
        <v>0</v>
      </c>
    </row>
    <row r="242" spans="1:2" x14ac:dyDescent="0.3">
      <c r="A242" s="35">
        <v>241</v>
      </c>
      <c r="B242" s="35">
        <v>0</v>
      </c>
    </row>
    <row r="243" spans="1:2" x14ac:dyDescent="0.3">
      <c r="A243" s="35">
        <v>242</v>
      </c>
      <c r="B243" s="35">
        <v>0</v>
      </c>
    </row>
    <row r="244" spans="1:2" x14ac:dyDescent="0.3">
      <c r="A244" s="35">
        <v>243</v>
      </c>
      <c r="B244" s="35">
        <v>0</v>
      </c>
    </row>
    <row r="245" spans="1:2" x14ac:dyDescent="0.3">
      <c r="A245" s="35">
        <v>244</v>
      </c>
      <c r="B245" s="35">
        <v>0</v>
      </c>
    </row>
    <row r="246" spans="1:2" x14ac:dyDescent="0.3">
      <c r="A246" s="35">
        <v>245</v>
      </c>
      <c r="B246" s="35">
        <v>0</v>
      </c>
    </row>
    <row r="247" spans="1:2" x14ac:dyDescent="0.3">
      <c r="A247" s="35">
        <v>246</v>
      </c>
      <c r="B247" s="35">
        <v>0</v>
      </c>
    </row>
    <row r="248" spans="1:2" x14ac:dyDescent="0.3">
      <c r="A248" s="35">
        <v>247</v>
      </c>
      <c r="B248" s="35">
        <v>0</v>
      </c>
    </row>
    <row r="249" spans="1:2" x14ac:dyDescent="0.3">
      <c r="A249" s="35">
        <v>248</v>
      </c>
      <c r="B249" s="35">
        <v>1</v>
      </c>
    </row>
    <row r="250" spans="1:2" x14ac:dyDescent="0.3">
      <c r="A250" s="35">
        <v>249</v>
      </c>
      <c r="B250" s="35">
        <v>0</v>
      </c>
    </row>
    <row r="251" spans="1:2" x14ac:dyDescent="0.3">
      <c r="A251" s="35">
        <v>250</v>
      </c>
      <c r="B251" s="35">
        <v>1</v>
      </c>
    </row>
    <row r="252" spans="1:2" x14ac:dyDescent="0.3">
      <c r="A252" s="35">
        <v>251</v>
      </c>
      <c r="B252" s="35">
        <v>1</v>
      </c>
    </row>
    <row r="253" spans="1:2" x14ac:dyDescent="0.3">
      <c r="A253" s="35">
        <v>252</v>
      </c>
      <c r="B253" s="35">
        <v>1</v>
      </c>
    </row>
    <row r="254" spans="1:2" x14ac:dyDescent="0.3">
      <c r="A254" s="35">
        <v>253</v>
      </c>
      <c r="B254" s="35">
        <v>0</v>
      </c>
    </row>
    <row r="255" spans="1:2" x14ac:dyDescent="0.3">
      <c r="A255" s="35">
        <v>254</v>
      </c>
      <c r="B255" s="35">
        <v>0</v>
      </c>
    </row>
    <row r="256" spans="1:2" x14ac:dyDescent="0.3">
      <c r="A256" s="35">
        <v>255</v>
      </c>
      <c r="B256" s="35">
        <v>1</v>
      </c>
    </row>
    <row r="257" spans="1:2" x14ac:dyDescent="0.3">
      <c r="A257" s="35">
        <v>256</v>
      </c>
      <c r="B257" s="35">
        <v>0</v>
      </c>
    </row>
    <row r="258" spans="1:2" x14ac:dyDescent="0.3">
      <c r="A258" s="35">
        <v>257</v>
      </c>
      <c r="B258" s="35">
        <v>0</v>
      </c>
    </row>
    <row r="259" spans="1:2" x14ac:dyDescent="0.3">
      <c r="A259" s="35">
        <v>258</v>
      </c>
      <c r="B259" s="35">
        <v>0</v>
      </c>
    </row>
    <row r="260" spans="1:2" x14ac:dyDescent="0.3">
      <c r="A260" s="35">
        <v>259</v>
      </c>
      <c r="B260" s="35">
        <v>1</v>
      </c>
    </row>
    <row r="261" spans="1:2" x14ac:dyDescent="0.3">
      <c r="A261" s="35">
        <v>260</v>
      </c>
      <c r="B261" s="35">
        <v>0</v>
      </c>
    </row>
    <row r="262" spans="1:2" x14ac:dyDescent="0.3">
      <c r="A262" s="35">
        <v>261</v>
      </c>
      <c r="B262" s="35">
        <v>0</v>
      </c>
    </row>
    <row r="263" spans="1:2" x14ac:dyDescent="0.3">
      <c r="A263" s="35">
        <v>262</v>
      </c>
      <c r="B263" s="35">
        <v>0</v>
      </c>
    </row>
    <row r="264" spans="1:2" x14ac:dyDescent="0.3">
      <c r="A264" s="35">
        <v>263</v>
      </c>
      <c r="B264" s="35">
        <v>0</v>
      </c>
    </row>
    <row r="265" spans="1:2" x14ac:dyDescent="0.3">
      <c r="A265" s="35">
        <v>264</v>
      </c>
      <c r="B265" s="35">
        <v>0</v>
      </c>
    </row>
    <row r="266" spans="1:2" x14ac:dyDescent="0.3">
      <c r="A266" s="35">
        <v>265</v>
      </c>
      <c r="B266" s="35">
        <v>0</v>
      </c>
    </row>
    <row r="267" spans="1:2" x14ac:dyDescent="0.3">
      <c r="A267" s="35">
        <v>266</v>
      </c>
      <c r="B267" s="35">
        <v>0</v>
      </c>
    </row>
    <row r="268" spans="1:2" x14ac:dyDescent="0.3">
      <c r="A268" s="35">
        <v>267</v>
      </c>
      <c r="B268" s="35">
        <v>1</v>
      </c>
    </row>
    <row r="269" spans="1:2" x14ac:dyDescent="0.3">
      <c r="A269" s="35">
        <v>268</v>
      </c>
      <c r="B269" s="35">
        <v>0</v>
      </c>
    </row>
    <row r="270" spans="1:2" x14ac:dyDescent="0.3">
      <c r="A270" s="35">
        <v>269</v>
      </c>
      <c r="B270" s="35">
        <v>1</v>
      </c>
    </row>
    <row r="271" spans="1:2" x14ac:dyDescent="0.3">
      <c r="A271" s="35">
        <v>270</v>
      </c>
      <c r="B271" s="35">
        <v>0</v>
      </c>
    </row>
    <row r="272" spans="1:2" x14ac:dyDescent="0.3">
      <c r="A272" s="35">
        <v>271</v>
      </c>
      <c r="B272" s="35">
        <v>0</v>
      </c>
    </row>
    <row r="273" spans="1:2" x14ac:dyDescent="0.3">
      <c r="A273" s="35">
        <v>272</v>
      </c>
      <c r="B273" s="35">
        <v>0</v>
      </c>
    </row>
    <row r="274" spans="1:2" x14ac:dyDescent="0.3">
      <c r="A274" s="35">
        <v>273</v>
      </c>
      <c r="B274" s="35">
        <v>0</v>
      </c>
    </row>
    <row r="275" spans="1:2" x14ac:dyDescent="0.3">
      <c r="A275" s="35">
        <v>274</v>
      </c>
      <c r="B275" s="35">
        <v>1</v>
      </c>
    </row>
    <row r="276" spans="1:2" x14ac:dyDescent="0.3">
      <c r="A276" s="35">
        <v>275</v>
      </c>
      <c r="B276" s="35">
        <v>0</v>
      </c>
    </row>
    <row r="277" spans="1:2" x14ac:dyDescent="0.3">
      <c r="A277" s="35">
        <v>276</v>
      </c>
      <c r="B277" s="35">
        <v>0</v>
      </c>
    </row>
    <row r="278" spans="1:2" x14ac:dyDescent="0.3">
      <c r="A278" s="35">
        <v>277</v>
      </c>
      <c r="B278" s="35">
        <v>1</v>
      </c>
    </row>
    <row r="279" spans="1:2" x14ac:dyDescent="0.3">
      <c r="A279" s="35">
        <v>278</v>
      </c>
      <c r="B279" s="35">
        <v>0</v>
      </c>
    </row>
    <row r="280" spans="1:2" x14ac:dyDescent="0.3">
      <c r="A280" s="35">
        <v>279</v>
      </c>
      <c r="B280" s="35">
        <v>0</v>
      </c>
    </row>
    <row r="281" spans="1:2" x14ac:dyDescent="0.3">
      <c r="A281" s="35">
        <v>280</v>
      </c>
      <c r="B281" s="35">
        <v>1</v>
      </c>
    </row>
    <row r="282" spans="1:2" x14ac:dyDescent="0.3">
      <c r="A282" s="35">
        <v>281</v>
      </c>
      <c r="B282" s="35">
        <v>1</v>
      </c>
    </row>
    <row r="283" spans="1:2" x14ac:dyDescent="0.3">
      <c r="A283" s="35">
        <v>282</v>
      </c>
      <c r="B283" s="35">
        <v>1</v>
      </c>
    </row>
    <row r="284" spans="1:2" x14ac:dyDescent="0.3">
      <c r="A284" s="35">
        <v>283</v>
      </c>
      <c r="B284" s="35">
        <v>0</v>
      </c>
    </row>
    <row r="285" spans="1:2" x14ac:dyDescent="0.3">
      <c r="A285" s="35">
        <v>284</v>
      </c>
      <c r="B285" s="35">
        <v>0</v>
      </c>
    </row>
    <row r="286" spans="1:2" x14ac:dyDescent="0.3">
      <c r="A286" s="35">
        <v>285</v>
      </c>
      <c r="B286" s="35">
        <v>0</v>
      </c>
    </row>
    <row r="287" spans="1:2" x14ac:dyDescent="0.3">
      <c r="A287" s="35">
        <v>286</v>
      </c>
      <c r="B287" s="35">
        <v>0</v>
      </c>
    </row>
    <row r="288" spans="1:2" x14ac:dyDescent="0.3">
      <c r="A288" s="35">
        <v>287</v>
      </c>
      <c r="B288" s="35">
        <v>0</v>
      </c>
    </row>
    <row r="289" spans="1:2" x14ac:dyDescent="0.3">
      <c r="A289" s="35">
        <v>288</v>
      </c>
      <c r="B289" s="35">
        <v>0</v>
      </c>
    </row>
    <row r="290" spans="1:2" x14ac:dyDescent="0.3">
      <c r="A290" s="35">
        <v>289</v>
      </c>
      <c r="B290" s="35">
        <v>0</v>
      </c>
    </row>
    <row r="291" spans="1:2" x14ac:dyDescent="0.3">
      <c r="A291" s="35">
        <v>290</v>
      </c>
      <c r="B291" s="35">
        <v>0</v>
      </c>
    </row>
    <row r="292" spans="1:2" x14ac:dyDescent="0.3">
      <c r="A292" s="35">
        <v>291</v>
      </c>
      <c r="B292" s="35">
        <v>1</v>
      </c>
    </row>
    <row r="293" spans="1:2" x14ac:dyDescent="0.3">
      <c r="A293" s="35">
        <v>292</v>
      </c>
      <c r="B293" s="35">
        <v>0</v>
      </c>
    </row>
    <row r="294" spans="1:2" x14ac:dyDescent="0.3">
      <c r="A294" s="35">
        <v>293</v>
      </c>
      <c r="B294" s="35">
        <v>1</v>
      </c>
    </row>
    <row r="295" spans="1:2" x14ac:dyDescent="0.3">
      <c r="A295" s="35">
        <v>294</v>
      </c>
      <c r="B295" s="35">
        <v>0</v>
      </c>
    </row>
    <row r="296" spans="1:2" x14ac:dyDescent="0.3">
      <c r="A296" s="35">
        <v>295</v>
      </c>
      <c r="B296" s="35">
        <v>0</v>
      </c>
    </row>
    <row r="297" spans="1:2" x14ac:dyDescent="0.3">
      <c r="A297" s="35">
        <v>296</v>
      </c>
      <c r="B297" s="35">
        <v>0</v>
      </c>
    </row>
    <row r="298" spans="1:2" x14ac:dyDescent="0.3">
      <c r="A298" s="35">
        <v>297</v>
      </c>
      <c r="B298" s="35">
        <v>1</v>
      </c>
    </row>
    <row r="299" spans="1:2" x14ac:dyDescent="0.3">
      <c r="A299" s="35">
        <v>298</v>
      </c>
      <c r="B299" s="35">
        <v>0</v>
      </c>
    </row>
    <row r="300" spans="1:2" x14ac:dyDescent="0.3">
      <c r="A300" s="35">
        <v>299</v>
      </c>
      <c r="B300" s="35">
        <v>0</v>
      </c>
    </row>
    <row r="301" spans="1:2" x14ac:dyDescent="0.3">
      <c r="A301" s="35">
        <v>300</v>
      </c>
      <c r="B301" s="35">
        <v>0</v>
      </c>
    </row>
    <row r="302" spans="1:2" x14ac:dyDescent="0.3">
      <c r="A302" s="35">
        <v>301</v>
      </c>
      <c r="B302" s="35">
        <v>0</v>
      </c>
    </row>
    <row r="303" spans="1:2" x14ac:dyDescent="0.3">
      <c r="A303" s="35">
        <v>302</v>
      </c>
      <c r="B303" s="35">
        <v>1</v>
      </c>
    </row>
    <row r="304" spans="1:2" x14ac:dyDescent="0.3">
      <c r="A304" s="35">
        <v>303</v>
      </c>
      <c r="B304" s="35">
        <v>0</v>
      </c>
    </row>
    <row r="305" spans="1:2" x14ac:dyDescent="0.3">
      <c r="A305" s="35">
        <v>304</v>
      </c>
      <c r="B305" s="35">
        <v>0</v>
      </c>
    </row>
    <row r="306" spans="1:2" x14ac:dyDescent="0.3">
      <c r="A306" s="35">
        <v>305</v>
      </c>
      <c r="B306" s="35">
        <v>0</v>
      </c>
    </row>
    <row r="307" spans="1:2" x14ac:dyDescent="0.3">
      <c r="A307" s="35">
        <v>306</v>
      </c>
      <c r="B307" s="35">
        <v>0</v>
      </c>
    </row>
    <row r="308" spans="1:2" x14ac:dyDescent="0.3">
      <c r="A308" s="35">
        <v>307</v>
      </c>
      <c r="B308" s="35">
        <v>0</v>
      </c>
    </row>
    <row r="309" spans="1:2" x14ac:dyDescent="0.3">
      <c r="A309" s="35">
        <v>308</v>
      </c>
      <c r="B309" s="35">
        <v>0</v>
      </c>
    </row>
    <row r="310" spans="1:2" x14ac:dyDescent="0.3">
      <c r="A310" s="35">
        <v>309</v>
      </c>
      <c r="B310" s="35">
        <v>0</v>
      </c>
    </row>
    <row r="311" spans="1:2" x14ac:dyDescent="0.3">
      <c r="A311" s="35">
        <v>310</v>
      </c>
      <c r="B311" s="35">
        <v>0</v>
      </c>
    </row>
    <row r="312" spans="1:2" x14ac:dyDescent="0.3">
      <c r="A312" s="35">
        <v>311</v>
      </c>
      <c r="B312" s="35">
        <v>0</v>
      </c>
    </row>
    <row r="313" spans="1:2" x14ac:dyDescent="0.3">
      <c r="A313" s="35">
        <v>312</v>
      </c>
      <c r="B313" s="35">
        <v>0</v>
      </c>
    </row>
    <row r="314" spans="1:2" x14ac:dyDescent="0.3">
      <c r="A314" s="35">
        <v>313</v>
      </c>
      <c r="B314" s="35">
        <v>0</v>
      </c>
    </row>
    <row r="315" spans="1:2" x14ac:dyDescent="0.3">
      <c r="A315" s="35">
        <v>314</v>
      </c>
      <c r="B315" s="35">
        <v>1</v>
      </c>
    </row>
    <row r="316" spans="1:2" x14ac:dyDescent="0.3">
      <c r="A316" s="35">
        <v>315</v>
      </c>
      <c r="B316" s="35">
        <v>0</v>
      </c>
    </row>
    <row r="317" spans="1:2" x14ac:dyDescent="0.3">
      <c r="A317" s="35">
        <v>316</v>
      </c>
      <c r="B317" s="35">
        <v>0</v>
      </c>
    </row>
    <row r="318" spans="1:2" x14ac:dyDescent="0.3">
      <c r="A318" s="35">
        <v>317</v>
      </c>
      <c r="B318" s="35">
        <v>0</v>
      </c>
    </row>
    <row r="319" spans="1:2" x14ac:dyDescent="0.3">
      <c r="A319" s="35">
        <v>318</v>
      </c>
      <c r="B319" s="35">
        <v>0</v>
      </c>
    </row>
    <row r="320" spans="1:2" x14ac:dyDescent="0.3">
      <c r="A320" s="35">
        <v>319</v>
      </c>
      <c r="B320" s="35">
        <v>1</v>
      </c>
    </row>
    <row r="321" spans="1:2" x14ac:dyDescent="0.3">
      <c r="A321" s="35">
        <v>320</v>
      </c>
      <c r="B321" s="35">
        <v>0</v>
      </c>
    </row>
    <row r="322" spans="1:2" x14ac:dyDescent="0.3">
      <c r="A322" s="35">
        <v>321</v>
      </c>
      <c r="B322" s="35">
        <v>0</v>
      </c>
    </row>
    <row r="323" spans="1:2" x14ac:dyDescent="0.3">
      <c r="A323" s="35">
        <v>322</v>
      </c>
      <c r="B323" s="35">
        <v>1</v>
      </c>
    </row>
    <row r="324" spans="1:2" x14ac:dyDescent="0.3">
      <c r="A324" s="35">
        <v>323</v>
      </c>
      <c r="B324" s="35">
        <v>0</v>
      </c>
    </row>
    <row r="325" spans="1:2" x14ac:dyDescent="0.3">
      <c r="A325" s="35">
        <v>324</v>
      </c>
      <c r="B325" s="35">
        <v>0</v>
      </c>
    </row>
    <row r="326" spans="1:2" x14ac:dyDescent="0.3">
      <c r="A326" s="35">
        <v>325</v>
      </c>
      <c r="B326" s="35">
        <v>1</v>
      </c>
    </row>
    <row r="327" spans="1:2" x14ac:dyDescent="0.3">
      <c r="A327" s="35">
        <v>326</v>
      </c>
      <c r="B327" s="35">
        <v>0</v>
      </c>
    </row>
    <row r="328" spans="1:2" x14ac:dyDescent="0.3">
      <c r="A328" s="35">
        <v>327</v>
      </c>
      <c r="B328" s="35">
        <v>1</v>
      </c>
    </row>
    <row r="329" spans="1:2" x14ac:dyDescent="0.3">
      <c r="A329" s="35">
        <v>328</v>
      </c>
      <c r="B329" s="35">
        <v>0</v>
      </c>
    </row>
    <row r="330" spans="1:2" x14ac:dyDescent="0.3">
      <c r="A330" s="35">
        <v>329</v>
      </c>
      <c r="B330" s="35">
        <v>0</v>
      </c>
    </row>
    <row r="331" spans="1:2" x14ac:dyDescent="0.3">
      <c r="A331" s="35">
        <v>330</v>
      </c>
      <c r="B331" s="35">
        <v>0</v>
      </c>
    </row>
    <row r="332" spans="1:2" x14ac:dyDescent="0.3">
      <c r="A332" s="35">
        <v>331</v>
      </c>
      <c r="B332" s="35">
        <v>0</v>
      </c>
    </row>
    <row r="333" spans="1:2" x14ac:dyDescent="0.3">
      <c r="A333" s="35">
        <v>332</v>
      </c>
      <c r="B333" s="35">
        <v>0</v>
      </c>
    </row>
    <row r="334" spans="1:2" x14ac:dyDescent="0.3">
      <c r="A334" s="35">
        <v>333</v>
      </c>
      <c r="B334" s="35">
        <v>0</v>
      </c>
    </row>
    <row r="335" spans="1:2" x14ac:dyDescent="0.3">
      <c r="A335" s="35">
        <v>334</v>
      </c>
      <c r="B335" s="35">
        <v>0</v>
      </c>
    </row>
    <row r="336" spans="1:2" x14ac:dyDescent="0.3">
      <c r="A336" s="35">
        <v>335</v>
      </c>
      <c r="B336" s="35">
        <v>1</v>
      </c>
    </row>
    <row r="337" spans="1:2" x14ac:dyDescent="0.3">
      <c r="A337" s="35">
        <v>336</v>
      </c>
      <c r="B337" s="35">
        <v>0</v>
      </c>
    </row>
    <row r="338" spans="1:2" x14ac:dyDescent="0.3">
      <c r="A338" s="35">
        <v>337</v>
      </c>
      <c r="B338" s="35">
        <v>0</v>
      </c>
    </row>
    <row r="339" spans="1:2" x14ac:dyDescent="0.3">
      <c r="A339" s="35">
        <v>338</v>
      </c>
      <c r="B339" s="35">
        <v>0</v>
      </c>
    </row>
    <row r="340" spans="1:2" x14ac:dyDescent="0.3">
      <c r="A340" s="35">
        <v>339</v>
      </c>
      <c r="B340" s="35">
        <v>1</v>
      </c>
    </row>
    <row r="341" spans="1:2" x14ac:dyDescent="0.3">
      <c r="A341" s="35">
        <v>340</v>
      </c>
      <c r="B341" s="35">
        <v>1</v>
      </c>
    </row>
    <row r="342" spans="1:2" x14ac:dyDescent="0.3">
      <c r="A342" s="35">
        <v>341</v>
      </c>
      <c r="B342" s="35">
        <v>1</v>
      </c>
    </row>
    <row r="343" spans="1:2" x14ac:dyDescent="0.3">
      <c r="A343" s="35">
        <v>342</v>
      </c>
      <c r="B343" s="35">
        <v>1</v>
      </c>
    </row>
    <row r="344" spans="1:2" x14ac:dyDescent="0.3">
      <c r="A344" s="35">
        <v>343</v>
      </c>
      <c r="B344" s="35">
        <v>0</v>
      </c>
    </row>
    <row r="345" spans="1:2" x14ac:dyDescent="0.3">
      <c r="A345" s="35">
        <v>344</v>
      </c>
      <c r="B345" s="35">
        <v>0</v>
      </c>
    </row>
    <row r="346" spans="1:2" x14ac:dyDescent="0.3">
      <c r="A346" s="35">
        <v>345</v>
      </c>
      <c r="B346" s="35">
        <v>0</v>
      </c>
    </row>
    <row r="347" spans="1:2" x14ac:dyDescent="0.3">
      <c r="A347" s="35">
        <v>346</v>
      </c>
      <c r="B347" s="35">
        <v>0</v>
      </c>
    </row>
    <row r="348" spans="1:2" x14ac:dyDescent="0.3">
      <c r="A348" s="35">
        <v>347</v>
      </c>
      <c r="B348" s="35">
        <v>0</v>
      </c>
    </row>
    <row r="349" spans="1:2" x14ac:dyDescent="0.3">
      <c r="A349" s="35">
        <v>348</v>
      </c>
      <c r="B349" s="35">
        <v>0</v>
      </c>
    </row>
    <row r="350" spans="1:2" x14ac:dyDescent="0.3">
      <c r="A350" s="35">
        <v>349</v>
      </c>
      <c r="B350" s="35">
        <v>1</v>
      </c>
    </row>
    <row r="351" spans="1:2" x14ac:dyDescent="0.3">
      <c r="A351" s="35">
        <v>350</v>
      </c>
      <c r="B351" s="35">
        <v>1</v>
      </c>
    </row>
    <row r="352" spans="1:2" x14ac:dyDescent="0.3">
      <c r="A352" s="35">
        <v>351</v>
      </c>
      <c r="B352" s="35">
        <v>0</v>
      </c>
    </row>
    <row r="353" spans="1:2" x14ac:dyDescent="0.3">
      <c r="A353" s="35">
        <v>352</v>
      </c>
      <c r="B353" s="35">
        <v>0</v>
      </c>
    </row>
    <row r="354" spans="1:2" x14ac:dyDescent="0.3">
      <c r="A354" s="35">
        <v>353</v>
      </c>
      <c r="B354" s="35">
        <v>0</v>
      </c>
    </row>
    <row r="355" spans="1:2" x14ac:dyDescent="0.3">
      <c r="A355" s="35">
        <v>354</v>
      </c>
      <c r="B355" s="35">
        <v>0</v>
      </c>
    </row>
    <row r="356" spans="1:2" x14ac:dyDescent="0.3">
      <c r="A356" s="35">
        <v>355</v>
      </c>
      <c r="B356" s="35">
        <v>1</v>
      </c>
    </row>
    <row r="357" spans="1:2" x14ac:dyDescent="0.3">
      <c r="A357" s="35">
        <v>356</v>
      </c>
      <c r="B357" s="35">
        <v>1</v>
      </c>
    </row>
    <row r="358" spans="1:2" x14ac:dyDescent="0.3">
      <c r="A358" s="35">
        <v>357</v>
      </c>
      <c r="B358" s="35">
        <v>0</v>
      </c>
    </row>
    <row r="359" spans="1:2" x14ac:dyDescent="0.3">
      <c r="A359" s="35">
        <v>358</v>
      </c>
      <c r="B359" s="35">
        <v>0</v>
      </c>
    </row>
    <row r="360" spans="1:2" x14ac:dyDescent="0.3">
      <c r="A360" s="35">
        <v>359</v>
      </c>
      <c r="B360" s="35">
        <v>0</v>
      </c>
    </row>
    <row r="361" spans="1:2" x14ac:dyDescent="0.3">
      <c r="A361" s="35">
        <v>360</v>
      </c>
      <c r="B361" s="35">
        <v>1</v>
      </c>
    </row>
    <row r="362" spans="1:2" x14ac:dyDescent="0.3">
      <c r="A362" s="35">
        <v>361</v>
      </c>
      <c r="B362" s="35">
        <v>0</v>
      </c>
    </row>
    <row r="363" spans="1:2" x14ac:dyDescent="0.3">
      <c r="A363" s="35">
        <v>362</v>
      </c>
      <c r="B363" s="35">
        <v>0</v>
      </c>
    </row>
    <row r="364" spans="1:2" x14ac:dyDescent="0.3">
      <c r="A364" s="35">
        <v>363</v>
      </c>
      <c r="B364" s="35">
        <v>0</v>
      </c>
    </row>
    <row r="365" spans="1:2" x14ac:dyDescent="0.3">
      <c r="A365" s="35">
        <v>364</v>
      </c>
      <c r="B365" s="35">
        <v>0</v>
      </c>
    </row>
    <row r="366" spans="1:2" x14ac:dyDescent="0.3">
      <c r="A366" s="35">
        <v>365</v>
      </c>
      <c r="B366" s="35">
        <v>0</v>
      </c>
    </row>
    <row r="367" spans="1:2" x14ac:dyDescent="0.3">
      <c r="A367" s="35">
        <v>366</v>
      </c>
      <c r="B367" s="35">
        <v>0</v>
      </c>
    </row>
    <row r="368" spans="1:2" x14ac:dyDescent="0.3">
      <c r="A368" s="35">
        <v>367</v>
      </c>
      <c r="B368" s="35">
        <v>0</v>
      </c>
    </row>
    <row r="369" spans="1:2" x14ac:dyDescent="0.3">
      <c r="A369" s="35">
        <v>368</v>
      </c>
      <c r="B369" s="35">
        <v>0</v>
      </c>
    </row>
    <row r="370" spans="1:2" x14ac:dyDescent="0.3">
      <c r="A370" s="35">
        <v>369</v>
      </c>
      <c r="B370" s="35">
        <v>1</v>
      </c>
    </row>
    <row r="371" spans="1:2" x14ac:dyDescent="0.3">
      <c r="A371" s="35">
        <v>370</v>
      </c>
      <c r="B371" s="35">
        <v>0</v>
      </c>
    </row>
    <row r="372" spans="1:2" x14ac:dyDescent="0.3">
      <c r="A372" s="35">
        <v>371</v>
      </c>
      <c r="B372" s="35">
        <v>1</v>
      </c>
    </row>
    <row r="373" spans="1:2" x14ac:dyDescent="0.3">
      <c r="A373" s="35">
        <v>372</v>
      </c>
      <c r="B373" s="35">
        <v>0</v>
      </c>
    </row>
    <row r="374" spans="1:2" x14ac:dyDescent="0.3">
      <c r="A374" s="35">
        <v>373</v>
      </c>
      <c r="B374" s="35">
        <v>0</v>
      </c>
    </row>
    <row r="375" spans="1:2" x14ac:dyDescent="0.3">
      <c r="A375" s="35">
        <v>374</v>
      </c>
      <c r="B375" s="35">
        <v>0</v>
      </c>
    </row>
    <row r="376" spans="1:2" x14ac:dyDescent="0.3">
      <c r="A376" s="35">
        <v>375</v>
      </c>
      <c r="B376" s="35">
        <v>0</v>
      </c>
    </row>
    <row r="377" spans="1:2" x14ac:dyDescent="0.3">
      <c r="A377" s="35">
        <v>376</v>
      </c>
      <c r="B377" s="35">
        <v>0</v>
      </c>
    </row>
    <row r="378" spans="1:2" x14ac:dyDescent="0.3">
      <c r="A378" s="35">
        <v>377</v>
      </c>
      <c r="B378" s="35">
        <v>1</v>
      </c>
    </row>
    <row r="379" spans="1:2" x14ac:dyDescent="0.3">
      <c r="A379" s="35">
        <v>378</v>
      </c>
      <c r="B379" s="35">
        <v>0</v>
      </c>
    </row>
    <row r="380" spans="1:2" x14ac:dyDescent="0.3">
      <c r="A380" s="35">
        <v>379</v>
      </c>
      <c r="B380" s="35">
        <v>0</v>
      </c>
    </row>
    <row r="381" spans="1:2" x14ac:dyDescent="0.3">
      <c r="A381" s="35">
        <v>380</v>
      </c>
      <c r="B381" s="35">
        <v>0</v>
      </c>
    </row>
    <row r="382" spans="1:2" x14ac:dyDescent="0.3">
      <c r="A382" s="35">
        <v>381</v>
      </c>
      <c r="B382" s="35">
        <v>0</v>
      </c>
    </row>
    <row r="383" spans="1:2" x14ac:dyDescent="0.3">
      <c r="A383" s="35">
        <v>382</v>
      </c>
      <c r="B383" s="35">
        <v>1</v>
      </c>
    </row>
    <row r="384" spans="1:2" x14ac:dyDescent="0.3">
      <c r="A384" s="35">
        <v>383</v>
      </c>
      <c r="B384" s="35">
        <v>0</v>
      </c>
    </row>
    <row r="385" spans="1:2" x14ac:dyDescent="0.3">
      <c r="A385" s="35">
        <v>384</v>
      </c>
      <c r="B385" s="35">
        <v>0</v>
      </c>
    </row>
    <row r="386" spans="1:2" x14ac:dyDescent="0.3">
      <c r="A386" s="35">
        <v>385</v>
      </c>
      <c r="B386" s="35">
        <v>0</v>
      </c>
    </row>
    <row r="387" spans="1:2" x14ac:dyDescent="0.3">
      <c r="A387" s="35">
        <v>386</v>
      </c>
      <c r="B387" s="35">
        <v>0</v>
      </c>
    </row>
    <row r="388" spans="1:2" x14ac:dyDescent="0.3">
      <c r="A388" s="35">
        <v>387</v>
      </c>
      <c r="B388" s="35">
        <v>0</v>
      </c>
    </row>
    <row r="389" spans="1:2" x14ac:dyDescent="0.3">
      <c r="A389" s="35">
        <v>388</v>
      </c>
      <c r="B389" s="35">
        <v>0</v>
      </c>
    </row>
    <row r="390" spans="1:2" x14ac:dyDescent="0.3">
      <c r="A390" s="35">
        <v>389</v>
      </c>
      <c r="B390" s="35">
        <v>0</v>
      </c>
    </row>
    <row r="391" spans="1:2" x14ac:dyDescent="0.3">
      <c r="A391" s="35">
        <v>390</v>
      </c>
      <c r="B391" s="35">
        <v>0</v>
      </c>
    </row>
    <row r="392" spans="1:2" x14ac:dyDescent="0.3">
      <c r="A392" s="35">
        <v>391</v>
      </c>
      <c r="B392" s="35">
        <v>0</v>
      </c>
    </row>
    <row r="393" spans="1:2" x14ac:dyDescent="0.3">
      <c r="A393" s="35">
        <v>392</v>
      </c>
      <c r="B393" s="35">
        <v>0</v>
      </c>
    </row>
    <row r="394" spans="1:2" x14ac:dyDescent="0.3">
      <c r="A394" s="35">
        <v>393</v>
      </c>
      <c r="B394" s="35">
        <v>0</v>
      </c>
    </row>
    <row r="395" spans="1:2" x14ac:dyDescent="0.3">
      <c r="A395" s="35">
        <v>394</v>
      </c>
      <c r="B395" s="35">
        <v>1</v>
      </c>
    </row>
    <row r="396" spans="1:2" x14ac:dyDescent="0.3">
      <c r="A396" s="35">
        <v>395</v>
      </c>
      <c r="B396" s="35">
        <v>0</v>
      </c>
    </row>
    <row r="397" spans="1:2" x14ac:dyDescent="0.3">
      <c r="A397" s="35">
        <v>396</v>
      </c>
      <c r="B397" s="35">
        <v>0</v>
      </c>
    </row>
    <row r="398" spans="1:2" x14ac:dyDescent="0.3">
      <c r="A398" s="35">
        <v>397</v>
      </c>
      <c r="B398" s="35">
        <v>0</v>
      </c>
    </row>
    <row r="399" spans="1:2" x14ac:dyDescent="0.3">
      <c r="A399" s="35">
        <v>398</v>
      </c>
      <c r="B399" s="35">
        <v>1</v>
      </c>
    </row>
    <row r="400" spans="1:2" x14ac:dyDescent="0.3">
      <c r="A400" s="35">
        <v>399</v>
      </c>
      <c r="B400" s="35">
        <v>0</v>
      </c>
    </row>
    <row r="401" spans="1:2" x14ac:dyDescent="0.3">
      <c r="A401" s="35">
        <v>400</v>
      </c>
      <c r="B401" s="35">
        <v>0</v>
      </c>
    </row>
    <row r="402" spans="1:2" x14ac:dyDescent="0.3">
      <c r="A402" s="35">
        <v>401</v>
      </c>
      <c r="B402" s="35">
        <v>0</v>
      </c>
    </row>
    <row r="403" spans="1:2" x14ac:dyDescent="0.3">
      <c r="A403" s="35">
        <v>402</v>
      </c>
      <c r="B403" s="35">
        <v>0</v>
      </c>
    </row>
    <row r="404" spans="1:2" x14ac:dyDescent="0.3">
      <c r="A404" s="35">
        <v>403</v>
      </c>
      <c r="B404" s="35">
        <v>0</v>
      </c>
    </row>
    <row r="405" spans="1:2" x14ac:dyDescent="0.3">
      <c r="A405" s="35">
        <v>404</v>
      </c>
      <c r="B405" s="35">
        <v>0</v>
      </c>
    </row>
    <row r="406" spans="1:2" x14ac:dyDescent="0.3">
      <c r="A406" s="35">
        <v>405</v>
      </c>
      <c r="B406" s="35">
        <v>1</v>
      </c>
    </row>
    <row r="407" spans="1:2" x14ac:dyDescent="0.3">
      <c r="A407" s="35">
        <v>406</v>
      </c>
      <c r="B407" s="35">
        <v>1</v>
      </c>
    </row>
    <row r="408" spans="1:2" x14ac:dyDescent="0.3">
      <c r="A408" s="35">
        <v>407</v>
      </c>
      <c r="B408" s="35">
        <v>0</v>
      </c>
    </row>
    <row r="409" spans="1:2" x14ac:dyDescent="0.3">
      <c r="A409" s="35">
        <v>408</v>
      </c>
      <c r="B409" s="35">
        <v>1</v>
      </c>
    </row>
    <row r="410" spans="1:2" x14ac:dyDescent="0.3">
      <c r="A410" s="35">
        <v>409</v>
      </c>
      <c r="B410" s="35">
        <v>0</v>
      </c>
    </row>
    <row r="411" spans="1:2" x14ac:dyDescent="0.3">
      <c r="A411" s="35">
        <v>410</v>
      </c>
      <c r="B411" s="35">
        <v>0</v>
      </c>
    </row>
    <row r="412" spans="1:2" x14ac:dyDescent="0.3">
      <c r="A412" s="35">
        <v>411</v>
      </c>
      <c r="B412" s="35">
        <v>0</v>
      </c>
    </row>
    <row r="413" spans="1:2" x14ac:dyDescent="0.3">
      <c r="A413" s="35">
        <v>412</v>
      </c>
      <c r="B413" s="35">
        <v>0</v>
      </c>
    </row>
    <row r="414" spans="1:2" x14ac:dyDescent="0.3">
      <c r="A414" s="35">
        <v>413</v>
      </c>
      <c r="B414" s="35">
        <v>1</v>
      </c>
    </row>
    <row r="415" spans="1:2" x14ac:dyDescent="0.3">
      <c r="A415" s="35">
        <v>414</v>
      </c>
      <c r="B415" s="35">
        <v>1</v>
      </c>
    </row>
    <row r="416" spans="1:2" x14ac:dyDescent="0.3">
      <c r="A416" s="35">
        <v>415</v>
      </c>
      <c r="B416" s="35">
        <v>0</v>
      </c>
    </row>
    <row r="417" spans="1:2" x14ac:dyDescent="0.3">
      <c r="A417" s="35">
        <v>416</v>
      </c>
      <c r="B417" s="35">
        <v>1</v>
      </c>
    </row>
    <row r="418" spans="1:2" x14ac:dyDescent="0.3">
      <c r="A418" s="35">
        <v>417</v>
      </c>
      <c r="B418" s="35">
        <v>0</v>
      </c>
    </row>
    <row r="419" spans="1:2" x14ac:dyDescent="0.3">
      <c r="A419" s="35">
        <v>418</v>
      </c>
      <c r="B419" s="35">
        <v>1</v>
      </c>
    </row>
    <row r="420" spans="1:2" x14ac:dyDescent="0.3">
      <c r="A420" s="35">
        <v>419</v>
      </c>
      <c r="B420" s="35">
        <v>0</v>
      </c>
    </row>
    <row r="421" spans="1:2" x14ac:dyDescent="0.3">
      <c r="A421" s="35">
        <v>420</v>
      </c>
      <c r="B421" s="35">
        <v>1</v>
      </c>
    </row>
    <row r="422" spans="1:2" x14ac:dyDescent="0.3">
      <c r="A422" s="35">
        <v>421</v>
      </c>
      <c r="B422" s="35">
        <v>0</v>
      </c>
    </row>
    <row r="423" spans="1:2" x14ac:dyDescent="0.3">
      <c r="A423" s="35">
        <v>422</v>
      </c>
      <c r="B423" s="35">
        <v>0</v>
      </c>
    </row>
    <row r="424" spans="1:2" x14ac:dyDescent="0.3">
      <c r="A424" s="35">
        <v>423</v>
      </c>
      <c r="B424" s="35">
        <v>1</v>
      </c>
    </row>
    <row r="425" spans="1:2" x14ac:dyDescent="0.3">
      <c r="A425" s="35">
        <v>424</v>
      </c>
      <c r="B425" s="35">
        <v>0</v>
      </c>
    </row>
    <row r="426" spans="1:2" x14ac:dyDescent="0.3">
      <c r="A426" s="35">
        <v>425</v>
      </c>
      <c r="B426" s="35">
        <v>0</v>
      </c>
    </row>
    <row r="427" spans="1:2" x14ac:dyDescent="0.3">
      <c r="A427" s="35">
        <v>426</v>
      </c>
      <c r="B427" s="35">
        <v>0</v>
      </c>
    </row>
    <row r="428" spans="1:2" x14ac:dyDescent="0.3">
      <c r="A428" s="35">
        <v>427</v>
      </c>
      <c r="B428" s="35">
        <v>0</v>
      </c>
    </row>
    <row r="429" spans="1:2" x14ac:dyDescent="0.3">
      <c r="A429" s="35">
        <v>428</v>
      </c>
      <c r="B429" s="35">
        <v>0</v>
      </c>
    </row>
    <row r="430" spans="1:2" x14ac:dyDescent="0.3">
      <c r="A430" s="35">
        <v>429</v>
      </c>
      <c r="B430" s="35">
        <v>1</v>
      </c>
    </row>
    <row r="431" spans="1:2" x14ac:dyDescent="0.3">
      <c r="A431" s="35">
        <v>430</v>
      </c>
      <c r="B431" s="35">
        <v>0</v>
      </c>
    </row>
    <row r="432" spans="1:2" x14ac:dyDescent="0.3">
      <c r="A432" s="35">
        <v>431</v>
      </c>
      <c r="B432" s="35">
        <v>0</v>
      </c>
    </row>
    <row r="433" spans="1:2" x14ac:dyDescent="0.3">
      <c r="A433" s="35">
        <v>432</v>
      </c>
      <c r="B433" s="35">
        <v>0</v>
      </c>
    </row>
    <row r="434" spans="1:2" x14ac:dyDescent="0.3">
      <c r="A434" s="35">
        <v>433</v>
      </c>
      <c r="B434" s="35">
        <v>0</v>
      </c>
    </row>
    <row r="435" spans="1:2" x14ac:dyDescent="0.3">
      <c r="A435" s="35">
        <v>434</v>
      </c>
      <c r="B435" s="35">
        <v>0</v>
      </c>
    </row>
    <row r="436" spans="1:2" x14ac:dyDescent="0.3">
      <c r="A436" s="35">
        <v>435</v>
      </c>
      <c r="B436" s="35">
        <v>0</v>
      </c>
    </row>
    <row r="437" spans="1:2" x14ac:dyDescent="0.3">
      <c r="A437" s="35">
        <v>436</v>
      </c>
      <c r="B437" s="35">
        <v>0</v>
      </c>
    </row>
    <row r="438" spans="1:2" x14ac:dyDescent="0.3">
      <c r="A438" s="35">
        <v>437</v>
      </c>
      <c r="B438" s="35">
        <v>0</v>
      </c>
    </row>
    <row r="439" spans="1:2" x14ac:dyDescent="0.3">
      <c r="A439" s="35">
        <v>438</v>
      </c>
      <c r="B439" s="35">
        <v>0</v>
      </c>
    </row>
    <row r="440" spans="1:2" x14ac:dyDescent="0.3">
      <c r="A440" s="35">
        <v>439</v>
      </c>
      <c r="B440" s="35">
        <v>0</v>
      </c>
    </row>
    <row r="441" spans="1:2" x14ac:dyDescent="0.3">
      <c r="A441" s="35">
        <v>440</v>
      </c>
      <c r="B441" s="35">
        <v>0</v>
      </c>
    </row>
    <row r="442" spans="1:2" x14ac:dyDescent="0.3">
      <c r="A442" s="35">
        <v>441</v>
      </c>
      <c r="B442" s="35">
        <v>1</v>
      </c>
    </row>
    <row r="443" spans="1:2" x14ac:dyDescent="0.3">
      <c r="A443" s="35">
        <v>442</v>
      </c>
      <c r="B443" s="35">
        <v>0</v>
      </c>
    </row>
    <row r="444" spans="1:2" x14ac:dyDescent="0.3">
      <c r="A444" s="35">
        <v>443</v>
      </c>
      <c r="B444" s="35">
        <v>1</v>
      </c>
    </row>
    <row r="445" spans="1:2" x14ac:dyDescent="0.3">
      <c r="A445" s="35">
        <v>444</v>
      </c>
      <c r="B445" s="35">
        <v>0</v>
      </c>
    </row>
    <row r="446" spans="1:2" x14ac:dyDescent="0.3">
      <c r="A446" s="35">
        <v>445</v>
      </c>
      <c r="B446" s="35">
        <v>0</v>
      </c>
    </row>
    <row r="447" spans="1:2" x14ac:dyDescent="0.3">
      <c r="A447" s="35">
        <v>446</v>
      </c>
      <c r="B447" s="35">
        <v>1</v>
      </c>
    </row>
    <row r="448" spans="1:2" x14ac:dyDescent="0.3">
      <c r="A448" s="35">
        <v>447</v>
      </c>
      <c r="B448" s="35">
        <v>0</v>
      </c>
    </row>
    <row r="449" spans="1:2" x14ac:dyDescent="0.3">
      <c r="A449" s="35">
        <v>448</v>
      </c>
      <c r="B449" s="35">
        <v>0</v>
      </c>
    </row>
    <row r="450" spans="1:2" x14ac:dyDescent="0.3">
      <c r="A450" s="35">
        <v>449</v>
      </c>
      <c r="B450" s="35">
        <v>0</v>
      </c>
    </row>
    <row r="451" spans="1:2" x14ac:dyDescent="0.3">
      <c r="A451" s="35">
        <v>450</v>
      </c>
      <c r="B451" s="35">
        <v>0</v>
      </c>
    </row>
    <row r="452" spans="1:2" x14ac:dyDescent="0.3">
      <c r="A452" s="35">
        <v>451</v>
      </c>
      <c r="B452" s="35">
        <v>0</v>
      </c>
    </row>
    <row r="453" spans="1:2" x14ac:dyDescent="0.3">
      <c r="A453" s="35">
        <v>452</v>
      </c>
      <c r="B453" s="35">
        <v>0</v>
      </c>
    </row>
    <row r="454" spans="1:2" x14ac:dyDescent="0.3">
      <c r="A454" s="35">
        <v>453</v>
      </c>
      <c r="B454" s="35">
        <v>0</v>
      </c>
    </row>
    <row r="455" spans="1:2" x14ac:dyDescent="0.3">
      <c r="A455" s="35">
        <v>454</v>
      </c>
      <c r="B455" s="35">
        <v>0</v>
      </c>
    </row>
    <row r="456" spans="1:2" x14ac:dyDescent="0.3">
      <c r="A456" s="35">
        <v>455</v>
      </c>
      <c r="B456" s="35">
        <v>1</v>
      </c>
    </row>
    <row r="457" spans="1:2" x14ac:dyDescent="0.3">
      <c r="A457" s="35">
        <v>456</v>
      </c>
      <c r="B457" s="35">
        <v>0</v>
      </c>
    </row>
    <row r="458" spans="1:2" x14ac:dyDescent="0.3">
      <c r="A458" s="35">
        <v>457</v>
      </c>
      <c r="B458" s="35">
        <v>1</v>
      </c>
    </row>
    <row r="459" spans="1:2" x14ac:dyDescent="0.3">
      <c r="A459" s="35">
        <v>458</v>
      </c>
      <c r="B459" s="35">
        <v>1</v>
      </c>
    </row>
    <row r="460" spans="1:2" x14ac:dyDescent="0.3">
      <c r="A460" s="35">
        <v>459</v>
      </c>
      <c r="B460" s="35">
        <v>0</v>
      </c>
    </row>
    <row r="461" spans="1:2" x14ac:dyDescent="0.3">
      <c r="A461" s="35">
        <v>460</v>
      </c>
      <c r="B461" s="35">
        <v>0</v>
      </c>
    </row>
    <row r="462" spans="1:2" x14ac:dyDescent="0.3">
      <c r="A462" s="35">
        <v>461</v>
      </c>
      <c r="B462" s="35">
        <v>0</v>
      </c>
    </row>
    <row r="463" spans="1:2" x14ac:dyDescent="0.3">
      <c r="A463" s="35">
        <v>462</v>
      </c>
      <c r="B463" s="35">
        <v>1</v>
      </c>
    </row>
    <row r="464" spans="1:2" x14ac:dyDescent="0.3">
      <c r="A464" s="35">
        <v>463</v>
      </c>
      <c r="B464" s="35">
        <v>0</v>
      </c>
    </row>
    <row r="465" spans="1:2" x14ac:dyDescent="0.3">
      <c r="A465" s="35">
        <v>464</v>
      </c>
      <c r="B465" s="35">
        <v>0</v>
      </c>
    </row>
    <row r="466" spans="1:2" x14ac:dyDescent="0.3">
      <c r="A466" s="35">
        <v>465</v>
      </c>
      <c r="B466" s="35">
        <v>0</v>
      </c>
    </row>
    <row r="467" spans="1:2" x14ac:dyDescent="0.3">
      <c r="A467" s="35">
        <v>466</v>
      </c>
      <c r="B467" s="35">
        <v>1</v>
      </c>
    </row>
    <row r="468" spans="1:2" x14ac:dyDescent="0.3">
      <c r="A468" s="35">
        <v>467</v>
      </c>
      <c r="B468" s="35">
        <v>0</v>
      </c>
    </row>
    <row r="469" spans="1:2" x14ac:dyDescent="0.3">
      <c r="A469" s="35">
        <v>468</v>
      </c>
      <c r="B469" s="35">
        <v>0</v>
      </c>
    </row>
    <row r="470" spans="1:2" x14ac:dyDescent="0.3">
      <c r="A470" s="35">
        <v>469</v>
      </c>
      <c r="B470" s="35">
        <v>0</v>
      </c>
    </row>
    <row r="471" spans="1:2" x14ac:dyDescent="0.3">
      <c r="A471" s="35">
        <v>470</v>
      </c>
      <c r="B471" s="35">
        <v>0</v>
      </c>
    </row>
    <row r="472" spans="1:2" x14ac:dyDescent="0.3">
      <c r="A472" s="35">
        <v>471</v>
      </c>
      <c r="B472" s="35">
        <v>0</v>
      </c>
    </row>
    <row r="473" spans="1:2" x14ac:dyDescent="0.3">
      <c r="A473" s="35">
        <v>472</v>
      </c>
      <c r="B473" s="35">
        <v>1</v>
      </c>
    </row>
    <row r="474" spans="1:2" x14ac:dyDescent="0.3">
      <c r="A474" s="35">
        <v>473</v>
      </c>
      <c r="B474" s="35">
        <v>1</v>
      </c>
    </row>
    <row r="475" spans="1:2" x14ac:dyDescent="0.3">
      <c r="A475" s="35">
        <v>474</v>
      </c>
      <c r="B475" s="35">
        <v>0</v>
      </c>
    </row>
    <row r="476" spans="1:2" x14ac:dyDescent="0.3">
      <c r="A476" s="35">
        <v>475</v>
      </c>
      <c r="B476" s="35">
        <v>0</v>
      </c>
    </row>
    <row r="477" spans="1:2" x14ac:dyDescent="0.3">
      <c r="A477" s="35">
        <v>476</v>
      </c>
      <c r="B477" s="35">
        <v>1</v>
      </c>
    </row>
    <row r="478" spans="1:2" x14ac:dyDescent="0.3">
      <c r="A478" s="35">
        <v>477</v>
      </c>
      <c r="B478" s="35">
        <v>1</v>
      </c>
    </row>
    <row r="479" spans="1:2" x14ac:dyDescent="0.3">
      <c r="A479" s="35">
        <v>478</v>
      </c>
      <c r="B479" s="35">
        <v>0</v>
      </c>
    </row>
    <row r="480" spans="1:2" x14ac:dyDescent="0.3">
      <c r="A480" s="35">
        <v>479</v>
      </c>
      <c r="B480" s="35">
        <v>0</v>
      </c>
    </row>
    <row r="481" spans="1:2" x14ac:dyDescent="0.3">
      <c r="A481" s="35">
        <v>480</v>
      </c>
      <c r="B481" s="35">
        <v>0</v>
      </c>
    </row>
    <row r="482" spans="1:2" x14ac:dyDescent="0.3">
      <c r="A482" s="35">
        <v>481</v>
      </c>
      <c r="B482" s="35">
        <v>0</v>
      </c>
    </row>
    <row r="483" spans="1:2" x14ac:dyDescent="0.3">
      <c r="A483" s="35">
        <v>482</v>
      </c>
      <c r="B483" s="35">
        <v>0</v>
      </c>
    </row>
    <row r="484" spans="1:2" x14ac:dyDescent="0.3">
      <c r="A484" s="35">
        <v>483</v>
      </c>
      <c r="B484" s="35">
        <v>0</v>
      </c>
    </row>
    <row r="485" spans="1:2" x14ac:dyDescent="0.3">
      <c r="A485" s="35">
        <v>484</v>
      </c>
      <c r="B485" s="35">
        <v>0</v>
      </c>
    </row>
    <row r="486" spans="1:2" x14ac:dyDescent="0.3">
      <c r="A486" s="35">
        <v>485</v>
      </c>
      <c r="B486" s="35">
        <v>0</v>
      </c>
    </row>
    <row r="487" spans="1:2" x14ac:dyDescent="0.3">
      <c r="A487" s="35">
        <v>486</v>
      </c>
      <c r="B487" s="35">
        <v>1</v>
      </c>
    </row>
    <row r="488" spans="1:2" x14ac:dyDescent="0.3">
      <c r="A488" s="35">
        <v>487</v>
      </c>
      <c r="B488" s="35">
        <v>0</v>
      </c>
    </row>
    <row r="489" spans="1:2" x14ac:dyDescent="0.3">
      <c r="A489" s="35">
        <v>488</v>
      </c>
      <c r="B489" s="35">
        <v>0</v>
      </c>
    </row>
    <row r="490" spans="1:2" x14ac:dyDescent="0.3">
      <c r="A490" s="35">
        <v>489</v>
      </c>
      <c r="B490" s="35">
        <v>1</v>
      </c>
    </row>
    <row r="491" spans="1:2" x14ac:dyDescent="0.3">
      <c r="A491" s="35">
        <v>490</v>
      </c>
      <c r="B491" s="35">
        <v>1</v>
      </c>
    </row>
    <row r="492" spans="1:2" x14ac:dyDescent="0.3">
      <c r="A492" s="35">
        <v>491</v>
      </c>
      <c r="B492" s="35">
        <v>0</v>
      </c>
    </row>
    <row r="493" spans="1:2" x14ac:dyDescent="0.3">
      <c r="A493" s="35">
        <v>492</v>
      </c>
      <c r="B493" s="35">
        <v>1</v>
      </c>
    </row>
    <row r="494" spans="1:2" x14ac:dyDescent="0.3">
      <c r="A494" s="35">
        <v>493</v>
      </c>
      <c r="B494" s="35">
        <v>0</v>
      </c>
    </row>
    <row r="495" spans="1:2" x14ac:dyDescent="0.3">
      <c r="A495" s="35">
        <v>494</v>
      </c>
      <c r="B495" s="35">
        <v>0</v>
      </c>
    </row>
    <row r="496" spans="1:2" x14ac:dyDescent="0.3">
      <c r="A496" s="35">
        <v>495</v>
      </c>
      <c r="B496" s="35">
        <v>1</v>
      </c>
    </row>
    <row r="497" spans="1:2" x14ac:dyDescent="0.3">
      <c r="A497" s="35">
        <v>496</v>
      </c>
      <c r="B497" s="35">
        <v>1</v>
      </c>
    </row>
    <row r="498" spans="1:2" x14ac:dyDescent="0.3">
      <c r="A498" s="35">
        <v>497</v>
      </c>
      <c r="B498" s="35">
        <v>0</v>
      </c>
    </row>
    <row r="499" spans="1:2" x14ac:dyDescent="0.3">
      <c r="A499" s="35">
        <v>498</v>
      </c>
      <c r="B499" s="35">
        <v>0</v>
      </c>
    </row>
    <row r="500" spans="1:2" x14ac:dyDescent="0.3">
      <c r="A500" s="35">
        <v>499</v>
      </c>
      <c r="B500" s="35">
        <v>0</v>
      </c>
    </row>
    <row r="501" spans="1:2" x14ac:dyDescent="0.3">
      <c r="A501" s="35">
        <v>500</v>
      </c>
      <c r="B501" s="35">
        <v>1</v>
      </c>
    </row>
    <row r="502" spans="1:2" x14ac:dyDescent="0.3">
      <c r="A502" s="35">
        <v>501</v>
      </c>
      <c r="B502" s="35">
        <v>0</v>
      </c>
    </row>
    <row r="503" spans="1:2" x14ac:dyDescent="0.3">
      <c r="A503" s="35">
        <v>502</v>
      </c>
      <c r="B503" s="35">
        <v>0</v>
      </c>
    </row>
    <row r="504" spans="1:2" x14ac:dyDescent="0.3">
      <c r="A504" s="35">
        <v>503</v>
      </c>
      <c r="B504" s="35">
        <v>0</v>
      </c>
    </row>
    <row r="505" spans="1:2" x14ac:dyDescent="0.3">
      <c r="A505" s="35">
        <v>504</v>
      </c>
      <c r="B505" s="35">
        <v>1</v>
      </c>
    </row>
    <row r="506" spans="1:2" x14ac:dyDescent="0.3">
      <c r="A506" s="35">
        <v>505</v>
      </c>
      <c r="B506" s="35">
        <v>0</v>
      </c>
    </row>
    <row r="507" spans="1:2" x14ac:dyDescent="0.3">
      <c r="A507" s="35">
        <v>506</v>
      </c>
      <c r="B507" s="35">
        <v>0</v>
      </c>
    </row>
    <row r="508" spans="1:2" x14ac:dyDescent="0.3">
      <c r="A508" s="35">
        <v>507</v>
      </c>
      <c r="B508" s="35">
        <v>0</v>
      </c>
    </row>
    <row r="509" spans="1:2" x14ac:dyDescent="0.3">
      <c r="A509" s="35">
        <v>508</v>
      </c>
      <c r="B509" s="35">
        <v>0</v>
      </c>
    </row>
    <row r="510" spans="1:2" x14ac:dyDescent="0.3">
      <c r="A510" s="35">
        <v>509</v>
      </c>
      <c r="B510" s="35">
        <v>0</v>
      </c>
    </row>
    <row r="511" spans="1:2" x14ac:dyDescent="0.3">
      <c r="A511" s="35">
        <v>510</v>
      </c>
      <c r="B511" s="35">
        <v>0</v>
      </c>
    </row>
    <row r="512" spans="1:2" x14ac:dyDescent="0.3">
      <c r="A512" s="35">
        <v>511</v>
      </c>
      <c r="B512" s="35">
        <v>1</v>
      </c>
    </row>
    <row r="513" spans="1:2" x14ac:dyDescent="0.3">
      <c r="A513" s="35">
        <v>512</v>
      </c>
      <c r="B513" s="35">
        <v>0</v>
      </c>
    </row>
    <row r="514" spans="1:2" x14ac:dyDescent="0.3">
      <c r="A514" s="35">
        <v>513</v>
      </c>
      <c r="B514" s="35">
        <v>0</v>
      </c>
    </row>
    <row r="515" spans="1:2" x14ac:dyDescent="0.3">
      <c r="A515" s="35">
        <v>514</v>
      </c>
      <c r="B515" s="35">
        <v>0</v>
      </c>
    </row>
    <row r="516" spans="1:2" x14ac:dyDescent="0.3">
      <c r="A516" s="35">
        <v>515</v>
      </c>
      <c r="B516" s="35">
        <v>0</v>
      </c>
    </row>
    <row r="517" spans="1:2" x14ac:dyDescent="0.3">
      <c r="A517" s="35">
        <v>516</v>
      </c>
      <c r="B517" s="35">
        <v>0</v>
      </c>
    </row>
    <row r="518" spans="1:2" x14ac:dyDescent="0.3">
      <c r="A518" s="35">
        <v>517</v>
      </c>
      <c r="B518" s="35">
        <v>0</v>
      </c>
    </row>
    <row r="519" spans="1:2" x14ac:dyDescent="0.3">
      <c r="A519" s="35">
        <v>518</v>
      </c>
      <c r="B519" s="35">
        <v>0</v>
      </c>
    </row>
    <row r="520" spans="1:2" x14ac:dyDescent="0.3">
      <c r="A520" s="35">
        <v>519</v>
      </c>
      <c r="B520" s="35">
        <v>1</v>
      </c>
    </row>
    <row r="521" spans="1:2" x14ac:dyDescent="0.3">
      <c r="A521" s="35">
        <v>520</v>
      </c>
      <c r="B521" s="35">
        <v>0</v>
      </c>
    </row>
    <row r="522" spans="1:2" x14ac:dyDescent="0.3">
      <c r="A522" s="35">
        <v>521</v>
      </c>
      <c r="B522" s="35">
        <v>1</v>
      </c>
    </row>
    <row r="523" spans="1:2" x14ac:dyDescent="0.3">
      <c r="A523" s="35">
        <v>522</v>
      </c>
      <c r="B523" s="35">
        <v>0</v>
      </c>
    </row>
    <row r="524" spans="1:2" x14ac:dyDescent="0.3">
      <c r="A524" s="35">
        <v>523</v>
      </c>
      <c r="B524" s="35">
        <v>0</v>
      </c>
    </row>
    <row r="525" spans="1:2" x14ac:dyDescent="0.3">
      <c r="A525" s="35">
        <v>524</v>
      </c>
      <c r="B525" s="35">
        <v>0</v>
      </c>
    </row>
    <row r="526" spans="1:2" x14ac:dyDescent="0.3">
      <c r="A526" s="35">
        <v>525</v>
      </c>
      <c r="B526" s="35">
        <v>0</v>
      </c>
    </row>
    <row r="527" spans="1:2" x14ac:dyDescent="0.3">
      <c r="A527" s="35">
        <v>526</v>
      </c>
      <c r="B527" s="35">
        <v>0</v>
      </c>
    </row>
    <row r="528" spans="1:2" x14ac:dyDescent="0.3">
      <c r="A528" s="35">
        <v>527</v>
      </c>
      <c r="B528" s="35">
        <v>0</v>
      </c>
    </row>
    <row r="529" spans="1:2" x14ac:dyDescent="0.3">
      <c r="A529" s="35">
        <v>528</v>
      </c>
      <c r="B529" s="35">
        <v>0</v>
      </c>
    </row>
    <row r="530" spans="1:2" x14ac:dyDescent="0.3">
      <c r="A530" s="35">
        <v>529</v>
      </c>
      <c r="B530" s="35">
        <v>0</v>
      </c>
    </row>
    <row r="531" spans="1:2" x14ac:dyDescent="0.3">
      <c r="A531" s="35">
        <v>530</v>
      </c>
      <c r="B531" s="35">
        <v>0</v>
      </c>
    </row>
    <row r="532" spans="1:2" x14ac:dyDescent="0.3">
      <c r="A532" s="35">
        <v>531</v>
      </c>
      <c r="B532" s="35">
        <v>1</v>
      </c>
    </row>
    <row r="533" spans="1:2" x14ac:dyDescent="0.3">
      <c r="A533" s="35">
        <v>532</v>
      </c>
      <c r="B533" s="35">
        <v>0</v>
      </c>
    </row>
    <row r="534" spans="1:2" x14ac:dyDescent="0.3">
      <c r="A534" s="35">
        <v>533</v>
      </c>
      <c r="B534" s="35">
        <v>0</v>
      </c>
    </row>
    <row r="535" spans="1:2" x14ac:dyDescent="0.3">
      <c r="A535" s="35">
        <v>534</v>
      </c>
      <c r="B535" s="35">
        <v>1</v>
      </c>
    </row>
    <row r="536" spans="1:2" x14ac:dyDescent="0.3">
      <c r="A536" s="35">
        <v>535</v>
      </c>
      <c r="B536" s="35">
        <v>0</v>
      </c>
    </row>
    <row r="537" spans="1:2" x14ac:dyDescent="0.3">
      <c r="A537" s="35">
        <v>536</v>
      </c>
      <c r="B537" s="35">
        <v>0</v>
      </c>
    </row>
    <row r="538" spans="1:2" x14ac:dyDescent="0.3">
      <c r="A538" s="35">
        <v>537</v>
      </c>
      <c r="B538" s="35">
        <v>1</v>
      </c>
    </row>
    <row r="539" spans="1:2" x14ac:dyDescent="0.3">
      <c r="A539" s="35">
        <v>538</v>
      </c>
      <c r="B539" s="35">
        <v>0</v>
      </c>
    </row>
    <row r="540" spans="1:2" x14ac:dyDescent="0.3">
      <c r="A540" s="35">
        <v>539</v>
      </c>
      <c r="B540" s="35">
        <v>0</v>
      </c>
    </row>
    <row r="541" spans="1:2" x14ac:dyDescent="0.3">
      <c r="A541" s="35">
        <v>540</v>
      </c>
      <c r="B541" s="35">
        <v>0</v>
      </c>
    </row>
    <row r="542" spans="1:2" x14ac:dyDescent="0.3">
      <c r="A542" s="35">
        <v>541</v>
      </c>
      <c r="B542" s="35">
        <v>0</v>
      </c>
    </row>
    <row r="543" spans="1:2" x14ac:dyDescent="0.3">
      <c r="A543" s="35">
        <v>542</v>
      </c>
      <c r="B543" s="35">
        <v>0</v>
      </c>
    </row>
    <row r="544" spans="1:2" x14ac:dyDescent="0.3">
      <c r="A544" s="35">
        <v>543</v>
      </c>
      <c r="B544" s="35">
        <v>0</v>
      </c>
    </row>
    <row r="545" spans="1:2" x14ac:dyDescent="0.3">
      <c r="A545" s="35">
        <v>544</v>
      </c>
      <c r="B545" s="35">
        <v>0</v>
      </c>
    </row>
    <row r="546" spans="1:2" x14ac:dyDescent="0.3">
      <c r="A546" s="35">
        <v>545</v>
      </c>
      <c r="B546" s="35">
        <v>0</v>
      </c>
    </row>
    <row r="547" spans="1:2" x14ac:dyDescent="0.3">
      <c r="A547" s="35">
        <v>546</v>
      </c>
      <c r="B547" s="35">
        <v>0</v>
      </c>
    </row>
    <row r="548" spans="1:2" x14ac:dyDescent="0.3">
      <c r="A548" s="35">
        <v>547</v>
      </c>
      <c r="B548" s="35">
        <v>0</v>
      </c>
    </row>
    <row r="549" spans="1:2" x14ac:dyDescent="0.3">
      <c r="A549" s="35">
        <v>548</v>
      </c>
      <c r="B549" s="35">
        <v>0</v>
      </c>
    </row>
    <row r="550" spans="1:2" x14ac:dyDescent="0.3">
      <c r="A550" s="35">
        <v>549</v>
      </c>
      <c r="B550" s="35">
        <v>0</v>
      </c>
    </row>
    <row r="551" spans="1:2" x14ac:dyDescent="0.3">
      <c r="A551" s="35">
        <v>550</v>
      </c>
      <c r="B551" s="35">
        <v>1</v>
      </c>
    </row>
    <row r="552" spans="1:2" x14ac:dyDescent="0.3">
      <c r="A552" s="35">
        <v>551</v>
      </c>
      <c r="B552" s="35">
        <v>1</v>
      </c>
    </row>
    <row r="553" spans="1:2" x14ac:dyDescent="0.3">
      <c r="A553" s="35">
        <v>552</v>
      </c>
      <c r="B553" s="35">
        <v>0</v>
      </c>
    </row>
    <row r="554" spans="1:2" x14ac:dyDescent="0.3">
      <c r="A554" s="35">
        <v>553</v>
      </c>
      <c r="B554" s="35">
        <v>0</v>
      </c>
    </row>
    <row r="555" spans="1:2" x14ac:dyDescent="0.3">
      <c r="A555" s="35">
        <v>554</v>
      </c>
      <c r="B555" s="35">
        <v>1</v>
      </c>
    </row>
    <row r="556" spans="1:2" x14ac:dyDescent="0.3">
      <c r="A556" s="35">
        <v>555</v>
      </c>
      <c r="B556" s="35">
        <v>1</v>
      </c>
    </row>
    <row r="557" spans="1:2" x14ac:dyDescent="0.3">
      <c r="A557" s="35">
        <v>556</v>
      </c>
      <c r="B557" s="35">
        <v>1</v>
      </c>
    </row>
    <row r="558" spans="1:2" x14ac:dyDescent="0.3">
      <c r="A558" s="35">
        <v>557</v>
      </c>
      <c r="B558" s="35">
        <v>1</v>
      </c>
    </row>
    <row r="559" spans="1:2" x14ac:dyDescent="0.3">
      <c r="A559" s="35">
        <v>558</v>
      </c>
      <c r="B559" s="35">
        <v>0</v>
      </c>
    </row>
    <row r="560" spans="1:2" x14ac:dyDescent="0.3">
      <c r="A560" s="35">
        <v>559</v>
      </c>
      <c r="B560" s="35">
        <v>1</v>
      </c>
    </row>
    <row r="561" spans="1:2" x14ac:dyDescent="0.3">
      <c r="A561" s="35">
        <v>560</v>
      </c>
      <c r="B561" s="35">
        <v>0</v>
      </c>
    </row>
    <row r="562" spans="1:2" x14ac:dyDescent="0.3">
      <c r="A562" s="35">
        <v>561</v>
      </c>
      <c r="B562" s="35">
        <v>1</v>
      </c>
    </row>
    <row r="563" spans="1:2" x14ac:dyDescent="0.3">
      <c r="A563" s="35">
        <v>562</v>
      </c>
      <c r="B563" s="35">
        <v>0</v>
      </c>
    </row>
    <row r="564" spans="1:2" x14ac:dyDescent="0.3">
      <c r="A564" s="35">
        <v>563</v>
      </c>
      <c r="B564" s="35">
        <v>1</v>
      </c>
    </row>
    <row r="565" spans="1:2" x14ac:dyDescent="0.3">
      <c r="A565" s="35">
        <v>564</v>
      </c>
      <c r="B565" s="35">
        <v>0</v>
      </c>
    </row>
    <row r="566" spans="1:2" x14ac:dyDescent="0.3">
      <c r="A566" s="35">
        <v>565</v>
      </c>
      <c r="B566" s="35">
        <v>0</v>
      </c>
    </row>
    <row r="567" spans="1:2" x14ac:dyDescent="0.3">
      <c r="A567" s="35">
        <v>566</v>
      </c>
      <c r="B567" s="35">
        <v>1</v>
      </c>
    </row>
    <row r="568" spans="1:2" x14ac:dyDescent="0.3">
      <c r="A568" s="35">
        <v>567</v>
      </c>
      <c r="B568" s="35">
        <v>0</v>
      </c>
    </row>
    <row r="569" spans="1:2" x14ac:dyDescent="0.3">
      <c r="A569" s="35">
        <v>568</v>
      </c>
      <c r="B569" s="35">
        <v>0</v>
      </c>
    </row>
    <row r="570" spans="1:2" x14ac:dyDescent="0.3">
      <c r="A570" s="35">
        <v>569</v>
      </c>
      <c r="B570" s="35">
        <v>0</v>
      </c>
    </row>
    <row r="571" spans="1:2" x14ac:dyDescent="0.3">
      <c r="A571" s="35">
        <v>570</v>
      </c>
      <c r="B571" s="35">
        <v>0</v>
      </c>
    </row>
    <row r="572" spans="1:2" x14ac:dyDescent="0.3">
      <c r="A572" s="35">
        <v>571</v>
      </c>
      <c r="B572" s="35">
        <v>1</v>
      </c>
    </row>
    <row r="573" spans="1:2" x14ac:dyDescent="0.3">
      <c r="A573" s="35">
        <v>572</v>
      </c>
      <c r="B573" s="35">
        <v>0</v>
      </c>
    </row>
    <row r="574" spans="1:2" x14ac:dyDescent="0.3">
      <c r="A574" s="35">
        <v>573</v>
      </c>
      <c r="B574" s="35">
        <v>0</v>
      </c>
    </row>
    <row r="575" spans="1:2" x14ac:dyDescent="0.3">
      <c r="A575" s="35">
        <v>574</v>
      </c>
      <c r="B575" s="35">
        <v>0</v>
      </c>
    </row>
    <row r="576" spans="1:2" x14ac:dyDescent="0.3">
      <c r="A576" s="35">
        <v>575</v>
      </c>
      <c r="B576" s="35">
        <v>1</v>
      </c>
    </row>
    <row r="577" spans="1:2" x14ac:dyDescent="0.3">
      <c r="A577" s="35">
        <v>576</v>
      </c>
      <c r="B577" s="35">
        <v>0</v>
      </c>
    </row>
    <row r="578" spans="1:2" x14ac:dyDescent="0.3">
      <c r="A578" s="35">
        <v>577</v>
      </c>
      <c r="B578" s="35">
        <v>0</v>
      </c>
    </row>
    <row r="579" spans="1:2" x14ac:dyDescent="0.3">
      <c r="A579" s="35">
        <v>578</v>
      </c>
      <c r="B579" s="35">
        <v>0</v>
      </c>
    </row>
    <row r="580" spans="1:2" x14ac:dyDescent="0.3">
      <c r="A580" s="35">
        <v>579</v>
      </c>
      <c r="B580" s="35">
        <v>1</v>
      </c>
    </row>
    <row r="581" spans="1:2" x14ac:dyDescent="0.3">
      <c r="A581" s="35">
        <v>580</v>
      </c>
      <c r="B581" s="35">
        <v>0</v>
      </c>
    </row>
    <row r="582" spans="1:2" x14ac:dyDescent="0.3">
      <c r="A582" s="35">
        <v>581</v>
      </c>
      <c r="B582" s="35">
        <v>0</v>
      </c>
    </row>
    <row r="583" spans="1:2" x14ac:dyDescent="0.3">
      <c r="A583" s="35">
        <v>582</v>
      </c>
      <c r="B583" s="35">
        <v>0</v>
      </c>
    </row>
    <row r="584" spans="1:2" x14ac:dyDescent="0.3">
      <c r="A584" s="35">
        <v>583</v>
      </c>
      <c r="B584" s="35">
        <v>0</v>
      </c>
    </row>
    <row r="585" spans="1:2" x14ac:dyDescent="0.3">
      <c r="A585" s="35">
        <v>584</v>
      </c>
      <c r="B585" s="35">
        <v>0</v>
      </c>
    </row>
    <row r="586" spans="1:2" x14ac:dyDescent="0.3">
      <c r="A586" s="35">
        <v>585</v>
      </c>
      <c r="B586" s="35">
        <v>1</v>
      </c>
    </row>
    <row r="587" spans="1:2" x14ac:dyDescent="0.3">
      <c r="A587" s="35">
        <v>586</v>
      </c>
      <c r="B587" s="35">
        <v>0</v>
      </c>
    </row>
    <row r="588" spans="1:2" x14ac:dyDescent="0.3">
      <c r="A588" s="35">
        <v>587</v>
      </c>
      <c r="B588" s="35">
        <v>0</v>
      </c>
    </row>
    <row r="589" spans="1:2" x14ac:dyDescent="0.3">
      <c r="A589" s="35">
        <v>588</v>
      </c>
      <c r="B589" s="35">
        <v>0</v>
      </c>
    </row>
    <row r="590" spans="1:2" x14ac:dyDescent="0.3">
      <c r="A590" s="35">
        <v>589</v>
      </c>
      <c r="B590" s="35">
        <v>1</v>
      </c>
    </row>
    <row r="591" spans="1:2" x14ac:dyDescent="0.3">
      <c r="A591" s="35">
        <v>590</v>
      </c>
      <c r="B591" s="35">
        <v>1</v>
      </c>
    </row>
    <row r="592" spans="1:2" x14ac:dyDescent="0.3">
      <c r="A592" s="35">
        <v>591</v>
      </c>
      <c r="B592" s="35">
        <v>0</v>
      </c>
    </row>
    <row r="593" spans="1:2" x14ac:dyDescent="0.3">
      <c r="A593" s="35">
        <v>592</v>
      </c>
      <c r="B593" s="35">
        <v>0</v>
      </c>
    </row>
    <row r="594" spans="1:2" x14ac:dyDescent="0.3">
      <c r="A594" s="35">
        <v>593</v>
      </c>
      <c r="B594" s="35">
        <v>0</v>
      </c>
    </row>
    <row r="595" spans="1:2" x14ac:dyDescent="0.3">
      <c r="A595" s="35">
        <v>594</v>
      </c>
      <c r="B595" s="35">
        <v>0</v>
      </c>
    </row>
    <row r="596" spans="1:2" x14ac:dyDescent="0.3">
      <c r="A596" s="35">
        <v>595</v>
      </c>
      <c r="B596" s="35">
        <v>1</v>
      </c>
    </row>
    <row r="597" spans="1:2" x14ac:dyDescent="0.3">
      <c r="A597" s="35">
        <v>596</v>
      </c>
      <c r="B597" s="35">
        <v>0</v>
      </c>
    </row>
    <row r="598" spans="1:2" x14ac:dyDescent="0.3">
      <c r="A598" s="35">
        <v>597</v>
      </c>
      <c r="B598" s="35">
        <v>0</v>
      </c>
    </row>
    <row r="599" spans="1:2" x14ac:dyDescent="0.3">
      <c r="A599" s="35">
        <v>598</v>
      </c>
      <c r="B599" s="35">
        <v>1</v>
      </c>
    </row>
    <row r="600" spans="1:2" x14ac:dyDescent="0.3">
      <c r="A600" s="35">
        <v>599</v>
      </c>
      <c r="B600" s="35">
        <v>0</v>
      </c>
    </row>
    <row r="601" spans="1:2" x14ac:dyDescent="0.3">
      <c r="A601" s="35">
        <v>600</v>
      </c>
      <c r="B601" s="35">
        <v>0</v>
      </c>
    </row>
    <row r="602" spans="1:2" x14ac:dyDescent="0.3">
      <c r="A602" s="35">
        <v>601</v>
      </c>
      <c r="B602" s="35">
        <v>0</v>
      </c>
    </row>
    <row r="603" spans="1:2" x14ac:dyDescent="0.3">
      <c r="A603" s="35">
        <v>602</v>
      </c>
      <c r="B603" s="35">
        <v>0</v>
      </c>
    </row>
    <row r="604" spans="1:2" x14ac:dyDescent="0.3">
      <c r="A604" s="35">
        <v>603</v>
      </c>
      <c r="B604" s="35">
        <v>0</v>
      </c>
    </row>
    <row r="605" spans="1:2" x14ac:dyDescent="0.3">
      <c r="A605" s="35">
        <v>604</v>
      </c>
      <c r="B605" s="35">
        <v>0</v>
      </c>
    </row>
    <row r="606" spans="1:2" x14ac:dyDescent="0.3">
      <c r="A606" s="35">
        <v>605</v>
      </c>
      <c r="B606" s="35">
        <v>0</v>
      </c>
    </row>
    <row r="607" spans="1:2" x14ac:dyDescent="0.3">
      <c r="A607" s="35">
        <v>606</v>
      </c>
      <c r="B607" s="35">
        <v>0</v>
      </c>
    </row>
    <row r="608" spans="1:2" x14ac:dyDescent="0.3">
      <c r="A608" s="35">
        <v>607</v>
      </c>
      <c r="B608" s="35">
        <v>0</v>
      </c>
    </row>
    <row r="609" spans="1:2" x14ac:dyDescent="0.3">
      <c r="A609" s="35">
        <v>608</v>
      </c>
      <c r="B609" s="35">
        <v>1</v>
      </c>
    </row>
    <row r="610" spans="1:2" x14ac:dyDescent="0.3">
      <c r="A610" s="35">
        <v>609</v>
      </c>
      <c r="B610" s="35">
        <v>0</v>
      </c>
    </row>
    <row r="611" spans="1:2" x14ac:dyDescent="0.3">
      <c r="A611" s="35">
        <v>610</v>
      </c>
      <c r="B611" s="35">
        <v>0</v>
      </c>
    </row>
    <row r="612" spans="1:2" x14ac:dyDescent="0.3">
      <c r="A612" s="35">
        <v>611</v>
      </c>
      <c r="B612" s="35">
        <v>1</v>
      </c>
    </row>
    <row r="613" spans="1:2" x14ac:dyDescent="0.3">
      <c r="A613" s="35">
        <v>612</v>
      </c>
      <c r="B613" s="35">
        <v>0</v>
      </c>
    </row>
    <row r="614" spans="1:2" x14ac:dyDescent="0.3">
      <c r="A614" s="35">
        <v>613</v>
      </c>
      <c r="B614" s="35">
        <v>0</v>
      </c>
    </row>
    <row r="615" spans="1:2" x14ac:dyDescent="0.3">
      <c r="A615" s="35">
        <v>614</v>
      </c>
      <c r="B615" s="35">
        <v>0</v>
      </c>
    </row>
    <row r="616" spans="1:2" x14ac:dyDescent="0.3">
      <c r="A616" s="35">
        <v>615</v>
      </c>
      <c r="B616" s="35">
        <v>0</v>
      </c>
    </row>
    <row r="617" spans="1:2" x14ac:dyDescent="0.3">
      <c r="A617" s="35">
        <v>616</v>
      </c>
      <c r="B617" s="35">
        <v>1</v>
      </c>
    </row>
    <row r="618" spans="1:2" x14ac:dyDescent="0.3">
      <c r="A618" s="35">
        <v>617</v>
      </c>
      <c r="B618" s="35">
        <v>1</v>
      </c>
    </row>
    <row r="619" spans="1:2" x14ac:dyDescent="0.3">
      <c r="A619" s="35">
        <v>618</v>
      </c>
      <c r="B619" s="35">
        <v>0</v>
      </c>
    </row>
    <row r="620" spans="1:2" x14ac:dyDescent="0.3">
      <c r="A620" s="35">
        <v>619</v>
      </c>
      <c r="B620" s="35">
        <v>0</v>
      </c>
    </row>
    <row r="621" spans="1:2" x14ac:dyDescent="0.3">
      <c r="A621" s="35">
        <v>620</v>
      </c>
      <c r="B621" s="35">
        <v>1</v>
      </c>
    </row>
    <row r="622" spans="1:2" x14ac:dyDescent="0.3">
      <c r="A622" s="35">
        <v>621</v>
      </c>
      <c r="B622" s="35">
        <v>0</v>
      </c>
    </row>
    <row r="623" spans="1:2" x14ac:dyDescent="0.3">
      <c r="A623" s="35">
        <v>622</v>
      </c>
      <c r="B623" s="35">
        <v>0</v>
      </c>
    </row>
    <row r="624" spans="1:2" x14ac:dyDescent="0.3">
      <c r="A624" s="35">
        <v>623</v>
      </c>
      <c r="B624" s="35">
        <v>0</v>
      </c>
    </row>
    <row r="625" spans="1:2" x14ac:dyDescent="0.3">
      <c r="A625" s="35">
        <v>624</v>
      </c>
      <c r="B625" s="35">
        <v>0</v>
      </c>
    </row>
    <row r="626" spans="1:2" x14ac:dyDescent="0.3">
      <c r="A626" s="35">
        <v>625</v>
      </c>
      <c r="B626" s="35">
        <v>0</v>
      </c>
    </row>
    <row r="627" spans="1:2" x14ac:dyDescent="0.3">
      <c r="A627" s="35">
        <v>626</v>
      </c>
      <c r="B627" s="35">
        <v>0</v>
      </c>
    </row>
    <row r="628" spans="1:2" x14ac:dyDescent="0.3">
      <c r="A628" s="35">
        <v>627</v>
      </c>
      <c r="B628" s="35">
        <v>0</v>
      </c>
    </row>
    <row r="629" spans="1:2" x14ac:dyDescent="0.3">
      <c r="A629" s="35">
        <v>628</v>
      </c>
      <c r="B629" s="35">
        <v>0</v>
      </c>
    </row>
    <row r="630" spans="1:2" x14ac:dyDescent="0.3">
      <c r="A630" s="35">
        <v>629</v>
      </c>
      <c r="B630" s="35">
        <v>1</v>
      </c>
    </row>
    <row r="631" spans="1:2" x14ac:dyDescent="0.3">
      <c r="A631" s="35">
        <v>630</v>
      </c>
      <c r="B631" s="35">
        <v>0</v>
      </c>
    </row>
    <row r="632" spans="1:2" x14ac:dyDescent="0.3">
      <c r="A632" s="35">
        <v>631</v>
      </c>
      <c r="B632" s="35">
        <v>0</v>
      </c>
    </row>
    <row r="633" spans="1:2" x14ac:dyDescent="0.3">
      <c r="A633" s="35">
        <v>632</v>
      </c>
      <c r="B633" s="35">
        <v>0</v>
      </c>
    </row>
    <row r="634" spans="1:2" x14ac:dyDescent="0.3">
      <c r="A634" s="35">
        <v>633</v>
      </c>
      <c r="B634" s="35">
        <v>1</v>
      </c>
    </row>
    <row r="635" spans="1:2" x14ac:dyDescent="0.3">
      <c r="A635" s="35">
        <v>634</v>
      </c>
      <c r="B635" s="35">
        <v>1</v>
      </c>
    </row>
    <row r="636" spans="1:2" x14ac:dyDescent="0.3">
      <c r="A636" s="35">
        <v>635</v>
      </c>
      <c r="B636" s="35">
        <v>0</v>
      </c>
    </row>
    <row r="637" spans="1:2" x14ac:dyDescent="0.3">
      <c r="A637" s="35">
        <v>636</v>
      </c>
      <c r="B637" s="35">
        <v>0</v>
      </c>
    </row>
    <row r="638" spans="1:2" x14ac:dyDescent="0.3">
      <c r="A638" s="35">
        <v>637</v>
      </c>
      <c r="B638" s="35">
        <v>1</v>
      </c>
    </row>
    <row r="639" spans="1:2" x14ac:dyDescent="0.3">
      <c r="A639" s="35">
        <v>638</v>
      </c>
      <c r="B639" s="35">
        <v>0</v>
      </c>
    </row>
    <row r="640" spans="1:2" x14ac:dyDescent="0.3">
      <c r="A640" s="35">
        <v>639</v>
      </c>
      <c r="B640" s="35">
        <v>0</v>
      </c>
    </row>
    <row r="641" spans="1:2" x14ac:dyDescent="0.3">
      <c r="A641" s="35">
        <v>640</v>
      </c>
      <c r="B641" s="35">
        <v>0</v>
      </c>
    </row>
    <row r="642" spans="1:2" x14ac:dyDescent="0.3">
      <c r="A642" s="35">
        <v>641</v>
      </c>
      <c r="B642" s="35">
        <v>0</v>
      </c>
    </row>
    <row r="643" spans="1:2" x14ac:dyDescent="0.3">
      <c r="A643" s="35">
        <v>642</v>
      </c>
      <c r="B643" s="35">
        <v>0</v>
      </c>
    </row>
    <row r="644" spans="1:2" x14ac:dyDescent="0.3">
      <c r="A644" s="35">
        <v>643</v>
      </c>
      <c r="B644" s="35">
        <v>0</v>
      </c>
    </row>
    <row r="645" spans="1:2" x14ac:dyDescent="0.3">
      <c r="A645" s="35">
        <v>644</v>
      </c>
      <c r="B645" s="35">
        <v>1</v>
      </c>
    </row>
    <row r="646" spans="1:2" x14ac:dyDescent="0.3">
      <c r="A646" s="35">
        <v>645</v>
      </c>
      <c r="B646" s="35">
        <v>0</v>
      </c>
    </row>
    <row r="647" spans="1:2" x14ac:dyDescent="0.3">
      <c r="A647" s="35">
        <v>646</v>
      </c>
      <c r="B647" s="35">
        <v>0</v>
      </c>
    </row>
    <row r="648" spans="1:2" x14ac:dyDescent="0.3">
      <c r="A648" s="35">
        <v>647</v>
      </c>
      <c r="B648" s="35">
        <v>0</v>
      </c>
    </row>
    <row r="649" spans="1:2" x14ac:dyDescent="0.3">
      <c r="A649" s="35">
        <v>648</v>
      </c>
      <c r="B649" s="35">
        <v>1</v>
      </c>
    </row>
    <row r="650" spans="1:2" x14ac:dyDescent="0.3">
      <c r="A650" s="35">
        <v>649</v>
      </c>
      <c r="B650" s="35">
        <v>1</v>
      </c>
    </row>
    <row r="651" spans="1:2" x14ac:dyDescent="0.3">
      <c r="A651" s="35">
        <v>650</v>
      </c>
      <c r="B651" s="35">
        <v>0</v>
      </c>
    </row>
    <row r="652" spans="1:2" x14ac:dyDescent="0.3">
      <c r="A652" s="35">
        <v>651</v>
      </c>
      <c r="B652" s="35">
        <v>0</v>
      </c>
    </row>
    <row r="653" spans="1:2" x14ac:dyDescent="0.3">
      <c r="A653" s="35">
        <v>652</v>
      </c>
      <c r="B653" s="35">
        <v>0</v>
      </c>
    </row>
    <row r="654" spans="1:2" x14ac:dyDescent="0.3">
      <c r="A654" s="35">
        <v>653</v>
      </c>
      <c r="B654" s="35">
        <v>0</v>
      </c>
    </row>
    <row r="655" spans="1:2" x14ac:dyDescent="0.3">
      <c r="A655" s="35">
        <v>654</v>
      </c>
      <c r="B655" s="35">
        <v>1</v>
      </c>
    </row>
    <row r="656" spans="1:2" x14ac:dyDescent="0.3">
      <c r="A656" s="35">
        <v>655</v>
      </c>
      <c r="B656" s="35">
        <v>1</v>
      </c>
    </row>
    <row r="657" spans="1:2" x14ac:dyDescent="0.3">
      <c r="A657" s="35">
        <v>656</v>
      </c>
      <c r="B657" s="35">
        <v>0</v>
      </c>
    </row>
    <row r="658" spans="1:2" x14ac:dyDescent="0.3">
      <c r="A658" s="35">
        <v>657</v>
      </c>
      <c r="B658" s="35">
        <v>1</v>
      </c>
    </row>
    <row r="659" spans="1:2" x14ac:dyDescent="0.3">
      <c r="A659" s="35">
        <v>658</v>
      </c>
      <c r="B659" s="35">
        <v>0</v>
      </c>
    </row>
    <row r="660" spans="1:2" x14ac:dyDescent="0.3">
      <c r="A660" s="35">
        <v>659</v>
      </c>
      <c r="B660" s="35">
        <v>0</v>
      </c>
    </row>
    <row r="661" spans="1:2" x14ac:dyDescent="0.3">
      <c r="A661" s="35">
        <v>660</v>
      </c>
      <c r="B661" s="35">
        <v>1</v>
      </c>
    </row>
    <row r="662" spans="1:2" x14ac:dyDescent="0.3">
      <c r="A662" s="35">
        <v>661</v>
      </c>
      <c r="B662" s="35">
        <v>0</v>
      </c>
    </row>
    <row r="663" spans="1:2" x14ac:dyDescent="0.3">
      <c r="A663" s="35">
        <v>662</v>
      </c>
      <c r="B663" s="35">
        <v>1</v>
      </c>
    </row>
    <row r="664" spans="1:2" x14ac:dyDescent="0.3">
      <c r="A664" s="35">
        <v>663</v>
      </c>
      <c r="B664" s="35">
        <v>0</v>
      </c>
    </row>
    <row r="665" spans="1:2" x14ac:dyDescent="0.3">
      <c r="A665" s="35">
        <v>664</v>
      </c>
      <c r="B665" s="35">
        <v>0</v>
      </c>
    </row>
    <row r="666" spans="1:2" x14ac:dyDescent="0.3">
      <c r="A666" s="35">
        <v>665</v>
      </c>
      <c r="B666" s="35">
        <v>0</v>
      </c>
    </row>
    <row r="667" spans="1:2" x14ac:dyDescent="0.3">
      <c r="A667" s="35">
        <v>666</v>
      </c>
      <c r="B667" s="35">
        <v>0</v>
      </c>
    </row>
    <row r="668" spans="1:2" x14ac:dyDescent="0.3">
      <c r="A668" s="35">
        <v>667</v>
      </c>
      <c r="B668" s="35">
        <v>0</v>
      </c>
    </row>
    <row r="669" spans="1:2" x14ac:dyDescent="0.3">
      <c r="A669" s="35">
        <v>668</v>
      </c>
      <c r="B669" s="35">
        <v>0</v>
      </c>
    </row>
    <row r="670" spans="1:2" x14ac:dyDescent="0.3">
      <c r="A670" s="35">
        <v>669</v>
      </c>
      <c r="B670" s="35">
        <v>0</v>
      </c>
    </row>
    <row r="671" spans="1:2" x14ac:dyDescent="0.3">
      <c r="A671" s="35">
        <v>670</v>
      </c>
      <c r="B671" s="35">
        <v>0</v>
      </c>
    </row>
    <row r="672" spans="1:2" x14ac:dyDescent="0.3">
      <c r="A672" s="35">
        <v>671</v>
      </c>
      <c r="B672" s="35">
        <v>0</v>
      </c>
    </row>
    <row r="673" spans="1:2" x14ac:dyDescent="0.3">
      <c r="A673" s="35">
        <v>672</v>
      </c>
      <c r="B673" s="35">
        <v>1</v>
      </c>
    </row>
    <row r="674" spans="1:2" x14ac:dyDescent="0.3">
      <c r="A674" s="35">
        <v>673</v>
      </c>
      <c r="B674" s="35">
        <v>0</v>
      </c>
    </row>
    <row r="675" spans="1:2" x14ac:dyDescent="0.3">
      <c r="A675" s="35">
        <v>674</v>
      </c>
      <c r="B675" s="35">
        <v>1</v>
      </c>
    </row>
    <row r="676" spans="1:2" x14ac:dyDescent="0.3">
      <c r="A676" s="35">
        <v>675</v>
      </c>
      <c r="B676" s="35">
        <v>0</v>
      </c>
    </row>
    <row r="677" spans="1:2" x14ac:dyDescent="0.3">
      <c r="A677" s="35">
        <v>676</v>
      </c>
      <c r="B677" s="35">
        <v>0</v>
      </c>
    </row>
    <row r="678" spans="1:2" x14ac:dyDescent="0.3">
      <c r="A678" s="35">
        <v>677</v>
      </c>
      <c r="B678" s="35">
        <v>0</v>
      </c>
    </row>
    <row r="679" spans="1:2" x14ac:dyDescent="0.3">
      <c r="A679" s="35">
        <v>678</v>
      </c>
      <c r="B679" s="35">
        <v>0</v>
      </c>
    </row>
    <row r="680" spans="1:2" x14ac:dyDescent="0.3">
      <c r="A680" s="35">
        <v>679</v>
      </c>
      <c r="B680" s="35">
        <v>1</v>
      </c>
    </row>
    <row r="681" spans="1:2" x14ac:dyDescent="0.3">
      <c r="A681" s="35">
        <v>680</v>
      </c>
      <c r="B681" s="35">
        <v>0</v>
      </c>
    </row>
    <row r="682" spans="1:2" x14ac:dyDescent="0.3">
      <c r="A682" s="35">
        <v>681</v>
      </c>
      <c r="B682" s="35">
        <v>0</v>
      </c>
    </row>
    <row r="683" spans="1:2" x14ac:dyDescent="0.3">
      <c r="A683" s="35">
        <v>682</v>
      </c>
      <c r="B683" s="35">
        <v>1</v>
      </c>
    </row>
    <row r="684" spans="1:2" x14ac:dyDescent="0.3">
      <c r="A684" s="35">
        <v>683</v>
      </c>
      <c r="B684" s="35">
        <v>1</v>
      </c>
    </row>
    <row r="685" spans="1:2" x14ac:dyDescent="0.3">
      <c r="A685" s="35">
        <v>684</v>
      </c>
      <c r="B685" s="35">
        <v>0</v>
      </c>
    </row>
    <row r="686" spans="1:2" x14ac:dyDescent="0.3">
      <c r="A686" s="35">
        <v>685</v>
      </c>
      <c r="B686" s="35">
        <v>1</v>
      </c>
    </row>
    <row r="687" spans="1:2" x14ac:dyDescent="0.3">
      <c r="A687" s="35">
        <v>686</v>
      </c>
      <c r="B687" s="35">
        <v>0</v>
      </c>
    </row>
    <row r="688" spans="1:2" x14ac:dyDescent="0.3">
      <c r="A688" s="35">
        <v>687</v>
      </c>
      <c r="B688" s="35">
        <v>1</v>
      </c>
    </row>
    <row r="689" spans="1:2" x14ac:dyDescent="0.3">
      <c r="A689" s="35">
        <v>688</v>
      </c>
      <c r="B689" s="35">
        <v>1</v>
      </c>
    </row>
    <row r="690" spans="1:2" x14ac:dyDescent="0.3">
      <c r="A690" s="35">
        <v>689</v>
      </c>
      <c r="B690" s="35">
        <v>1</v>
      </c>
    </row>
    <row r="691" spans="1:2" x14ac:dyDescent="0.3">
      <c r="A691" s="35">
        <v>690</v>
      </c>
      <c r="B691" s="35">
        <v>0</v>
      </c>
    </row>
    <row r="692" spans="1:2" x14ac:dyDescent="0.3">
      <c r="A692" s="35">
        <v>691</v>
      </c>
      <c r="B692" s="35">
        <v>0</v>
      </c>
    </row>
    <row r="693" spans="1:2" x14ac:dyDescent="0.3">
      <c r="A693" s="35">
        <v>692</v>
      </c>
      <c r="B693" s="35">
        <v>0</v>
      </c>
    </row>
    <row r="694" spans="1:2" x14ac:dyDescent="0.3">
      <c r="A694" s="35">
        <v>693</v>
      </c>
      <c r="B694" s="35">
        <v>1</v>
      </c>
    </row>
    <row r="695" spans="1:2" x14ac:dyDescent="0.3">
      <c r="A695" s="35">
        <v>694</v>
      </c>
      <c r="B695" s="35">
        <v>0</v>
      </c>
    </row>
    <row r="696" spans="1:2" x14ac:dyDescent="0.3">
      <c r="A696" s="35">
        <v>695</v>
      </c>
      <c r="B696" s="35">
        <v>0</v>
      </c>
    </row>
    <row r="697" spans="1:2" x14ac:dyDescent="0.3">
      <c r="A697" s="35">
        <v>696</v>
      </c>
      <c r="B697" s="35">
        <v>0</v>
      </c>
    </row>
    <row r="698" spans="1:2" x14ac:dyDescent="0.3">
      <c r="A698" s="35">
        <v>697</v>
      </c>
      <c r="B698" s="35">
        <v>0</v>
      </c>
    </row>
    <row r="699" spans="1:2" x14ac:dyDescent="0.3">
      <c r="A699" s="35">
        <v>698</v>
      </c>
      <c r="B699" s="35">
        <v>1</v>
      </c>
    </row>
    <row r="700" spans="1:2" x14ac:dyDescent="0.3">
      <c r="A700" s="35">
        <v>699</v>
      </c>
      <c r="B700" s="35">
        <v>0</v>
      </c>
    </row>
    <row r="701" spans="1:2" x14ac:dyDescent="0.3">
      <c r="A701" s="35">
        <v>700</v>
      </c>
      <c r="B701" s="35">
        <v>1</v>
      </c>
    </row>
    <row r="702" spans="1:2" x14ac:dyDescent="0.3">
      <c r="A702" s="35">
        <v>701</v>
      </c>
      <c r="B702" s="35">
        <v>0</v>
      </c>
    </row>
    <row r="703" spans="1:2" x14ac:dyDescent="0.3">
      <c r="A703" s="35">
        <v>702</v>
      </c>
      <c r="B703" s="35">
        <v>1</v>
      </c>
    </row>
    <row r="704" spans="1:2" x14ac:dyDescent="0.3">
      <c r="A704" s="35">
        <v>703</v>
      </c>
      <c r="B704" s="35">
        <v>0</v>
      </c>
    </row>
    <row r="705" spans="1:2" x14ac:dyDescent="0.3">
      <c r="A705" s="35">
        <v>704</v>
      </c>
      <c r="B705" s="35">
        <v>0</v>
      </c>
    </row>
    <row r="706" spans="1:2" x14ac:dyDescent="0.3">
      <c r="A706" s="35">
        <v>705</v>
      </c>
      <c r="B706" s="35">
        <v>0</v>
      </c>
    </row>
    <row r="707" spans="1:2" x14ac:dyDescent="0.3">
      <c r="A707" s="35">
        <v>706</v>
      </c>
      <c r="B707" s="35">
        <v>1</v>
      </c>
    </row>
    <row r="708" spans="1:2" x14ac:dyDescent="0.3">
      <c r="A708" s="35">
        <v>707</v>
      </c>
      <c r="B708" s="35">
        <v>0</v>
      </c>
    </row>
    <row r="709" spans="1:2" x14ac:dyDescent="0.3">
      <c r="A709" s="35">
        <v>708</v>
      </c>
      <c r="B709" s="35">
        <v>0</v>
      </c>
    </row>
    <row r="710" spans="1:2" x14ac:dyDescent="0.3">
      <c r="A710" s="35">
        <v>709</v>
      </c>
      <c r="B710" s="35">
        <v>1</v>
      </c>
    </row>
    <row r="711" spans="1:2" x14ac:dyDescent="0.3">
      <c r="A711" s="35">
        <v>710</v>
      </c>
      <c r="B711" s="35">
        <v>0</v>
      </c>
    </row>
    <row r="712" spans="1:2" x14ac:dyDescent="0.3">
      <c r="A712" s="35">
        <v>711</v>
      </c>
      <c r="B712" s="35">
        <v>0</v>
      </c>
    </row>
    <row r="713" spans="1:2" x14ac:dyDescent="0.3">
      <c r="A713" s="35">
        <v>712</v>
      </c>
      <c r="B713" s="35">
        <v>0</v>
      </c>
    </row>
    <row r="714" spans="1:2" x14ac:dyDescent="0.3">
      <c r="A714" s="35">
        <v>713</v>
      </c>
      <c r="B714" s="35">
        <v>0</v>
      </c>
    </row>
    <row r="715" spans="1:2" x14ac:dyDescent="0.3">
      <c r="A715" s="35">
        <v>714</v>
      </c>
      <c r="B715" s="35">
        <v>1</v>
      </c>
    </row>
    <row r="716" spans="1:2" x14ac:dyDescent="0.3">
      <c r="A716" s="35">
        <v>715</v>
      </c>
      <c r="B716" s="35">
        <v>0</v>
      </c>
    </row>
    <row r="717" spans="1:2" x14ac:dyDescent="0.3">
      <c r="A717" s="35">
        <v>716</v>
      </c>
      <c r="B717" s="35">
        <v>1</v>
      </c>
    </row>
    <row r="718" spans="1:2" x14ac:dyDescent="0.3">
      <c r="A718" s="35">
        <v>717</v>
      </c>
      <c r="B718" s="35">
        <v>0</v>
      </c>
    </row>
    <row r="719" spans="1:2" x14ac:dyDescent="0.3">
      <c r="A719" s="35">
        <v>718</v>
      </c>
      <c r="B719" s="35">
        <v>0</v>
      </c>
    </row>
    <row r="720" spans="1:2" x14ac:dyDescent="0.3">
      <c r="A720" s="35">
        <v>719</v>
      </c>
      <c r="B720" s="35">
        <v>1</v>
      </c>
    </row>
    <row r="721" spans="1:2" x14ac:dyDescent="0.3">
      <c r="A721" s="35">
        <v>720</v>
      </c>
      <c r="B721" s="35">
        <v>0</v>
      </c>
    </row>
    <row r="722" spans="1:2" x14ac:dyDescent="0.3">
      <c r="A722" s="35">
        <v>721</v>
      </c>
      <c r="B722" s="35">
        <v>1</v>
      </c>
    </row>
    <row r="723" spans="1:2" x14ac:dyDescent="0.3">
      <c r="A723" s="35">
        <v>722</v>
      </c>
      <c r="B723" s="35">
        <v>0</v>
      </c>
    </row>
    <row r="724" spans="1:2" x14ac:dyDescent="0.3">
      <c r="A724" s="35">
        <v>723</v>
      </c>
      <c r="B724" s="35">
        <v>0</v>
      </c>
    </row>
    <row r="725" spans="1:2" x14ac:dyDescent="0.3">
      <c r="A725" s="35">
        <v>724</v>
      </c>
      <c r="B725" s="35">
        <v>0</v>
      </c>
    </row>
    <row r="726" spans="1:2" x14ac:dyDescent="0.3">
      <c r="A726" s="35">
        <v>725</v>
      </c>
      <c r="B726" s="35">
        <v>0</v>
      </c>
    </row>
    <row r="727" spans="1:2" x14ac:dyDescent="0.3">
      <c r="A727" s="35">
        <v>726</v>
      </c>
      <c r="B727" s="35">
        <v>1</v>
      </c>
    </row>
    <row r="728" spans="1:2" x14ac:dyDescent="0.3">
      <c r="A728" s="35">
        <v>727</v>
      </c>
      <c r="B728" s="35">
        <v>1</v>
      </c>
    </row>
    <row r="729" spans="1:2" x14ac:dyDescent="0.3">
      <c r="A729" s="35">
        <v>728</v>
      </c>
      <c r="B729" s="35">
        <v>1</v>
      </c>
    </row>
    <row r="730" spans="1:2" x14ac:dyDescent="0.3">
      <c r="A730" s="35">
        <v>729</v>
      </c>
      <c r="B730" s="35">
        <v>1</v>
      </c>
    </row>
    <row r="731" spans="1:2" x14ac:dyDescent="0.3">
      <c r="A731" s="35">
        <v>730</v>
      </c>
      <c r="B731" s="35">
        <v>0</v>
      </c>
    </row>
    <row r="732" spans="1:2" x14ac:dyDescent="0.3">
      <c r="A732" s="35">
        <v>731</v>
      </c>
      <c r="B732" s="35">
        <v>0</v>
      </c>
    </row>
    <row r="733" spans="1:2" x14ac:dyDescent="0.3">
      <c r="A733" s="35">
        <v>732</v>
      </c>
      <c r="B733" s="35">
        <v>0</v>
      </c>
    </row>
    <row r="734" spans="1:2" x14ac:dyDescent="0.3">
      <c r="A734" s="35">
        <v>733</v>
      </c>
      <c r="B734" s="35">
        <v>1</v>
      </c>
    </row>
    <row r="735" spans="1:2" x14ac:dyDescent="0.3">
      <c r="A735" s="35">
        <v>734</v>
      </c>
      <c r="B735" s="35">
        <v>0</v>
      </c>
    </row>
    <row r="736" spans="1:2" x14ac:dyDescent="0.3">
      <c r="A736" s="35">
        <v>735</v>
      </c>
      <c r="B736" s="35">
        <v>0</v>
      </c>
    </row>
    <row r="737" spans="1:2" x14ac:dyDescent="0.3">
      <c r="A737" s="35">
        <v>736</v>
      </c>
      <c r="B737" s="35">
        <v>0</v>
      </c>
    </row>
    <row r="738" spans="1:2" x14ac:dyDescent="0.3">
      <c r="A738" s="35">
        <v>737</v>
      </c>
      <c r="B738" s="35">
        <v>0</v>
      </c>
    </row>
    <row r="739" spans="1:2" x14ac:dyDescent="0.3">
      <c r="A739" s="35">
        <v>738</v>
      </c>
      <c r="B739" s="35">
        <v>1</v>
      </c>
    </row>
    <row r="740" spans="1:2" x14ac:dyDescent="0.3">
      <c r="A740" s="35">
        <v>739</v>
      </c>
      <c r="B740" s="35">
        <v>1</v>
      </c>
    </row>
    <row r="741" spans="1:2" x14ac:dyDescent="0.3">
      <c r="A741" s="35">
        <v>740</v>
      </c>
      <c r="B741" s="35">
        <v>0</v>
      </c>
    </row>
    <row r="742" spans="1:2" x14ac:dyDescent="0.3">
      <c r="A742" s="35">
        <v>741</v>
      </c>
      <c r="B742" s="35">
        <v>0</v>
      </c>
    </row>
    <row r="743" spans="1:2" x14ac:dyDescent="0.3">
      <c r="A743" s="35">
        <v>742</v>
      </c>
      <c r="B743" s="35">
        <v>0</v>
      </c>
    </row>
    <row r="744" spans="1:2" x14ac:dyDescent="0.3">
      <c r="A744" s="35">
        <v>743</v>
      </c>
      <c r="B744" s="35">
        <v>1</v>
      </c>
    </row>
    <row r="745" spans="1:2" x14ac:dyDescent="0.3">
      <c r="A745" s="35">
        <v>744</v>
      </c>
      <c r="B745" s="35">
        <v>1</v>
      </c>
    </row>
    <row r="746" spans="1:2" x14ac:dyDescent="0.3">
      <c r="A746" s="35">
        <v>745</v>
      </c>
      <c r="B746" s="35">
        <v>0</v>
      </c>
    </row>
    <row r="747" spans="1:2" x14ac:dyDescent="0.3">
      <c r="A747" s="35">
        <v>746</v>
      </c>
      <c r="B747" s="35">
        <v>0</v>
      </c>
    </row>
    <row r="748" spans="1:2" x14ac:dyDescent="0.3">
      <c r="A748" s="35">
        <v>747</v>
      </c>
      <c r="B748" s="35">
        <v>1</v>
      </c>
    </row>
    <row r="749" spans="1:2" x14ac:dyDescent="0.3">
      <c r="A749" s="35">
        <v>748</v>
      </c>
      <c r="B749" s="35">
        <v>0</v>
      </c>
    </row>
    <row r="750" spans="1:2" x14ac:dyDescent="0.3">
      <c r="A750" s="35">
        <v>749</v>
      </c>
      <c r="B750" s="35">
        <v>0</v>
      </c>
    </row>
    <row r="751" spans="1:2" x14ac:dyDescent="0.3">
      <c r="A751" s="35">
        <v>750</v>
      </c>
      <c r="B751" s="35">
        <v>1</v>
      </c>
    </row>
    <row r="752" spans="1:2" x14ac:dyDescent="0.3">
      <c r="A752" s="35">
        <v>751</v>
      </c>
      <c r="B752" s="35">
        <v>0</v>
      </c>
    </row>
    <row r="753" spans="1:2" x14ac:dyDescent="0.3">
      <c r="A753" s="35">
        <v>752</v>
      </c>
      <c r="B753" s="35">
        <v>0</v>
      </c>
    </row>
    <row r="754" spans="1:2" x14ac:dyDescent="0.3">
      <c r="A754" s="35">
        <v>753</v>
      </c>
      <c r="B754" s="35">
        <v>0</v>
      </c>
    </row>
    <row r="755" spans="1:2" x14ac:dyDescent="0.3">
      <c r="A755" s="35">
        <v>754</v>
      </c>
      <c r="B755" s="35">
        <v>0</v>
      </c>
    </row>
    <row r="756" spans="1:2" x14ac:dyDescent="0.3">
      <c r="A756" s="35">
        <v>755</v>
      </c>
      <c r="B756" s="35">
        <v>0</v>
      </c>
    </row>
    <row r="757" spans="1:2" x14ac:dyDescent="0.3">
      <c r="A757" s="35">
        <v>756</v>
      </c>
      <c r="B757" s="35">
        <v>0</v>
      </c>
    </row>
    <row r="758" spans="1:2" x14ac:dyDescent="0.3">
      <c r="A758" s="35">
        <v>757</v>
      </c>
      <c r="B758" s="35">
        <v>0</v>
      </c>
    </row>
    <row r="759" spans="1:2" x14ac:dyDescent="0.3">
      <c r="A759" s="35">
        <v>758</v>
      </c>
      <c r="B759" s="35">
        <v>1</v>
      </c>
    </row>
    <row r="760" spans="1:2" x14ac:dyDescent="0.3">
      <c r="A760" s="35">
        <v>759</v>
      </c>
      <c r="B760" s="35">
        <v>0</v>
      </c>
    </row>
    <row r="761" spans="1:2" x14ac:dyDescent="0.3">
      <c r="A761" s="35">
        <v>760</v>
      </c>
      <c r="B761" s="35">
        <v>1</v>
      </c>
    </row>
    <row r="762" spans="1:2" x14ac:dyDescent="0.3">
      <c r="A762" s="35">
        <v>761</v>
      </c>
      <c r="B762" s="35">
        <v>0</v>
      </c>
    </row>
    <row r="763" spans="1:2" x14ac:dyDescent="0.3">
      <c r="A763" s="35">
        <v>762</v>
      </c>
      <c r="B763" s="35">
        <v>0</v>
      </c>
    </row>
    <row r="764" spans="1:2" x14ac:dyDescent="0.3">
      <c r="A764" s="35">
        <v>763</v>
      </c>
      <c r="B764" s="35">
        <v>0</v>
      </c>
    </row>
    <row r="765" spans="1:2" x14ac:dyDescent="0.3">
      <c r="A765" s="35">
        <v>764</v>
      </c>
      <c r="B765" s="35">
        <v>0</v>
      </c>
    </row>
    <row r="766" spans="1:2" x14ac:dyDescent="0.3">
      <c r="A766" s="35">
        <v>765</v>
      </c>
      <c r="B766" s="35">
        <v>1</v>
      </c>
    </row>
    <row r="767" spans="1:2" x14ac:dyDescent="0.3">
      <c r="A767" s="35">
        <v>766</v>
      </c>
      <c r="B767" s="35">
        <v>0</v>
      </c>
    </row>
    <row r="768" spans="1:2" x14ac:dyDescent="0.3">
      <c r="A768" s="35">
        <v>767</v>
      </c>
      <c r="B768" s="35">
        <v>0</v>
      </c>
    </row>
    <row r="769" spans="1:2" x14ac:dyDescent="0.3">
      <c r="A769" s="35">
        <v>768</v>
      </c>
      <c r="B769" s="35">
        <v>0</v>
      </c>
    </row>
    <row r="770" spans="1:2" x14ac:dyDescent="0.3">
      <c r="A770" s="35">
        <v>769</v>
      </c>
      <c r="B770" s="35">
        <v>0</v>
      </c>
    </row>
    <row r="771" spans="1:2" x14ac:dyDescent="0.3">
      <c r="A771" s="35">
        <v>770</v>
      </c>
      <c r="B771" s="35">
        <v>0</v>
      </c>
    </row>
    <row r="772" spans="1:2" x14ac:dyDescent="0.3">
      <c r="A772" s="35">
        <v>771</v>
      </c>
      <c r="B772" s="35">
        <v>0</v>
      </c>
    </row>
    <row r="773" spans="1:2" x14ac:dyDescent="0.3">
      <c r="A773" s="35">
        <v>772</v>
      </c>
      <c r="B773" s="35">
        <v>0</v>
      </c>
    </row>
    <row r="774" spans="1:2" x14ac:dyDescent="0.3">
      <c r="A774" s="35">
        <v>773</v>
      </c>
      <c r="B774" s="35">
        <v>0</v>
      </c>
    </row>
    <row r="775" spans="1:2" x14ac:dyDescent="0.3">
      <c r="A775" s="35">
        <v>774</v>
      </c>
      <c r="B775" s="35">
        <v>0</v>
      </c>
    </row>
    <row r="776" spans="1:2" x14ac:dyDescent="0.3">
      <c r="A776" s="35">
        <v>775</v>
      </c>
      <c r="B776" s="35">
        <v>0</v>
      </c>
    </row>
    <row r="777" spans="1:2" x14ac:dyDescent="0.3">
      <c r="A777" s="35">
        <v>776</v>
      </c>
      <c r="B777" s="35">
        <v>0</v>
      </c>
    </row>
    <row r="778" spans="1:2" x14ac:dyDescent="0.3">
      <c r="A778" s="35">
        <v>777</v>
      </c>
      <c r="B778" s="35">
        <v>0</v>
      </c>
    </row>
    <row r="779" spans="1:2" x14ac:dyDescent="0.3">
      <c r="A779" s="35">
        <v>778</v>
      </c>
      <c r="B779" s="35">
        <v>0</v>
      </c>
    </row>
    <row r="780" spans="1:2" x14ac:dyDescent="0.3">
      <c r="A780" s="35">
        <v>779</v>
      </c>
      <c r="B780" s="35">
        <v>1</v>
      </c>
    </row>
    <row r="781" spans="1:2" x14ac:dyDescent="0.3">
      <c r="A781" s="35">
        <v>780</v>
      </c>
      <c r="B781" s="35">
        <v>0</v>
      </c>
    </row>
    <row r="782" spans="1:2" x14ac:dyDescent="0.3">
      <c r="A782" s="35">
        <v>781</v>
      </c>
      <c r="B782" s="35">
        <v>0</v>
      </c>
    </row>
    <row r="783" spans="1:2" x14ac:dyDescent="0.3">
      <c r="A783" s="35">
        <v>782</v>
      </c>
      <c r="B783" s="35">
        <v>0</v>
      </c>
    </row>
    <row r="784" spans="1:2" x14ac:dyDescent="0.3">
      <c r="A784" s="35">
        <v>783</v>
      </c>
      <c r="B784" s="35">
        <v>0</v>
      </c>
    </row>
    <row r="785" spans="1:2" x14ac:dyDescent="0.3">
      <c r="A785" s="35">
        <v>784</v>
      </c>
      <c r="B785" s="35">
        <v>1</v>
      </c>
    </row>
    <row r="786" spans="1:2" x14ac:dyDescent="0.3">
      <c r="A786" s="35">
        <v>785</v>
      </c>
      <c r="B786" s="35">
        <v>1</v>
      </c>
    </row>
    <row r="787" spans="1:2" x14ac:dyDescent="0.3">
      <c r="A787" s="35">
        <v>786</v>
      </c>
      <c r="B787" s="35">
        <v>0</v>
      </c>
    </row>
    <row r="788" spans="1:2" x14ac:dyDescent="0.3">
      <c r="A788" s="35">
        <v>787</v>
      </c>
      <c r="B788" s="35">
        <v>0</v>
      </c>
    </row>
    <row r="789" spans="1:2" x14ac:dyDescent="0.3">
      <c r="A789" s="35">
        <v>788</v>
      </c>
      <c r="B789" s="35">
        <v>1</v>
      </c>
    </row>
    <row r="790" spans="1:2" x14ac:dyDescent="0.3">
      <c r="A790" s="35">
        <v>789</v>
      </c>
      <c r="B790" s="35">
        <v>1</v>
      </c>
    </row>
    <row r="791" spans="1:2" x14ac:dyDescent="0.3">
      <c r="A791" s="35">
        <v>790</v>
      </c>
      <c r="B791" s="35">
        <v>0</v>
      </c>
    </row>
    <row r="792" spans="1:2" x14ac:dyDescent="0.3">
      <c r="A792" s="35">
        <v>791</v>
      </c>
      <c r="B792" s="35">
        <v>0</v>
      </c>
    </row>
    <row r="793" spans="1:2" x14ac:dyDescent="0.3">
      <c r="A793" s="35">
        <v>792</v>
      </c>
      <c r="B793" s="35">
        <v>0</v>
      </c>
    </row>
    <row r="794" spans="1:2" x14ac:dyDescent="0.3">
      <c r="A794" s="35">
        <v>793</v>
      </c>
      <c r="B794" s="35">
        <v>0</v>
      </c>
    </row>
    <row r="795" spans="1:2" x14ac:dyDescent="0.3">
      <c r="A795" s="35">
        <v>794</v>
      </c>
      <c r="B795" s="35">
        <v>1</v>
      </c>
    </row>
    <row r="796" spans="1:2" x14ac:dyDescent="0.3">
      <c r="A796" s="35">
        <v>795</v>
      </c>
      <c r="B796" s="35">
        <v>1</v>
      </c>
    </row>
    <row r="797" spans="1:2" x14ac:dyDescent="0.3">
      <c r="A797" s="35">
        <v>796</v>
      </c>
      <c r="B797" s="35">
        <v>0</v>
      </c>
    </row>
    <row r="798" spans="1:2" x14ac:dyDescent="0.3">
      <c r="A798" s="35">
        <v>797</v>
      </c>
      <c r="B798" s="35">
        <v>0</v>
      </c>
    </row>
    <row r="799" spans="1:2" x14ac:dyDescent="0.3">
      <c r="A799" s="35">
        <v>798</v>
      </c>
      <c r="B799" s="35">
        <v>0</v>
      </c>
    </row>
    <row r="800" spans="1:2" x14ac:dyDescent="0.3">
      <c r="A800" s="35">
        <v>799</v>
      </c>
      <c r="B800" s="35">
        <v>0</v>
      </c>
    </row>
    <row r="801" spans="1:2" x14ac:dyDescent="0.3">
      <c r="A801" s="35">
        <v>800</v>
      </c>
      <c r="B801" s="35">
        <v>1</v>
      </c>
    </row>
    <row r="802" spans="1:2" x14ac:dyDescent="0.3">
      <c r="A802" s="35">
        <v>801</v>
      </c>
      <c r="B802" s="35">
        <v>0</v>
      </c>
    </row>
    <row r="803" spans="1:2" x14ac:dyDescent="0.3">
      <c r="A803" s="35">
        <v>802</v>
      </c>
      <c r="B803" s="35">
        <v>0</v>
      </c>
    </row>
    <row r="804" spans="1:2" x14ac:dyDescent="0.3">
      <c r="A804" s="35">
        <v>803</v>
      </c>
      <c r="B804" s="35">
        <v>1</v>
      </c>
    </row>
    <row r="805" spans="1:2" x14ac:dyDescent="0.3">
      <c r="A805" s="35">
        <v>804</v>
      </c>
      <c r="B805" s="35">
        <v>0</v>
      </c>
    </row>
    <row r="806" spans="1:2" x14ac:dyDescent="0.3">
      <c r="A806" s="35">
        <v>805</v>
      </c>
      <c r="B806" s="35">
        <v>1</v>
      </c>
    </row>
    <row r="807" spans="1:2" x14ac:dyDescent="0.3">
      <c r="A807" s="35">
        <v>806</v>
      </c>
      <c r="B807" s="35">
        <v>0</v>
      </c>
    </row>
    <row r="808" spans="1:2" x14ac:dyDescent="0.3">
      <c r="A808" s="35">
        <v>807</v>
      </c>
      <c r="B808" s="35">
        <v>1</v>
      </c>
    </row>
    <row r="809" spans="1:2" x14ac:dyDescent="0.3">
      <c r="A809" s="35">
        <v>808</v>
      </c>
      <c r="B809" s="35">
        <v>0</v>
      </c>
    </row>
    <row r="810" spans="1:2" x14ac:dyDescent="0.3">
      <c r="A810" s="35">
        <v>809</v>
      </c>
      <c r="B810" s="35">
        <v>1</v>
      </c>
    </row>
    <row r="811" spans="1:2" x14ac:dyDescent="0.3">
      <c r="A811" s="35">
        <v>810</v>
      </c>
      <c r="B811" s="35">
        <v>0</v>
      </c>
    </row>
    <row r="812" spans="1:2" x14ac:dyDescent="0.3">
      <c r="A812" s="35">
        <v>811</v>
      </c>
      <c r="B812" s="35">
        <v>0</v>
      </c>
    </row>
    <row r="813" spans="1:2" x14ac:dyDescent="0.3">
      <c r="A813" s="35">
        <v>812</v>
      </c>
      <c r="B813" s="35">
        <v>0</v>
      </c>
    </row>
    <row r="814" spans="1:2" x14ac:dyDescent="0.3">
      <c r="A814" s="35">
        <v>813</v>
      </c>
      <c r="B814" s="35">
        <v>1</v>
      </c>
    </row>
    <row r="815" spans="1:2" x14ac:dyDescent="0.3">
      <c r="A815" s="35">
        <v>814</v>
      </c>
      <c r="B815" s="35">
        <v>1</v>
      </c>
    </row>
    <row r="816" spans="1:2" x14ac:dyDescent="0.3">
      <c r="A816" s="35">
        <v>815</v>
      </c>
      <c r="B816" s="35">
        <v>0</v>
      </c>
    </row>
    <row r="817" spans="1:2" x14ac:dyDescent="0.3">
      <c r="A817" s="35">
        <v>816</v>
      </c>
      <c r="B817" s="35">
        <v>0</v>
      </c>
    </row>
    <row r="818" spans="1:2" x14ac:dyDescent="0.3">
      <c r="A818" s="35">
        <v>817</v>
      </c>
      <c r="B818" s="35">
        <v>0</v>
      </c>
    </row>
    <row r="819" spans="1:2" x14ac:dyDescent="0.3">
      <c r="A819" s="35">
        <v>818</v>
      </c>
      <c r="B819" s="35">
        <v>1</v>
      </c>
    </row>
    <row r="820" spans="1:2" x14ac:dyDescent="0.3">
      <c r="A820" s="35">
        <v>819</v>
      </c>
      <c r="B820" s="35">
        <v>0</v>
      </c>
    </row>
    <row r="821" spans="1:2" x14ac:dyDescent="0.3">
      <c r="A821" s="35">
        <v>820</v>
      </c>
      <c r="B821" s="35">
        <v>0</v>
      </c>
    </row>
    <row r="822" spans="1:2" x14ac:dyDescent="0.3">
      <c r="A822" s="35">
        <v>821</v>
      </c>
      <c r="B822" s="35">
        <v>1</v>
      </c>
    </row>
    <row r="823" spans="1:2" x14ac:dyDescent="0.3">
      <c r="A823" s="35">
        <v>822</v>
      </c>
      <c r="B823" s="35">
        <v>0</v>
      </c>
    </row>
    <row r="824" spans="1:2" x14ac:dyDescent="0.3">
      <c r="A824" s="35">
        <v>823</v>
      </c>
      <c r="B824" s="35">
        <v>0</v>
      </c>
    </row>
    <row r="825" spans="1:2" x14ac:dyDescent="0.3">
      <c r="A825" s="35">
        <v>824</v>
      </c>
      <c r="B825" s="35">
        <v>0</v>
      </c>
    </row>
    <row r="826" spans="1:2" x14ac:dyDescent="0.3">
      <c r="A826" s="35">
        <v>825</v>
      </c>
      <c r="B826" s="35">
        <v>0</v>
      </c>
    </row>
    <row r="827" spans="1:2" x14ac:dyDescent="0.3">
      <c r="A827" s="35">
        <v>826</v>
      </c>
      <c r="B827" s="35">
        <v>0</v>
      </c>
    </row>
    <row r="828" spans="1:2" x14ac:dyDescent="0.3">
      <c r="A828" s="35">
        <v>827</v>
      </c>
      <c r="B828" s="35">
        <v>1</v>
      </c>
    </row>
    <row r="829" spans="1:2" x14ac:dyDescent="0.3">
      <c r="A829" s="35">
        <v>828</v>
      </c>
      <c r="B829" s="35">
        <v>0</v>
      </c>
    </row>
    <row r="830" spans="1:2" x14ac:dyDescent="0.3">
      <c r="A830" s="35">
        <v>829</v>
      </c>
      <c r="B830" s="35">
        <v>1</v>
      </c>
    </row>
    <row r="831" spans="1:2" x14ac:dyDescent="0.3">
      <c r="A831" s="35">
        <v>830</v>
      </c>
      <c r="B831" s="35">
        <v>0</v>
      </c>
    </row>
    <row r="832" spans="1:2" x14ac:dyDescent="0.3">
      <c r="A832" s="35">
        <v>831</v>
      </c>
      <c r="B832" s="35">
        <v>0</v>
      </c>
    </row>
    <row r="833" spans="1:2" x14ac:dyDescent="0.3">
      <c r="A833" s="35">
        <v>832</v>
      </c>
      <c r="B833" s="35">
        <v>0</v>
      </c>
    </row>
    <row r="834" spans="1:2" x14ac:dyDescent="0.3">
      <c r="A834" s="35">
        <v>833</v>
      </c>
      <c r="B834" s="35">
        <v>1</v>
      </c>
    </row>
    <row r="835" spans="1:2" x14ac:dyDescent="0.3">
      <c r="A835" s="35">
        <v>834</v>
      </c>
      <c r="B835" s="35">
        <v>0</v>
      </c>
    </row>
    <row r="836" spans="1:2" x14ac:dyDescent="0.3">
      <c r="A836" s="35">
        <v>835</v>
      </c>
      <c r="B836" s="35">
        <v>0</v>
      </c>
    </row>
    <row r="837" spans="1:2" x14ac:dyDescent="0.3">
      <c r="A837" s="35">
        <v>836</v>
      </c>
      <c r="B837" s="35">
        <v>0</v>
      </c>
    </row>
    <row r="838" spans="1:2" x14ac:dyDescent="0.3">
      <c r="A838" s="35">
        <v>837</v>
      </c>
      <c r="B838" s="35">
        <v>0</v>
      </c>
    </row>
    <row r="839" spans="1:2" x14ac:dyDescent="0.3">
      <c r="A839" s="35">
        <v>838</v>
      </c>
      <c r="B839" s="35">
        <v>1</v>
      </c>
    </row>
    <row r="840" spans="1:2" x14ac:dyDescent="0.3">
      <c r="A840" s="35">
        <v>839</v>
      </c>
      <c r="B840" s="35">
        <v>0</v>
      </c>
    </row>
    <row r="841" spans="1:2" x14ac:dyDescent="0.3">
      <c r="A841" s="35">
        <v>840</v>
      </c>
      <c r="B841" s="35">
        <v>0</v>
      </c>
    </row>
    <row r="842" spans="1:2" x14ac:dyDescent="0.3">
      <c r="A842" s="35">
        <v>841</v>
      </c>
      <c r="B842" s="35">
        <v>0</v>
      </c>
    </row>
    <row r="843" spans="1:2" x14ac:dyDescent="0.3">
      <c r="A843" s="35">
        <v>842</v>
      </c>
      <c r="B843" s="35">
        <v>0</v>
      </c>
    </row>
    <row r="844" spans="1:2" x14ac:dyDescent="0.3">
      <c r="A844" s="35">
        <v>843</v>
      </c>
      <c r="B844" s="35">
        <v>0</v>
      </c>
    </row>
    <row r="845" spans="1:2" x14ac:dyDescent="0.3">
      <c r="A845" s="35">
        <v>844</v>
      </c>
      <c r="B845" s="35">
        <v>1</v>
      </c>
    </row>
    <row r="846" spans="1:2" x14ac:dyDescent="0.3">
      <c r="A846" s="35">
        <v>845</v>
      </c>
      <c r="B846" s="35">
        <v>0</v>
      </c>
    </row>
    <row r="847" spans="1:2" x14ac:dyDescent="0.3">
      <c r="A847" s="35">
        <v>846</v>
      </c>
      <c r="B847" s="35">
        <v>1</v>
      </c>
    </row>
    <row r="848" spans="1:2" x14ac:dyDescent="0.3">
      <c r="A848" s="35">
        <v>847</v>
      </c>
      <c r="B848" s="35">
        <v>0</v>
      </c>
    </row>
    <row r="849" spans="1:2" x14ac:dyDescent="0.3">
      <c r="A849" s="35">
        <v>848</v>
      </c>
      <c r="B849" s="35">
        <v>0</v>
      </c>
    </row>
    <row r="850" spans="1:2" x14ac:dyDescent="0.3">
      <c r="A850" s="35">
        <v>849</v>
      </c>
      <c r="B850" s="35">
        <v>0</v>
      </c>
    </row>
    <row r="851" spans="1:2" x14ac:dyDescent="0.3">
      <c r="A851" s="35">
        <v>850</v>
      </c>
      <c r="B851" s="35">
        <v>0</v>
      </c>
    </row>
    <row r="852" spans="1:2" x14ac:dyDescent="0.3">
      <c r="A852" s="35">
        <v>851</v>
      </c>
      <c r="B852" s="35">
        <v>0</v>
      </c>
    </row>
    <row r="853" spans="1:2" x14ac:dyDescent="0.3">
      <c r="A853" s="35">
        <v>852</v>
      </c>
      <c r="B853" s="35">
        <v>0</v>
      </c>
    </row>
    <row r="854" spans="1:2" x14ac:dyDescent="0.3">
      <c r="A854" s="35">
        <v>853</v>
      </c>
      <c r="B854" s="35">
        <v>1</v>
      </c>
    </row>
    <row r="855" spans="1:2" x14ac:dyDescent="0.3">
      <c r="A855" s="35">
        <v>854</v>
      </c>
      <c r="B855" s="35">
        <v>0</v>
      </c>
    </row>
    <row r="856" spans="1:2" x14ac:dyDescent="0.3">
      <c r="A856" s="35">
        <v>855</v>
      </c>
      <c r="B856" s="35">
        <v>0</v>
      </c>
    </row>
    <row r="857" spans="1:2" x14ac:dyDescent="0.3">
      <c r="A857" s="35">
        <v>856</v>
      </c>
      <c r="B857" s="35">
        <v>1</v>
      </c>
    </row>
    <row r="858" spans="1:2" x14ac:dyDescent="0.3">
      <c r="A858" s="35">
        <v>857</v>
      </c>
      <c r="B858" s="35">
        <v>0</v>
      </c>
    </row>
    <row r="859" spans="1:2" x14ac:dyDescent="0.3">
      <c r="A859" s="35">
        <v>858</v>
      </c>
      <c r="B859" s="35">
        <v>1</v>
      </c>
    </row>
    <row r="860" spans="1:2" x14ac:dyDescent="0.3">
      <c r="A860" s="35">
        <v>859</v>
      </c>
      <c r="B860" s="35">
        <v>0</v>
      </c>
    </row>
    <row r="861" spans="1:2" x14ac:dyDescent="0.3">
      <c r="A861" s="35">
        <v>860</v>
      </c>
      <c r="B861" s="35">
        <v>0</v>
      </c>
    </row>
    <row r="862" spans="1:2" x14ac:dyDescent="0.3">
      <c r="A862" s="35">
        <v>861</v>
      </c>
      <c r="B862" s="35">
        <v>0</v>
      </c>
    </row>
    <row r="863" spans="1:2" x14ac:dyDescent="0.3">
      <c r="A863" s="35">
        <v>862</v>
      </c>
      <c r="B863" s="35">
        <v>1</v>
      </c>
    </row>
    <row r="864" spans="1:2" x14ac:dyDescent="0.3">
      <c r="A864" s="35">
        <v>863</v>
      </c>
      <c r="B864" s="35">
        <v>0</v>
      </c>
    </row>
    <row r="865" spans="1:2" x14ac:dyDescent="0.3">
      <c r="A865" s="35">
        <v>864</v>
      </c>
      <c r="B865" s="35">
        <v>0</v>
      </c>
    </row>
    <row r="866" spans="1:2" x14ac:dyDescent="0.3">
      <c r="A866" s="35">
        <v>865</v>
      </c>
      <c r="B866" s="35">
        <v>0</v>
      </c>
    </row>
    <row r="867" spans="1:2" x14ac:dyDescent="0.3">
      <c r="A867" s="35">
        <v>866</v>
      </c>
      <c r="B867" s="35">
        <v>1</v>
      </c>
    </row>
    <row r="868" spans="1:2" x14ac:dyDescent="0.3">
      <c r="A868" s="35">
        <v>867</v>
      </c>
      <c r="B868" s="35">
        <v>0</v>
      </c>
    </row>
    <row r="869" spans="1:2" x14ac:dyDescent="0.3">
      <c r="A869" s="35">
        <v>868</v>
      </c>
      <c r="B869" s="35">
        <v>0</v>
      </c>
    </row>
    <row r="870" spans="1:2" x14ac:dyDescent="0.3">
      <c r="A870" s="35">
        <v>869</v>
      </c>
      <c r="B870" s="35">
        <v>0</v>
      </c>
    </row>
    <row r="871" spans="1:2" x14ac:dyDescent="0.3">
      <c r="A871" s="35">
        <v>870</v>
      </c>
      <c r="B871" s="35">
        <v>0</v>
      </c>
    </row>
    <row r="872" spans="1:2" x14ac:dyDescent="0.3">
      <c r="A872" s="35">
        <v>871</v>
      </c>
      <c r="B872" s="35">
        <v>0</v>
      </c>
    </row>
    <row r="873" spans="1:2" x14ac:dyDescent="0.3">
      <c r="A873" s="35">
        <v>872</v>
      </c>
      <c r="B873" s="35">
        <v>0</v>
      </c>
    </row>
    <row r="874" spans="1:2" x14ac:dyDescent="0.3">
      <c r="A874" s="35">
        <v>873</v>
      </c>
      <c r="B874" s="35">
        <v>1</v>
      </c>
    </row>
    <row r="875" spans="1:2" x14ac:dyDescent="0.3">
      <c r="A875" s="35">
        <v>874</v>
      </c>
      <c r="B875" s="35">
        <v>0</v>
      </c>
    </row>
    <row r="876" spans="1:2" x14ac:dyDescent="0.3">
      <c r="A876" s="35">
        <v>875</v>
      </c>
      <c r="B876" s="35">
        <v>1</v>
      </c>
    </row>
    <row r="877" spans="1:2" x14ac:dyDescent="0.3">
      <c r="A877" s="35">
        <v>876</v>
      </c>
      <c r="B877" s="35">
        <v>0</v>
      </c>
    </row>
    <row r="878" spans="1:2" x14ac:dyDescent="0.3">
      <c r="A878" s="35">
        <v>877</v>
      </c>
      <c r="B878" s="35">
        <v>0</v>
      </c>
    </row>
    <row r="879" spans="1:2" x14ac:dyDescent="0.3">
      <c r="A879" s="35">
        <v>878</v>
      </c>
      <c r="B879" s="35">
        <v>1</v>
      </c>
    </row>
    <row r="880" spans="1:2" x14ac:dyDescent="0.3">
      <c r="A880" s="35">
        <v>879</v>
      </c>
      <c r="B880" s="35">
        <v>1</v>
      </c>
    </row>
    <row r="881" spans="1:2" x14ac:dyDescent="0.3">
      <c r="A881" s="35">
        <v>880</v>
      </c>
      <c r="B881" s="35">
        <v>0</v>
      </c>
    </row>
    <row r="882" spans="1:2" x14ac:dyDescent="0.3">
      <c r="A882" s="35">
        <v>881</v>
      </c>
      <c r="B882" s="35">
        <v>1</v>
      </c>
    </row>
    <row r="883" spans="1:2" x14ac:dyDescent="0.3">
      <c r="A883" s="35">
        <v>882</v>
      </c>
      <c r="B883" s="35">
        <v>0</v>
      </c>
    </row>
    <row r="884" spans="1:2" x14ac:dyDescent="0.3">
      <c r="A884" s="35">
        <v>883</v>
      </c>
      <c r="B884" s="35">
        <v>0</v>
      </c>
    </row>
    <row r="885" spans="1:2" x14ac:dyDescent="0.3">
      <c r="A885" s="35">
        <v>884</v>
      </c>
      <c r="B885" s="35">
        <v>1</v>
      </c>
    </row>
    <row r="886" spans="1:2" x14ac:dyDescent="0.3">
      <c r="A886" s="35">
        <v>885</v>
      </c>
      <c r="B886" s="35">
        <v>0</v>
      </c>
    </row>
    <row r="887" spans="1:2" x14ac:dyDescent="0.3">
      <c r="A887" s="35">
        <v>886</v>
      </c>
      <c r="B887" s="35">
        <v>0</v>
      </c>
    </row>
    <row r="888" spans="1:2" x14ac:dyDescent="0.3">
      <c r="A888" s="35">
        <v>887</v>
      </c>
      <c r="B888" s="35">
        <v>1</v>
      </c>
    </row>
    <row r="889" spans="1:2" x14ac:dyDescent="0.3">
      <c r="A889" s="35">
        <v>888</v>
      </c>
      <c r="B889" s="35">
        <v>0</v>
      </c>
    </row>
    <row r="890" spans="1:2" x14ac:dyDescent="0.3">
      <c r="A890" s="35">
        <v>889</v>
      </c>
      <c r="B890" s="35">
        <v>0</v>
      </c>
    </row>
    <row r="891" spans="1:2" x14ac:dyDescent="0.3">
      <c r="A891" s="35">
        <v>890</v>
      </c>
      <c r="B891" s="35">
        <v>1</v>
      </c>
    </row>
    <row r="892" spans="1:2" x14ac:dyDescent="0.3">
      <c r="A892" s="35">
        <v>891</v>
      </c>
      <c r="B892" s="35">
        <v>0</v>
      </c>
    </row>
    <row r="893" spans="1:2" x14ac:dyDescent="0.3">
      <c r="A893" s="35">
        <v>892</v>
      </c>
      <c r="B893" s="35">
        <v>0</v>
      </c>
    </row>
    <row r="894" spans="1:2" x14ac:dyDescent="0.3">
      <c r="A894" s="35">
        <v>893</v>
      </c>
      <c r="B894" s="35">
        <v>0</v>
      </c>
    </row>
    <row r="895" spans="1:2" x14ac:dyDescent="0.3">
      <c r="A895" s="35">
        <v>894</v>
      </c>
      <c r="B895" s="35">
        <v>0</v>
      </c>
    </row>
    <row r="896" spans="1:2" x14ac:dyDescent="0.3">
      <c r="A896" s="35">
        <v>895</v>
      </c>
      <c r="B896" s="35">
        <v>0</v>
      </c>
    </row>
    <row r="897" spans="1:2" x14ac:dyDescent="0.3">
      <c r="A897" s="35">
        <v>896</v>
      </c>
      <c r="B897" s="35">
        <v>1</v>
      </c>
    </row>
    <row r="898" spans="1:2" x14ac:dyDescent="0.3">
      <c r="A898" s="35">
        <v>897</v>
      </c>
      <c r="B898" s="35">
        <v>0</v>
      </c>
    </row>
    <row r="899" spans="1:2" x14ac:dyDescent="0.3">
      <c r="A899" s="35">
        <v>898</v>
      </c>
      <c r="B899" s="35">
        <v>0</v>
      </c>
    </row>
    <row r="900" spans="1:2" x14ac:dyDescent="0.3">
      <c r="A900" s="35">
        <v>899</v>
      </c>
      <c r="B900" s="35">
        <v>0</v>
      </c>
    </row>
    <row r="901" spans="1:2" x14ac:dyDescent="0.3">
      <c r="A901" s="35">
        <v>900</v>
      </c>
      <c r="B901" s="35">
        <v>1</v>
      </c>
    </row>
    <row r="902" spans="1:2" x14ac:dyDescent="0.3">
      <c r="A902" s="35">
        <v>901</v>
      </c>
      <c r="B902" s="35">
        <v>1</v>
      </c>
    </row>
    <row r="903" spans="1:2" x14ac:dyDescent="0.3">
      <c r="A903" s="35">
        <v>902</v>
      </c>
      <c r="B903" s="35">
        <v>0</v>
      </c>
    </row>
    <row r="904" spans="1:2" x14ac:dyDescent="0.3">
      <c r="A904" s="35">
        <v>903</v>
      </c>
      <c r="B904" s="35">
        <v>1</v>
      </c>
    </row>
    <row r="905" spans="1:2" x14ac:dyDescent="0.3">
      <c r="A905" s="35">
        <v>904</v>
      </c>
      <c r="B905" s="35">
        <v>1</v>
      </c>
    </row>
    <row r="906" spans="1:2" x14ac:dyDescent="0.3">
      <c r="A906" s="35">
        <v>905</v>
      </c>
      <c r="B906" s="35">
        <v>1</v>
      </c>
    </row>
    <row r="907" spans="1:2" x14ac:dyDescent="0.3">
      <c r="A907" s="35">
        <v>906</v>
      </c>
      <c r="B907" s="35">
        <v>1</v>
      </c>
    </row>
    <row r="908" spans="1:2" x14ac:dyDescent="0.3">
      <c r="A908" s="35">
        <v>907</v>
      </c>
      <c r="B908" s="35">
        <v>1</v>
      </c>
    </row>
    <row r="909" spans="1:2" x14ac:dyDescent="0.3">
      <c r="A909" s="35">
        <v>908</v>
      </c>
      <c r="B909" s="35">
        <v>0</v>
      </c>
    </row>
    <row r="910" spans="1:2" x14ac:dyDescent="0.3">
      <c r="A910" s="35">
        <v>909</v>
      </c>
      <c r="B910" s="35">
        <v>0</v>
      </c>
    </row>
    <row r="911" spans="1:2" x14ac:dyDescent="0.3">
      <c r="A911" s="35">
        <v>910</v>
      </c>
      <c r="B911" s="35">
        <v>1</v>
      </c>
    </row>
    <row r="912" spans="1:2" x14ac:dyDescent="0.3">
      <c r="A912" s="35">
        <v>911</v>
      </c>
      <c r="B912" s="35">
        <v>0</v>
      </c>
    </row>
    <row r="913" spans="1:2" x14ac:dyDescent="0.3">
      <c r="A913" s="35">
        <v>912</v>
      </c>
      <c r="B913" s="35">
        <v>0</v>
      </c>
    </row>
    <row r="914" spans="1:2" x14ac:dyDescent="0.3">
      <c r="A914" s="35">
        <v>913</v>
      </c>
      <c r="B914" s="35">
        <v>1</v>
      </c>
    </row>
    <row r="915" spans="1:2" x14ac:dyDescent="0.3">
      <c r="A915" s="35">
        <v>914</v>
      </c>
      <c r="B915" s="35">
        <v>0</v>
      </c>
    </row>
    <row r="916" spans="1:2" x14ac:dyDescent="0.3">
      <c r="A916" s="35">
        <v>915</v>
      </c>
      <c r="B916" s="35">
        <v>1</v>
      </c>
    </row>
    <row r="917" spans="1:2" x14ac:dyDescent="0.3">
      <c r="A917" s="35">
        <v>916</v>
      </c>
      <c r="B917" s="35">
        <v>0</v>
      </c>
    </row>
    <row r="918" spans="1:2" x14ac:dyDescent="0.3">
      <c r="A918" s="35">
        <v>917</v>
      </c>
      <c r="B918" s="35">
        <v>1</v>
      </c>
    </row>
    <row r="919" spans="1:2" x14ac:dyDescent="0.3">
      <c r="A919" s="35">
        <v>918</v>
      </c>
      <c r="B919" s="35">
        <v>0</v>
      </c>
    </row>
    <row r="920" spans="1:2" x14ac:dyDescent="0.3">
      <c r="A920" s="35">
        <v>919</v>
      </c>
      <c r="B920" s="35">
        <v>0</v>
      </c>
    </row>
    <row r="921" spans="1:2" x14ac:dyDescent="0.3">
      <c r="A921" s="35">
        <v>920</v>
      </c>
      <c r="B921" s="35">
        <v>0</v>
      </c>
    </row>
    <row r="922" spans="1:2" x14ac:dyDescent="0.3">
      <c r="A922" s="35">
        <v>921</v>
      </c>
      <c r="B922" s="35">
        <v>0</v>
      </c>
    </row>
    <row r="923" spans="1:2" x14ac:dyDescent="0.3">
      <c r="A923" s="35">
        <v>922</v>
      </c>
      <c r="B923" s="35">
        <v>0</v>
      </c>
    </row>
    <row r="924" spans="1:2" x14ac:dyDescent="0.3">
      <c r="A924" s="35">
        <v>923</v>
      </c>
      <c r="B924" s="35">
        <v>0</v>
      </c>
    </row>
    <row r="925" spans="1:2" x14ac:dyDescent="0.3">
      <c r="A925" s="35">
        <v>924</v>
      </c>
      <c r="B925" s="35">
        <v>0</v>
      </c>
    </row>
    <row r="926" spans="1:2" x14ac:dyDescent="0.3">
      <c r="A926" s="35">
        <v>925</v>
      </c>
      <c r="B926" s="35">
        <v>1</v>
      </c>
    </row>
    <row r="927" spans="1:2" x14ac:dyDescent="0.3">
      <c r="A927" s="35">
        <v>926</v>
      </c>
      <c r="B927" s="35">
        <v>1</v>
      </c>
    </row>
    <row r="928" spans="1:2" x14ac:dyDescent="0.3">
      <c r="A928" s="35">
        <v>927</v>
      </c>
      <c r="B928" s="35">
        <v>0</v>
      </c>
    </row>
    <row r="929" spans="1:2" x14ac:dyDescent="0.3">
      <c r="A929" s="35">
        <v>928</v>
      </c>
      <c r="B929" s="35">
        <v>0</v>
      </c>
    </row>
    <row r="930" spans="1:2" x14ac:dyDescent="0.3">
      <c r="A930" s="35">
        <v>929</v>
      </c>
      <c r="B930" s="35">
        <v>0</v>
      </c>
    </row>
    <row r="931" spans="1:2" x14ac:dyDescent="0.3">
      <c r="A931" s="35">
        <v>930</v>
      </c>
      <c r="B931" s="35">
        <v>0</v>
      </c>
    </row>
    <row r="932" spans="1:2" x14ac:dyDescent="0.3">
      <c r="A932" s="35">
        <v>931</v>
      </c>
      <c r="B932" s="35">
        <v>0</v>
      </c>
    </row>
    <row r="933" spans="1:2" x14ac:dyDescent="0.3">
      <c r="A933" s="35">
        <v>932</v>
      </c>
      <c r="B933" s="35">
        <v>0</v>
      </c>
    </row>
    <row r="934" spans="1:2" x14ac:dyDescent="0.3">
      <c r="A934" s="35">
        <v>933</v>
      </c>
      <c r="B934" s="35">
        <v>0</v>
      </c>
    </row>
    <row r="935" spans="1:2" x14ac:dyDescent="0.3">
      <c r="A935" s="35">
        <v>934</v>
      </c>
      <c r="B935" s="35">
        <v>0</v>
      </c>
    </row>
    <row r="936" spans="1:2" x14ac:dyDescent="0.3">
      <c r="A936" s="35">
        <v>935</v>
      </c>
      <c r="B936" s="35">
        <v>0</v>
      </c>
    </row>
    <row r="937" spans="1:2" x14ac:dyDescent="0.3">
      <c r="A937" s="35">
        <v>936</v>
      </c>
      <c r="B937" s="35">
        <v>0</v>
      </c>
    </row>
    <row r="938" spans="1:2" x14ac:dyDescent="0.3">
      <c r="A938" s="35">
        <v>937</v>
      </c>
      <c r="B938" s="35">
        <v>0</v>
      </c>
    </row>
    <row r="939" spans="1:2" x14ac:dyDescent="0.3">
      <c r="A939" s="35">
        <v>938</v>
      </c>
      <c r="B939" s="35">
        <v>1</v>
      </c>
    </row>
    <row r="940" spans="1:2" x14ac:dyDescent="0.3">
      <c r="A940" s="35">
        <v>939</v>
      </c>
      <c r="B940" s="35">
        <v>0</v>
      </c>
    </row>
    <row r="941" spans="1:2" x14ac:dyDescent="0.3">
      <c r="A941" s="35">
        <v>940</v>
      </c>
      <c r="B941" s="35">
        <v>0</v>
      </c>
    </row>
    <row r="942" spans="1:2" x14ac:dyDescent="0.3">
      <c r="A942" s="35">
        <v>941</v>
      </c>
      <c r="B942" s="35">
        <v>0</v>
      </c>
    </row>
    <row r="943" spans="1:2" x14ac:dyDescent="0.3">
      <c r="A943" s="35">
        <v>942</v>
      </c>
      <c r="B943" s="35">
        <v>0</v>
      </c>
    </row>
    <row r="944" spans="1:2" x14ac:dyDescent="0.3">
      <c r="A944" s="35">
        <v>943</v>
      </c>
      <c r="B944" s="35">
        <v>0</v>
      </c>
    </row>
    <row r="945" spans="1:2" x14ac:dyDescent="0.3">
      <c r="A945" s="35">
        <v>944</v>
      </c>
      <c r="B945" s="35">
        <v>0</v>
      </c>
    </row>
    <row r="946" spans="1:2" x14ac:dyDescent="0.3">
      <c r="A946" s="35">
        <v>945</v>
      </c>
      <c r="B946" s="35">
        <v>0</v>
      </c>
    </row>
    <row r="947" spans="1:2" x14ac:dyDescent="0.3">
      <c r="A947" s="35">
        <v>946</v>
      </c>
      <c r="B947" s="35">
        <v>1</v>
      </c>
    </row>
    <row r="948" spans="1:2" x14ac:dyDescent="0.3">
      <c r="A948" s="35">
        <v>947</v>
      </c>
      <c r="B948" s="35">
        <v>0</v>
      </c>
    </row>
    <row r="949" spans="1:2" x14ac:dyDescent="0.3">
      <c r="A949" s="35">
        <v>948</v>
      </c>
      <c r="B949" s="35">
        <v>0</v>
      </c>
    </row>
    <row r="950" spans="1:2" x14ac:dyDescent="0.3">
      <c r="A950" s="35">
        <v>949</v>
      </c>
      <c r="B950" s="35">
        <v>0</v>
      </c>
    </row>
    <row r="951" spans="1:2" x14ac:dyDescent="0.3">
      <c r="A951" s="35">
        <v>950</v>
      </c>
      <c r="B951" s="35">
        <v>0</v>
      </c>
    </row>
    <row r="952" spans="1:2" x14ac:dyDescent="0.3">
      <c r="A952" s="35">
        <v>951</v>
      </c>
      <c r="B952" s="35">
        <v>0</v>
      </c>
    </row>
    <row r="953" spans="1:2" x14ac:dyDescent="0.3">
      <c r="A953" s="35">
        <v>952</v>
      </c>
      <c r="B953" s="35">
        <v>0</v>
      </c>
    </row>
    <row r="954" spans="1:2" x14ac:dyDescent="0.3">
      <c r="A954" s="35">
        <v>953</v>
      </c>
      <c r="B954" s="35">
        <v>0</v>
      </c>
    </row>
    <row r="955" spans="1:2" x14ac:dyDescent="0.3">
      <c r="A955" s="35">
        <v>954</v>
      </c>
      <c r="B955" s="35">
        <v>1</v>
      </c>
    </row>
    <row r="956" spans="1:2" x14ac:dyDescent="0.3">
      <c r="A956" s="35">
        <v>955</v>
      </c>
      <c r="B956" s="35">
        <v>0</v>
      </c>
    </row>
    <row r="957" spans="1:2" x14ac:dyDescent="0.3">
      <c r="A957" s="35">
        <v>956</v>
      </c>
      <c r="B957" s="35">
        <v>0</v>
      </c>
    </row>
    <row r="958" spans="1:2" x14ac:dyDescent="0.3">
      <c r="A958" s="35">
        <v>957</v>
      </c>
      <c r="B958" s="35">
        <v>0</v>
      </c>
    </row>
    <row r="959" spans="1:2" x14ac:dyDescent="0.3">
      <c r="A959" s="35">
        <v>958</v>
      </c>
      <c r="B959" s="35">
        <v>0</v>
      </c>
    </row>
    <row r="960" spans="1:2" x14ac:dyDescent="0.3">
      <c r="A960" s="35">
        <v>959</v>
      </c>
      <c r="B960" s="35">
        <v>0</v>
      </c>
    </row>
    <row r="961" spans="1:2" x14ac:dyDescent="0.3">
      <c r="A961" s="35">
        <v>960</v>
      </c>
      <c r="B961" s="35">
        <v>0</v>
      </c>
    </row>
    <row r="962" spans="1:2" x14ac:dyDescent="0.3">
      <c r="A962" s="35">
        <v>961</v>
      </c>
      <c r="B962" s="35">
        <v>0</v>
      </c>
    </row>
    <row r="963" spans="1:2" x14ac:dyDescent="0.3">
      <c r="A963" s="35">
        <v>962</v>
      </c>
      <c r="B963" s="35">
        <v>0</v>
      </c>
    </row>
    <row r="964" spans="1:2" x14ac:dyDescent="0.3">
      <c r="A964" s="35">
        <v>963</v>
      </c>
      <c r="B964" s="35">
        <v>0</v>
      </c>
    </row>
    <row r="965" spans="1:2" x14ac:dyDescent="0.3">
      <c r="A965" s="35">
        <v>964</v>
      </c>
      <c r="B965" s="35">
        <v>1</v>
      </c>
    </row>
    <row r="966" spans="1:2" x14ac:dyDescent="0.3">
      <c r="A966" s="35">
        <v>965</v>
      </c>
      <c r="B966" s="35">
        <v>0</v>
      </c>
    </row>
    <row r="967" spans="1:2" x14ac:dyDescent="0.3">
      <c r="A967" s="35">
        <v>966</v>
      </c>
      <c r="B967" s="35">
        <v>0</v>
      </c>
    </row>
    <row r="968" spans="1:2" x14ac:dyDescent="0.3">
      <c r="A968" s="35">
        <v>967</v>
      </c>
      <c r="B968" s="35">
        <v>0</v>
      </c>
    </row>
    <row r="969" spans="1:2" x14ac:dyDescent="0.3">
      <c r="A969" s="35">
        <v>968</v>
      </c>
      <c r="B969" s="35">
        <v>0</v>
      </c>
    </row>
    <row r="970" spans="1:2" x14ac:dyDescent="0.3">
      <c r="A970" s="35">
        <v>969</v>
      </c>
      <c r="B970" s="35">
        <v>1</v>
      </c>
    </row>
    <row r="971" spans="1:2" x14ac:dyDescent="0.3">
      <c r="A971" s="35">
        <v>970</v>
      </c>
      <c r="B971" s="35">
        <v>0</v>
      </c>
    </row>
    <row r="972" spans="1:2" x14ac:dyDescent="0.3">
      <c r="A972" s="35">
        <v>971</v>
      </c>
      <c r="B972" s="35">
        <v>0</v>
      </c>
    </row>
    <row r="973" spans="1:2" x14ac:dyDescent="0.3">
      <c r="A973" s="35">
        <v>972</v>
      </c>
      <c r="B973" s="35">
        <v>0</v>
      </c>
    </row>
    <row r="974" spans="1:2" x14ac:dyDescent="0.3">
      <c r="A974" s="35">
        <v>973</v>
      </c>
      <c r="B974" s="35">
        <v>1</v>
      </c>
    </row>
    <row r="975" spans="1:2" x14ac:dyDescent="0.3">
      <c r="A975" s="35">
        <v>974</v>
      </c>
      <c r="B975" s="35">
        <v>0</v>
      </c>
    </row>
    <row r="976" spans="1:2" x14ac:dyDescent="0.3">
      <c r="A976" s="35">
        <v>975</v>
      </c>
      <c r="B976" s="35">
        <v>0</v>
      </c>
    </row>
    <row r="977" spans="1:2" x14ac:dyDescent="0.3">
      <c r="A977" s="35">
        <v>976</v>
      </c>
      <c r="B977" s="35">
        <v>0</v>
      </c>
    </row>
    <row r="978" spans="1:2" x14ac:dyDescent="0.3">
      <c r="A978" s="35">
        <v>977</v>
      </c>
      <c r="B978" s="35">
        <v>0</v>
      </c>
    </row>
    <row r="979" spans="1:2" x14ac:dyDescent="0.3">
      <c r="A979" s="35">
        <v>978</v>
      </c>
      <c r="B979" s="35">
        <v>0</v>
      </c>
    </row>
    <row r="980" spans="1:2" x14ac:dyDescent="0.3">
      <c r="A980" s="35">
        <v>979</v>
      </c>
      <c r="B980" s="35">
        <v>0</v>
      </c>
    </row>
    <row r="981" spans="1:2" x14ac:dyDescent="0.3">
      <c r="A981" s="35">
        <v>980</v>
      </c>
      <c r="B981" s="35">
        <v>1</v>
      </c>
    </row>
    <row r="982" spans="1:2" x14ac:dyDescent="0.3">
      <c r="A982" s="35">
        <v>981</v>
      </c>
      <c r="B982" s="35">
        <v>0</v>
      </c>
    </row>
    <row r="983" spans="1:2" x14ac:dyDescent="0.3">
      <c r="A983" s="35">
        <v>982</v>
      </c>
      <c r="B983" s="35">
        <v>0</v>
      </c>
    </row>
    <row r="984" spans="1:2" x14ac:dyDescent="0.3">
      <c r="A984" s="35">
        <v>983</v>
      </c>
      <c r="B984" s="35">
        <v>0</v>
      </c>
    </row>
    <row r="985" spans="1:2" x14ac:dyDescent="0.3">
      <c r="A985" s="35">
        <v>984</v>
      </c>
      <c r="B985" s="35">
        <v>0</v>
      </c>
    </row>
    <row r="986" spans="1:2" x14ac:dyDescent="0.3">
      <c r="A986" s="35">
        <v>985</v>
      </c>
      <c r="B986" s="35">
        <v>0</v>
      </c>
    </row>
    <row r="987" spans="1:2" x14ac:dyDescent="0.3">
      <c r="A987" s="35">
        <v>986</v>
      </c>
      <c r="B987" s="35">
        <v>0</v>
      </c>
    </row>
    <row r="988" spans="1:2" x14ac:dyDescent="0.3">
      <c r="A988" s="35">
        <v>987</v>
      </c>
      <c r="B988" s="35">
        <v>0</v>
      </c>
    </row>
    <row r="989" spans="1:2" x14ac:dyDescent="0.3">
      <c r="A989" s="35">
        <v>988</v>
      </c>
      <c r="B989" s="35">
        <v>0</v>
      </c>
    </row>
    <row r="990" spans="1:2" x14ac:dyDescent="0.3">
      <c r="A990" s="35">
        <v>989</v>
      </c>
      <c r="B990" s="35">
        <v>0</v>
      </c>
    </row>
    <row r="991" spans="1:2" x14ac:dyDescent="0.3">
      <c r="A991" s="35">
        <v>990</v>
      </c>
      <c r="B991" s="35">
        <v>1</v>
      </c>
    </row>
    <row r="992" spans="1:2" x14ac:dyDescent="0.3">
      <c r="A992" s="35">
        <v>991</v>
      </c>
      <c r="B992" s="35">
        <v>0</v>
      </c>
    </row>
    <row r="993" spans="1:2" x14ac:dyDescent="0.3">
      <c r="A993" s="35">
        <v>992</v>
      </c>
      <c r="B993" s="35">
        <v>0</v>
      </c>
    </row>
    <row r="994" spans="1:2" x14ac:dyDescent="0.3">
      <c r="A994" s="35">
        <v>993</v>
      </c>
      <c r="B994" s="35">
        <v>0</v>
      </c>
    </row>
    <row r="995" spans="1:2" x14ac:dyDescent="0.3">
      <c r="A995" s="35">
        <v>994</v>
      </c>
      <c r="B995" s="35">
        <v>0</v>
      </c>
    </row>
    <row r="996" spans="1:2" x14ac:dyDescent="0.3">
      <c r="A996" s="35">
        <v>995</v>
      </c>
      <c r="B996" s="35">
        <v>0</v>
      </c>
    </row>
    <row r="997" spans="1:2" x14ac:dyDescent="0.3">
      <c r="A997" s="35">
        <v>996</v>
      </c>
      <c r="B997" s="35">
        <v>0</v>
      </c>
    </row>
    <row r="998" spans="1:2" x14ac:dyDescent="0.3">
      <c r="A998" s="35">
        <v>997</v>
      </c>
      <c r="B998" s="35">
        <v>1</v>
      </c>
    </row>
    <row r="999" spans="1:2" x14ac:dyDescent="0.3">
      <c r="A999" s="35">
        <v>998</v>
      </c>
      <c r="B999" s="35">
        <v>0</v>
      </c>
    </row>
    <row r="1000" spans="1:2" x14ac:dyDescent="0.3">
      <c r="A1000" s="35">
        <v>999</v>
      </c>
      <c r="B1000" s="35">
        <v>0</v>
      </c>
    </row>
    <row r="1001" spans="1:2" x14ac:dyDescent="0.3">
      <c r="A1001" s="35">
        <v>1000</v>
      </c>
      <c r="B1001" s="35">
        <v>0</v>
      </c>
    </row>
  </sheetData>
  <autoFilter ref="A1:B1001" xr:uid="{9FB91854-DE12-42CD-AF84-AE76BFCC2421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FC2D-E1D7-48DB-B7C5-599D538A2D3D}">
  <dimension ref="A1:Q40"/>
  <sheetViews>
    <sheetView showGridLines="0" zoomScale="136" zoomScaleNormal="136" workbookViewId="0">
      <selection activeCell="H13" sqref="H13"/>
    </sheetView>
  </sheetViews>
  <sheetFormatPr defaultColWidth="9.109375" defaultRowHeight="13.8" x14ac:dyDescent="0.3"/>
  <cols>
    <col min="1" max="1" width="15.44140625" style="7" customWidth="1"/>
    <col min="2" max="2" width="17.6640625" style="7" customWidth="1"/>
    <col min="3" max="8" width="9.109375" style="7"/>
    <col min="9" max="9" width="22" style="7" bestFit="1" customWidth="1"/>
    <col min="10" max="10" width="10.44140625" style="7" bestFit="1" customWidth="1"/>
    <col min="11" max="15" width="9.109375" style="7"/>
    <col min="16" max="16" width="42.88671875" style="7" bestFit="1" customWidth="1"/>
    <col min="17" max="16384" width="9.109375" style="7"/>
  </cols>
  <sheetData>
    <row r="1" spans="1:17" ht="18" x14ac:dyDescent="0.35">
      <c r="A1" s="5" t="s">
        <v>721</v>
      </c>
      <c r="B1" s="6"/>
      <c r="C1" s="6"/>
      <c r="D1" s="6"/>
      <c r="I1" s="96" t="s">
        <v>722</v>
      </c>
      <c r="J1" s="97"/>
      <c r="P1" s="44" t="s">
        <v>986</v>
      </c>
      <c r="Q1" s="44"/>
    </row>
    <row r="2" spans="1:17" x14ac:dyDescent="0.3">
      <c r="I2" s="98" t="s">
        <v>723</v>
      </c>
      <c r="J2" s="99"/>
      <c r="P2" s="45"/>
      <c r="Q2" s="45"/>
    </row>
    <row r="3" spans="1:17" x14ac:dyDescent="0.3">
      <c r="D3" s="7" t="s">
        <v>724</v>
      </c>
      <c r="I3" s="8" t="s">
        <v>725</v>
      </c>
      <c r="J3" s="9">
        <v>57</v>
      </c>
      <c r="P3" s="45"/>
      <c r="Q3" s="45"/>
    </row>
    <row r="4" spans="1:17" ht="14.4" x14ac:dyDescent="0.3">
      <c r="A4" s="10" t="s">
        <v>726</v>
      </c>
      <c r="B4" s="11">
        <v>100000</v>
      </c>
      <c r="D4" s="7" t="s">
        <v>727</v>
      </c>
      <c r="I4" s="8" t="s">
        <v>728</v>
      </c>
      <c r="J4" s="12">
        <v>9.75</v>
      </c>
      <c r="P4" s="46" t="s">
        <v>987</v>
      </c>
      <c r="Q4" s="47">
        <v>15</v>
      </c>
    </row>
    <row r="5" spans="1:17" ht="14.4" x14ac:dyDescent="0.3">
      <c r="A5" s="10" t="s">
        <v>729</v>
      </c>
      <c r="B5" s="13">
        <v>0.105</v>
      </c>
      <c r="D5" s="7" t="s">
        <v>730</v>
      </c>
      <c r="I5" s="8" t="s">
        <v>731</v>
      </c>
      <c r="J5" s="14">
        <v>40</v>
      </c>
      <c r="P5" s="46" t="s">
        <v>988</v>
      </c>
      <c r="Q5" s="48">
        <v>2000</v>
      </c>
    </row>
    <row r="6" spans="1:17" ht="14.4" x14ac:dyDescent="0.3">
      <c r="A6" s="10" t="s">
        <v>732</v>
      </c>
      <c r="B6" s="11">
        <v>36</v>
      </c>
      <c r="I6" s="8" t="s">
        <v>733</v>
      </c>
      <c r="J6" s="15">
        <v>52</v>
      </c>
      <c r="P6" s="49" t="s">
        <v>989</v>
      </c>
      <c r="Q6" s="50">
        <f>Q4*Q5</f>
        <v>30000</v>
      </c>
    </row>
    <row r="7" spans="1:17" ht="15" thickBot="1" x14ac:dyDescent="0.35">
      <c r="A7" s="16" t="s">
        <v>734</v>
      </c>
      <c r="B7" s="17"/>
      <c r="C7" s="18">
        <v>100000</v>
      </c>
      <c r="D7" s="18">
        <v>70000</v>
      </c>
      <c r="E7" s="18">
        <v>1200000</v>
      </c>
      <c r="I7" s="8" t="s">
        <v>735</v>
      </c>
      <c r="J7" s="19">
        <v>0.14799999999999999</v>
      </c>
      <c r="P7" s="51"/>
      <c r="Q7" s="52"/>
    </row>
    <row r="8" spans="1:17" ht="15" thickTop="1" x14ac:dyDescent="0.3">
      <c r="A8" s="100" t="s">
        <v>736</v>
      </c>
      <c r="B8" s="18">
        <v>12</v>
      </c>
      <c r="C8" s="20"/>
      <c r="D8" s="20"/>
      <c r="E8" s="20"/>
      <c r="I8" s="98" t="s">
        <v>737</v>
      </c>
      <c r="J8" s="102"/>
      <c r="P8" s="46" t="s">
        <v>990</v>
      </c>
      <c r="Q8" s="53">
        <f>Q6*Q15/100</f>
        <v>15000</v>
      </c>
    </row>
    <row r="9" spans="1:17" ht="14.4" x14ac:dyDescent="0.3">
      <c r="A9" s="100"/>
      <c r="B9" s="18">
        <v>24</v>
      </c>
      <c r="C9" s="20"/>
      <c r="D9" s="20"/>
      <c r="E9" s="20"/>
      <c r="I9" s="8" t="s">
        <v>738</v>
      </c>
      <c r="J9" s="21">
        <f>J3*J4*J5*J6</f>
        <v>1155960</v>
      </c>
      <c r="P9" s="46" t="s">
        <v>991</v>
      </c>
      <c r="Q9" s="53">
        <v>20000</v>
      </c>
    </row>
    <row r="10" spans="1:17" ht="14.4" x14ac:dyDescent="0.3">
      <c r="A10" s="100"/>
      <c r="B10" s="18">
        <v>36</v>
      </c>
      <c r="C10" s="20"/>
      <c r="D10" s="20"/>
      <c r="E10" s="20"/>
      <c r="I10" s="8" t="s">
        <v>739</v>
      </c>
      <c r="J10" s="22">
        <f>J9*J7</f>
        <v>171082.08</v>
      </c>
      <c r="P10" s="49" t="s">
        <v>992</v>
      </c>
      <c r="Q10" s="54">
        <f>SUM(Q8:Q9)</f>
        <v>35000</v>
      </c>
    </row>
    <row r="11" spans="1:17" ht="15" thickBot="1" x14ac:dyDescent="0.35">
      <c r="A11" s="100"/>
      <c r="B11" s="18">
        <v>48</v>
      </c>
      <c r="C11" s="20"/>
      <c r="D11" s="20"/>
      <c r="E11" s="20"/>
      <c r="I11" s="23" t="s">
        <v>740</v>
      </c>
      <c r="J11" s="24">
        <f>J9+J10</f>
        <v>1327042.08</v>
      </c>
      <c r="P11" s="51"/>
      <c r="Q11" s="55"/>
    </row>
    <row r="12" spans="1:17" ht="15" thickBot="1" x14ac:dyDescent="0.35">
      <c r="A12" s="101"/>
      <c r="B12" s="25">
        <v>60</v>
      </c>
      <c r="C12" s="26"/>
      <c r="D12" s="26"/>
      <c r="E12" s="26"/>
      <c r="P12" s="49" t="s">
        <v>993</v>
      </c>
      <c r="Q12" s="54">
        <f>Q6-Q10</f>
        <v>-5000</v>
      </c>
    </row>
    <row r="13" spans="1:17" ht="15" thickTop="1" x14ac:dyDescent="0.3">
      <c r="P13" s="56"/>
      <c r="Q13" s="57"/>
    </row>
    <row r="14" spans="1:17" ht="14.4" x14ac:dyDescent="0.3">
      <c r="I14" s="7" t="s">
        <v>741</v>
      </c>
      <c r="P14" s="58"/>
      <c r="Q14" s="58"/>
    </row>
    <row r="15" spans="1:17" ht="14.4" x14ac:dyDescent="0.3">
      <c r="I15" s="7" t="s">
        <v>742</v>
      </c>
      <c r="P15" s="46" t="s">
        <v>994</v>
      </c>
      <c r="Q15" s="59">
        <v>50</v>
      </c>
    </row>
    <row r="16" spans="1:17" x14ac:dyDescent="0.3">
      <c r="A16" s="103" t="s">
        <v>743</v>
      </c>
      <c r="B16" s="103"/>
    </row>
    <row r="17" spans="1:10" x14ac:dyDescent="0.3">
      <c r="A17" s="10" t="s">
        <v>744</v>
      </c>
      <c r="B17" s="11">
        <v>-100000</v>
      </c>
    </row>
    <row r="18" spans="1:10" x14ac:dyDescent="0.3">
      <c r="A18" s="10" t="s">
        <v>729</v>
      </c>
      <c r="B18" s="13">
        <v>6.5000000000000002E-2</v>
      </c>
      <c r="I18" s="27" t="s">
        <v>745</v>
      </c>
      <c r="J18" s="27" t="s">
        <v>746</v>
      </c>
    </row>
    <row r="19" spans="1:10" x14ac:dyDescent="0.3">
      <c r="A19" s="10" t="s">
        <v>747</v>
      </c>
      <c r="B19" s="11">
        <v>36</v>
      </c>
      <c r="I19" s="28">
        <v>60</v>
      </c>
      <c r="J19" s="28">
        <v>52</v>
      </c>
    </row>
    <row r="20" spans="1:10" ht="15" thickBot="1" x14ac:dyDescent="0.35">
      <c r="A20" s="16" t="s">
        <v>748</v>
      </c>
      <c r="B20" s="29"/>
      <c r="I20" s="28">
        <v>12</v>
      </c>
      <c r="J20" s="28">
        <v>8</v>
      </c>
    </row>
    <row r="21" spans="1:10" ht="14.4" thickTop="1" x14ac:dyDescent="0.3">
      <c r="I21" s="28"/>
      <c r="J21" s="28">
        <v>48</v>
      </c>
    </row>
    <row r="22" spans="1:10" x14ac:dyDescent="0.3">
      <c r="I22" s="28"/>
      <c r="J22" s="28">
        <v>52</v>
      </c>
    </row>
    <row r="23" spans="1:10" x14ac:dyDescent="0.3">
      <c r="A23" s="30" t="s">
        <v>749</v>
      </c>
      <c r="I23" s="31">
        <v>0.16</v>
      </c>
      <c r="J23" s="31">
        <v>0.14000000000000001</v>
      </c>
    </row>
    <row r="24" spans="1:10" x14ac:dyDescent="0.3">
      <c r="A24" s="28" t="s">
        <v>750</v>
      </c>
      <c r="B24" s="28" t="s">
        <v>751</v>
      </c>
    </row>
    <row r="25" spans="1:10" x14ac:dyDescent="0.3">
      <c r="A25" s="28">
        <v>-70000</v>
      </c>
      <c r="B25" s="28" t="s">
        <v>752</v>
      </c>
    </row>
    <row r="26" spans="1:10" x14ac:dyDescent="0.3">
      <c r="A26" s="28">
        <v>25000</v>
      </c>
      <c r="B26" s="28" t="s">
        <v>753</v>
      </c>
    </row>
    <row r="27" spans="1:10" x14ac:dyDescent="0.3">
      <c r="A27" s="28">
        <v>15000</v>
      </c>
      <c r="B27" s="28" t="s">
        <v>754</v>
      </c>
    </row>
    <row r="28" spans="1:10" x14ac:dyDescent="0.3">
      <c r="A28" s="28">
        <v>18000</v>
      </c>
      <c r="B28" s="28" t="s">
        <v>755</v>
      </c>
    </row>
    <row r="29" spans="1:10" x14ac:dyDescent="0.3">
      <c r="A29" s="28">
        <v>21000</v>
      </c>
      <c r="B29" s="28" t="s">
        <v>756</v>
      </c>
    </row>
    <row r="30" spans="1:10" x14ac:dyDescent="0.3">
      <c r="A30" s="32"/>
      <c r="B30" s="33" t="s">
        <v>757</v>
      </c>
    </row>
    <row r="33" spans="1:2" x14ac:dyDescent="0.3">
      <c r="A33" s="34" t="s">
        <v>758</v>
      </c>
      <c r="B33" s="34"/>
    </row>
    <row r="34" spans="1:2" x14ac:dyDescent="0.3">
      <c r="A34" s="28" t="s">
        <v>759</v>
      </c>
      <c r="B34" s="28" t="s">
        <v>760</v>
      </c>
    </row>
    <row r="35" spans="1:2" x14ac:dyDescent="0.3">
      <c r="A35" s="28">
        <v>2017</v>
      </c>
      <c r="B35" s="28">
        <v>200000</v>
      </c>
    </row>
    <row r="36" spans="1:2" x14ac:dyDescent="0.3">
      <c r="A36" s="28">
        <v>2018</v>
      </c>
      <c r="B36" s="28">
        <v>150000</v>
      </c>
    </row>
    <row r="37" spans="1:2" x14ac:dyDescent="0.3">
      <c r="A37" s="28">
        <v>2019</v>
      </c>
      <c r="B37" s="28">
        <v>225000</v>
      </c>
    </row>
    <row r="38" spans="1:2" x14ac:dyDescent="0.3">
      <c r="A38" s="28">
        <v>2020</v>
      </c>
      <c r="B38" s="28">
        <v>180000</v>
      </c>
    </row>
    <row r="39" spans="1:2" x14ac:dyDescent="0.3">
      <c r="A39" s="28">
        <v>2021</v>
      </c>
      <c r="B39" s="28">
        <v>220000</v>
      </c>
    </row>
    <row r="40" spans="1:2" x14ac:dyDescent="0.3">
      <c r="A40" s="34"/>
      <c r="B40" s="34"/>
    </row>
  </sheetData>
  <mergeCells count="5">
    <mergeCell ref="I1:J1"/>
    <mergeCell ref="I2:J2"/>
    <mergeCell ref="A8:A12"/>
    <mergeCell ref="I8:J8"/>
    <mergeCell ref="A16:B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FC46-B7DB-4151-9413-91C6D1C62ECB}">
  <dimension ref="A1:Q61"/>
  <sheetViews>
    <sheetView showGridLines="0" zoomScale="106" zoomScaleNormal="106" workbookViewId="0">
      <selection activeCell="E4" sqref="E4"/>
    </sheetView>
  </sheetViews>
  <sheetFormatPr defaultRowHeight="14.4" x14ac:dyDescent="0.3"/>
  <cols>
    <col min="1" max="1" width="30" bestFit="1" customWidth="1"/>
    <col min="2" max="2" width="14.88671875" customWidth="1"/>
    <col min="4" max="4" width="29.88671875" bestFit="1" customWidth="1"/>
    <col min="5" max="5" width="30.6640625" bestFit="1" customWidth="1"/>
    <col min="6" max="6" width="30" bestFit="1" customWidth="1"/>
    <col min="10" max="10" width="36.88671875" customWidth="1"/>
    <col min="11" max="11" width="14.6640625" customWidth="1"/>
    <col min="16" max="16" width="32.109375" bestFit="1" customWidth="1"/>
    <col min="17" max="18" width="11.44140625" customWidth="1"/>
  </cols>
  <sheetData>
    <row r="1" spans="1:17" x14ac:dyDescent="0.3">
      <c r="A1" s="35" t="s">
        <v>999</v>
      </c>
      <c r="B1" s="35">
        <v>2</v>
      </c>
      <c r="D1" s="35" t="s">
        <v>1000</v>
      </c>
      <c r="E1" s="35">
        <v>3</v>
      </c>
      <c r="J1" s="64" t="s">
        <v>1001</v>
      </c>
      <c r="K1" s="64"/>
      <c r="P1" s="36" t="s">
        <v>1001</v>
      </c>
      <c r="Q1" s="36"/>
    </row>
    <row r="2" spans="1:17" x14ac:dyDescent="0.3">
      <c r="A2" s="35" t="s">
        <v>1002</v>
      </c>
      <c r="B2" s="35">
        <v>5</v>
      </c>
      <c r="D2" s="35" t="s">
        <v>1003</v>
      </c>
      <c r="E2" s="35">
        <v>7</v>
      </c>
      <c r="J2" s="35" t="s">
        <v>1004</v>
      </c>
      <c r="K2" s="35"/>
      <c r="P2" s="35" t="s">
        <v>1004</v>
      </c>
      <c r="Q2" s="35"/>
    </row>
    <row r="3" spans="1:17" x14ac:dyDescent="0.3">
      <c r="A3" s="65" t="s">
        <v>1005</v>
      </c>
      <c r="B3" s="35">
        <v>0.5</v>
      </c>
      <c r="D3" s="35" t="s">
        <v>1005</v>
      </c>
      <c r="E3" s="66">
        <v>0.49</v>
      </c>
      <c r="J3" s="35" t="s">
        <v>1006</v>
      </c>
      <c r="K3" s="35"/>
      <c r="P3" s="35" t="s">
        <v>1006</v>
      </c>
      <c r="Q3" s="35"/>
    </row>
    <row r="4" spans="1:17" x14ac:dyDescent="0.3">
      <c r="A4" s="35" t="s">
        <v>1007</v>
      </c>
      <c r="B4" s="36"/>
      <c r="D4" s="35" t="s">
        <v>1007</v>
      </c>
      <c r="E4" s="36"/>
      <c r="P4" s="35" t="s">
        <v>1008</v>
      </c>
      <c r="Q4" s="35"/>
    </row>
    <row r="5" spans="1:17" x14ac:dyDescent="0.3">
      <c r="J5" s="35"/>
      <c r="K5" s="36" t="s">
        <v>1009</v>
      </c>
      <c r="L5" s="36" t="s">
        <v>1010</v>
      </c>
      <c r="P5" s="35" t="s">
        <v>1011</v>
      </c>
      <c r="Q5" s="35"/>
    </row>
    <row r="6" spans="1:17" x14ac:dyDescent="0.3">
      <c r="J6" s="35" t="s">
        <v>1012</v>
      </c>
      <c r="K6" s="35"/>
      <c r="L6" s="35"/>
    </row>
    <row r="7" spans="1:17" x14ac:dyDescent="0.3">
      <c r="J7" s="35" t="s">
        <v>1013</v>
      </c>
      <c r="K7" s="35"/>
      <c r="L7" s="35"/>
      <c r="P7" s="35" t="s">
        <v>1014</v>
      </c>
      <c r="Q7" s="35"/>
    </row>
    <row r="8" spans="1:17" x14ac:dyDescent="0.3">
      <c r="J8" s="35" t="s">
        <v>1015</v>
      </c>
      <c r="K8" s="35"/>
      <c r="L8" s="35"/>
    </row>
    <row r="11" spans="1:17" x14ac:dyDescent="0.3">
      <c r="A11" s="64" t="s">
        <v>1016</v>
      </c>
    </row>
    <row r="12" spans="1:17" x14ac:dyDescent="0.3">
      <c r="A12" s="35" t="s">
        <v>1017</v>
      </c>
      <c r="B12" s="35">
        <v>10</v>
      </c>
      <c r="D12" s="67" t="s">
        <v>1018</v>
      </c>
      <c r="E12" s="35" t="s">
        <v>1019</v>
      </c>
      <c r="F12" s="35">
        <v>30</v>
      </c>
    </row>
    <row r="13" spans="1:17" x14ac:dyDescent="0.3">
      <c r="A13" s="65" t="s">
        <v>1020</v>
      </c>
      <c r="B13" s="35">
        <v>0.5</v>
      </c>
      <c r="D13" s="67" t="s">
        <v>1021</v>
      </c>
      <c r="E13" s="65" t="s">
        <v>1005</v>
      </c>
      <c r="F13" s="35">
        <v>0.5</v>
      </c>
    </row>
    <row r="14" spans="1:17" x14ac:dyDescent="0.3">
      <c r="A14" s="68" t="s">
        <v>1022</v>
      </c>
      <c r="E14" s="68" t="s">
        <v>1022</v>
      </c>
      <c r="F14" s="68"/>
    </row>
    <row r="15" spans="1:17" x14ac:dyDescent="0.3">
      <c r="A15" s="35">
        <v>0</v>
      </c>
      <c r="B15" s="35"/>
      <c r="E15" s="35">
        <v>0</v>
      </c>
      <c r="F15" s="69"/>
    </row>
    <row r="16" spans="1:17" x14ac:dyDescent="0.3">
      <c r="A16" s="35">
        <v>1</v>
      </c>
      <c r="B16" s="35"/>
      <c r="E16" s="35">
        <v>1</v>
      </c>
      <c r="F16" s="69"/>
    </row>
    <row r="17" spans="1:6" x14ac:dyDescent="0.3">
      <c r="A17" s="35">
        <v>2</v>
      </c>
      <c r="B17" s="35"/>
      <c r="E17" s="35">
        <v>2</v>
      </c>
      <c r="F17" s="69"/>
    </row>
    <row r="18" spans="1:6" x14ac:dyDescent="0.3">
      <c r="A18" s="35">
        <v>3</v>
      </c>
      <c r="B18" s="35"/>
      <c r="E18" s="35">
        <v>3</v>
      </c>
      <c r="F18" s="69"/>
    </row>
    <row r="19" spans="1:6" x14ac:dyDescent="0.3">
      <c r="A19" s="35">
        <v>4</v>
      </c>
      <c r="B19" s="35"/>
      <c r="E19" s="35">
        <v>4</v>
      </c>
      <c r="F19" s="69"/>
    </row>
    <row r="20" spans="1:6" x14ac:dyDescent="0.3">
      <c r="A20" s="35">
        <v>5</v>
      </c>
      <c r="B20" s="35"/>
      <c r="E20" s="35">
        <v>5</v>
      </c>
      <c r="F20" s="69"/>
    </row>
    <row r="21" spans="1:6" x14ac:dyDescent="0.3">
      <c r="A21" s="35">
        <v>6</v>
      </c>
      <c r="B21" s="35"/>
      <c r="E21" s="35">
        <v>6</v>
      </c>
      <c r="F21" s="69"/>
    </row>
    <row r="22" spans="1:6" x14ac:dyDescent="0.3">
      <c r="A22" s="35">
        <v>7</v>
      </c>
      <c r="B22" s="35"/>
      <c r="E22" s="35">
        <v>7</v>
      </c>
      <c r="F22" s="69"/>
    </row>
    <row r="23" spans="1:6" x14ac:dyDescent="0.3">
      <c r="A23" s="35">
        <v>8</v>
      </c>
      <c r="B23" s="35"/>
      <c r="E23" s="35">
        <v>8</v>
      </c>
      <c r="F23" s="69"/>
    </row>
    <row r="24" spans="1:6" x14ac:dyDescent="0.3">
      <c r="A24" s="35">
        <v>9</v>
      </c>
      <c r="B24" s="35"/>
      <c r="E24" s="35">
        <v>9</v>
      </c>
      <c r="F24" s="69"/>
    </row>
    <row r="25" spans="1:6" x14ac:dyDescent="0.3">
      <c r="A25" s="35">
        <v>10</v>
      </c>
      <c r="B25" s="35"/>
      <c r="E25" s="35">
        <v>10</v>
      </c>
      <c r="F25" s="69"/>
    </row>
    <row r="26" spans="1:6" x14ac:dyDescent="0.3">
      <c r="A26" s="35" t="s">
        <v>1023</v>
      </c>
      <c r="B26" s="35">
        <f>SUM(B15:B25)</f>
        <v>0</v>
      </c>
      <c r="E26" s="35">
        <v>11</v>
      </c>
      <c r="F26" s="69"/>
    </row>
    <row r="27" spans="1:6" x14ac:dyDescent="0.3">
      <c r="E27" s="35">
        <v>12</v>
      </c>
      <c r="F27" s="69"/>
    </row>
    <row r="28" spans="1:6" x14ac:dyDescent="0.3">
      <c r="E28" s="35">
        <v>13</v>
      </c>
      <c r="F28" s="69"/>
    </row>
    <row r="29" spans="1:6" x14ac:dyDescent="0.3">
      <c r="E29" s="35">
        <v>14</v>
      </c>
      <c r="F29" s="69"/>
    </row>
    <row r="30" spans="1:6" x14ac:dyDescent="0.3">
      <c r="E30" s="65">
        <v>15</v>
      </c>
      <c r="F30" s="69"/>
    </row>
    <row r="31" spans="1:6" x14ac:dyDescent="0.3">
      <c r="E31" s="35">
        <v>16</v>
      </c>
      <c r="F31" s="69"/>
    </row>
    <row r="32" spans="1:6" x14ac:dyDescent="0.3">
      <c r="E32" s="35">
        <v>17</v>
      </c>
      <c r="F32" s="69"/>
    </row>
    <row r="33" spans="5:6" x14ac:dyDescent="0.3">
      <c r="E33" s="35">
        <v>18</v>
      </c>
      <c r="F33" s="69"/>
    </row>
    <row r="34" spans="5:6" x14ac:dyDescent="0.3">
      <c r="E34" s="35">
        <v>19</v>
      </c>
      <c r="F34" s="69"/>
    </row>
    <row r="35" spans="5:6" x14ac:dyDescent="0.3">
      <c r="E35" s="35">
        <v>20</v>
      </c>
      <c r="F35" s="69"/>
    </row>
    <row r="36" spans="5:6" x14ac:dyDescent="0.3">
      <c r="E36" s="35">
        <v>21</v>
      </c>
      <c r="F36" s="69"/>
    </row>
    <row r="37" spans="5:6" x14ac:dyDescent="0.3">
      <c r="E37" s="35">
        <v>22</v>
      </c>
      <c r="F37" s="69"/>
    </row>
    <row r="38" spans="5:6" x14ac:dyDescent="0.3">
      <c r="E38" s="35">
        <v>23</v>
      </c>
      <c r="F38" s="69"/>
    </row>
    <row r="39" spans="5:6" x14ac:dyDescent="0.3">
      <c r="E39" s="35">
        <v>24</v>
      </c>
      <c r="F39" s="69"/>
    </row>
    <row r="40" spans="5:6" x14ac:dyDescent="0.3">
      <c r="E40" s="35">
        <v>25</v>
      </c>
      <c r="F40" s="69"/>
    </row>
    <row r="41" spans="5:6" x14ac:dyDescent="0.3">
      <c r="E41" s="35">
        <v>26</v>
      </c>
      <c r="F41" s="69"/>
    </row>
    <row r="42" spans="5:6" x14ac:dyDescent="0.3">
      <c r="E42" s="35">
        <v>27</v>
      </c>
      <c r="F42" s="69"/>
    </row>
    <row r="43" spans="5:6" x14ac:dyDescent="0.3">
      <c r="E43" s="35">
        <v>28</v>
      </c>
      <c r="F43" s="69"/>
    </row>
    <row r="44" spans="5:6" x14ac:dyDescent="0.3">
      <c r="E44" s="35">
        <v>29</v>
      </c>
      <c r="F44" s="69"/>
    </row>
    <row r="45" spans="5:6" x14ac:dyDescent="0.3">
      <c r="E45" s="35">
        <v>30</v>
      </c>
      <c r="F45" s="69"/>
    </row>
    <row r="46" spans="5:6" x14ac:dyDescent="0.3">
      <c r="E46" s="35" t="s">
        <v>1024</v>
      </c>
      <c r="F46" s="69"/>
    </row>
    <row r="61" spans="1:1" ht="17.399999999999999" x14ac:dyDescent="0.4">
      <c r="A61" s="70" t="s">
        <v>1025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C2BA-F5B1-4470-841A-8E28F618B1BD}">
  <dimension ref="A1"/>
  <sheetViews>
    <sheetView workbookViewId="0">
      <selection activeCell="E4" sqref="E4"/>
    </sheetView>
  </sheetViews>
  <sheetFormatPr defaultRowHeight="14.4" x14ac:dyDescent="0.3"/>
  <cols>
    <col min="9" max="9" width="16" bestFit="1" customWidth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43CA-F2FD-4125-A459-C85189EB1923}">
  <dimension ref="A1:H102"/>
  <sheetViews>
    <sheetView showGridLines="0" zoomScale="124" zoomScaleNormal="124" workbookViewId="0">
      <selection activeCell="B23" sqref="B23"/>
    </sheetView>
  </sheetViews>
  <sheetFormatPr defaultColWidth="9.109375" defaultRowHeight="13.8" x14ac:dyDescent="0.3"/>
  <cols>
    <col min="1" max="1" width="11.44140625" style="7" customWidth="1"/>
    <col min="2" max="2" width="12.88671875" style="7" customWidth="1"/>
    <col min="3" max="3" width="12.5546875" style="7" customWidth="1"/>
    <col min="4" max="4" width="9.109375" style="7"/>
    <col min="5" max="5" width="9.33203125" style="7" customWidth="1"/>
    <col min="6" max="6" width="9.44140625" style="7" customWidth="1"/>
    <col min="7" max="7" width="12.33203125" style="7" bestFit="1" customWidth="1"/>
    <col min="8" max="16384" width="9.109375" style="7"/>
  </cols>
  <sheetData>
    <row r="1" spans="1:8" ht="14.4" x14ac:dyDescent="0.3">
      <c r="A1" s="37" t="s">
        <v>766</v>
      </c>
      <c r="B1" s="37" t="s">
        <v>0</v>
      </c>
      <c r="C1" s="37" t="s">
        <v>1</v>
      </c>
      <c r="D1" s="37" t="s">
        <v>767</v>
      </c>
      <c r="E1" s="37" t="s">
        <v>768</v>
      </c>
      <c r="F1" s="37" t="s">
        <v>769</v>
      </c>
      <c r="G1" s="37" t="s">
        <v>770</v>
      </c>
      <c r="H1" s="38" t="s">
        <v>771</v>
      </c>
    </row>
    <row r="2" spans="1:8" x14ac:dyDescent="0.3">
      <c r="A2" s="39">
        <v>1</v>
      </c>
      <c r="B2" s="39" t="s">
        <v>772</v>
      </c>
      <c r="C2" s="39" t="s">
        <v>773</v>
      </c>
      <c r="D2" s="39" t="s">
        <v>667</v>
      </c>
      <c r="E2" s="39" t="s">
        <v>774</v>
      </c>
      <c r="F2" s="39" t="s">
        <v>775</v>
      </c>
      <c r="G2" s="40">
        <v>28126</v>
      </c>
      <c r="H2" s="41">
        <v>21875</v>
      </c>
    </row>
    <row r="3" spans="1:8" x14ac:dyDescent="0.3">
      <c r="A3" s="39">
        <v>2</v>
      </c>
      <c r="B3" s="39" t="s">
        <v>776</v>
      </c>
      <c r="C3" s="39" t="s">
        <v>777</v>
      </c>
      <c r="D3" s="39" t="s">
        <v>667</v>
      </c>
      <c r="E3" s="39" t="s">
        <v>778</v>
      </c>
      <c r="F3" s="39" t="s">
        <v>779</v>
      </c>
      <c r="G3" s="40">
        <v>28126</v>
      </c>
      <c r="H3" s="41">
        <v>17500</v>
      </c>
    </row>
    <row r="4" spans="1:8" x14ac:dyDescent="0.3">
      <c r="A4" s="39">
        <v>3</v>
      </c>
      <c r="B4" s="39" t="s">
        <v>780</v>
      </c>
      <c r="C4" s="39" t="s">
        <v>781</v>
      </c>
      <c r="D4" s="39" t="s">
        <v>782</v>
      </c>
      <c r="E4" s="39" t="s">
        <v>783</v>
      </c>
      <c r="F4" s="39" t="s">
        <v>784</v>
      </c>
      <c r="G4" s="40">
        <v>36220</v>
      </c>
      <c r="H4" s="41">
        <v>7000</v>
      </c>
    </row>
    <row r="5" spans="1:8" x14ac:dyDescent="0.3">
      <c r="A5" s="39">
        <v>4</v>
      </c>
      <c r="B5" s="39" t="s">
        <v>785</v>
      </c>
      <c r="C5" s="39" t="s">
        <v>786</v>
      </c>
      <c r="D5" s="39" t="s">
        <v>787</v>
      </c>
      <c r="E5" s="39" t="s">
        <v>774</v>
      </c>
      <c r="F5" s="39" t="s">
        <v>788</v>
      </c>
      <c r="G5" s="40">
        <v>29183</v>
      </c>
      <c r="H5" s="41">
        <v>12250</v>
      </c>
    </row>
    <row r="6" spans="1:8" x14ac:dyDescent="0.3">
      <c r="A6" s="39">
        <v>5</v>
      </c>
      <c r="B6" s="39" t="s">
        <v>789</v>
      </c>
      <c r="C6" s="39" t="s">
        <v>790</v>
      </c>
      <c r="D6" s="39" t="s">
        <v>791</v>
      </c>
      <c r="E6" s="39" t="s">
        <v>774</v>
      </c>
      <c r="F6" s="39" t="s">
        <v>792</v>
      </c>
      <c r="G6" s="40">
        <v>32755</v>
      </c>
      <c r="H6" s="41">
        <v>21000</v>
      </c>
    </row>
    <row r="7" spans="1:8" x14ac:dyDescent="0.3">
      <c r="A7" s="39">
        <v>6</v>
      </c>
      <c r="B7" s="39" t="s">
        <v>793</v>
      </c>
      <c r="C7" s="39" t="s">
        <v>794</v>
      </c>
      <c r="D7" s="39" t="s">
        <v>791</v>
      </c>
      <c r="E7" s="39" t="s">
        <v>774</v>
      </c>
      <c r="F7" s="39" t="s">
        <v>795</v>
      </c>
      <c r="G7" s="40">
        <v>32390</v>
      </c>
      <c r="H7" s="41">
        <v>12425</v>
      </c>
    </row>
    <row r="8" spans="1:8" x14ac:dyDescent="0.3">
      <c r="A8" s="39">
        <v>7</v>
      </c>
      <c r="B8" s="39" t="s">
        <v>796</v>
      </c>
      <c r="C8" s="39" t="s">
        <v>797</v>
      </c>
      <c r="D8" s="39" t="s">
        <v>798</v>
      </c>
      <c r="E8" s="39" t="s">
        <v>799</v>
      </c>
      <c r="F8" s="39" t="s">
        <v>800</v>
      </c>
      <c r="G8" s="40">
        <v>33102</v>
      </c>
      <c r="H8" s="41">
        <v>13825</v>
      </c>
    </row>
    <row r="9" spans="1:8" x14ac:dyDescent="0.3">
      <c r="A9" s="39">
        <v>8</v>
      </c>
      <c r="B9" s="39" t="s">
        <v>801</v>
      </c>
      <c r="C9" s="39" t="s">
        <v>802</v>
      </c>
      <c r="D9" s="39" t="s">
        <v>791</v>
      </c>
      <c r="E9" s="39" t="s">
        <v>774</v>
      </c>
      <c r="F9" s="39" t="s">
        <v>803</v>
      </c>
      <c r="G9" s="40">
        <v>32755</v>
      </c>
      <c r="H9" s="41">
        <v>12425</v>
      </c>
    </row>
    <row r="10" spans="1:8" x14ac:dyDescent="0.3">
      <c r="A10" s="39">
        <v>9</v>
      </c>
      <c r="B10" s="39" t="s">
        <v>804</v>
      </c>
      <c r="C10" s="39" t="s">
        <v>805</v>
      </c>
      <c r="D10" s="39" t="s">
        <v>667</v>
      </c>
      <c r="E10" s="39" t="s">
        <v>774</v>
      </c>
      <c r="F10" s="39" t="s">
        <v>806</v>
      </c>
      <c r="G10" s="40">
        <v>36506</v>
      </c>
      <c r="H10" s="41">
        <v>14875</v>
      </c>
    </row>
    <row r="11" spans="1:8" x14ac:dyDescent="0.3">
      <c r="A11" s="39">
        <v>10</v>
      </c>
      <c r="B11" s="39" t="s">
        <v>807</v>
      </c>
      <c r="C11" s="39" t="s">
        <v>808</v>
      </c>
      <c r="D11" s="39" t="s">
        <v>787</v>
      </c>
      <c r="E11" s="39" t="s">
        <v>778</v>
      </c>
      <c r="F11" s="39" t="s">
        <v>809</v>
      </c>
      <c r="G11" s="40">
        <v>28326</v>
      </c>
      <c r="H11" s="41">
        <v>15750</v>
      </c>
    </row>
    <row r="12" spans="1:8" x14ac:dyDescent="0.3">
      <c r="A12" s="39">
        <v>11</v>
      </c>
      <c r="B12" s="39" t="s">
        <v>810</v>
      </c>
      <c r="C12" s="39" t="s">
        <v>811</v>
      </c>
      <c r="D12" s="39" t="s">
        <v>812</v>
      </c>
      <c r="E12" s="39" t="s">
        <v>799</v>
      </c>
      <c r="F12" s="39" t="s">
        <v>800</v>
      </c>
      <c r="G12" s="40">
        <v>31402</v>
      </c>
      <c r="H12" s="41">
        <v>14875</v>
      </c>
    </row>
    <row r="13" spans="1:8" x14ac:dyDescent="0.3">
      <c r="A13" s="39">
        <v>12</v>
      </c>
      <c r="B13" s="39" t="s">
        <v>813</v>
      </c>
      <c r="C13" s="39" t="s">
        <v>814</v>
      </c>
      <c r="D13" s="39" t="s">
        <v>782</v>
      </c>
      <c r="E13" s="39" t="s">
        <v>774</v>
      </c>
      <c r="F13" s="39" t="s">
        <v>815</v>
      </c>
      <c r="G13" s="40">
        <v>30376</v>
      </c>
      <c r="H13" s="41">
        <v>21000</v>
      </c>
    </row>
    <row r="14" spans="1:8" x14ac:dyDescent="0.3">
      <c r="A14" s="39">
        <v>13</v>
      </c>
      <c r="B14" s="39" t="s">
        <v>816</v>
      </c>
      <c r="C14" s="39" t="s">
        <v>817</v>
      </c>
      <c r="D14" s="39" t="s">
        <v>812</v>
      </c>
      <c r="E14" s="39" t="s">
        <v>778</v>
      </c>
      <c r="F14" s="39" t="s">
        <v>818</v>
      </c>
      <c r="G14" s="40">
        <v>31027</v>
      </c>
      <c r="H14" s="41">
        <v>19250</v>
      </c>
    </row>
    <row r="15" spans="1:8" x14ac:dyDescent="0.3">
      <c r="A15" s="39">
        <v>14</v>
      </c>
      <c r="B15" s="39" t="s">
        <v>819</v>
      </c>
      <c r="C15" s="39" t="s">
        <v>820</v>
      </c>
      <c r="D15" s="39" t="s">
        <v>821</v>
      </c>
      <c r="E15" s="39" t="s">
        <v>783</v>
      </c>
      <c r="F15" s="39" t="s">
        <v>822</v>
      </c>
      <c r="G15" s="40">
        <v>31028</v>
      </c>
      <c r="H15" s="41">
        <v>49000</v>
      </c>
    </row>
    <row r="16" spans="1:8" x14ac:dyDescent="0.3">
      <c r="A16" s="39">
        <v>15</v>
      </c>
      <c r="B16" s="39" t="s">
        <v>823</v>
      </c>
      <c r="C16" s="39" t="s">
        <v>824</v>
      </c>
      <c r="D16" s="39" t="s">
        <v>798</v>
      </c>
      <c r="E16" s="39" t="s">
        <v>774</v>
      </c>
      <c r="F16" s="39" t="s">
        <v>815</v>
      </c>
      <c r="G16" s="40">
        <v>31029</v>
      </c>
      <c r="H16" s="41">
        <v>14875</v>
      </c>
    </row>
    <row r="17" spans="1:8" x14ac:dyDescent="0.3">
      <c r="A17" s="39">
        <v>16</v>
      </c>
      <c r="B17" s="39" t="s">
        <v>825</v>
      </c>
      <c r="C17" s="39" t="s">
        <v>826</v>
      </c>
      <c r="D17" s="39" t="s">
        <v>798</v>
      </c>
      <c r="E17" s="39" t="s">
        <v>774</v>
      </c>
      <c r="F17" s="39" t="s">
        <v>827</v>
      </c>
      <c r="G17" s="40">
        <v>31030</v>
      </c>
      <c r="H17" s="41">
        <v>14875</v>
      </c>
    </row>
    <row r="18" spans="1:8" x14ac:dyDescent="0.3">
      <c r="A18" s="39">
        <v>17</v>
      </c>
      <c r="B18" s="39" t="s">
        <v>828</v>
      </c>
      <c r="C18" s="39" t="s">
        <v>829</v>
      </c>
      <c r="D18" s="39" t="s">
        <v>782</v>
      </c>
      <c r="E18" s="39" t="s">
        <v>778</v>
      </c>
      <c r="F18" s="39" t="s">
        <v>779</v>
      </c>
      <c r="G18" s="40">
        <v>30376</v>
      </c>
      <c r="H18" s="41">
        <v>15750</v>
      </c>
    </row>
    <row r="19" spans="1:8" x14ac:dyDescent="0.3">
      <c r="A19" s="39">
        <v>18</v>
      </c>
      <c r="B19" s="39" t="s">
        <v>830</v>
      </c>
      <c r="C19" s="39" t="s">
        <v>831</v>
      </c>
      <c r="D19" s="39" t="s">
        <v>782</v>
      </c>
      <c r="E19" s="39" t="s">
        <v>799</v>
      </c>
      <c r="F19" s="39" t="s">
        <v>832</v>
      </c>
      <c r="G19" s="40">
        <v>30376</v>
      </c>
      <c r="H19" s="41">
        <v>15750</v>
      </c>
    </row>
    <row r="20" spans="1:8" x14ac:dyDescent="0.3">
      <c r="A20" s="39">
        <v>19</v>
      </c>
      <c r="B20" s="39" t="s">
        <v>833</v>
      </c>
      <c r="C20" s="39" t="s">
        <v>834</v>
      </c>
      <c r="D20" s="39" t="s">
        <v>787</v>
      </c>
      <c r="E20" s="39" t="s">
        <v>774</v>
      </c>
      <c r="F20" s="39" t="s">
        <v>795</v>
      </c>
      <c r="G20" s="40">
        <v>31637</v>
      </c>
      <c r="H20" s="41">
        <v>10500</v>
      </c>
    </row>
    <row r="21" spans="1:8" x14ac:dyDescent="0.3">
      <c r="A21" s="39">
        <v>20</v>
      </c>
      <c r="B21" s="39" t="s">
        <v>835</v>
      </c>
      <c r="C21" s="39" t="s">
        <v>836</v>
      </c>
      <c r="D21" s="39" t="s">
        <v>787</v>
      </c>
      <c r="E21" s="39" t="s">
        <v>774</v>
      </c>
      <c r="F21" s="39" t="s">
        <v>827</v>
      </c>
      <c r="G21" s="40">
        <v>36316</v>
      </c>
      <c r="H21" s="41">
        <v>5950</v>
      </c>
    </row>
    <row r="22" spans="1:8" x14ac:dyDescent="0.3">
      <c r="A22" s="39">
        <v>21</v>
      </c>
      <c r="B22" s="39" t="s">
        <v>837</v>
      </c>
      <c r="C22" s="39" t="s">
        <v>838</v>
      </c>
      <c r="D22" s="39" t="s">
        <v>787</v>
      </c>
      <c r="E22" s="39" t="s">
        <v>778</v>
      </c>
      <c r="F22" s="39" t="s">
        <v>839</v>
      </c>
      <c r="G22" s="40">
        <v>36317</v>
      </c>
      <c r="H22" s="41">
        <v>7875</v>
      </c>
    </row>
    <row r="23" spans="1:8" x14ac:dyDescent="0.3">
      <c r="A23" s="39">
        <v>22</v>
      </c>
      <c r="B23" s="39" t="s">
        <v>840</v>
      </c>
      <c r="C23" s="39" t="s">
        <v>841</v>
      </c>
      <c r="D23" s="39" t="s">
        <v>787</v>
      </c>
      <c r="E23" s="39" t="s">
        <v>799</v>
      </c>
      <c r="F23" s="39" t="s">
        <v>832</v>
      </c>
      <c r="G23" s="40">
        <v>36318</v>
      </c>
      <c r="H23" s="41">
        <v>7875</v>
      </c>
    </row>
    <row r="24" spans="1:8" x14ac:dyDescent="0.3">
      <c r="A24" s="39">
        <v>23</v>
      </c>
      <c r="B24" s="39" t="s">
        <v>842</v>
      </c>
      <c r="C24" s="39" t="s">
        <v>843</v>
      </c>
      <c r="D24" s="39" t="s">
        <v>787</v>
      </c>
      <c r="E24" s="39" t="s">
        <v>799</v>
      </c>
      <c r="F24" s="39" t="s">
        <v>800</v>
      </c>
      <c r="G24" s="40">
        <v>36319</v>
      </c>
      <c r="H24" s="41">
        <v>7875</v>
      </c>
    </row>
    <row r="25" spans="1:8" x14ac:dyDescent="0.3">
      <c r="A25" s="39">
        <v>24</v>
      </c>
      <c r="B25" s="39" t="s">
        <v>844</v>
      </c>
      <c r="C25" s="39" t="s">
        <v>845</v>
      </c>
      <c r="D25" s="39" t="s">
        <v>667</v>
      </c>
      <c r="E25" s="39" t="s">
        <v>799</v>
      </c>
      <c r="F25" s="39" t="s">
        <v>832</v>
      </c>
      <c r="G25" s="40">
        <v>29362</v>
      </c>
      <c r="H25" s="41">
        <v>14875</v>
      </c>
    </row>
    <row r="26" spans="1:8" x14ac:dyDescent="0.3">
      <c r="A26" s="39">
        <v>25</v>
      </c>
      <c r="B26" s="39" t="s">
        <v>846</v>
      </c>
      <c r="C26" s="39" t="s">
        <v>847</v>
      </c>
      <c r="D26" s="39" t="s">
        <v>791</v>
      </c>
      <c r="E26" s="39" t="s">
        <v>783</v>
      </c>
      <c r="F26" s="39" t="s">
        <v>848</v>
      </c>
      <c r="G26" s="40">
        <v>36274</v>
      </c>
      <c r="H26" s="41">
        <v>7875</v>
      </c>
    </row>
    <row r="27" spans="1:8" x14ac:dyDescent="0.3">
      <c r="A27" s="39">
        <v>26</v>
      </c>
      <c r="B27" s="39" t="s">
        <v>849</v>
      </c>
      <c r="C27" s="39" t="s">
        <v>850</v>
      </c>
      <c r="D27" s="39" t="s">
        <v>667</v>
      </c>
      <c r="E27" s="39" t="s">
        <v>778</v>
      </c>
      <c r="F27" s="39" t="s">
        <v>779</v>
      </c>
      <c r="G27" s="40">
        <v>30225</v>
      </c>
      <c r="H27" s="41">
        <v>19250</v>
      </c>
    </row>
    <row r="28" spans="1:8" x14ac:dyDescent="0.3">
      <c r="A28" s="39">
        <v>27</v>
      </c>
      <c r="B28" s="39" t="s">
        <v>851</v>
      </c>
      <c r="C28" s="39" t="s">
        <v>852</v>
      </c>
      <c r="D28" s="39" t="s">
        <v>667</v>
      </c>
      <c r="E28" s="39" t="s">
        <v>783</v>
      </c>
      <c r="F28" s="39" t="s">
        <v>853</v>
      </c>
      <c r="G28" s="40">
        <v>33787</v>
      </c>
      <c r="H28" s="41">
        <v>13125</v>
      </c>
    </row>
    <row r="29" spans="1:8" x14ac:dyDescent="0.3">
      <c r="A29" s="39">
        <v>28</v>
      </c>
      <c r="B29" s="39" t="s">
        <v>854</v>
      </c>
      <c r="C29" s="39" t="s">
        <v>855</v>
      </c>
      <c r="D29" s="39" t="s">
        <v>791</v>
      </c>
      <c r="E29" s="39" t="s">
        <v>799</v>
      </c>
      <c r="F29" s="39" t="s">
        <v>856</v>
      </c>
      <c r="G29" s="40">
        <v>34777</v>
      </c>
      <c r="H29" s="41">
        <v>10500</v>
      </c>
    </row>
    <row r="30" spans="1:8" x14ac:dyDescent="0.3">
      <c r="A30" s="39">
        <v>29</v>
      </c>
      <c r="B30" s="39" t="s">
        <v>857</v>
      </c>
      <c r="C30" s="39" t="s">
        <v>858</v>
      </c>
      <c r="D30" s="39" t="s">
        <v>782</v>
      </c>
      <c r="E30" s="39" t="s">
        <v>774</v>
      </c>
      <c r="F30" s="39" t="s">
        <v>827</v>
      </c>
      <c r="G30" s="40">
        <v>35189</v>
      </c>
      <c r="H30" s="41">
        <v>9625</v>
      </c>
    </row>
    <row r="31" spans="1:8" x14ac:dyDescent="0.3">
      <c r="A31" s="39">
        <v>30</v>
      </c>
      <c r="B31" s="39" t="s">
        <v>859</v>
      </c>
      <c r="C31" s="39" t="s">
        <v>860</v>
      </c>
      <c r="D31" s="39" t="s">
        <v>798</v>
      </c>
      <c r="E31" s="39" t="s">
        <v>778</v>
      </c>
      <c r="F31" s="39" t="s">
        <v>839</v>
      </c>
      <c r="G31" s="40">
        <v>32435</v>
      </c>
      <c r="H31" s="41">
        <v>14175</v>
      </c>
    </row>
    <row r="32" spans="1:8" x14ac:dyDescent="0.3">
      <c r="A32" s="39">
        <v>31</v>
      </c>
      <c r="B32" s="39" t="s">
        <v>861</v>
      </c>
      <c r="C32" s="39" t="s">
        <v>862</v>
      </c>
      <c r="D32" s="39" t="s">
        <v>791</v>
      </c>
      <c r="E32" s="39" t="s">
        <v>774</v>
      </c>
      <c r="F32" s="39" t="s">
        <v>803</v>
      </c>
      <c r="G32" s="40">
        <v>30225</v>
      </c>
      <c r="H32" s="41">
        <v>15750</v>
      </c>
    </row>
    <row r="33" spans="1:8" x14ac:dyDescent="0.3">
      <c r="A33" s="39">
        <v>32</v>
      </c>
      <c r="B33" s="39" t="s">
        <v>863</v>
      </c>
      <c r="C33" s="39" t="s">
        <v>864</v>
      </c>
      <c r="D33" s="39" t="s">
        <v>865</v>
      </c>
      <c r="E33" s="39" t="s">
        <v>783</v>
      </c>
      <c r="F33" s="39" t="s">
        <v>848</v>
      </c>
      <c r="G33" s="40">
        <v>30225</v>
      </c>
      <c r="H33" s="41">
        <v>15750</v>
      </c>
    </row>
    <row r="34" spans="1:8" x14ac:dyDescent="0.3">
      <c r="A34" s="39">
        <v>33</v>
      </c>
      <c r="B34" s="39" t="s">
        <v>866</v>
      </c>
      <c r="C34" s="39" t="s">
        <v>867</v>
      </c>
      <c r="D34" s="39" t="s">
        <v>865</v>
      </c>
      <c r="E34" s="39" t="s">
        <v>774</v>
      </c>
      <c r="F34" s="39" t="s">
        <v>806</v>
      </c>
      <c r="G34" s="40">
        <v>35618</v>
      </c>
      <c r="H34" s="41">
        <v>7000</v>
      </c>
    </row>
    <row r="35" spans="1:8" x14ac:dyDescent="0.3">
      <c r="A35" s="39">
        <v>34</v>
      </c>
      <c r="B35" s="39" t="s">
        <v>868</v>
      </c>
      <c r="C35" s="39" t="s">
        <v>869</v>
      </c>
      <c r="D35" s="39" t="s">
        <v>865</v>
      </c>
      <c r="E35" s="39" t="s">
        <v>774</v>
      </c>
      <c r="F35" s="39" t="s">
        <v>870</v>
      </c>
      <c r="G35" s="40">
        <v>33510</v>
      </c>
      <c r="H35" s="41">
        <v>8750</v>
      </c>
    </row>
    <row r="36" spans="1:8" x14ac:dyDescent="0.3">
      <c r="A36" s="39">
        <v>35</v>
      </c>
      <c r="B36" s="39" t="s">
        <v>871</v>
      </c>
      <c r="C36" s="39" t="s">
        <v>864</v>
      </c>
      <c r="D36" s="39" t="s">
        <v>787</v>
      </c>
      <c r="E36" s="39" t="s">
        <v>783</v>
      </c>
      <c r="F36" s="39" t="s">
        <v>848</v>
      </c>
      <c r="G36" s="40">
        <v>33729</v>
      </c>
      <c r="H36" s="41">
        <v>9275</v>
      </c>
    </row>
    <row r="37" spans="1:8" x14ac:dyDescent="0.3">
      <c r="A37" s="39">
        <v>36</v>
      </c>
      <c r="B37" s="39" t="s">
        <v>844</v>
      </c>
      <c r="C37" s="39" t="s">
        <v>872</v>
      </c>
      <c r="D37" s="39" t="s">
        <v>798</v>
      </c>
      <c r="E37" s="39" t="s">
        <v>799</v>
      </c>
      <c r="F37" s="39" t="s">
        <v>873</v>
      </c>
      <c r="G37" s="40">
        <v>34580</v>
      </c>
      <c r="H37" s="41">
        <v>11725</v>
      </c>
    </row>
    <row r="38" spans="1:8" x14ac:dyDescent="0.3">
      <c r="A38" s="39">
        <v>37</v>
      </c>
      <c r="B38" s="39" t="s">
        <v>813</v>
      </c>
      <c r="C38" s="39" t="s">
        <v>874</v>
      </c>
      <c r="D38" s="39" t="s">
        <v>812</v>
      </c>
      <c r="E38" s="39" t="s">
        <v>783</v>
      </c>
      <c r="F38" s="39" t="s">
        <v>875</v>
      </c>
      <c r="G38" s="40">
        <v>30225</v>
      </c>
      <c r="H38" s="41">
        <v>24500</v>
      </c>
    </row>
    <row r="39" spans="1:8" x14ac:dyDescent="0.3">
      <c r="A39" s="39">
        <v>38</v>
      </c>
      <c r="B39" s="39" t="s">
        <v>876</v>
      </c>
      <c r="C39" s="39" t="s">
        <v>877</v>
      </c>
      <c r="D39" s="39" t="s">
        <v>812</v>
      </c>
      <c r="E39" s="39" t="s">
        <v>774</v>
      </c>
      <c r="F39" s="39" t="s">
        <v>878</v>
      </c>
      <c r="G39" s="40">
        <v>30225</v>
      </c>
      <c r="H39" s="41">
        <v>24500</v>
      </c>
    </row>
    <row r="40" spans="1:8" x14ac:dyDescent="0.3">
      <c r="A40" s="39">
        <v>39</v>
      </c>
      <c r="B40" s="39" t="s">
        <v>819</v>
      </c>
      <c r="C40" s="39" t="s">
        <v>879</v>
      </c>
      <c r="D40" s="39" t="s">
        <v>812</v>
      </c>
      <c r="E40" s="39" t="s">
        <v>774</v>
      </c>
      <c r="F40" s="39" t="s">
        <v>880</v>
      </c>
      <c r="G40" s="40">
        <v>30225</v>
      </c>
      <c r="H40" s="41">
        <v>24500</v>
      </c>
    </row>
    <row r="41" spans="1:8" x14ac:dyDescent="0.3">
      <c r="A41" s="39">
        <v>40</v>
      </c>
      <c r="B41" s="39" t="s">
        <v>881</v>
      </c>
      <c r="C41" s="39" t="s">
        <v>882</v>
      </c>
      <c r="D41" s="39" t="s">
        <v>667</v>
      </c>
      <c r="E41" s="39" t="s">
        <v>783</v>
      </c>
      <c r="F41" s="39" t="s">
        <v>848</v>
      </c>
      <c r="G41" s="40">
        <v>33510</v>
      </c>
      <c r="H41" s="41">
        <v>10500</v>
      </c>
    </row>
    <row r="42" spans="1:8" x14ac:dyDescent="0.3">
      <c r="A42" s="39">
        <v>41</v>
      </c>
      <c r="B42" s="39" t="s">
        <v>883</v>
      </c>
      <c r="C42" s="39" t="s">
        <v>884</v>
      </c>
      <c r="D42" s="39" t="s">
        <v>782</v>
      </c>
      <c r="E42" s="39" t="s">
        <v>778</v>
      </c>
      <c r="F42" s="39" t="s">
        <v>809</v>
      </c>
      <c r="G42" s="40">
        <v>35595</v>
      </c>
      <c r="H42" s="41">
        <v>7875</v>
      </c>
    </row>
    <row r="43" spans="1:8" x14ac:dyDescent="0.3">
      <c r="A43" s="39">
        <v>42</v>
      </c>
      <c r="B43" s="39" t="s">
        <v>844</v>
      </c>
      <c r="C43" s="39" t="s">
        <v>885</v>
      </c>
      <c r="D43" s="39" t="s">
        <v>791</v>
      </c>
      <c r="E43" s="39" t="s">
        <v>778</v>
      </c>
      <c r="F43" s="39" t="s">
        <v>818</v>
      </c>
      <c r="G43" s="40">
        <v>33510</v>
      </c>
      <c r="H43" s="41">
        <v>13300</v>
      </c>
    </row>
    <row r="44" spans="1:8" x14ac:dyDescent="0.3">
      <c r="A44" s="39">
        <v>43</v>
      </c>
      <c r="B44" s="39" t="s">
        <v>886</v>
      </c>
      <c r="C44" s="39" t="s">
        <v>887</v>
      </c>
      <c r="D44" s="39" t="s">
        <v>798</v>
      </c>
      <c r="E44" s="39" t="s">
        <v>799</v>
      </c>
      <c r="F44" s="39" t="s">
        <v>856</v>
      </c>
      <c r="G44" s="40">
        <v>32435</v>
      </c>
      <c r="H44" s="41">
        <v>15750</v>
      </c>
    </row>
    <row r="45" spans="1:8" x14ac:dyDescent="0.3">
      <c r="A45" s="39">
        <v>44</v>
      </c>
      <c r="B45" s="39" t="s">
        <v>888</v>
      </c>
      <c r="C45" s="39" t="s">
        <v>889</v>
      </c>
      <c r="D45" s="39" t="s">
        <v>798</v>
      </c>
      <c r="E45" s="39" t="s">
        <v>778</v>
      </c>
      <c r="F45" s="39" t="s">
        <v>779</v>
      </c>
      <c r="G45" s="40">
        <v>33194</v>
      </c>
      <c r="H45" s="41">
        <v>13825</v>
      </c>
    </row>
    <row r="46" spans="1:8" x14ac:dyDescent="0.3">
      <c r="A46" s="39">
        <v>45</v>
      </c>
      <c r="B46" s="39" t="s">
        <v>890</v>
      </c>
      <c r="C46" s="39" t="s">
        <v>891</v>
      </c>
      <c r="D46" s="39" t="s">
        <v>791</v>
      </c>
      <c r="E46" s="39" t="s">
        <v>774</v>
      </c>
      <c r="F46" s="39" t="s">
        <v>775</v>
      </c>
      <c r="G46" s="40">
        <v>35618</v>
      </c>
      <c r="H46" s="41">
        <v>11375</v>
      </c>
    </row>
    <row r="47" spans="1:8" x14ac:dyDescent="0.3">
      <c r="A47" s="39">
        <v>46</v>
      </c>
      <c r="B47" s="39" t="s">
        <v>892</v>
      </c>
      <c r="C47" s="39" t="s">
        <v>893</v>
      </c>
      <c r="D47" s="39" t="s">
        <v>667</v>
      </c>
      <c r="E47" s="39" t="s">
        <v>774</v>
      </c>
      <c r="F47" s="39" t="s">
        <v>870</v>
      </c>
      <c r="G47" s="40">
        <v>33510</v>
      </c>
      <c r="H47" s="41">
        <v>15750</v>
      </c>
    </row>
    <row r="48" spans="1:8" x14ac:dyDescent="0.3">
      <c r="A48" s="39">
        <v>47</v>
      </c>
      <c r="B48" s="39" t="s">
        <v>894</v>
      </c>
      <c r="C48" s="39" t="s">
        <v>864</v>
      </c>
      <c r="D48" s="39" t="s">
        <v>782</v>
      </c>
      <c r="E48" s="39" t="s">
        <v>774</v>
      </c>
      <c r="F48" s="39" t="s">
        <v>792</v>
      </c>
      <c r="G48" s="40">
        <v>32180</v>
      </c>
      <c r="H48" s="41">
        <v>15750</v>
      </c>
    </row>
    <row r="49" spans="1:8" x14ac:dyDescent="0.3">
      <c r="A49" s="39">
        <v>48</v>
      </c>
      <c r="B49" s="39" t="s">
        <v>895</v>
      </c>
      <c r="C49" s="39" t="s">
        <v>864</v>
      </c>
      <c r="D49" s="39" t="s">
        <v>865</v>
      </c>
      <c r="E49" s="39" t="s">
        <v>799</v>
      </c>
      <c r="F49" s="39" t="s">
        <v>896</v>
      </c>
      <c r="G49" s="40">
        <v>32435</v>
      </c>
      <c r="H49" s="41">
        <v>15750</v>
      </c>
    </row>
    <row r="50" spans="1:8" x14ac:dyDescent="0.3">
      <c r="A50" s="39">
        <v>49</v>
      </c>
      <c r="B50" s="39" t="s">
        <v>897</v>
      </c>
      <c r="C50" s="39" t="s">
        <v>898</v>
      </c>
      <c r="D50" s="39" t="s">
        <v>865</v>
      </c>
      <c r="E50" s="39" t="s">
        <v>783</v>
      </c>
      <c r="F50" s="39" t="s">
        <v>822</v>
      </c>
      <c r="G50" s="40">
        <v>32435</v>
      </c>
      <c r="H50" s="41">
        <v>15750</v>
      </c>
    </row>
    <row r="51" spans="1:8" x14ac:dyDescent="0.3">
      <c r="A51" s="39">
        <v>50</v>
      </c>
      <c r="B51" s="39" t="s">
        <v>899</v>
      </c>
      <c r="C51" s="39" t="s">
        <v>893</v>
      </c>
      <c r="D51" s="39" t="s">
        <v>798</v>
      </c>
      <c r="E51" s="39" t="s">
        <v>799</v>
      </c>
      <c r="F51" s="39" t="s">
        <v>896</v>
      </c>
      <c r="G51" s="40">
        <v>32435</v>
      </c>
      <c r="H51" s="41">
        <v>15750</v>
      </c>
    </row>
    <row r="52" spans="1:8" x14ac:dyDescent="0.3">
      <c r="A52" s="39">
        <v>51</v>
      </c>
      <c r="B52" s="39" t="s">
        <v>900</v>
      </c>
      <c r="C52" s="39" t="s">
        <v>901</v>
      </c>
      <c r="D52" s="39" t="s">
        <v>667</v>
      </c>
      <c r="E52" s="39" t="s">
        <v>774</v>
      </c>
      <c r="F52" s="39" t="s">
        <v>815</v>
      </c>
      <c r="G52" s="40">
        <v>32436</v>
      </c>
      <c r="H52" s="41">
        <v>15750</v>
      </c>
    </row>
    <row r="53" spans="1:8" x14ac:dyDescent="0.3">
      <c r="A53" s="39">
        <v>52</v>
      </c>
      <c r="B53" s="39" t="s">
        <v>902</v>
      </c>
      <c r="C53" s="39" t="s">
        <v>903</v>
      </c>
      <c r="D53" s="39" t="s">
        <v>865</v>
      </c>
      <c r="E53" s="39" t="s">
        <v>774</v>
      </c>
      <c r="F53" s="39" t="s">
        <v>870</v>
      </c>
      <c r="G53" s="40">
        <v>32437</v>
      </c>
      <c r="H53" s="41">
        <v>19250</v>
      </c>
    </row>
    <row r="54" spans="1:8" x14ac:dyDescent="0.3">
      <c r="A54" s="39">
        <v>53</v>
      </c>
      <c r="B54" s="39" t="s">
        <v>904</v>
      </c>
      <c r="C54" s="39" t="s">
        <v>905</v>
      </c>
      <c r="D54" s="39" t="s">
        <v>865</v>
      </c>
      <c r="E54" s="39" t="s">
        <v>799</v>
      </c>
      <c r="F54" s="39" t="s">
        <v>906</v>
      </c>
      <c r="G54" s="40">
        <v>35034</v>
      </c>
      <c r="H54" s="41">
        <v>15750</v>
      </c>
    </row>
    <row r="55" spans="1:8" x14ac:dyDescent="0.3">
      <c r="A55" s="39">
        <v>54</v>
      </c>
      <c r="B55" s="39" t="s">
        <v>907</v>
      </c>
      <c r="C55" s="39" t="s">
        <v>908</v>
      </c>
      <c r="D55" s="39" t="s">
        <v>865</v>
      </c>
      <c r="E55" s="39" t="s">
        <v>778</v>
      </c>
      <c r="F55" s="39" t="s">
        <v>909</v>
      </c>
      <c r="G55" s="40">
        <v>34761</v>
      </c>
      <c r="H55" s="41">
        <v>15750</v>
      </c>
    </row>
    <row r="56" spans="1:8" x14ac:dyDescent="0.3">
      <c r="A56" s="39">
        <v>55</v>
      </c>
      <c r="B56" s="39" t="s">
        <v>910</v>
      </c>
      <c r="C56" s="39" t="s">
        <v>911</v>
      </c>
      <c r="D56" s="39" t="s">
        <v>865</v>
      </c>
      <c r="E56" s="39" t="s">
        <v>778</v>
      </c>
      <c r="F56" s="39" t="s">
        <v>912</v>
      </c>
      <c r="G56" s="40">
        <v>31717</v>
      </c>
      <c r="H56" s="41">
        <v>15750</v>
      </c>
    </row>
    <row r="57" spans="1:8" x14ac:dyDescent="0.3">
      <c r="A57" s="39">
        <v>56</v>
      </c>
      <c r="B57" s="39" t="s">
        <v>913</v>
      </c>
      <c r="C57" s="39" t="s">
        <v>914</v>
      </c>
      <c r="D57" s="39" t="s">
        <v>667</v>
      </c>
      <c r="E57" s="39" t="s">
        <v>799</v>
      </c>
      <c r="F57" s="39" t="s">
        <v>906</v>
      </c>
      <c r="G57" s="40">
        <v>33878</v>
      </c>
      <c r="H57" s="41">
        <v>14875</v>
      </c>
    </row>
    <row r="58" spans="1:8" x14ac:dyDescent="0.3">
      <c r="A58" s="39">
        <v>57</v>
      </c>
      <c r="B58" s="39" t="s">
        <v>915</v>
      </c>
      <c r="C58" s="39" t="s">
        <v>887</v>
      </c>
      <c r="D58" s="39" t="s">
        <v>667</v>
      </c>
      <c r="E58" s="39" t="s">
        <v>783</v>
      </c>
      <c r="F58" s="39" t="s">
        <v>916</v>
      </c>
      <c r="G58" s="40">
        <v>34098</v>
      </c>
      <c r="H58" s="41">
        <v>14875</v>
      </c>
    </row>
    <row r="59" spans="1:8" x14ac:dyDescent="0.3">
      <c r="A59" s="39">
        <v>58</v>
      </c>
      <c r="B59" s="39" t="s">
        <v>917</v>
      </c>
      <c r="C59" s="39" t="s">
        <v>841</v>
      </c>
      <c r="D59" s="39" t="s">
        <v>787</v>
      </c>
      <c r="E59" s="39" t="s">
        <v>774</v>
      </c>
      <c r="F59" s="39" t="s">
        <v>803</v>
      </c>
      <c r="G59" s="40">
        <v>33182</v>
      </c>
      <c r="H59" s="41">
        <v>17500</v>
      </c>
    </row>
    <row r="60" spans="1:8" x14ac:dyDescent="0.3">
      <c r="A60" s="39">
        <v>59</v>
      </c>
      <c r="B60" s="39" t="s">
        <v>918</v>
      </c>
      <c r="C60" s="39" t="s">
        <v>919</v>
      </c>
      <c r="D60" s="39" t="s">
        <v>782</v>
      </c>
      <c r="E60" s="39" t="s">
        <v>783</v>
      </c>
      <c r="F60" s="39" t="s">
        <v>853</v>
      </c>
      <c r="G60" s="40">
        <v>31791</v>
      </c>
      <c r="H60" s="41">
        <v>19250</v>
      </c>
    </row>
    <row r="61" spans="1:8" x14ac:dyDescent="0.3">
      <c r="A61" s="39">
        <v>60</v>
      </c>
      <c r="B61" s="39" t="s">
        <v>920</v>
      </c>
      <c r="C61" s="39" t="s">
        <v>921</v>
      </c>
      <c r="D61" s="39" t="s">
        <v>787</v>
      </c>
      <c r="E61" s="39" t="s">
        <v>783</v>
      </c>
      <c r="F61" s="39" t="s">
        <v>922</v>
      </c>
      <c r="G61" s="40">
        <v>32105</v>
      </c>
      <c r="H61" s="41">
        <v>19250</v>
      </c>
    </row>
    <row r="62" spans="1:8" x14ac:dyDescent="0.3">
      <c r="A62" s="39">
        <v>61</v>
      </c>
      <c r="B62" s="39" t="s">
        <v>923</v>
      </c>
      <c r="C62" s="39" t="s">
        <v>924</v>
      </c>
      <c r="D62" s="39" t="s">
        <v>782</v>
      </c>
      <c r="E62" s="39" t="s">
        <v>774</v>
      </c>
      <c r="F62" s="39" t="s">
        <v>803</v>
      </c>
      <c r="G62" s="40">
        <v>32106</v>
      </c>
      <c r="H62" s="41">
        <v>19250</v>
      </c>
    </row>
    <row r="63" spans="1:8" x14ac:dyDescent="0.3">
      <c r="A63" s="39">
        <v>62</v>
      </c>
      <c r="B63" s="39" t="s">
        <v>925</v>
      </c>
      <c r="C63" s="39" t="s">
        <v>829</v>
      </c>
      <c r="D63" s="39" t="s">
        <v>667</v>
      </c>
      <c r="E63" s="39" t="s">
        <v>774</v>
      </c>
      <c r="F63" s="39" t="s">
        <v>792</v>
      </c>
      <c r="G63" s="40">
        <v>32107</v>
      </c>
      <c r="H63" s="41">
        <v>19250</v>
      </c>
    </row>
    <row r="64" spans="1:8" x14ac:dyDescent="0.3">
      <c r="A64" s="39">
        <v>63</v>
      </c>
      <c r="B64" s="39" t="s">
        <v>926</v>
      </c>
      <c r="C64" s="39" t="s">
        <v>843</v>
      </c>
      <c r="D64" s="39" t="s">
        <v>791</v>
      </c>
      <c r="E64" s="39" t="s">
        <v>774</v>
      </c>
      <c r="F64" s="39" t="s">
        <v>815</v>
      </c>
      <c r="G64" s="40">
        <v>32440</v>
      </c>
      <c r="H64" s="41">
        <v>17500</v>
      </c>
    </row>
    <row r="65" spans="1:8" x14ac:dyDescent="0.3">
      <c r="A65" s="39">
        <v>64</v>
      </c>
      <c r="B65" s="39" t="s">
        <v>927</v>
      </c>
      <c r="C65" s="39" t="s">
        <v>928</v>
      </c>
      <c r="D65" s="39" t="s">
        <v>798</v>
      </c>
      <c r="E65" s="39" t="s">
        <v>783</v>
      </c>
      <c r="F65" s="39" t="s">
        <v>784</v>
      </c>
      <c r="G65" s="40">
        <v>32441</v>
      </c>
      <c r="H65" s="41">
        <v>17500</v>
      </c>
    </row>
    <row r="66" spans="1:8" x14ac:dyDescent="0.3">
      <c r="A66" s="39">
        <v>65</v>
      </c>
      <c r="B66" s="39" t="s">
        <v>929</v>
      </c>
      <c r="C66" s="39" t="s">
        <v>820</v>
      </c>
      <c r="D66" s="39" t="s">
        <v>865</v>
      </c>
      <c r="E66" s="39" t="s">
        <v>778</v>
      </c>
      <c r="F66" s="39" t="s">
        <v>818</v>
      </c>
      <c r="G66" s="40">
        <v>32442</v>
      </c>
      <c r="H66" s="41">
        <v>17500</v>
      </c>
    </row>
    <row r="67" spans="1:8" x14ac:dyDescent="0.3">
      <c r="A67" s="39">
        <v>66</v>
      </c>
      <c r="B67" s="39" t="s">
        <v>930</v>
      </c>
      <c r="C67" s="39" t="s">
        <v>931</v>
      </c>
      <c r="D67" s="39" t="s">
        <v>798</v>
      </c>
      <c r="E67" s="39" t="s">
        <v>774</v>
      </c>
      <c r="F67" s="39" t="s">
        <v>803</v>
      </c>
      <c r="G67" s="40">
        <v>32443</v>
      </c>
      <c r="H67" s="41">
        <v>17500</v>
      </c>
    </row>
    <row r="68" spans="1:8" x14ac:dyDescent="0.3">
      <c r="A68" s="39">
        <v>67</v>
      </c>
      <c r="B68" s="39" t="s">
        <v>932</v>
      </c>
      <c r="C68" s="39" t="s">
        <v>933</v>
      </c>
      <c r="D68" s="39" t="s">
        <v>798</v>
      </c>
      <c r="E68" s="39" t="s">
        <v>774</v>
      </c>
      <c r="F68" s="39" t="s">
        <v>870</v>
      </c>
      <c r="G68" s="40">
        <v>32444</v>
      </c>
      <c r="H68" s="41">
        <v>20125</v>
      </c>
    </row>
    <row r="69" spans="1:8" x14ac:dyDescent="0.3">
      <c r="A69" s="39">
        <v>68</v>
      </c>
      <c r="B69" s="39" t="s">
        <v>934</v>
      </c>
      <c r="C69" s="39" t="s">
        <v>820</v>
      </c>
      <c r="D69" s="39" t="s">
        <v>667</v>
      </c>
      <c r="E69" s="39" t="s">
        <v>774</v>
      </c>
      <c r="F69" s="39" t="s">
        <v>880</v>
      </c>
      <c r="G69" s="40">
        <v>35034</v>
      </c>
      <c r="H69" s="41">
        <v>14000</v>
      </c>
    </row>
    <row r="70" spans="1:8" x14ac:dyDescent="0.3">
      <c r="A70" s="39">
        <v>69</v>
      </c>
      <c r="B70" s="39" t="s">
        <v>935</v>
      </c>
      <c r="C70" s="39" t="s">
        <v>864</v>
      </c>
      <c r="D70" s="39" t="s">
        <v>798</v>
      </c>
      <c r="E70" s="39" t="s">
        <v>774</v>
      </c>
      <c r="F70" s="39" t="s">
        <v>880</v>
      </c>
      <c r="G70" s="40">
        <v>34761</v>
      </c>
      <c r="H70" s="41">
        <v>14000</v>
      </c>
    </row>
    <row r="71" spans="1:8" x14ac:dyDescent="0.3">
      <c r="A71" s="39">
        <v>70</v>
      </c>
      <c r="B71" s="39" t="s">
        <v>936</v>
      </c>
      <c r="C71" s="39" t="s">
        <v>933</v>
      </c>
      <c r="D71" s="39" t="s">
        <v>787</v>
      </c>
      <c r="E71" s="39" t="s">
        <v>778</v>
      </c>
      <c r="F71" s="39" t="s">
        <v>818</v>
      </c>
      <c r="G71" s="40">
        <v>34762</v>
      </c>
      <c r="H71" s="41">
        <v>14000</v>
      </c>
    </row>
    <row r="72" spans="1:8" x14ac:dyDescent="0.3">
      <c r="A72" s="39">
        <v>71</v>
      </c>
      <c r="B72" s="39" t="s">
        <v>937</v>
      </c>
      <c r="C72" s="39" t="s">
        <v>938</v>
      </c>
      <c r="D72" s="39" t="s">
        <v>791</v>
      </c>
      <c r="E72" s="39" t="s">
        <v>799</v>
      </c>
      <c r="F72" s="39" t="s">
        <v>939</v>
      </c>
      <c r="G72" s="40">
        <v>34763</v>
      </c>
      <c r="H72" s="41">
        <v>14000</v>
      </c>
    </row>
    <row r="73" spans="1:8" x14ac:dyDescent="0.3">
      <c r="A73" s="39">
        <v>72</v>
      </c>
      <c r="B73" s="39" t="s">
        <v>940</v>
      </c>
      <c r="C73" s="39" t="s">
        <v>862</v>
      </c>
      <c r="D73" s="39" t="s">
        <v>791</v>
      </c>
      <c r="E73" s="39" t="s">
        <v>783</v>
      </c>
      <c r="F73" s="39" t="s">
        <v>875</v>
      </c>
      <c r="G73" s="40">
        <v>32438</v>
      </c>
      <c r="H73" s="41">
        <v>17500</v>
      </c>
    </row>
    <row r="74" spans="1:8" x14ac:dyDescent="0.3">
      <c r="A74" s="39">
        <v>73</v>
      </c>
      <c r="B74" s="39" t="s">
        <v>941</v>
      </c>
      <c r="C74" s="39" t="s">
        <v>942</v>
      </c>
      <c r="D74" s="39" t="s">
        <v>865</v>
      </c>
      <c r="E74" s="39" t="s">
        <v>774</v>
      </c>
      <c r="F74" s="39" t="s">
        <v>827</v>
      </c>
      <c r="G74" s="40">
        <v>32439</v>
      </c>
      <c r="H74" s="41">
        <v>17500</v>
      </c>
    </row>
    <row r="75" spans="1:8" x14ac:dyDescent="0.3">
      <c r="A75" s="39">
        <v>74</v>
      </c>
      <c r="B75" s="39" t="s">
        <v>943</v>
      </c>
      <c r="C75" s="39" t="s">
        <v>944</v>
      </c>
      <c r="D75" s="39" t="s">
        <v>667</v>
      </c>
      <c r="E75" s="39" t="s">
        <v>778</v>
      </c>
      <c r="F75" s="39" t="s">
        <v>809</v>
      </c>
      <c r="G75" s="40">
        <v>32440</v>
      </c>
      <c r="H75" s="41">
        <v>17500</v>
      </c>
    </row>
    <row r="76" spans="1:8" x14ac:dyDescent="0.3">
      <c r="A76" s="39">
        <v>75</v>
      </c>
      <c r="B76" s="39" t="s">
        <v>945</v>
      </c>
      <c r="C76" s="39" t="s">
        <v>946</v>
      </c>
      <c r="D76" s="39" t="s">
        <v>782</v>
      </c>
      <c r="E76" s="39" t="s">
        <v>778</v>
      </c>
      <c r="F76" s="39" t="s">
        <v>818</v>
      </c>
      <c r="G76" s="40">
        <v>32441</v>
      </c>
      <c r="H76" s="41">
        <v>17500</v>
      </c>
    </row>
    <row r="77" spans="1:8" x14ac:dyDescent="0.3">
      <c r="A77" s="39">
        <v>76</v>
      </c>
      <c r="B77" s="39" t="s">
        <v>947</v>
      </c>
      <c r="C77" s="39" t="s">
        <v>889</v>
      </c>
      <c r="D77" s="39" t="s">
        <v>865</v>
      </c>
      <c r="E77" s="39" t="s">
        <v>799</v>
      </c>
      <c r="F77" s="39" t="s">
        <v>939</v>
      </c>
      <c r="G77" s="40">
        <v>32442</v>
      </c>
      <c r="H77" s="41">
        <v>17500</v>
      </c>
    </row>
    <row r="78" spans="1:8" x14ac:dyDescent="0.3">
      <c r="A78" s="39">
        <v>77</v>
      </c>
      <c r="B78" s="39" t="s">
        <v>948</v>
      </c>
      <c r="C78" s="39" t="s">
        <v>931</v>
      </c>
      <c r="D78" s="39" t="s">
        <v>791</v>
      </c>
      <c r="E78" s="39" t="s">
        <v>774</v>
      </c>
      <c r="F78" s="39" t="s">
        <v>788</v>
      </c>
      <c r="G78" s="40">
        <v>32443</v>
      </c>
      <c r="H78" s="41">
        <v>17500</v>
      </c>
    </row>
    <row r="79" spans="1:8" x14ac:dyDescent="0.3">
      <c r="A79" s="39">
        <v>78</v>
      </c>
      <c r="B79" s="39" t="s">
        <v>949</v>
      </c>
      <c r="C79" s="39" t="s">
        <v>950</v>
      </c>
      <c r="D79" s="39" t="s">
        <v>667</v>
      </c>
      <c r="E79" s="39" t="s">
        <v>799</v>
      </c>
      <c r="F79" s="39" t="s">
        <v>856</v>
      </c>
      <c r="G79" s="40">
        <v>32444</v>
      </c>
      <c r="H79" s="41">
        <v>17500</v>
      </c>
    </row>
    <row r="80" spans="1:8" x14ac:dyDescent="0.3">
      <c r="A80" s="39">
        <v>79</v>
      </c>
      <c r="B80" s="39" t="s">
        <v>951</v>
      </c>
      <c r="C80" s="39" t="s">
        <v>952</v>
      </c>
      <c r="D80" s="39" t="s">
        <v>787</v>
      </c>
      <c r="E80" s="39" t="s">
        <v>774</v>
      </c>
      <c r="F80" s="39" t="s">
        <v>788</v>
      </c>
      <c r="G80" s="40">
        <v>32445</v>
      </c>
      <c r="H80" s="41">
        <v>17500</v>
      </c>
    </row>
    <row r="81" spans="1:8" x14ac:dyDescent="0.3">
      <c r="A81" s="39">
        <v>80</v>
      </c>
      <c r="B81" s="39" t="s">
        <v>953</v>
      </c>
      <c r="C81" s="39" t="s">
        <v>954</v>
      </c>
      <c r="D81" s="39" t="s">
        <v>787</v>
      </c>
      <c r="E81" s="39" t="s">
        <v>774</v>
      </c>
      <c r="F81" s="39" t="s">
        <v>775</v>
      </c>
      <c r="G81" s="40">
        <v>32446</v>
      </c>
      <c r="H81" s="41">
        <v>17500</v>
      </c>
    </row>
    <row r="82" spans="1:8" x14ac:dyDescent="0.3">
      <c r="A82" s="39">
        <v>81</v>
      </c>
      <c r="B82" s="39" t="s">
        <v>955</v>
      </c>
      <c r="C82" s="39" t="s">
        <v>956</v>
      </c>
      <c r="D82" s="39" t="s">
        <v>865</v>
      </c>
      <c r="E82" s="39" t="s">
        <v>783</v>
      </c>
      <c r="F82" s="39" t="s">
        <v>916</v>
      </c>
      <c r="G82" s="40">
        <v>32447</v>
      </c>
      <c r="H82" s="41">
        <v>17500</v>
      </c>
    </row>
    <row r="83" spans="1:8" x14ac:dyDescent="0.3">
      <c r="A83" s="39">
        <v>82</v>
      </c>
      <c r="B83" s="39" t="s">
        <v>957</v>
      </c>
      <c r="C83" s="39" t="s">
        <v>958</v>
      </c>
      <c r="D83" s="39" t="s">
        <v>791</v>
      </c>
      <c r="E83" s="39" t="s">
        <v>778</v>
      </c>
      <c r="F83" s="39" t="s">
        <v>779</v>
      </c>
      <c r="G83" s="40">
        <v>32448</v>
      </c>
      <c r="H83" s="41">
        <v>17500</v>
      </c>
    </row>
    <row r="84" spans="1:8" x14ac:dyDescent="0.3">
      <c r="A84" s="39">
        <v>83</v>
      </c>
      <c r="B84" s="39" t="s">
        <v>959</v>
      </c>
      <c r="C84" s="39" t="s">
        <v>931</v>
      </c>
      <c r="D84" s="39" t="s">
        <v>865</v>
      </c>
      <c r="E84" s="39" t="s">
        <v>774</v>
      </c>
      <c r="F84" s="39" t="s">
        <v>878</v>
      </c>
      <c r="G84" s="40">
        <v>36221</v>
      </c>
      <c r="H84" s="41">
        <v>7000</v>
      </c>
    </row>
    <row r="85" spans="1:8" x14ac:dyDescent="0.3">
      <c r="A85" s="39">
        <v>84</v>
      </c>
      <c r="B85" s="39" t="s">
        <v>960</v>
      </c>
      <c r="C85" s="39" t="s">
        <v>336</v>
      </c>
      <c r="D85" s="39" t="s">
        <v>791</v>
      </c>
      <c r="E85" s="39" t="s">
        <v>778</v>
      </c>
      <c r="F85" s="39" t="s">
        <v>818</v>
      </c>
      <c r="G85" s="40">
        <v>36222</v>
      </c>
      <c r="H85" s="41">
        <v>7000</v>
      </c>
    </row>
    <row r="86" spans="1:8" x14ac:dyDescent="0.3">
      <c r="A86" s="39">
        <v>85</v>
      </c>
      <c r="B86" s="39" t="s">
        <v>961</v>
      </c>
      <c r="C86" s="39" t="s">
        <v>604</v>
      </c>
      <c r="D86" s="39" t="s">
        <v>791</v>
      </c>
      <c r="E86" s="39" t="s">
        <v>774</v>
      </c>
      <c r="F86" s="39" t="s">
        <v>803</v>
      </c>
      <c r="G86" s="40">
        <v>35809</v>
      </c>
      <c r="H86" s="41">
        <v>7000</v>
      </c>
    </row>
    <row r="87" spans="1:8" x14ac:dyDescent="0.3">
      <c r="A87" s="39">
        <v>86</v>
      </c>
      <c r="B87" s="39" t="s">
        <v>962</v>
      </c>
      <c r="C87" s="39" t="s">
        <v>838</v>
      </c>
      <c r="D87" s="39" t="s">
        <v>865</v>
      </c>
      <c r="E87" s="39" t="s">
        <v>774</v>
      </c>
      <c r="F87" s="39" t="s">
        <v>815</v>
      </c>
      <c r="G87" s="40">
        <v>35810</v>
      </c>
      <c r="H87" s="41">
        <v>17500</v>
      </c>
    </row>
    <row r="88" spans="1:8" x14ac:dyDescent="0.3">
      <c r="A88" s="39">
        <v>87</v>
      </c>
      <c r="B88" s="39" t="s">
        <v>963</v>
      </c>
      <c r="C88" s="39" t="s">
        <v>964</v>
      </c>
      <c r="D88" s="39" t="s">
        <v>787</v>
      </c>
      <c r="E88" s="39" t="s">
        <v>783</v>
      </c>
      <c r="F88" s="39" t="s">
        <v>784</v>
      </c>
      <c r="G88" s="40">
        <v>35811</v>
      </c>
      <c r="H88" s="41">
        <v>17500</v>
      </c>
    </row>
    <row r="89" spans="1:8" x14ac:dyDescent="0.3">
      <c r="A89" s="39">
        <v>88</v>
      </c>
      <c r="B89" s="39" t="s">
        <v>965</v>
      </c>
      <c r="C89" s="39" t="s">
        <v>966</v>
      </c>
      <c r="D89" s="39" t="s">
        <v>787</v>
      </c>
      <c r="E89" s="39" t="s">
        <v>799</v>
      </c>
      <c r="F89" s="39" t="s">
        <v>800</v>
      </c>
      <c r="G89" s="40">
        <v>35794</v>
      </c>
      <c r="H89" s="41">
        <v>7875</v>
      </c>
    </row>
    <row r="90" spans="1:8" x14ac:dyDescent="0.3">
      <c r="A90" s="39">
        <v>89</v>
      </c>
      <c r="B90" s="39" t="s">
        <v>967</v>
      </c>
      <c r="C90" s="39" t="s">
        <v>968</v>
      </c>
      <c r="D90" s="39" t="s">
        <v>667</v>
      </c>
      <c r="E90" s="39" t="s">
        <v>774</v>
      </c>
      <c r="F90" s="39" t="s">
        <v>878</v>
      </c>
      <c r="G90" s="40">
        <v>28907</v>
      </c>
      <c r="H90" s="41">
        <v>22750</v>
      </c>
    </row>
    <row r="91" spans="1:8" x14ac:dyDescent="0.3">
      <c r="A91" s="39">
        <v>90</v>
      </c>
      <c r="B91" s="39" t="s">
        <v>969</v>
      </c>
      <c r="C91" s="39" t="s">
        <v>891</v>
      </c>
      <c r="D91" s="39" t="s">
        <v>791</v>
      </c>
      <c r="E91" s="39" t="s">
        <v>774</v>
      </c>
      <c r="F91" s="39" t="s">
        <v>827</v>
      </c>
      <c r="G91" s="40">
        <v>29226</v>
      </c>
      <c r="H91" s="41">
        <v>22750</v>
      </c>
    </row>
    <row r="92" spans="1:8" x14ac:dyDescent="0.3">
      <c r="A92" s="39">
        <v>91</v>
      </c>
      <c r="B92" s="39" t="s">
        <v>970</v>
      </c>
      <c r="C92" s="39" t="s">
        <v>971</v>
      </c>
      <c r="D92" s="39" t="s">
        <v>667</v>
      </c>
      <c r="E92" s="39" t="s">
        <v>778</v>
      </c>
      <c r="F92" s="39" t="s">
        <v>818</v>
      </c>
      <c r="G92" s="40">
        <v>29172</v>
      </c>
      <c r="H92" s="41">
        <v>22750</v>
      </c>
    </row>
    <row r="93" spans="1:8" x14ac:dyDescent="0.3">
      <c r="A93" s="39">
        <v>92</v>
      </c>
      <c r="B93" s="39" t="s">
        <v>972</v>
      </c>
      <c r="C93" s="39" t="s">
        <v>973</v>
      </c>
      <c r="D93" s="39" t="s">
        <v>787</v>
      </c>
      <c r="E93" s="39" t="s">
        <v>778</v>
      </c>
      <c r="F93" s="39" t="s">
        <v>909</v>
      </c>
      <c r="G93" s="40">
        <v>32603</v>
      </c>
      <c r="H93" s="41">
        <v>17325</v>
      </c>
    </row>
    <row r="94" spans="1:8" x14ac:dyDescent="0.3">
      <c r="A94" s="39">
        <v>93</v>
      </c>
      <c r="B94" s="39" t="s">
        <v>974</v>
      </c>
      <c r="C94" s="39" t="s">
        <v>829</v>
      </c>
      <c r="D94" s="39" t="s">
        <v>667</v>
      </c>
      <c r="E94" s="39" t="s">
        <v>783</v>
      </c>
      <c r="F94" s="39" t="s">
        <v>853</v>
      </c>
      <c r="G94" s="40">
        <v>32604</v>
      </c>
      <c r="H94" s="41">
        <v>17325</v>
      </c>
    </row>
    <row r="95" spans="1:8" x14ac:dyDescent="0.3">
      <c r="A95" s="39">
        <v>94</v>
      </c>
      <c r="B95" s="39" t="s">
        <v>975</v>
      </c>
      <c r="C95" s="39" t="s">
        <v>976</v>
      </c>
      <c r="D95" s="39" t="s">
        <v>787</v>
      </c>
      <c r="E95" s="39" t="s">
        <v>799</v>
      </c>
      <c r="F95" s="39" t="s">
        <v>873</v>
      </c>
      <c r="G95" s="40">
        <v>32605</v>
      </c>
      <c r="H95" s="41">
        <v>17325</v>
      </c>
    </row>
    <row r="96" spans="1:8" x14ac:dyDescent="0.3">
      <c r="A96" s="39">
        <v>95</v>
      </c>
      <c r="B96" s="39" t="s">
        <v>977</v>
      </c>
      <c r="C96" s="39" t="s">
        <v>869</v>
      </c>
      <c r="D96" s="39" t="s">
        <v>787</v>
      </c>
      <c r="E96" s="39" t="s">
        <v>783</v>
      </c>
      <c r="F96" s="39" t="s">
        <v>853</v>
      </c>
      <c r="G96" s="40">
        <v>32606</v>
      </c>
      <c r="H96" s="41">
        <v>17325</v>
      </c>
    </row>
    <row r="97" spans="1:8" x14ac:dyDescent="0.3">
      <c r="A97" s="39">
        <v>96</v>
      </c>
      <c r="B97" s="39" t="s">
        <v>785</v>
      </c>
      <c r="C97" s="39" t="s">
        <v>781</v>
      </c>
      <c r="D97" s="39" t="s">
        <v>791</v>
      </c>
      <c r="E97" s="39" t="s">
        <v>799</v>
      </c>
      <c r="F97" s="39" t="s">
        <v>906</v>
      </c>
      <c r="G97" s="40">
        <v>32607</v>
      </c>
      <c r="H97" s="41">
        <v>17325</v>
      </c>
    </row>
    <row r="98" spans="1:8" x14ac:dyDescent="0.3">
      <c r="A98" s="39">
        <v>97</v>
      </c>
      <c r="B98" s="39" t="s">
        <v>978</v>
      </c>
      <c r="C98" s="39" t="s">
        <v>979</v>
      </c>
      <c r="D98" s="39" t="s">
        <v>791</v>
      </c>
      <c r="E98" s="39" t="s">
        <v>783</v>
      </c>
      <c r="F98" s="39" t="s">
        <v>922</v>
      </c>
      <c r="G98" s="40">
        <v>32608</v>
      </c>
      <c r="H98" s="41">
        <v>17325</v>
      </c>
    </row>
    <row r="99" spans="1:8" x14ac:dyDescent="0.3">
      <c r="A99" s="39">
        <v>98</v>
      </c>
      <c r="B99" s="39" t="s">
        <v>980</v>
      </c>
      <c r="C99" s="39" t="s">
        <v>981</v>
      </c>
      <c r="D99" s="39" t="s">
        <v>865</v>
      </c>
      <c r="E99" s="39" t="s">
        <v>774</v>
      </c>
      <c r="F99" s="39" t="s">
        <v>788</v>
      </c>
      <c r="G99" s="40">
        <v>32609</v>
      </c>
      <c r="H99" s="41">
        <v>17325</v>
      </c>
    </row>
    <row r="100" spans="1:8" x14ac:dyDescent="0.3">
      <c r="A100" s="39">
        <v>99</v>
      </c>
      <c r="B100" s="39" t="s">
        <v>982</v>
      </c>
      <c r="C100" s="39" t="s">
        <v>931</v>
      </c>
      <c r="D100" s="39" t="s">
        <v>812</v>
      </c>
      <c r="E100" s="39" t="s">
        <v>799</v>
      </c>
      <c r="F100" s="39" t="s">
        <v>856</v>
      </c>
      <c r="G100" s="40">
        <v>35794</v>
      </c>
      <c r="H100" s="41">
        <v>10500</v>
      </c>
    </row>
    <row r="101" spans="1:8" x14ac:dyDescent="0.3">
      <c r="A101" s="39">
        <v>100</v>
      </c>
      <c r="B101" s="39" t="s">
        <v>983</v>
      </c>
      <c r="C101" s="39" t="s">
        <v>984</v>
      </c>
      <c r="D101" s="39" t="s">
        <v>812</v>
      </c>
      <c r="E101" s="39" t="s">
        <v>783</v>
      </c>
      <c r="F101" s="39" t="s">
        <v>784</v>
      </c>
      <c r="G101" s="40">
        <v>36193</v>
      </c>
      <c r="H101" s="41">
        <v>7875</v>
      </c>
    </row>
    <row r="102" spans="1:8" x14ac:dyDescent="0.3">
      <c r="A102" s="42">
        <v>120</v>
      </c>
      <c r="B102" s="42" t="s">
        <v>985</v>
      </c>
      <c r="C102" s="42" t="s">
        <v>984</v>
      </c>
      <c r="D102" s="42" t="s">
        <v>812</v>
      </c>
      <c r="E102" s="42" t="s">
        <v>783</v>
      </c>
      <c r="F102" s="42" t="s">
        <v>784</v>
      </c>
      <c r="G102" s="43">
        <v>36193</v>
      </c>
      <c r="H102" s="28">
        <v>7875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Customer Details</vt:lpstr>
      <vt:lpstr>Support Data</vt:lpstr>
      <vt:lpstr>Sales Details</vt:lpstr>
      <vt:lpstr>Pivots</vt:lpstr>
      <vt:lpstr>Charts</vt:lpstr>
      <vt:lpstr>Descriptive Analysis</vt:lpstr>
      <vt:lpstr>Prescriptive Analysis</vt:lpstr>
      <vt:lpstr>Forecast sheet</vt:lpstr>
      <vt:lpstr>Prob-BINOM</vt:lpstr>
      <vt:lpstr>Rental Regression Analysis</vt:lpstr>
      <vt:lpstr>Correlation coefficient </vt:lpstr>
      <vt:lpstr>Survey Confidence Intervals</vt:lpstr>
      <vt:lpstr>What if Analysis</vt:lpstr>
      <vt:lpstr>Probability-BINOM-NormalDist</vt:lpstr>
      <vt:lpstr>Probability Distribution</vt:lpstr>
      <vt:lpstr>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Dani</dc:creator>
  <cp:lastModifiedBy>Omsai Alladwar</cp:lastModifiedBy>
  <dcterms:created xsi:type="dcterms:W3CDTF">2022-07-30T04:25:45Z</dcterms:created>
  <dcterms:modified xsi:type="dcterms:W3CDTF">2025-12-27T10:17:48Z</dcterms:modified>
</cp:coreProperties>
</file>