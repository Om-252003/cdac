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drawings/drawing3.xml" ContentType="application/vnd.openxmlformats-officedocument.drawing+xml"/>
  <Override PartName="/xl/charts/chart7.xml" ContentType="application/vnd.openxmlformats-officedocument.drawingml.chart+xml"/>
  <Override PartName="/xl/customProperty13.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D:\cdac\13 Excel\Day 2\"/>
    </mc:Choice>
  </mc:AlternateContent>
  <xr:revisionPtr revIDLastSave="0" documentId="13_ncr:1_{FE15F9CF-C1D1-4DF2-B7BE-AF06BABF4F83}" xr6:coauthVersionLast="47" xr6:coauthVersionMax="47" xr10:uidLastSave="{00000000-0000-0000-0000-000000000000}"/>
  <bookViews>
    <workbookView xWindow="-108" yWindow="-108" windowWidth="23256" windowHeight="13176" tabRatio="863" xr2:uid="{00000000-000D-0000-FFFF-FFFF00000000}"/>
  </bookViews>
  <sheets>
    <sheet name="Logical Calc" sheetId="11" r:id="rId1"/>
    <sheet name="Simple Calc" sheetId="15" r:id="rId2"/>
    <sheet name="Supported Data" sheetId="30" r:id="rId3"/>
    <sheet name="Report" sheetId="31" r:id="rId4"/>
    <sheet name="Report with slicer" sheetId="33" r:id="rId5"/>
    <sheet name="Dashboard" sheetId="32" r:id="rId6"/>
    <sheet name="Masterdata" sheetId="18" r:id="rId7"/>
    <sheet name="Vlookup-Match" sheetId="6" r:id="rId8"/>
    <sheet name="Vlookup-Index-match" sheetId="28" r:id="rId9"/>
    <sheet name="Financial Functions" sheetId="16" r:id="rId10"/>
    <sheet name="Functions" sheetId="17" r:id="rId11"/>
    <sheet name="Shortcuts" sheetId="10" r:id="rId12"/>
    <sheet name="Charts" sheetId="29" r:id="rId13"/>
    <sheet name="What if Analysis" sheetId="24" r:id="rId14"/>
    <sheet name="Analysis" sheetId="27" r:id="rId15"/>
    <sheet name="Forcast_trendLine" sheetId="25" r:id="rId16"/>
    <sheet name="Regression" sheetId="26" r:id="rId17"/>
  </sheets>
  <definedNames>
    <definedName name="_xlnm._FilterDatabase" localSheetId="0" hidden="1">'Logical Calc'!$A$4:$M$22</definedName>
    <definedName name="_xlnm._FilterDatabase" localSheetId="6" hidden="1">Masterdata!$A$1:$M$101</definedName>
    <definedName name="_xlnm._FilterDatabase" localSheetId="1" hidden="1">'Simple Calc'!$A$16:$H$116</definedName>
    <definedName name="anscount" hidden="1">1</definedName>
    <definedName name="limcount" hidden="1">1</definedName>
    <definedName name="sencount" hidden="1">1</definedName>
    <definedName name="Slicer_Branch">#N/A</definedName>
    <definedName name="Slicer_Region">#N/A</definedName>
    <definedName name="solver_adj" localSheetId="15" hidden="1">Forcast_trendLine!#REF!,Forcast_trendLine!#REF!</definedName>
    <definedName name="solver_cvg" localSheetId="15" hidden="1">0.0001</definedName>
    <definedName name="solver_drv" localSheetId="15" hidden="1">1</definedName>
    <definedName name="solver_est" localSheetId="15" hidden="1">1</definedName>
    <definedName name="solver_itr" localSheetId="15" hidden="1">100</definedName>
    <definedName name="solver_lhs1" localSheetId="15" hidden="1">Forcast_trendLine!#REF!</definedName>
    <definedName name="solver_lin" localSheetId="15" hidden="1">2</definedName>
    <definedName name="solver_neg" localSheetId="15" hidden="1">2</definedName>
    <definedName name="solver_num" localSheetId="15" hidden="1">1</definedName>
    <definedName name="solver_nwt" localSheetId="15" hidden="1">1</definedName>
    <definedName name="solver_opt" localSheetId="15" hidden="1">Forcast_trendLine!#REF!</definedName>
    <definedName name="solver_pre" localSheetId="15" hidden="1">0.000001</definedName>
    <definedName name="solver_rel1" localSheetId="15" hidden="1">2</definedName>
    <definedName name="solver_rhs1" localSheetId="15" hidden="1">150000</definedName>
    <definedName name="solver_scl" localSheetId="15" hidden="1">2</definedName>
    <definedName name="solver_sho" localSheetId="15" hidden="1">2</definedName>
    <definedName name="solver_tim" localSheetId="15" hidden="1">100</definedName>
    <definedName name="solver_tol" localSheetId="15" hidden="1">0.05</definedName>
    <definedName name="solver_typ" localSheetId="15" hidden="1">3</definedName>
    <definedName name="solver_val" localSheetId="15" hidden="1">-500000</definedName>
    <definedName name="wrn.Monthly." localSheetId="16" hidden="1">{"c",#N/A,FALSE,"Scenarios";"a",#N/A,FALSE,"Scenarios";#N/A,#N/A,FALSE,"if cond"}</definedName>
    <definedName name="wrn.Monthly." hidden="1">{"c",#N/A,FALSE,"Scenarios";"a",#N/A,FALSE,"Scenarios";#N/A,#N/A,FALSE,"if cond"}</definedName>
    <definedName name="wrn.Weekly." localSheetId="16" hidden="1">{"c",#N/A,FALSE,"Scenarios";"b",#N/A,FALSE,"Scenarios";#N/A,#N/A,FALSE,"Inc"}</definedName>
    <definedName name="wrn.Weekly." hidden="1">{"c",#N/A,FALSE,"Scenarios";"b",#N/A,FALSE,"Scenarios";#N/A,#N/A,FALSE,"Inc"}</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V15" i="28" l="1"/>
  <c r="W15" i="28"/>
  <c r="V16" i="28"/>
  <c r="W16" i="28"/>
  <c r="V17" i="28"/>
  <c r="W17" i="28"/>
  <c r="V18" i="28"/>
  <c r="W18" i="28"/>
  <c r="V19" i="28"/>
  <c r="W19" i="28"/>
  <c r="U16" i="28"/>
  <c r="U17" i="28"/>
  <c r="U18" i="28"/>
  <c r="U19" i="28"/>
  <c r="U15" i="28"/>
  <c r="M16" i="28"/>
  <c r="N16" i="28"/>
  <c r="M17" i="28"/>
  <c r="N17" i="28"/>
  <c r="M18" i="28"/>
  <c r="N18" i="28"/>
  <c r="M19" i="28"/>
  <c r="N19" i="28"/>
  <c r="N15" i="28"/>
  <c r="K16" i="28"/>
  <c r="L16" i="28"/>
  <c r="K17" i="28"/>
  <c r="L17" i="28"/>
  <c r="K18" i="28"/>
  <c r="L18" i="28"/>
  <c r="K19" i="28"/>
  <c r="L19" i="28"/>
  <c r="L15" i="28"/>
  <c r="M15" i="28"/>
  <c r="K15" i="28"/>
  <c r="C15" i="28"/>
  <c r="N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2" i="18"/>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1" i="18"/>
  <c r="N92" i="18"/>
  <c r="N93" i="18"/>
  <c r="N94" i="18"/>
  <c r="N95" i="18"/>
  <c r="N96" i="18"/>
  <c r="N97" i="18"/>
  <c r="N98" i="18"/>
  <c r="N99" i="18"/>
  <c r="N100" i="18"/>
  <c r="N101"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2" i="18"/>
  <c r="B5" i="6"/>
  <c r="B7" i="6"/>
  <c r="B9" i="6"/>
  <c r="B11" i="6"/>
  <c r="W17" i="15"/>
  <c r="W18" i="15"/>
  <c r="W19" i="15"/>
  <c r="W20" i="15"/>
  <c r="W21" i="15"/>
  <c r="W22" i="15"/>
  <c r="W23" i="15"/>
  <c r="W24" i="15"/>
  <c r="W25" i="15"/>
  <c r="W26" i="15"/>
  <c r="W27" i="15"/>
  <c r="W28" i="15"/>
  <c r="W29" i="15"/>
  <c r="W30" i="15"/>
  <c r="W31" i="15"/>
  <c r="W32" i="15"/>
  <c r="W33" i="15"/>
  <c r="W34" i="15"/>
  <c r="W35" i="15"/>
  <c r="W36" i="15"/>
  <c r="W37" i="15"/>
  <c r="W38" i="15"/>
  <c r="W39" i="15"/>
  <c r="W40" i="15"/>
  <c r="W41" i="15"/>
  <c r="W42" i="15"/>
  <c r="W43" i="15"/>
  <c r="W44" i="15"/>
  <c r="W45" i="15"/>
  <c r="W46" i="15"/>
  <c r="W47" i="15"/>
  <c r="W48" i="15"/>
  <c r="W49" i="15"/>
  <c r="W50" i="15"/>
  <c r="W51" i="15"/>
  <c r="W52" i="15"/>
  <c r="W53" i="15"/>
  <c r="W54" i="15"/>
  <c r="W55" i="15"/>
  <c r="W56" i="15"/>
  <c r="W57" i="15"/>
  <c r="W58" i="15"/>
  <c r="W59" i="15"/>
  <c r="W60" i="15"/>
  <c r="W61" i="15"/>
  <c r="W62" i="15"/>
  <c r="W63" i="15"/>
  <c r="W64" i="15"/>
  <c r="W65" i="15"/>
  <c r="W66" i="15"/>
  <c r="W67" i="15"/>
  <c r="W68" i="15"/>
  <c r="W69" i="15"/>
  <c r="W70" i="15"/>
  <c r="W71" i="15"/>
  <c r="W72" i="15"/>
  <c r="W73" i="15"/>
  <c r="W74" i="15"/>
  <c r="W75" i="15"/>
  <c r="W76" i="15"/>
  <c r="W77" i="15"/>
  <c r="W78" i="15"/>
  <c r="W79" i="15"/>
  <c r="W80" i="15"/>
  <c r="W81" i="15"/>
  <c r="W82" i="15"/>
  <c r="W83" i="15"/>
  <c r="W84" i="15"/>
  <c r="W85" i="15"/>
  <c r="W86" i="15"/>
  <c r="W87" i="15"/>
  <c r="W88" i="15"/>
  <c r="W89" i="15"/>
  <c r="W90" i="15"/>
  <c r="W91" i="15"/>
  <c r="W92" i="15"/>
  <c r="W93" i="15"/>
  <c r="W94" i="15"/>
  <c r="W95" i="15"/>
  <c r="W96" i="15"/>
  <c r="W97" i="15"/>
  <c r="W98" i="15"/>
  <c r="W99" i="15"/>
  <c r="W100" i="15"/>
  <c r="W101" i="15"/>
  <c r="W102" i="15"/>
  <c r="W103" i="15"/>
  <c r="W104" i="15"/>
  <c r="W105" i="15"/>
  <c r="W106" i="15"/>
  <c r="W107" i="15"/>
  <c r="W108" i="15"/>
  <c r="W109" i="15"/>
  <c r="W110" i="15"/>
  <c r="W111" i="15"/>
  <c r="W112" i="15"/>
  <c r="W113" i="15"/>
  <c r="W114" i="15"/>
  <c r="W115" i="15"/>
  <c r="W1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U106" i="15"/>
  <c r="U107" i="15"/>
  <c r="U108" i="15"/>
  <c r="U109" i="15"/>
  <c r="U110" i="15"/>
  <c r="U111" i="15"/>
  <c r="U112" i="15"/>
  <c r="U113" i="15"/>
  <c r="U114" i="15"/>
  <c r="U115" i="15"/>
  <c r="U1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H20" i="11"/>
  <c r="H21" i="11"/>
  <c r="M14" i="11"/>
  <c r="M13" i="11"/>
  <c r="M12" i="11"/>
  <c r="M11" i="11"/>
  <c r="M10" i="11"/>
  <c r="M9" i="11"/>
  <c r="M8" i="11"/>
  <c r="M7" i="11"/>
  <c r="M6" i="11"/>
  <c r="M5" i="11"/>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P17" i="15"/>
  <c r="S17" i="15" s="1"/>
  <c r="P18" i="15"/>
  <c r="S18" i="15" s="1"/>
  <c r="P19" i="15"/>
  <c r="S19" i="15" s="1"/>
  <c r="P20" i="15"/>
  <c r="S20" i="15" s="1"/>
  <c r="P21" i="15"/>
  <c r="S21" i="15" s="1"/>
  <c r="P22" i="15"/>
  <c r="S22" i="15" s="1"/>
  <c r="P23" i="15"/>
  <c r="S23" i="15" s="1"/>
  <c r="P24" i="15"/>
  <c r="S24" i="15" s="1"/>
  <c r="P25" i="15"/>
  <c r="S25" i="15" s="1"/>
  <c r="P26" i="15"/>
  <c r="S26" i="15" s="1"/>
  <c r="P27" i="15"/>
  <c r="S27" i="15" s="1"/>
  <c r="P28" i="15"/>
  <c r="S28" i="15" s="1"/>
  <c r="P29" i="15"/>
  <c r="S29" i="15" s="1"/>
  <c r="P30" i="15"/>
  <c r="S30" i="15" s="1"/>
  <c r="P31" i="15"/>
  <c r="S31" i="15" s="1"/>
  <c r="P32" i="15"/>
  <c r="S32" i="15" s="1"/>
  <c r="P33" i="15"/>
  <c r="S33" i="15" s="1"/>
  <c r="P34" i="15"/>
  <c r="S34" i="15" s="1"/>
  <c r="P35" i="15"/>
  <c r="S35" i="15" s="1"/>
  <c r="P36" i="15"/>
  <c r="S36" i="15" s="1"/>
  <c r="P37" i="15"/>
  <c r="S37" i="15" s="1"/>
  <c r="P38" i="15"/>
  <c r="S38" i="15" s="1"/>
  <c r="P39" i="15"/>
  <c r="S39" i="15" s="1"/>
  <c r="P40" i="15"/>
  <c r="S40" i="15" s="1"/>
  <c r="P41" i="15"/>
  <c r="S41" i="15" s="1"/>
  <c r="P42" i="15"/>
  <c r="S42" i="15" s="1"/>
  <c r="P43" i="15"/>
  <c r="S43" i="15" s="1"/>
  <c r="P44" i="15"/>
  <c r="S44" i="15" s="1"/>
  <c r="P45" i="15"/>
  <c r="S45" i="15" s="1"/>
  <c r="P46" i="15"/>
  <c r="S46" i="15" s="1"/>
  <c r="P47" i="15"/>
  <c r="S47" i="15" s="1"/>
  <c r="P48" i="15"/>
  <c r="S48" i="15" s="1"/>
  <c r="P49" i="15"/>
  <c r="S49" i="15" s="1"/>
  <c r="P50" i="15"/>
  <c r="S50" i="15" s="1"/>
  <c r="P51" i="15"/>
  <c r="S51" i="15" s="1"/>
  <c r="P52" i="15"/>
  <c r="S52" i="15" s="1"/>
  <c r="P53" i="15"/>
  <c r="S53" i="15" s="1"/>
  <c r="P54" i="15"/>
  <c r="S54" i="15" s="1"/>
  <c r="P55" i="15"/>
  <c r="S55" i="15" s="1"/>
  <c r="P56" i="15"/>
  <c r="S56" i="15" s="1"/>
  <c r="P57" i="15"/>
  <c r="S57" i="15" s="1"/>
  <c r="P58" i="15"/>
  <c r="S58" i="15" s="1"/>
  <c r="P59" i="15"/>
  <c r="S59" i="15" s="1"/>
  <c r="P60" i="15"/>
  <c r="S60" i="15" s="1"/>
  <c r="P61" i="15"/>
  <c r="S61" i="15" s="1"/>
  <c r="P62" i="15"/>
  <c r="S62" i="15" s="1"/>
  <c r="P63" i="15"/>
  <c r="S63" i="15" s="1"/>
  <c r="P64" i="15"/>
  <c r="S64" i="15" s="1"/>
  <c r="P65" i="15"/>
  <c r="S65" i="15" s="1"/>
  <c r="P66" i="15"/>
  <c r="S66" i="15" s="1"/>
  <c r="P67" i="15"/>
  <c r="S67" i="15" s="1"/>
  <c r="P68" i="15"/>
  <c r="S68" i="15" s="1"/>
  <c r="P69" i="15"/>
  <c r="S69" i="15" s="1"/>
  <c r="P70" i="15"/>
  <c r="S70" i="15" s="1"/>
  <c r="P71" i="15"/>
  <c r="S71" i="15" s="1"/>
  <c r="P72" i="15"/>
  <c r="S72" i="15" s="1"/>
  <c r="P73" i="15"/>
  <c r="S73" i="15" s="1"/>
  <c r="P74" i="15"/>
  <c r="S74" i="15" s="1"/>
  <c r="P75" i="15"/>
  <c r="S75" i="15" s="1"/>
  <c r="P76" i="15"/>
  <c r="S76" i="15" s="1"/>
  <c r="P77" i="15"/>
  <c r="S77" i="15" s="1"/>
  <c r="P78" i="15"/>
  <c r="S78" i="15" s="1"/>
  <c r="P79" i="15"/>
  <c r="S79" i="15" s="1"/>
  <c r="P80" i="15"/>
  <c r="S80" i="15" s="1"/>
  <c r="P81" i="15"/>
  <c r="S81" i="15" s="1"/>
  <c r="P82" i="15"/>
  <c r="S82" i="15" s="1"/>
  <c r="P83" i="15"/>
  <c r="S83" i="15" s="1"/>
  <c r="P84" i="15"/>
  <c r="S84" i="15" s="1"/>
  <c r="P85" i="15"/>
  <c r="S85" i="15" s="1"/>
  <c r="P86" i="15"/>
  <c r="S86" i="15" s="1"/>
  <c r="P87" i="15"/>
  <c r="S87" i="15" s="1"/>
  <c r="P88" i="15"/>
  <c r="S88" i="15" s="1"/>
  <c r="P89" i="15"/>
  <c r="S89" i="15" s="1"/>
  <c r="P90" i="15"/>
  <c r="S90" i="15" s="1"/>
  <c r="P91" i="15"/>
  <c r="S91" i="15" s="1"/>
  <c r="P92" i="15"/>
  <c r="S92" i="15" s="1"/>
  <c r="P93" i="15"/>
  <c r="S93" i="15" s="1"/>
  <c r="P94" i="15"/>
  <c r="S94" i="15" s="1"/>
  <c r="P95" i="15"/>
  <c r="S95" i="15" s="1"/>
  <c r="P96" i="15"/>
  <c r="S96" i="15" s="1"/>
  <c r="P97" i="15"/>
  <c r="S97" i="15" s="1"/>
  <c r="P98" i="15"/>
  <c r="S98" i="15" s="1"/>
  <c r="P99" i="15"/>
  <c r="S99" i="15" s="1"/>
  <c r="P100" i="15"/>
  <c r="S100" i="15" s="1"/>
  <c r="P101" i="15"/>
  <c r="S101" i="15" s="1"/>
  <c r="P102" i="15"/>
  <c r="S102" i="15" s="1"/>
  <c r="P103" i="15"/>
  <c r="S103" i="15" s="1"/>
  <c r="P104" i="15"/>
  <c r="S104" i="15" s="1"/>
  <c r="P105" i="15"/>
  <c r="S105" i="15" s="1"/>
  <c r="P106" i="15"/>
  <c r="S106" i="15" s="1"/>
  <c r="P107" i="15"/>
  <c r="S107" i="15" s="1"/>
  <c r="P108" i="15"/>
  <c r="S108" i="15" s="1"/>
  <c r="P109" i="15"/>
  <c r="S109" i="15" s="1"/>
  <c r="P110" i="15"/>
  <c r="S110" i="15" s="1"/>
  <c r="P111" i="15"/>
  <c r="S111" i="15" s="1"/>
  <c r="P112" i="15"/>
  <c r="S112" i="15" s="1"/>
  <c r="P113" i="15"/>
  <c r="S113" i="15" s="1"/>
  <c r="P114" i="15"/>
  <c r="S114" i="15" s="1"/>
  <c r="P115" i="15"/>
  <c r="S115" i="15" s="1"/>
  <c r="P116" i="15"/>
  <c r="S116" i="15" s="1"/>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H7" i="15"/>
  <c r="H6" i="15"/>
  <c r="H5" i="15"/>
  <c r="H4" i="15"/>
  <c r="F5" i="15"/>
  <c r="G7" i="15"/>
  <c r="F7" i="15"/>
  <c r="G6" i="15"/>
  <c r="F6" i="15"/>
  <c r="G5" i="15"/>
  <c r="G4" i="15"/>
  <c r="F4" i="15"/>
  <c r="E5" i="15"/>
  <c r="E6" i="15"/>
  <c r="E7" i="15"/>
  <c r="E4" i="15"/>
  <c r="H22" i="11"/>
  <c r="B10" i="15"/>
  <c r="B9" i="15"/>
  <c r="B6" i="15"/>
  <c r="B2" i="15"/>
  <c r="B5" i="15"/>
  <c r="B4" i="15"/>
  <c r="B3"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J18" i="15"/>
  <c r="K18" i="15"/>
  <c r="J19" i="15"/>
  <c r="K19" i="15"/>
  <c r="J20" i="15"/>
  <c r="K20" i="15"/>
  <c r="J21" i="15"/>
  <c r="K21" i="15"/>
  <c r="J22" i="15"/>
  <c r="K22" i="15"/>
  <c r="J23" i="15"/>
  <c r="K23" i="15"/>
  <c r="J24" i="15"/>
  <c r="K24" i="15"/>
  <c r="J25" i="15"/>
  <c r="K25" i="15"/>
  <c r="J26" i="15"/>
  <c r="K26" i="15"/>
  <c r="J27" i="15"/>
  <c r="K27" i="15"/>
  <c r="J28" i="15"/>
  <c r="K28" i="15"/>
  <c r="J29" i="15"/>
  <c r="K29" i="15"/>
  <c r="J30" i="15"/>
  <c r="K30" i="15"/>
  <c r="J31" i="15"/>
  <c r="K31" i="15"/>
  <c r="J32" i="15"/>
  <c r="K32" i="15"/>
  <c r="J33" i="15"/>
  <c r="K33" i="15"/>
  <c r="J34" i="15"/>
  <c r="K34" i="15"/>
  <c r="J35" i="15"/>
  <c r="K35" i="15"/>
  <c r="J36" i="15"/>
  <c r="K36" i="15"/>
  <c r="J37" i="15"/>
  <c r="K37" i="15"/>
  <c r="J38" i="15"/>
  <c r="K38" i="15"/>
  <c r="J39" i="15"/>
  <c r="K39" i="15"/>
  <c r="J40" i="15"/>
  <c r="K40" i="15"/>
  <c r="J41" i="15"/>
  <c r="K41" i="15"/>
  <c r="J42" i="15"/>
  <c r="K42" i="15"/>
  <c r="J43" i="15"/>
  <c r="K43" i="15"/>
  <c r="J44" i="15"/>
  <c r="K44" i="15"/>
  <c r="J45" i="15"/>
  <c r="K45" i="15"/>
  <c r="J46" i="15"/>
  <c r="K46" i="15"/>
  <c r="J47" i="15"/>
  <c r="K47" i="15"/>
  <c r="J48" i="15"/>
  <c r="K48" i="15"/>
  <c r="J49" i="15"/>
  <c r="K49" i="15"/>
  <c r="J50" i="15"/>
  <c r="K50" i="15"/>
  <c r="J51" i="15"/>
  <c r="K51" i="15"/>
  <c r="J52" i="15"/>
  <c r="K52" i="15"/>
  <c r="J53" i="15"/>
  <c r="K53" i="15"/>
  <c r="J54" i="15"/>
  <c r="K54" i="15"/>
  <c r="J55" i="15"/>
  <c r="K55" i="15"/>
  <c r="J56" i="15"/>
  <c r="K56" i="15"/>
  <c r="J57" i="15"/>
  <c r="K57" i="15"/>
  <c r="J58" i="15"/>
  <c r="K58" i="15"/>
  <c r="J59" i="15"/>
  <c r="K59" i="15"/>
  <c r="J60" i="15"/>
  <c r="K60" i="15"/>
  <c r="J61" i="15"/>
  <c r="K61" i="15"/>
  <c r="J62" i="15"/>
  <c r="K62" i="15"/>
  <c r="J63" i="15"/>
  <c r="K63" i="15"/>
  <c r="J64" i="15"/>
  <c r="K64" i="15"/>
  <c r="J65" i="15"/>
  <c r="K65" i="15"/>
  <c r="J66" i="15"/>
  <c r="K66" i="15"/>
  <c r="J67" i="15"/>
  <c r="K67" i="15"/>
  <c r="J68" i="15"/>
  <c r="K68" i="15"/>
  <c r="J69" i="15"/>
  <c r="K69" i="15"/>
  <c r="J70" i="15"/>
  <c r="K70" i="15"/>
  <c r="J71" i="15"/>
  <c r="K71" i="15"/>
  <c r="J72" i="15"/>
  <c r="K72" i="15"/>
  <c r="J73" i="15"/>
  <c r="K73" i="15"/>
  <c r="J74" i="15"/>
  <c r="K74" i="15"/>
  <c r="J75" i="15"/>
  <c r="K75" i="15"/>
  <c r="J76" i="15"/>
  <c r="K76" i="15"/>
  <c r="J77" i="15"/>
  <c r="K77" i="15"/>
  <c r="J78" i="15"/>
  <c r="K78" i="15"/>
  <c r="J79" i="15"/>
  <c r="K79" i="15"/>
  <c r="J80" i="15"/>
  <c r="K80" i="15"/>
  <c r="J81" i="15"/>
  <c r="K81" i="15"/>
  <c r="J82" i="15"/>
  <c r="K82" i="15"/>
  <c r="J83" i="15"/>
  <c r="K83" i="15"/>
  <c r="J84" i="15"/>
  <c r="K84" i="15"/>
  <c r="J85" i="15"/>
  <c r="K85" i="15"/>
  <c r="J86" i="15"/>
  <c r="K86" i="15"/>
  <c r="J87" i="15"/>
  <c r="K87" i="15"/>
  <c r="J88" i="15"/>
  <c r="K88" i="15"/>
  <c r="J89" i="15"/>
  <c r="K89" i="15"/>
  <c r="J90" i="15"/>
  <c r="K90" i="15"/>
  <c r="J91" i="15"/>
  <c r="K91" i="15"/>
  <c r="J92" i="15"/>
  <c r="K92" i="15"/>
  <c r="J93" i="15"/>
  <c r="K93" i="15"/>
  <c r="J94" i="15"/>
  <c r="K94" i="15"/>
  <c r="J95" i="15"/>
  <c r="K95" i="15"/>
  <c r="J96" i="15"/>
  <c r="K96" i="15"/>
  <c r="J97" i="15"/>
  <c r="K97" i="15"/>
  <c r="J98" i="15"/>
  <c r="K98" i="15"/>
  <c r="J99" i="15"/>
  <c r="K99" i="15"/>
  <c r="J100" i="15"/>
  <c r="K100" i="15"/>
  <c r="J101" i="15"/>
  <c r="K101" i="15"/>
  <c r="J102" i="15"/>
  <c r="K102" i="15"/>
  <c r="J103" i="15"/>
  <c r="K103" i="15"/>
  <c r="J104" i="15"/>
  <c r="K104" i="15"/>
  <c r="J105" i="15"/>
  <c r="K105" i="15"/>
  <c r="J106" i="15"/>
  <c r="K106" i="15"/>
  <c r="J107" i="15"/>
  <c r="K107" i="15"/>
  <c r="J108" i="15"/>
  <c r="K108" i="15"/>
  <c r="J109" i="15"/>
  <c r="K109" i="15"/>
  <c r="J110" i="15"/>
  <c r="K110" i="15"/>
  <c r="J111" i="15"/>
  <c r="K111" i="15"/>
  <c r="J112" i="15"/>
  <c r="K112" i="15"/>
  <c r="J113" i="15"/>
  <c r="K113" i="15"/>
  <c r="J114" i="15"/>
  <c r="K114" i="15"/>
  <c r="J115" i="15"/>
  <c r="K115" i="15"/>
  <c r="J116" i="15"/>
  <c r="K116" i="15"/>
  <c r="K17" i="15"/>
  <c r="J17" i="15"/>
  <c r="I17" i="15"/>
  <c r="H19" i="11"/>
  <c r="K5" i="11"/>
  <c r="L5" i="11" s="1"/>
  <c r="K14" i="11"/>
  <c r="K6" i="11"/>
  <c r="L6" i="11" s="1"/>
  <c r="K7" i="11"/>
  <c r="L7" i="11" s="1"/>
  <c r="K8" i="11"/>
  <c r="L8" i="11" s="1"/>
  <c r="K9" i="11"/>
  <c r="L9" i="11" s="1"/>
  <c r="K10" i="11"/>
  <c r="K11" i="11"/>
  <c r="K12" i="11"/>
  <c r="L12" i="11" s="1"/>
  <c r="K13" i="11"/>
  <c r="L13" i="11" s="1"/>
  <c r="J14" i="11"/>
  <c r="J13" i="11"/>
  <c r="J12" i="11"/>
  <c r="J11" i="11"/>
  <c r="J10" i="11"/>
  <c r="J9" i="11"/>
  <c r="J8" i="11"/>
  <c r="J7" i="11"/>
  <c r="J6" i="11"/>
  <c r="J5" i="11"/>
  <c r="I14" i="11"/>
  <c r="I13" i="11"/>
  <c r="I12" i="11"/>
  <c r="I11" i="11"/>
  <c r="I10" i="11"/>
  <c r="I9" i="11"/>
  <c r="I8" i="11"/>
  <c r="I7" i="11"/>
  <c r="I6" i="11"/>
  <c r="I5" i="11"/>
  <c r="H14" i="11"/>
  <c r="C18" i="11"/>
  <c r="E21" i="11"/>
  <c r="D21" i="11"/>
  <c r="E20" i="11"/>
  <c r="D20" i="11"/>
  <c r="E19" i="11"/>
  <c r="D19" i="11"/>
  <c r="E18" i="11"/>
  <c r="D18" i="11"/>
  <c r="E17" i="11"/>
  <c r="D17" i="11"/>
  <c r="D15" i="11"/>
  <c r="E15" i="11"/>
  <c r="C15" i="11"/>
  <c r="C21" i="11"/>
  <c r="C20" i="11"/>
  <c r="C19" i="11"/>
  <c r="C17" i="11"/>
  <c r="E16" i="11"/>
  <c r="C16" i="11"/>
  <c r="G6" i="11"/>
  <c r="H6" i="11" s="1"/>
  <c r="G7" i="11"/>
  <c r="H7" i="11" s="1"/>
  <c r="G8" i="11"/>
  <c r="H8" i="11" s="1"/>
  <c r="G9" i="11"/>
  <c r="H9" i="11" s="1"/>
  <c r="G10" i="11"/>
  <c r="H10" i="11" s="1"/>
  <c r="G11" i="11"/>
  <c r="H11" i="11" s="1"/>
  <c r="G12" i="11"/>
  <c r="H12" i="11" s="1"/>
  <c r="G13" i="11"/>
  <c r="H13" i="11" s="1"/>
  <c r="G14" i="11"/>
  <c r="G5" i="11"/>
  <c r="H5" i="11" s="1"/>
  <c r="F7" i="11"/>
  <c r="F8" i="11"/>
  <c r="F9" i="11"/>
  <c r="F10" i="11"/>
  <c r="F11" i="11"/>
  <c r="F12" i="11"/>
  <c r="F13" i="11"/>
  <c r="F14" i="11"/>
  <c r="F6" i="11"/>
  <c r="F5" i="11"/>
  <c r="C49" i="29"/>
  <c r="D49" i="29" s="1"/>
  <c r="B49" i="29"/>
  <c r="E49" i="29" s="1"/>
  <c r="C48" i="29"/>
  <c r="D48" i="29" s="1"/>
  <c r="B48" i="29"/>
  <c r="E48" i="29" s="1"/>
  <c r="C47" i="29"/>
  <c r="D47" i="29" s="1"/>
  <c r="B47" i="29"/>
  <c r="E47" i="29" s="1"/>
  <c r="C46" i="29"/>
  <c r="D46" i="29" s="1"/>
  <c r="B46" i="29"/>
  <c r="E46" i="29" s="1"/>
  <c r="E50" i="29" s="1"/>
  <c r="C38" i="29"/>
  <c r="D38" i="29" s="1"/>
  <c r="B30" i="29"/>
  <c r="D9" i="29"/>
  <c r="D8" i="29"/>
  <c r="D7" i="29"/>
  <c r="D6" i="29"/>
  <c r="D5" i="29"/>
  <c r="D4" i="29"/>
  <c r="F1" i="32"/>
  <c r="R115" i="15" l="1"/>
  <c r="R107" i="15"/>
  <c r="R99" i="15"/>
  <c r="R91" i="15"/>
  <c r="R83" i="15"/>
  <c r="R75" i="15"/>
  <c r="R67" i="15"/>
  <c r="R59" i="15"/>
  <c r="R51" i="15"/>
  <c r="R43" i="15"/>
  <c r="R35" i="15"/>
  <c r="R27" i="15"/>
  <c r="R19" i="15"/>
  <c r="R114" i="15"/>
  <c r="R106" i="15"/>
  <c r="R98" i="15"/>
  <c r="R90" i="15"/>
  <c r="R82" i="15"/>
  <c r="R74" i="15"/>
  <c r="R66" i="15"/>
  <c r="R58" i="15"/>
  <c r="R50" i="15"/>
  <c r="R42" i="15"/>
  <c r="R34" i="15"/>
  <c r="R26" i="15"/>
  <c r="R18" i="15"/>
  <c r="R113" i="15"/>
  <c r="R105" i="15"/>
  <c r="R97" i="15"/>
  <c r="R89" i="15"/>
  <c r="R81" i="15"/>
  <c r="R73" i="15"/>
  <c r="R65" i="15"/>
  <c r="R57" i="15"/>
  <c r="R49" i="15"/>
  <c r="R41" i="15"/>
  <c r="R33" i="15"/>
  <c r="R25" i="15"/>
  <c r="R17" i="15"/>
  <c r="R112" i="15"/>
  <c r="R104" i="15"/>
  <c r="R96" i="15"/>
  <c r="R88" i="15"/>
  <c r="R80" i="15"/>
  <c r="R72" i="15"/>
  <c r="R64" i="15"/>
  <c r="R56" i="15"/>
  <c r="R48" i="15"/>
  <c r="R40" i="15"/>
  <c r="R32" i="15"/>
  <c r="R24" i="15"/>
  <c r="R111" i="15"/>
  <c r="R103" i="15"/>
  <c r="R95" i="15"/>
  <c r="R87" i="15"/>
  <c r="R79" i="15"/>
  <c r="R71" i="15"/>
  <c r="R63" i="15"/>
  <c r="R55" i="15"/>
  <c r="R47" i="15"/>
  <c r="R39" i="15"/>
  <c r="R31" i="15"/>
  <c r="R23" i="15"/>
  <c r="R110" i="15"/>
  <c r="R102" i="15"/>
  <c r="R94" i="15"/>
  <c r="R86" i="15"/>
  <c r="R78" i="15"/>
  <c r="R70" i="15"/>
  <c r="R62" i="15"/>
  <c r="R54" i="15"/>
  <c r="R46" i="15"/>
  <c r="R38" i="15"/>
  <c r="R30" i="15"/>
  <c r="R22" i="15"/>
  <c r="R109" i="15"/>
  <c r="R101" i="15"/>
  <c r="R93" i="15"/>
  <c r="R85" i="15"/>
  <c r="R77" i="15"/>
  <c r="R69" i="15"/>
  <c r="R61" i="15"/>
  <c r="R53" i="15"/>
  <c r="R45" i="15"/>
  <c r="R37" i="15"/>
  <c r="R29" i="15"/>
  <c r="R21" i="15"/>
  <c r="R116" i="15"/>
  <c r="R108" i="15"/>
  <c r="R100" i="15"/>
  <c r="R92" i="15"/>
  <c r="R84" i="15"/>
  <c r="R76" i="15"/>
  <c r="R68" i="15"/>
  <c r="R60" i="15"/>
  <c r="R52" i="15"/>
  <c r="R44" i="15"/>
  <c r="R36" i="15"/>
  <c r="R28" i="15"/>
  <c r="R20" i="15"/>
  <c r="L10" i="11"/>
  <c r="L14" i="11"/>
  <c r="L11" i="11"/>
  <c r="B6" i="27"/>
  <c r="B8" i="27" l="1"/>
  <c r="B10" i="27" s="1"/>
  <c r="B12" i="27" s="1"/>
  <c r="C7" i="26" l="1"/>
  <c r="C6" i="26"/>
  <c r="C5" i="26"/>
  <c r="C4" i="26"/>
  <c r="C3" i="26"/>
  <c r="C2" i="26"/>
  <c r="B9" i="24"/>
  <c r="B10" i="24" l="1"/>
  <c r="B11" i="24" s="1"/>
  <c r="C55" i="17"/>
  <c r="C54" i="17"/>
  <c r="C53" i="17"/>
  <c r="C52" i="17"/>
  <c r="C48" i="17"/>
  <c r="C45" i="17"/>
  <c r="C44" i="17"/>
  <c r="C47" i="17" s="1"/>
  <c r="C43" i="17"/>
  <c r="C42" i="17"/>
  <c r="C41" i="17"/>
  <c r="C40" i="17"/>
  <c r="C39" i="17"/>
  <c r="C38" i="17"/>
  <c r="C34" i="17"/>
  <c r="C33" i="17"/>
  <c r="C32" i="17"/>
  <c r="C31" i="17"/>
  <c r="C27" i="17"/>
  <c r="C26" i="17"/>
  <c r="C25" i="17"/>
  <c r="C24" i="17"/>
  <c r="C23" i="17"/>
  <c r="C22" i="17"/>
  <c r="C21" i="17"/>
  <c r="C17" i="17"/>
  <c r="C15" i="17"/>
  <c r="C16" i="17" s="1"/>
  <c r="C14" i="17"/>
  <c r="C13" i="17"/>
  <c r="C12" i="17"/>
  <c r="C11" i="17"/>
  <c r="C10" i="17"/>
  <c r="C9" i="17"/>
  <c r="C8" i="17"/>
  <c r="C7" i="17"/>
  <c r="C6" i="17"/>
  <c r="C46" i="17" l="1"/>
</calcChain>
</file>

<file path=xl/sharedStrings.xml><?xml version="1.0" encoding="utf-8"?>
<sst xmlns="http://schemas.openxmlformats.org/spreadsheetml/2006/main" count="2395" uniqueCount="823">
  <si>
    <t>Empcode</t>
  </si>
  <si>
    <t>First Name</t>
  </si>
  <si>
    <t>Last Name</t>
  </si>
  <si>
    <t>Dept</t>
  </si>
  <si>
    <t>Region</t>
  </si>
  <si>
    <t>Hiredate</t>
  </si>
  <si>
    <t>Salary</t>
  </si>
  <si>
    <t>Beena</t>
  </si>
  <si>
    <t>Mavadia</t>
  </si>
  <si>
    <t>Mktg</t>
  </si>
  <si>
    <t>east</t>
  </si>
  <si>
    <t>Sujay</t>
  </si>
  <si>
    <t>Madhrani</t>
  </si>
  <si>
    <t>Finance</t>
  </si>
  <si>
    <t>Sheetal</t>
  </si>
  <si>
    <t>Desai</t>
  </si>
  <si>
    <t>Director</t>
  </si>
  <si>
    <t>Aakash</t>
  </si>
  <si>
    <t>Dixit</t>
  </si>
  <si>
    <t>CCD</t>
  </si>
  <si>
    <t>Suchita</t>
  </si>
  <si>
    <t>Panchal</t>
  </si>
  <si>
    <t>Rishi</t>
  </si>
  <si>
    <t>Malik</t>
  </si>
  <si>
    <t>Sales</t>
  </si>
  <si>
    <t>Giriraj</t>
  </si>
  <si>
    <t>Gupta</t>
  </si>
  <si>
    <t>R&amp;D</t>
  </si>
  <si>
    <t>Ankur</t>
  </si>
  <si>
    <t>Joshi</t>
  </si>
  <si>
    <t>Pooja</t>
  </si>
  <si>
    <t>Gokhale</t>
  </si>
  <si>
    <t>Piyush</t>
  </si>
  <si>
    <t>Surti</t>
  </si>
  <si>
    <t>Deepak</t>
  </si>
  <si>
    <t>Jain</t>
  </si>
  <si>
    <t>Vishal</t>
  </si>
  <si>
    <t>Virsinghani</t>
  </si>
  <si>
    <t>Lalita</t>
  </si>
  <si>
    <t>Rao</t>
  </si>
  <si>
    <t>Timsi</t>
  </si>
  <si>
    <t>Reeta</t>
  </si>
  <si>
    <t>Naik</t>
  </si>
  <si>
    <t>Nita</t>
  </si>
  <si>
    <t>Pandhya</t>
  </si>
  <si>
    <t>Suraj</t>
  </si>
  <si>
    <t>Saksena</t>
  </si>
  <si>
    <t>Admin</t>
  </si>
  <si>
    <t>Kalpana</t>
  </si>
  <si>
    <t>Shirishkar</t>
  </si>
  <si>
    <t>Pinky</t>
  </si>
  <si>
    <t>Robert</t>
  </si>
  <si>
    <t>Niki</t>
  </si>
  <si>
    <t>Digaria</t>
  </si>
  <si>
    <t>Payal</t>
  </si>
  <si>
    <t>Singhani</t>
  </si>
  <si>
    <t>Raja</t>
  </si>
  <si>
    <t>Raymondekar</t>
  </si>
  <si>
    <t>north</t>
  </si>
  <si>
    <t>Seema</t>
  </si>
  <si>
    <t>Ranganathan</t>
  </si>
  <si>
    <t>Neena</t>
  </si>
  <si>
    <t>Mukherjee</t>
  </si>
  <si>
    <t>Pankaj</t>
  </si>
  <si>
    <t>Sutradhar</t>
  </si>
  <si>
    <t>Andre</t>
  </si>
  <si>
    <t>Fernendes</t>
  </si>
  <si>
    <t>Meera</t>
  </si>
  <si>
    <t>Lalwani</t>
  </si>
  <si>
    <t>Priya</t>
  </si>
  <si>
    <t>Shirodkar</t>
  </si>
  <si>
    <t>Aalok</t>
  </si>
  <si>
    <t>Trivedi</t>
  </si>
  <si>
    <t>Farhan</t>
  </si>
  <si>
    <t>Sadiq</t>
  </si>
  <si>
    <t>Satinder Kaur</t>
  </si>
  <si>
    <t>Sasan</t>
  </si>
  <si>
    <t>Aalam</t>
  </si>
  <si>
    <t>Qureshi</t>
  </si>
  <si>
    <t>Zarina</t>
  </si>
  <si>
    <t>Vora</t>
  </si>
  <si>
    <t>Arun</t>
  </si>
  <si>
    <t>Dodhia</t>
  </si>
  <si>
    <t>Richa</t>
  </si>
  <si>
    <t>Raje</t>
  </si>
  <si>
    <t>Kinnari</t>
  </si>
  <si>
    <t>Mehta</t>
  </si>
  <si>
    <t>Jeena</t>
  </si>
  <si>
    <t>Baig</t>
  </si>
  <si>
    <t>Vicky</t>
  </si>
  <si>
    <t>Mario</t>
  </si>
  <si>
    <t>Fernandes</t>
  </si>
  <si>
    <t>Heena</t>
  </si>
  <si>
    <t>Godbole</t>
  </si>
  <si>
    <t>Maya</t>
  </si>
  <si>
    <t>Anuradha</t>
  </si>
  <si>
    <t>Zha</t>
  </si>
  <si>
    <t>Asha</t>
  </si>
  <si>
    <t>Waheda</t>
  </si>
  <si>
    <t>Sheikh</t>
  </si>
  <si>
    <t>Parul</t>
  </si>
  <si>
    <t>Shah</t>
  </si>
  <si>
    <t>Uday</t>
  </si>
  <si>
    <t>Mandakini</t>
  </si>
  <si>
    <t>Pravin</t>
  </si>
  <si>
    <t>Laveena</t>
  </si>
  <si>
    <t>Shenoy</t>
  </si>
  <si>
    <t>Drishti</t>
  </si>
  <si>
    <t>Sagar</t>
  </si>
  <si>
    <t>Bidkar</t>
  </si>
  <si>
    <t>Dayanand</t>
  </si>
  <si>
    <t>Gandhi</t>
  </si>
  <si>
    <t>Kuldeep</t>
  </si>
  <si>
    <t>Sharma</t>
  </si>
  <si>
    <t>Kunal</t>
  </si>
  <si>
    <t>Ruby</t>
  </si>
  <si>
    <t>Joseph</t>
  </si>
  <si>
    <t>Sonia</t>
  </si>
  <si>
    <t>Tejal</t>
  </si>
  <si>
    <t>Patel</t>
  </si>
  <si>
    <t>Priyanka</t>
  </si>
  <si>
    <t>Chetan</t>
  </si>
  <si>
    <t>Dalvi</t>
  </si>
  <si>
    <t>Suman</t>
  </si>
  <si>
    <t>Shinde</t>
  </si>
  <si>
    <t>south</t>
  </si>
  <si>
    <t>K. Sita</t>
  </si>
  <si>
    <t>Narayanan</t>
  </si>
  <si>
    <t>Bharat</t>
  </si>
  <si>
    <t>Shetty</t>
  </si>
  <si>
    <t>Mala</t>
  </si>
  <si>
    <t>Bhaduri</t>
  </si>
  <si>
    <t>Tapan</t>
  </si>
  <si>
    <t>Ghoshal</t>
  </si>
  <si>
    <t>Khetan</t>
  </si>
  <si>
    <t>Chitra</t>
  </si>
  <si>
    <t>Pednekar</t>
  </si>
  <si>
    <t>Kirtikar</t>
  </si>
  <si>
    <t>Sardesai</t>
  </si>
  <si>
    <t>Rakesh</t>
  </si>
  <si>
    <t>Kumar</t>
  </si>
  <si>
    <t>Katti</t>
  </si>
  <si>
    <t>Disha</t>
  </si>
  <si>
    <t>Parmar</t>
  </si>
  <si>
    <t>Geeta</t>
  </si>
  <si>
    <t>Darekar</t>
  </si>
  <si>
    <t>Veena</t>
  </si>
  <si>
    <t>Patil</t>
  </si>
  <si>
    <t>Yamini</t>
  </si>
  <si>
    <t>Tara</t>
  </si>
  <si>
    <t>Phule</t>
  </si>
  <si>
    <t>Jignesh</t>
  </si>
  <si>
    <t>Tripathi</t>
  </si>
  <si>
    <t>Harsha</t>
  </si>
  <si>
    <t>Kabir</t>
  </si>
  <si>
    <t>Pushpa</t>
  </si>
  <si>
    <t>Raut</t>
  </si>
  <si>
    <t>Rupesh</t>
  </si>
  <si>
    <t>Sawant</t>
  </si>
  <si>
    <t>Julie</t>
  </si>
  <si>
    <t>D'Souza</t>
  </si>
  <si>
    <t>west</t>
  </si>
  <si>
    <t>Shilpa</t>
  </si>
  <si>
    <t>Lele</t>
  </si>
  <si>
    <t>Parvati</t>
  </si>
  <si>
    <t>Khanna</t>
  </si>
  <si>
    <t>Shazia</t>
  </si>
  <si>
    <t>Nimkar</t>
  </si>
  <si>
    <t>Jasbinder</t>
  </si>
  <si>
    <t>Khurana</t>
  </si>
  <si>
    <t>Hajra</t>
  </si>
  <si>
    <t>Hoonjan</t>
  </si>
  <si>
    <t>Parikh</t>
  </si>
  <si>
    <t>Shaheen</t>
  </si>
  <si>
    <t>Khan</t>
  </si>
  <si>
    <t>Neha</t>
  </si>
  <si>
    <t>Ruheal</t>
  </si>
  <si>
    <t>Mehul</t>
  </si>
  <si>
    <t>Sheth</t>
  </si>
  <si>
    <t>Kajal</t>
  </si>
  <si>
    <t>Joglekar</t>
  </si>
  <si>
    <t>Surendra</t>
  </si>
  <si>
    <t>Godse</t>
  </si>
  <si>
    <t>Nayeem</t>
  </si>
  <si>
    <t>Deep</t>
  </si>
  <si>
    <t>Chhaya</t>
  </si>
  <si>
    <t>Vinit</t>
  </si>
  <si>
    <t>Shrivastava</t>
  </si>
  <si>
    <t>Radhika</t>
  </si>
  <si>
    <t>Kulkarni</t>
  </si>
  <si>
    <t>Indu</t>
  </si>
  <si>
    <t>Name</t>
  </si>
  <si>
    <t>Tax</t>
  </si>
  <si>
    <t>East</t>
  </si>
  <si>
    <t>West</t>
  </si>
  <si>
    <t>North</t>
  </si>
  <si>
    <t>South</t>
  </si>
  <si>
    <t>Employee Information System</t>
  </si>
  <si>
    <t>Employee Code</t>
  </si>
  <si>
    <t>SHORT CUT FOR EXCEL</t>
  </si>
  <si>
    <t>Select cells, columns, rows, or objects in worksheets and workbooks by using shortcut keys</t>
  </si>
  <si>
    <t>Select the current region around the active cell (the current region is an area enclosed by blank rows and blank columns)</t>
  </si>
  <si>
    <t>CTRL+SHIFT+* (ASTERISK)</t>
  </si>
  <si>
    <t>Extend the selection by one cell</t>
  </si>
  <si>
    <t>SHIFT+ arrow key</t>
  </si>
  <si>
    <t>Extend the selection to the last nonblank cell in the same column or row as the active cell</t>
  </si>
  <si>
    <t>CTRL+SHIFT+ arrow key</t>
  </si>
  <si>
    <t>Extend the selection to the beginning of the row</t>
  </si>
  <si>
    <t>SHIFT+HOME</t>
  </si>
  <si>
    <t>Extend the selection to the beginning of the worksheet</t>
  </si>
  <si>
    <t>CTRL+SHIFT+HOME</t>
  </si>
  <si>
    <t>Extend the selection to the last cell used on the worksheet (lower-right corner)</t>
  </si>
  <si>
    <t>CTRL+SHIFT+END</t>
  </si>
  <si>
    <t>Select the entire column</t>
  </si>
  <si>
    <t>CTRL+SPACEBAR</t>
  </si>
  <si>
    <t>Select the entire row</t>
  </si>
  <si>
    <t>SHIFT+SPACEBAR</t>
  </si>
  <si>
    <t>Select the entire worksheet</t>
  </si>
  <si>
    <t>CTRL+A</t>
  </si>
  <si>
    <t>If multiple cells are selected, select only the active cell</t>
  </si>
  <si>
    <t>SHIFT+BACKSPACE</t>
  </si>
  <si>
    <t>Extend the selection down one screen</t>
  </si>
  <si>
    <t>SHIFT+PAGE DOWN</t>
  </si>
  <si>
    <t>Extend the selection up one screen</t>
  </si>
  <si>
    <t>SHIFT+PAGE UP</t>
  </si>
  <si>
    <t>With an object selected, select all objects on a sheet</t>
  </si>
  <si>
    <t>CTRL+SHIFT+SPACEBAR</t>
  </si>
  <si>
    <t>Alternate between hiding objects, displaying objects, and displaying placeholders for objects</t>
  </si>
  <si>
    <t>CTRL+6</t>
  </si>
  <si>
    <t>Show or hide the Standard toolbar</t>
  </si>
  <si>
    <t>CTRL+7</t>
  </si>
  <si>
    <t>In End mode, to</t>
  </si>
  <si>
    <t>Press</t>
  </si>
  <si>
    <t>Turn End mode on or off</t>
  </si>
  <si>
    <t>END</t>
  </si>
  <si>
    <t>END, SHIFT+ arrow key</t>
  </si>
  <si>
    <t>END, SHIFT+HOME</t>
  </si>
  <si>
    <t>Extend the selection to the last cell in the current row; this keystroke is unavailable if you selected the Transition navigation keys check box on the Transition tab (Tools menu, Options command)</t>
  </si>
  <si>
    <t>END, SHIFT+ENTER</t>
  </si>
  <si>
    <t>With SCROLL LOCK on, to</t>
  </si>
  <si>
    <t>Turn SCROLL LOCK on or off</t>
  </si>
  <si>
    <t>SCROLL LOCK</t>
  </si>
  <si>
    <t>Scroll the screen up or down one row</t>
  </si>
  <si>
    <t xml:space="preserve">UP/DOWN ARROW  </t>
  </si>
  <si>
    <t>Scroll the screen left or right one column</t>
  </si>
  <si>
    <t>LEFT.RIGHT ARROW</t>
  </si>
  <si>
    <t>Extend the selection to the cell in the upper-left corner of the window</t>
  </si>
  <si>
    <t>Extend the selection to the cell in the lower-right corner of the window</t>
  </si>
  <si>
    <t>SHIFT+END</t>
  </si>
  <si>
    <t>Select cells with special characteristics by using shortcut keys</t>
  </si>
  <si>
    <t>Select the current array, which is the array that the active cell belongs to</t>
  </si>
  <si>
    <t>CTRL+/</t>
  </si>
  <si>
    <t>Select all cells with comments</t>
  </si>
  <si>
    <t>CTRL+SHIFT+O (the letter O)</t>
  </si>
  <si>
    <t>Select cells whose contents are different from the comparison cell in each row (for each row, the comparison cell is in the same column as the active cell)</t>
  </si>
  <si>
    <t>CTRL+\</t>
  </si>
  <si>
    <t>Select cells whose contents are different from the comparison cell in each column (for each column, the comparison cell is in the same row as the active cell)</t>
  </si>
  <si>
    <t>CTRL+SHIFT+|</t>
  </si>
  <si>
    <t>Select only cells that are directly referred to by formulas in the selection</t>
  </si>
  <si>
    <t>CTRL+[</t>
  </si>
  <si>
    <t>Select all cells that are directly or indirectly referred to by formulas in the selection</t>
  </si>
  <si>
    <t>CTRL+SHIFT+{</t>
  </si>
  <si>
    <t>Select only cells with formulas that refer directly to the active cell</t>
  </si>
  <si>
    <t>CTRL+]</t>
  </si>
  <si>
    <t>Select all cells with formulas that refer directly or indirectly to the active cell</t>
  </si>
  <si>
    <t>CTRL+SHIFT+}</t>
  </si>
  <si>
    <t>Select only visible cells in the current selection</t>
  </si>
  <si>
    <t>ALT+SEMICOLON</t>
  </si>
  <si>
    <t>Move and scroll on a worksheet or workbook by using shortcut keys</t>
  </si>
  <si>
    <t>Move one cell in a given direction</t>
  </si>
  <si>
    <t>Arrow key</t>
  </si>
  <si>
    <t>Move to the edge of the current data region</t>
  </si>
  <si>
    <t>CTRL+ arrow key</t>
  </si>
  <si>
    <t>Move between unlocked cells on a protected worksheet</t>
  </si>
  <si>
    <t>TAB</t>
  </si>
  <si>
    <t>Move to the beginning of the row</t>
  </si>
  <si>
    <t>HOME</t>
  </si>
  <si>
    <t>Move to the beginning of the worksheet</t>
  </si>
  <si>
    <t>CTRL+HOME</t>
  </si>
  <si>
    <t>Move to the last cell on the worksheet</t>
  </si>
  <si>
    <t>CTRL+END</t>
  </si>
  <si>
    <t xml:space="preserve">Move down one screen </t>
  </si>
  <si>
    <t>PAGE DOWN</t>
  </si>
  <si>
    <t xml:space="preserve">Move up one screen </t>
  </si>
  <si>
    <t>PAGE UP</t>
  </si>
  <si>
    <t>Move one screen to the right</t>
  </si>
  <si>
    <t>ALT+PAGE DOWN</t>
  </si>
  <si>
    <t>Move one screen to the left</t>
  </si>
  <si>
    <t>ALT+PAGE UP</t>
  </si>
  <si>
    <t>Move to the next sheet in the workbook</t>
  </si>
  <si>
    <t>CTRL+PAGE DOWN</t>
  </si>
  <si>
    <t>Move to the previous sheet in the workbook</t>
  </si>
  <si>
    <t>CTRL+PAGE UP</t>
  </si>
  <si>
    <t>Move to the next workbook or window</t>
  </si>
  <si>
    <t>CTRL+F6 or CTRL+TAB</t>
  </si>
  <si>
    <t>Move to the previous workbook or window</t>
  </si>
  <si>
    <t xml:space="preserve">CTRL+SHIFT+F6 </t>
  </si>
  <si>
    <t>Move to the next pane</t>
  </si>
  <si>
    <t>F6</t>
  </si>
  <si>
    <t>Move to the previous pane</t>
  </si>
  <si>
    <t>SHIFT+F6</t>
  </si>
  <si>
    <t>Scroll to display the active cell</t>
  </si>
  <si>
    <t>CTRL+BACKSPACE</t>
  </si>
  <si>
    <t>Move by one block of data within a row or column</t>
  </si>
  <si>
    <t>END, arrow key</t>
  </si>
  <si>
    <t>END, HOME</t>
  </si>
  <si>
    <t>Move to the last cell to the right in the current row that is not blank</t>
  </si>
  <si>
    <t>END, ENTER</t>
  </si>
  <si>
    <t>With SCROLL LOCK turned on, to</t>
  </si>
  <si>
    <t>Move to the cell in the upper-left corner of the window</t>
  </si>
  <si>
    <t>Move to the cell in the lower-right corner of the window</t>
  </si>
  <si>
    <t>Scroll one row up or down</t>
  </si>
  <si>
    <t xml:space="preserve">UP/DOWN ARROW </t>
  </si>
  <si>
    <t>Scroll one column left or right</t>
  </si>
  <si>
    <t>LEFT/RIGHT ARROW</t>
  </si>
  <si>
    <t>Format data by using shortcut keys</t>
  </si>
  <si>
    <t>Display the Style command (Format menu)</t>
  </si>
  <si>
    <t>ALT+' (APOSTROPHE)</t>
  </si>
  <si>
    <t>Display the Cells command (Format menu)</t>
  </si>
  <si>
    <t>CTRL+1</t>
  </si>
  <si>
    <t>Apply the General number format</t>
  </si>
  <si>
    <t>CTRL+SHIFT+~</t>
  </si>
  <si>
    <t>Apply the Currency format with two decimal places (negative numbers appear in parentheses)</t>
  </si>
  <si>
    <t>CTRL+SHIFT+$</t>
  </si>
  <si>
    <t xml:space="preserve">Apply the Percentage format with no decimal places </t>
  </si>
  <si>
    <t>CTRL+SHIFT+%</t>
  </si>
  <si>
    <t>Apply the Exponential number format with two decimal places</t>
  </si>
  <si>
    <t>CTRL+SHIFT+^</t>
  </si>
  <si>
    <t>Apply the Date format with the day, month, and year</t>
  </si>
  <si>
    <t>CTRL+SHIFT+#</t>
  </si>
  <si>
    <t>Apply the Time format with the hour and minute, and indicate A.M. or P.M.</t>
  </si>
  <si>
    <t>CTRL+SHIFT+@</t>
  </si>
  <si>
    <t>Apply the Number format with two decimal places, 1000 separator, and – for negative values</t>
  </si>
  <si>
    <t>CTRL+SHIFT+!</t>
  </si>
  <si>
    <t>Apply the outline border</t>
  </si>
  <si>
    <t>CTRL+SHIFT+&amp;</t>
  </si>
  <si>
    <t>Remove all borders</t>
  </si>
  <si>
    <t>CTRL+SHIFT+_</t>
  </si>
  <si>
    <t>Apply or remove bold formatting</t>
  </si>
  <si>
    <t>CTRL+B</t>
  </si>
  <si>
    <t>Apply or remove italic formatting</t>
  </si>
  <si>
    <t>CTRL+I</t>
  </si>
  <si>
    <t>Apply or remove an underline</t>
  </si>
  <si>
    <t>CTRL+U</t>
  </si>
  <si>
    <t>Apply or remove strikethrough formatting</t>
  </si>
  <si>
    <t>CTRL+5</t>
  </si>
  <si>
    <t>Hide rows</t>
  </si>
  <si>
    <t>CTRL+9</t>
  </si>
  <si>
    <t>Unhide rows</t>
  </si>
  <si>
    <t>CTRL+SHIFT+(</t>
  </si>
  <si>
    <t>Hide columns</t>
  </si>
  <si>
    <t>CTRL+0 (ZERO)</t>
  </si>
  <si>
    <t>Unhide columns</t>
  </si>
  <si>
    <t xml:space="preserve">CTRL+SHIFT+) </t>
  </si>
  <si>
    <t>Print and preview a document by using shortcut keys</t>
  </si>
  <si>
    <t>Display the Print command (File menu)</t>
  </si>
  <si>
    <t>CTRL+P</t>
  </si>
  <si>
    <t>Move around the page when zoomed in</t>
  </si>
  <si>
    <t>Arrow keys</t>
  </si>
  <si>
    <t>Move by one page when zoomed out</t>
  </si>
  <si>
    <t>PAGE UP or PAGE DOWN</t>
  </si>
  <si>
    <t>Move to the first page when zoomed out</t>
  </si>
  <si>
    <t>CTRL+UP ARROW</t>
  </si>
  <si>
    <t>Move to the last page when zoomed out</t>
  </si>
  <si>
    <t>CTRL+DOWN ARROW</t>
  </si>
  <si>
    <t>Keys for menus</t>
  </si>
  <si>
    <t>Show a shortcut menu</t>
  </si>
  <si>
    <t>SHIFT+F10</t>
  </si>
  <si>
    <t>Make the menu bar active</t>
  </si>
  <si>
    <t>F10 or ALT</t>
  </si>
  <si>
    <t>Show the program icon menu (on the program title bar)</t>
  </si>
  <si>
    <t>ALT+SPACEBAR</t>
  </si>
  <si>
    <t xml:space="preserve">Select the next or previous command on the menu or submenu </t>
  </si>
  <si>
    <t xml:space="preserve">DOWN/UP ARROW </t>
  </si>
  <si>
    <t>Select the menu to the left or right, or, with a submenu visible, switch between the main menu and the submenu</t>
  </si>
  <si>
    <t xml:space="preserve">LEFT/RIGHT ARROW </t>
  </si>
  <si>
    <t>Select the first or last command on the menu or submenu</t>
  </si>
  <si>
    <t>HOME or END</t>
  </si>
  <si>
    <t>Close the visible menu and submenu at the same time</t>
  </si>
  <si>
    <t>ALT</t>
  </si>
  <si>
    <t>Close the visible menu, or, with a submenu visible, close the submenu only</t>
  </si>
  <si>
    <t>ESC</t>
  </si>
  <si>
    <t>Edit data by using shortcut keys</t>
  </si>
  <si>
    <t>Edit the active cell and complete</t>
  </si>
  <si>
    <t>F2 + Enter</t>
  </si>
  <si>
    <t>Cancel an entry in the cell or formula bar</t>
  </si>
  <si>
    <t>Edit the active cell and then clear it, or delete the preceding character in the active cell as you edit the cell contents</t>
  </si>
  <si>
    <t>BACKSPACE</t>
  </si>
  <si>
    <t>Paste a name into a formula</t>
  </si>
  <si>
    <t>F3</t>
  </si>
  <si>
    <t>Enter a formula as an array formula</t>
  </si>
  <si>
    <t>CTRL+SHIFT+ENTER</t>
  </si>
  <si>
    <t>Display the Formula Palette after you type a valid function name in a formula</t>
  </si>
  <si>
    <t>Insert the argument names and parentheses for a function, after you type a valid function name in a formula</t>
  </si>
  <si>
    <t>CTRL+SHIFT+A</t>
  </si>
  <si>
    <t>Insert, delete, and copy a selection by using shortcut keys</t>
  </si>
  <si>
    <t>Copy the selection</t>
  </si>
  <si>
    <t>CTRL+C</t>
  </si>
  <si>
    <t>Paste the selection</t>
  </si>
  <si>
    <t>CTRL+V</t>
  </si>
  <si>
    <t>Cut the selection</t>
  </si>
  <si>
    <t>CTRL+X</t>
  </si>
  <si>
    <t>Clear the contents of the selection</t>
  </si>
  <si>
    <t>DELETE</t>
  </si>
  <si>
    <t>Insert blank cells</t>
  </si>
  <si>
    <t>CTRL+SHIFT+PLUS SIGN</t>
  </si>
  <si>
    <t>Delete the selection</t>
  </si>
  <si>
    <t>CTRL+ –</t>
  </si>
  <si>
    <t>Undo the last action</t>
  </si>
  <si>
    <t>CTRL+Z</t>
  </si>
  <si>
    <t>Move within a selection by using shortcut keys</t>
  </si>
  <si>
    <t>Move from top to bottom within the selection (down), or in the direction that is selected on the Edit tab (Tools menu, Options command)</t>
  </si>
  <si>
    <t xml:space="preserve">ENTER </t>
  </si>
  <si>
    <t>Move from bottom to top within the selection (up), or opposite to the direction that is selected on the Edit tab (Tools menu, Options command)</t>
  </si>
  <si>
    <t xml:space="preserve">SHIFT+ENTER </t>
  </si>
  <si>
    <t>Move from left to right within the selection, or move down one cell if only one column is selected</t>
  </si>
  <si>
    <t>Move from right to left within the selection, or move up one cell if only one column is selected</t>
  </si>
  <si>
    <t>SHIFT+TAB</t>
  </si>
  <si>
    <t>Move clockwise to the next corner of the selection</t>
  </si>
  <si>
    <t>CTRL+PERIOD</t>
  </si>
  <si>
    <t>Move to the right between nonadjacent selections</t>
  </si>
  <si>
    <t>CTRL+ALT+RIGHT ARROW</t>
  </si>
  <si>
    <t>Move to the left between nonadjacent selections</t>
  </si>
  <si>
    <t>CTRL+ALT+LEFT ARROW</t>
  </si>
  <si>
    <t>Marksheet of ABC Juniour College</t>
  </si>
  <si>
    <t>Final Exam</t>
  </si>
  <si>
    <t>Subjects ( Marks out of 100)</t>
  </si>
  <si>
    <t>SrNo</t>
  </si>
  <si>
    <t>Physics</t>
  </si>
  <si>
    <t>Chemistry</t>
  </si>
  <si>
    <t>Biology</t>
  </si>
  <si>
    <t>Total Mark</t>
  </si>
  <si>
    <t>Average</t>
  </si>
  <si>
    <t>Sachin</t>
  </si>
  <si>
    <t>Vinod</t>
  </si>
  <si>
    <t>Sameer</t>
  </si>
  <si>
    <t>Rahul</t>
  </si>
  <si>
    <t>Imran</t>
  </si>
  <si>
    <t>Sushil</t>
  </si>
  <si>
    <t>Vimal</t>
  </si>
  <si>
    <t>Zenia</t>
  </si>
  <si>
    <t>Arvind</t>
  </si>
  <si>
    <t>REPORT</t>
  </si>
  <si>
    <t>Grand Total</t>
  </si>
  <si>
    <t>Number of Student</t>
  </si>
  <si>
    <t>Number of Subject</t>
  </si>
  <si>
    <t>Maximum Marks</t>
  </si>
  <si>
    <t>Minimum Marks</t>
  </si>
  <si>
    <t>No.of Student &gt;70</t>
  </si>
  <si>
    <t>Text Function</t>
  </si>
  <si>
    <t>Description</t>
  </si>
  <si>
    <t>Example</t>
  </si>
  <si>
    <t>Upper</t>
  </si>
  <si>
    <t>Converts a text into uppercase</t>
  </si>
  <si>
    <t>Lower</t>
  </si>
  <si>
    <t>Converts a text into lowercase</t>
  </si>
  <si>
    <t>Proper</t>
  </si>
  <si>
    <t>Converts a text into First character as capital</t>
  </si>
  <si>
    <t>Left</t>
  </si>
  <si>
    <t>Extracts characters from left</t>
  </si>
  <si>
    <t>Right</t>
  </si>
  <si>
    <t>Extracts characters from right</t>
  </si>
  <si>
    <t>Mid</t>
  </si>
  <si>
    <t>Extracts caracters from middle</t>
  </si>
  <si>
    <t>Concatenate</t>
  </si>
  <si>
    <t>Join text</t>
  </si>
  <si>
    <t>Len</t>
  </si>
  <si>
    <t>Find the length of string</t>
  </si>
  <si>
    <t>Exact</t>
  </si>
  <si>
    <t>Checks for two text are same or not</t>
  </si>
  <si>
    <t>Text</t>
  </si>
  <si>
    <t>Changes value to text format</t>
  </si>
  <si>
    <t>Date</t>
  </si>
  <si>
    <t>Month</t>
  </si>
  <si>
    <t>Year</t>
  </si>
  <si>
    <t>Summary Details</t>
  </si>
  <si>
    <t>Total Emp</t>
  </si>
  <si>
    <t>Region wise Dept wise Total Salary</t>
  </si>
  <si>
    <t>Total Salary</t>
  </si>
  <si>
    <t>Max Salary</t>
  </si>
  <si>
    <t>Min Salary</t>
  </si>
  <si>
    <t>Average Salary</t>
  </si>
  <si>
    <t>Region wise Details</t>
  </si>
  <si>
    <t>Region Name</t>
  </si>
  <si>
    <t>Branch</t>
  </si>
  <si>
    <t>Da</t>
  </si>
  <si>
    <t>Hra</t>
  </si>
  <si>
    <t>Ferozepur</t>
  </si>
  <si>
    <t>Cuttack</t>
  </si>
  <si>
    <t>Hydrabad</t>
  </si>
  <si>
    <t>Delhi</t>
  </si>
  <si>
    <t>Kanpur</t>
  </si>
  <si>
    <t>Mathura</t>
  </si>
  <si>
    <t>Personnel</t>
  </si>
  <si>
    <t>Pune</t>
  </si>
  <si>
    <t>Agra</t>
  </si>
  <si>
    <t>Ambala</t>
  </si>
  <si>
    <t>Darjeeling</t>
  </si>
  <si>
    <t>Jammu</t>
  </si>
  <si>
    <t>Calcutta</t>
  </si>
  <si>
    <t>cochin</t>
  </si>
  <si>
    <t>Jaipur</t>
  </si>
  <si>
    <t>Nasik</t>
  </si>
  <si>
    <t>Patna</t>
  </si>
  <si>
    <t>Manglore</t>
  </si>
  <si>
    <t>Banglore</t>
  </si>
  <si>
    <t>Mumbai</t>
  </si>
  <si>
    <t>Lucknow</t>
  </si>
  <si>
    <t>Surat</t>
  </si>
  <si>
    <t>Mysore</t>
  </si>
  <si>
    <t>Aligarh</t>
  </si>
  <si>
    <t>delhi</t>
  </si>
  <si>
    <t>Baroda</t>
  </si>
  <si>
    <t>Nagpur</t>
  </si>
  <si>
    <t>Gangtok</t>
  </si>
  <si>
    <t>Guwahati</t>
  </si>
  <si>
    <t>chennai</t>
  </si>
  <si>
    <t>Trivanadrum</t>
  </si>
  <si>
    <t>Panji</t>
  </si>
  <si>
    <t>Financial functions and what-if anlysis</t>
  </si>
  <si>
    <t>Months</t>
  </si>
  <si>
    <t>PPMT</t>
  </si>
  <si>
    <t>IPMT</t>
  </si>
  <si>
    <t>PMT</t>
  </si>
  <si>
    <t>Loan Amount</t>
  </si>
  <si>
    <t>Rate of Intrest</t>
  </si>
  <si>
    <t>Payment /month</t>
  </si>
  <si>
    <t>PMT [EMI]</t>
  </si>
  <si>
    <t>Using Data Table</t>
  </si>
  <si>
    <t>RAjesh</t>
  </si>
  <si>
    <t>Deshmukh</t>
  </si>
  <si>
    <t>FUNCTIONS</t>
  </si>
  <si>
    <t>Search</t>
  </si>
  <si>
    <t>Search for position of text</t>
  </si>
  <si>
    <t>Replace</t>
  </si>
  <si>
    <t>Changes the text</t>
  </si>
  <si>
    <t>Maths Functions</t>
  </si>
  <si>
    <t>Abs</t>
  </si>
  <si>
    <t>Converts negative number to positive number</t>
  </si>
  <si>
    <t>Int</t>
  </si>
  <si>
    <t xml:space="preserve">Discards decimals </t>
  </si>
  <si>
    <t>Mod</t>
  </si>
  <si>
    <t>Gives the remainder from division</t>
  </si>
  <si>
    <t>Sqrt</t>
  </si>
  <si>
    <t>Gives root value</t>
  </si>
  <si>
    <t>Power</t>
  </si>
  <si>
    <t>Gives the number raised to power of</t>
  </si>
  <si>
    <t>Round</t>
  </si>
  <si>
    <t>Rounds to nearest number</t>
  </si>
  <si>
    <t>Trunc</t>
  </si>
  <si>
    <t>Truncates to lower number</t>
  </si>
  <si>
    <t>Statistical Functions</t>
  </si>
  <si>
    <t>CountA</t>
  </si>
  <si>
    <t>Counts text and numbers</t>
  </si>
  <si>
    <t>Countblank</t>
  </si>
  <si>
    <t>Counts blank cells</t>
  </si>
  <si>
    <t>Good</t>
  </si>
  <si>
    <t>Small</t>
  </si>
  <si>
    <t>Finds the nth small value</t>
  </si>
  <si>
    <t>Bad</t>
  </si>
  <si>
    <t>Large</t>
  </si>
  <si>
    <t>Finsd the nth large value</t>
  </si>
  <si>
    <t>Date Functions</t>
  </si>
  <si>
    <t>Adds day, month, year</t>
  </si>
  <si>
    <t>Today</t>
  </si>
  <si>
    <t>Current date</t>
  </si>
  <si>
    <t>Now</t>
  </si>
  <si>
    <t>Current date and time</t>
  </si>
  <si>
    <t>Day</t>
  </si>
  <si>
    <t xml:space="preserve">Extracts day fromCurrent date </t>
  </si>
  <si>
    <t xml:space="preserve">Extracts month fromCurrent date </t>
  </si>
  <si>
    <t>Extracts year from Curent date</t>
  </si>
  <si>
    <t>Time</t>
  </si>
  <si>
    <t>Adds Hr, min, second</t>
  </si>
  <si>
    <t>Hour</t>
  </si>
  <si>
    <t>Extracts Hours from given time</t>
  </si>
  <si>
    <t>Minute</t>
  </si>
  <si>
    <t>Extracts Minutes from given time</t>
  </si>
  <si>
    <t>Second</t>
  </si>
  <si>
    <t>Extracts Seconds from given time</t>
  </si>
  <si>
    <t>Weekday</t>
  </si>
  <si>
    <t xml:space="preserve">Extracts day from Current date </t>
  </si>
  <si>
    <t>Information Functions</t>
  </si>
  <si>
    <t>IsBlank</t>
  </si>
  <si>
    <t>Returns true if blank cell or false if non blank cell</t>
  </si>
  <si>
    <t>apple</t>
  </si>
  <si>
    <t>IsError</t>
  </si>
  <si>
    <t>Returns error value</t>
  </si>
  <si>
    <t>medicine</t>
  </si>
  <si>
    <t>Isnumber</t>
  </si>
  <si>
    <t>Returns true if data is number</t>
  </si>
  <si>
    <t>#ref1</t>
  </si>
  <si>
    <t>Istext</t>
  </si>
  <si>
    <t>Returns true if data is text</t>
  </si>
  <si>
    <t>#NA</t>
  </si>
  <si>
    <t>Payroll Summary</t>
  </si>
  <si>
    <t>Basic Assumptions</t>
  </si>
  <si>
    <t>Number of employees</t>
  </si>
  <si>
    <t>Average employee wage</t>
  </si>
  <si>
    <t>Hours worked per week</t>
  </si>
  <si>
    <t>Weeks worked per year</t>
  </si>
  <si>
    <t>Benefits (as % of wage)</t>
  </si>
  <si>
    <t>Formula Results</t>
  </si>
  <si>
    <t>Annual Wage Expense</t>
  </si>
  <si>
    <t>Annual Employee Benefits</t>
  </si>
  <si>
    <t>Total Payroll Costs</t>
  </si>
  <si>
    <t>If the Total Payroll Costs Is constraint to 1000000 find out the No of Employee Required in this Project</t>
  </si>
  <si>
    <t>Detials of Rate of Shares for X</t>
  </si>
  <si>
    <t>Forcast the Share Rates in 2010</t>
  </si>
  <si>
    <t>Create a Graph and Add a Trend Line with Forcast</t>
  </si>
  <si>
    <t>Years</t>
  </si>
  <si>
    <t>Share Rate</t>
  </si>
  <si>
    <t>X</t>
  </si>
  <si>
    <t>Y</t>
  </si>
  <si>
    <t>Fit</t>
  </si>
  <si>
    <t>Find through Regession</t>
  </si>
  <si>
    <t>Intercept</t>
  </si>
  <si>
    <t>X Variable 1</t>
  </si>
  <si>
    <t>Add a Line of Fit ir Trend line of Regression</t>
  </si>
  <si>
    <t>No.of Student Failed &lt;40</t>
  </si>
  <si>
    <t>No.of Student &gt;=40 and &lt;60</t>
  </si>
  <si>
    <t>Sample Revenue-Cost Model</t>
  </si>
  <si>
    <t>Price (Rs.)</t>
  </si>
  <si>
    <t>Quantity sold</t>
  </si>
  <si>
    <t>Revenue [ Total Sales]</t>
  </si>
  <si>
    <t>Variable Cost (Cost of Material, Labor)</t>
  </si>
  <si>
    <t>Fixed Cost (Rent, Salary etc)</t>
  </si>
  <si>
    <t>Total Cost</t>
  </si>
  <si>
    <t>Profit= Revenue less Total Cost</t>
  </si>
  <si>
    <t>Assumption: Variable cost as a % of Revenue</t>
  </si>
  <si>
    <t>Result-if</t>
  </si>
  <si>
    <t>if-and</t>
  </si>
  <si>
    <t>if-Or</t>
  </si>
  <si>
    <t>if-min</t>
  </si>
  <si>
    <t>Grade-if</t>
  </si>
  <si>
    <t>grade-vlookup</t>
  </si>
  <si>
    <t>Summary</t>
  </si>
  <si>
    <t>A</t>
  </si>
  <si>
    <t>B</t>
  </si>
  <si>
    <t>C</t>
  </si>
  <si>
    <t>Fail</t>
  </si>
  <si>
    <t>Product Name</t>
  </si>
  <si>
    <t>Jan</t>
  </si>
  <si>
    <t>Feb</t>
  </si>
  <si>
    <t>Mar</t>
  </si>
  <si>
    <t>Apr</t>
  </si>
  <si>
    <t>May</t>
  </si>
  <si>
    <t>Jun</t>
  </si>
  <si>
    <t>P1</t>
  </si>
  <si>
    <t>P2</t>
  </si>
  <si>
    <t>P3</t>
  </si>
  <si>
    <t>P4</t>
  </si>
  <si>
    <t>P5</t>
  </si>
  <si>
    <t>P6</t>
  </si>
  <si>
    <t>P7</t>
  </si>
  <si>
    <t>P8</t>
  </si>
  <si>
    <t>P9</t>
  </si>
  <si>
    <t>P10</t>
  </si>
  <si>
    <t>Amount</t>
  </si>
  <si>
    <t>Institutional Securities Group</t>
  </si>
  <si>
    <t>Revenue</t>
  </si>
  <si>
    <t>Cumulative Amount</t>
  </si>
  <si>
    <t>Cumulative %</t>
  </si>
  <si>
    <t xml:space="preserve">Wealth Management </t>
  </si>
  <si>
    <t xml:space="preserve">Equity sales and Trading </t>
  </si>
  <si>
    <t xml:space="preserve">Investment Banking </t>
  </si>
  <si>
    <t xml:space="preserve">Investment Management </t>
  </si>
  <si>
    <t xml:space="preserve">Fixed Income and Commodities </t>
  </si>
  <si>
    <t>Others</t>
  </si>
  <si>
    <t>Pareto Charts</t>
  </si>
  <si>
    <t>Total Customer</t>
  </si>
  <si>
    <t>Net Revenue</t>
  </si>
  <si>
    <t>Percentage</t>
  </si>
  <si>
    <t>Other</t>
  </si>
  <si>
    <t>Bubble Chart</t>
  </si>
  <si>
    <t>Intial of  the year</t>
  </si>
  <si>
    <t>End of the year</t>
  </si>
  <si>
    <t>WaterFall Charts</t>
  </si>
  <si>
    <t>Share Price Based On:</t>
  </si>
  <si>
    <t>Parameter</t>
  </si>
  <si>
    <t>P/E</t>
  </si>
  <si>
    <t>P/BV</t>
  </si>
  <si>
    <t>EV/EBITDA</t>
  </si>
  <si>
    <t>DCF (discount rate from 5% to 7%)</t>
  </si>
  <si>
    <t>Ratio</t>
  </si>
  <si>
    <t>Min</t>
  </si>
  <si>
    <t>Max</t>
  </si>
  <si>
    <t>Difference</t>
  </si>
  <si>
    <t>Mean</t>
  </si>
  <si>
    <t>DCF</t>
  </si>
  <si>
    <t>Floating Charts</t>
  </si>
  <si>
    <t>Annual Revenue -2014</t>
  </si>
  <si>
    <t>Annual Revenue -2015</t>
  </si>
  <si>
    <t>Stacked Bar chars</t>
  </si>
  <si>
    <t>Gross</t>
  </si>
  <si>
    <t>Net</t>
  </si>
  <si>
    <t>East 1000</t>
  </si>
  <si>
    <t>West-750</t>
  </si>
  <si>
    <t>North-500</t>
  </si>
  <si>
    <t>South- 350</t>
  </si>
  <si>
    <t>Mktg/Sales/Finance 50%</t>
  </si>
  <si>
    <t>Other- 30%</t>
  </si>
  <si>
    <t>HRA- vlookup</t>
  </si>
  <si>
    <t>DA: Vlookup</t>
  </si>
  <si>
    <t xml:space="preserve">Gross </t>
  </si>
  <si>
    <t>Sal+DA+HRA</t>
  </si>
  <si>
    <t>Tax- Vlookup</t>
  </si>
  <si>
    <t>G&gt;=15000 15%</t>
  </si>
  <si>
    <t>G&gt;=10000 &lt;15000-10%</t>
  </si>
  <si>
    <t>G&gt;=5000 &lt;10000-5%</t>
  </si>
  <si>
    <t>G&lt;5000- 0</t>
  </si>
  <si>
    <t>Net: Gross- Tax</t>
  </si>
  <si>
    <t>Vlookup-Match</t>
  </si>
  <si>
    <t>Index-Match</t>
  </si>
  <si>
    <t>DA</t>
  </si>
  <si>
    <t>HRA</t>
  </si>
  <si>
    <t>Inc</t>
  </si>
  <si>
    <t>Empcode2</t>
  </si>
  <si>
    <t>Bonus</t>
  </si>
  <si>
    <t>Bonus in %</t>
  </si>
  <si>
    <t>Increment</t>
  </si>
  <si>
    <t>Increment2</t>
  </si>
  <si>
    <t>Bonus using vlookup</t>
  </si>
  <si>
    <t>Bonus + salary</t>
  </si>
  <si>
    <t>Bonus Amount</t>
  </si>
  <si>
    <t>Avg marks</t>
  </si>
  <si>
    <t>Grade</t>
  </si>
  <si>
    <t>To apply $ everywhere in the selection press F4 key.</t>
  </si>
  <si>
    <t>vlookup can not see columns on the left of table array column, hence we have to use Xlookup that is available in Excel &gt; 2020.</t>
  </si>
  <si>
    <t>Emp Name</t>
  </si>
  <si>
    <t>Working Exp</t>
  </si>
  <si>
    <t>Emp Name 2</t>
  </si>
  <si>
    <t>Ctrl+Shift+3 converts date format</t>
  </si>
  <si>
    <t>Row Labels</t>
  </si>
  <si>
    <t>Column Labels</t>
  </si>
  <si>
    <t>Count of First Name</t>
  </si>
  <si>
    <t>Sum of Salary</t>
  </si>
  <si>
    <t>% of parent total</t>
  </si>
  <si>
    <t>% of grand total</t>
  </si>
  <si>
    <t>1977</t>
  </si>
  <si>
    <t>1979</t>
  </si>
  <si>
    <t>1980</t>
  </si>
  <si>
    <t>1982</t>
  </si>
  <si>
    <t>1983</t>
  </si>
  <si>
    <t>1984</t>
  </si>
  <si>
    <t>1985</t>
  </si>
  <si>
    <t>1986</t>
  </si>
  <si>
    <t>1987</t>
  </si>
  <si>
    <t>1988</t>
  </si>
  <si>
    <t>1989</t>
  </si>
  <si>
    <t>1990</t>
  </si>
  <si>
    <t>1991</t>
  </si>
  <si>
    <t>1992</t>
  </si>
  <si>
    <t>1993</t>
  </si>
  <si>
    <t>1994</t>
  </si>
  <si>
    <t>1995</t>
  </si>
  <si>
    <t>1996</t>
  </si>
  <si>
    <t>1997</t>
  </si>
  <si>
    <t>1998</t>
  </si>
  <si>
    <t>1999</t>
  </si>
  <si>
    <t>Qtr1</t>
  </si>
  <si>
    <t>Qtr3</t>
  </si>
  <si>
    <t>Jul</t>
  </si>
  <si>
    <t>Qtr4</t>
  </si>
  <si>
    <t>Nov</t>
  </si>
  <si>
    <t>Oct</t>
  </si>
  <si>
    <t>Dec</t>
  </si>
  <si>
    <t>Aug</t>
  </si>
  <si>
    <t>Sep</t>
  </si>
  <si>
    <t>Qtr2</t>
  </si>
  <si>
    <t>right click on any year, try doing ungroup, while grouping again, can choose multiple options like yearly + quarterly + monthly + etc.</t>
  </si>
  <si>
    <t>Chitra Pednekar</t>
  </si>
  <si>
    <t>Farhan Sadiq</t>
  </si>
  <si>
    <t>Kuldeep Sharma</t>
  </si>
  <si>
    <t>Kunal Shah</t>
  </si>
  <si>
    <t>Niki Digaria</t>
  </si>
  <si>
    <t>Pinky Robert</t>
  </si>
  <si>
    <t>Priyanka Mehta</t>
  </si>
  <si>
    <t>Ruby Joseph</t>
  </si>
  <si>
    <t>Sheetal Desai</t>
  </si>
  <si>
    <t>Sheetal Dodhia</t>
  </si>
  <si>
    <t>Shilpa Parikh</t>
  </si>
  <si>
    <t>Tapan Ghoshal</t>
  </si>
  <si>
    <t>Tejal Patel</t>
  </si>
  <si>
    <t>Count of Emp Name</t>
  </si>
  <si>
    <t>25-29</t>
  </si>
  <si>
    <t>30-34</t>
  </si>
  <si>
    <t>35-39</t>
  </si>
  <si>
    <t>40-44</t>
  </si>
  <si>
    <t>45-49</t>
  </si>
  <si>
    <t>right click,  group, min = 0, max will be auto selected, by = 5</t>
  </si>
  <si>
    <t xml:space="preserve">right click, Show values as …. </t>
  </si>
  <si>
    <t>Running total</t>
  </si>
  <si>
    <t>% Running Total</t>
  </si>
  <si>
    <t>% diff from previous</t>
  </si>
  <si>
    <t>Diff from Previous</t>
  </si>
  <si>
    <t xml:space="preserve">Top 5 </t>
  </si>
  <si>
    <t>Bottom 5</t>
  </si>
  <si>
    <t>Department wise total sal</t>
  </si>
  <si>
    <t xml:space="preserve">right click, show values as... </t>
  </si>
  <si>
    <t>5001-10000</t>
  </si>
  <si>
    <t>10001-15000</t>
  </si>
  <si>
    <t>15001-20000</t>
  </si>
  <si>
    <t>20001-25000</t>
  </si>
  <si>
    <t>45001-50000</t>
  </si>
  <si>
    <t>Dashboard of Employee Details</t>
  </si>
  <si>
    <t>To remove button, click on any button, right click, Remove / hide All</t>
  </si>
  <si>
    <t>right click on y axis, format axis, display units = thousands</t>
  </si>
  <si>
    <t xml:space="preserve">To get them back, go to pivot chart analyze Tab, field button, show </t>
  </si>
  <si>
    <t xml:space="preserve">right click on slicer, report connections, </t>
  </si>
  <si>
    <t>add all the pivot tables you want the slicer to be applied on</t>
  </si>
  <si>
    <t xml:space="preserve">right click on slicer, slicer settings, check - hide items with no data </t>
  </si>
  <si>
    <t>Count of Empcode</t>
  </si>
  <si>
    <t>right click on any value, summarize, change according to need</t>
  </si>
  <si>
    <t xml:space="preserve">Total Employees : </t>
  </si>
  <si>
    <t>Fin year</t>
  </si>
  <si>
    <t>fin quarter</t>
  </si>
  <si>
    <t>first</t>
  </si>
  <si>
    <t>second</t>
  </si>
  <si>
    <t>third</t>
  </si>
  <si>
    <t>fourth</t>
  </si>
  <si>
    <t>for fin year</t>
  </si>
  <si>
    <t>For fin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</si>
</sst>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quot;$&quot;#,##0.00_);[Red]\(&quot;$&quot;#,##0.00\)"/>
    <numFmt numFmtId="166" formatCode="_(&quot;$&quot;* #,##0.00_);_(&quot;$&quot;* \(#,##0.00\);_(&quot;$&quot;* &quot;-&quot;??_);_(@_)"/>
    <numFmt numFmtId="167" formatCode="_(* #,##0.00_);_(* \(#,##0.00\);_(* &quot;-&quot;??_);_(@_)"/>
    <numFmt numFmtId="168" formatCode="0.0"/>
    <numFmt numFmtId="169" formatCode="_(* #,##0_);_(* \(#,##0\);_(* &quot;-&quot;??_);_(@_)"/>
    <numFmt numFmtId="170" formatCode="_(* #,##0.0_);_(* \(#,##0.0\);_(* &quot;-&quot;??_);_(@_)"/>
  </numFmts>
  <fonts count="32" x14ac:knownFonts="1">
    <font>
      <sz val="10"/>
      <name val="MS Sans Serif"/>
    </font>
    <font>
      <sz val="10"/>
      <name val="MS Sans Serif"/>
    </font>
    <font>
      <sz val="10"/>
      <name val="Arial"/>
      <family val="2"/>
    </font>
    <font>
      <b/>
      <sz val="10"/>
      <name val="Arial"/>
      <family val="2"/>
    </font>
    <font>
      <sz val="9"/>
      <name val="Arial"/>
      <family val="2"/>
    </font>
    <font>
      <sz val="10"/>
      <name val="Arial"/>
      <family val="2"/>
    </font>
    <font>
      <b/>
      <sz val="10"/>
      <name val="Arial"/>
      <family val="2"/>
    </font>
    <font>
      <b/>
      <sz val="18"/>
      <name val="Arial"/>
      <family val="2"/>
    </font>
    <font>
      <b/>
      <sz val="9"/>
      <name val="Arial"/>
      <family val="2"/>
    </font>
    <font>
      <b/>
      <sz val="20"/>
      <name val="Arial"/>
      <family val="2"/>
    </font>
    <font>
      <sz val="16"/>
      <color indexed="12"/>
      <name val="Arial"/>
      <family val="2"/>
    </font>
    <font>
      <sz val="16"/>
      <color indexed="17"/>
      <name val="Arial"/>
      <family val="2"/>
    </font>
    <font>
      <b/>
      <sz val="12"/>
      <name val="Arial"/>
      <family val="2"/>
    </font>
    <font>
      <b/>
      <sz val="16"/>
      <color indexed="10"/>
      <name val="Arial"/>
      <family val="2"/>
    </font>
    <font>
      <sz val="14"/>
      <color indexed="12"/>
      <name val="Arial"/>
      <family val="2"/>
    </font>
    <font>
      <b/>
      <sz val="11"/>
      <color theme="0"/>
      <name val="Calibri"/>
      <family val="2"/>
      <scheme val="minor"/>
    </font>
    <font>
      <b/>
      <i/>
      <sz val="14"/>
      <color indexed="9"/>
      <name val="Times New Roman"/>
      <family val="1"/>
    </font>
    <font>
      <b/>
      <sz val="10"/>
      <color indexed="18"/>
      <name val="Arial"/>
      <family val="2"/>
    </font>
    <font>
      <sz val="12"/>
      <name val="Times New Roman"/>
      <family val="1"/>
    </font>
    <font>
      <sz val="11"/>
      <name val="Calibri"/>
      <family val="2"/>
      <scheme val="minor"/>
    </font>
    <font>
      <sz val="11"/>
      <color rgb="FF0000FF"/>
      <name val="Calibri"/>
      <family val="2"/>
      <scheme val="minor"/>
    </font>
    <font>
      <b/>
      <sz val="11"/>
      <color rgb="FFC00000"/>
      <name val="Calibri"/>
      <family val="2"/>
      <scheme val="minor"/>
    </font>
    <font>
      <b/>
      <sz val="11"/>
      <name val="Calibri"/>
      <family val="2"/>
      <scheme val="minor"/>
    </font>
    <font>
      <sz val="10"/>
      <name val="Calibri Light"/>
      <family val="2"/>
      <scheme val="major"/>
    </font>
    <font>
      <sz val="8"/>
      <name val="MS Sans Serif"/>
    </font>
    <font>
      <b/>
      <sz val="11"/>
      <color rgb="FFFFFFFF"/>
      <name val="Calibri"/>
      <family val="2"/>
    </font>
    <font>
      <sz val="11"/>
      <color rgb="FF000000"/>
      <name val="Calibri"/>
      <family val="2"/>
    </font>
    <font>
      <sz val="10"/>
      <color theme="1"/>
      <name val="Calibri"/>
      <family val="2"/>
    </font>
    <font>
      <sz val="10"/>
      <color rgb="FFFF0000"/>
      <name val="Calibri Light"/>
      <family val="2"/>
      <scheme val="major"/>
    </font>
    <font>
      <sz val="10"/>
      <name val="Calibri"/>
      <family val="2"/>
      <scheme val="minor"/>
    </font>
    <font>
      <b/>
      <sz val="10"/>
      <name val="Calibri"/>
      <family val="2"/>
      <scheme val="minor"/>
    </font>
    <font>
      <i/>
      <sz val="10"/>
      <color rgb="FFFF0000"/>
      <name val="Calibri"/>
      <family val="2"/>
      <scheme val="minor"/>
    </font>
  </fonts>
  <fills count="17">
    <fill>
      <patternFill patternType="none"/>
    </fill>
    <fill>
      <patternFill patternType="gray125"/>
    </fill>
    <fill>
      <patternFill patternType="solid">
        <fgColor indexed="42"/>
        <bgColor indexed="64"/>
      </patternFill>
    </fill>
    <fill>
      <patternFill patternType="solid">
        <fgColor indexed="46"/>
        <bgColor indexed="64"/>
      </patternFill>
    </fill>
    <fill>
      <patternFill patternType="solid">
        <fgColor indexed="43"/>
        <bgColor indexed="64"/>
      </patternFill>
    </fill>
    <fill>
      <patternFill patternType="solid">
        <fgColor indexed="47"/>
        <bgColor indexed="64"/>
      </patternFill>
    </fill>
    <fill>
      <patternFill patternType="solid">
        <fgColor indexed="49"/>
        <bgColor indexed="64"/>
      </patternFill>
    </fill>
    <fill>
      <patternFill patternType="solid">
        <fgColor indexed="44"/>
        <bgColor indexed="64"/>
      </patternFill>
    </fill>
    <fill>
      <patternFill patternType="solid">
        <fgColor indexed="22"/>
        <bgColor indexed="64"/>
      </patternFill>
    </fill>
    <fill>
      <patternFill patternType="solid">
        <fgColor rgb="FFFFFF00"/>
        <bgColor indexed="64"/>
      </patternFill>
    </fill>
    <fill>
      <patternFill patternType="solid">
        <fgColor indexed="13"/>
        <bgColor indexed="64"/>
      </patternFill>
    </fill>
    <fill>
      <patternFill patternType="solid">
        <fgColor indexed="16"/>
        <bgColor indexed="64"/>
      </patternFill>
    </fill>
    <fill>
      <patternFill patternType="solid">
        <fgColor indexed="47"/>
        <bgColor indexed="26"/>
      </patternFill>
    </fill>
    <fill>
      <patternFill patternType="solid">
        <fgColor rgb="FFC00000"/>
        <bgColor indexed="64"/>
      </patternFill>
    </fill>
    <fill>
      <patternFill patternType="solid">
        <fgColor rgb="FFFFFFCC"/>
        <bgColor indexed="64"/>
      </patternFill>
    </fill>
    <fill>
      <patternFill patternType="solid">
        <fgColor rgb="FF002060"/>
        <bgColor indexed="64"/>
      </patternFill>
    </fill>
    <fill>
      <patternFill patternType="solid">
        <fgColor theme="7" tint="0.7999816888943144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bottom style="double">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64"/>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style="double">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3">
    <xf numFmtId="0" fontId="0" fillId="0" borderId="0"/>
    <xf numFmtId="167" fontId="1" fillId="0" borderId="0" applyFont="0" applyFill="0" applyBorder="0" applyAlignment="0" applyProtection="0"/>
    <xf numFmtId="0" fontId="2" fillId="0" borderId="0"/>
    <xf numFmtId="0" fontId="2" fillId="0" borderId="0"/>
    <xf numFmtId="0" fontId="2" fillId="0" borderId="0"/>
    <xf numFmtId="167" fontId="2"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0" fontId="18" fillId="0" borderId="0"/>
    <xf numFmtId="0" fontId="2" fillId="0" borderId="0"/>
    <xf numFmtId="0" fontId="27" fillId="0" borderId="0"/>
    <xf numFmtId="167" fontId="27" fillId="0" borderId="0" applyFont="0" applyFill="0" applyBorder="0" applyAlignment="0" applyProtection="0"/>
    <xf numFmtId="9" fontId="1" fillId="0" borderId="0" applyFont="0" applyFill="0" applyBorder="0" applyAlignment="0" applyProtection="0"/>
  </cellStyleXfs>
  <cellXfs count="193">
    <xf numFmtId="0" fontId="0" fillId="0" borderId="0" xfId="0"/>
    <xf numFmtId="0" fontId="2" fillId="0" borderId="0" xfId="2"/>
    <xf numFmtId="0" fontId="5" fillId="0" borderId="0" xfId="2" applyFont="1"/>
    <xf numFmtId="0" fontId="2" fillId="4" borderId="3" xfId="2" applyFill="1" applyBorder="1"/>
    <xf numFmtId="0" fontId="2" fillId="4" borderId="0" xfId="2" applyFill="1"/>
    <xf numFmtId="0" fontId="2" fillId="4" borderId="4" xfId="2" applyFill="1" applyBorder="1"/>
    <xf numFmtId="0" fontId="3" fillId="4" borderId="3" xfId="2" applyFont="1" applyFill="1" applyBorder="1"/>
    <xf numFmtId="0" fontId="2" fillId="4" borderId="8" xfId="2" applyFill="1" applyBorder="1"/>
    <xf numFmtId="0" fontId="2" fillId="4" borderId="9" xfId="2" applyFill="1" applyBorder="1"/>
    <xf numFmtId="0" fontId="2" fillId="4" borderId="10" xfId="2" applyFill="1" applyBorder="1"/>
    <xf numFmtId="0" fontId="9" fillId="0" borderId="0" xfId="2" applyFont="1" applyAlignment="1">
      <alignment horizontal="centerContinuous"/>
    </xf>
    <xf numFmtId="0" fontId="5" fillId="0" borderId="0" xfId="2" applyFont="1" applyAlignment="1">
      <alignment horizontal="centerContinuous"/>
    </xf>
    <xf numFmtId="0" fontId="5" fillId="0" borderId="0" xfId="2" applyFont="1" applyAlignment="1">
      <alignment wrapText="1"/>
    </xf>
    <xf numFmtId="0" fontId="3" fillId="0" borderId="14" xfId="2" applyFont="1" applyBorder="1"/>
    <xf numFmtId="0" fontId="5" fillId="0" borderId="15" xfId="2" applyFont="1" applyBorder="1"/>
    <xf numFmtId="0" fontId="5" fillId="0" borderId="16" xfId="2" applyFont="1" applyBorder="1" applyAlignment="1">
      <alignment wrapText="1"/>
    </xf>
    <xf numFmtId="0" fontId="5" fillId="0" borderId="17" xfId="2" applyFont="1" applyBorder="1"/>
    <xf numFmtId="0" fontId="5" fillId="0" borderId="18" xfId="2" applyFont="1" applyBorder="1" applyAlignment="1">
      <alignment wrapText="1"/>
    </xf>
    <xf numFmtId="0" fontId="5" fillId="0" borderId="19" xfId="2" applyFont="1" applyBorder="1"/>
    <xf numFmtId="0" fontId="5" fillId="0" borderId="20" xfId="2" applyFont="1" applyBorder="1" applyAlignment="1">
      <alignment wrapText="1"/>
    </xf>
    <xf numFmtId="0" fontId="5" fillId="0" borderId="20" xfId="2" applyFont="1" applyBorder="1"/>
    <xf numFmtId="0" fontId="5" fillId="0" borderId="21" xfId="2" applyFont="1" applyBorder="1" applyAlignment="1">
      <alignment wrapText="1"/>
    </xf>
    <xf numFmtId="0" fontId="5" fillId="0" borderId="21" xfId="2" applyFont="1" applyBorder="1"/>
    <xf numFmtId="0" fontId="3" fillId="0" borderId="14" xfId="2" applyFont="1" applyBorder="1" applyAlignment="1">
      <alignment wrapText="1"/>
    </xf>
    <xf numFmtId="0" fontId="5" fillId="0" borderId="22" xfId="2" applyFont="1" applyBorder="1" applyAlignment="1">
      <alignment wrapText="1"/>
    </xf>
    <xf numFmtId="0" fontId="5" fillId="0" borderId="22" xfId="2" applyFont="1" applyBorder="1"/>
    <xf numFmtId="0" fontId="2" fillId="0" borderId="0" xfId="3"/>
    <xf numFmtId="2" fontId="2" fillId="0" borderId="0" xfId="3" applyNumberFormat="1"/>
    <xf numFmtId="0" fontId="2" fillId="0" borderId="0" xfId="4"/>
    <xf numFmtId="0" fontId="2" fillId="0" borderId="1" xfId="4" applyBorder="1"/>
    <xf numFmtId="0" fontId="2" fillId="9" borderId="1" xfId="4" applyFill="1" applyBorder="1"/>
    <xf numFmtId="15" fontId="2" fillId="0" borderId="1" xfId="4" applyNumberFormat="1" applyBorder="1"/>
    <xf numFmtId="0" fontId="5" fillId="0" borderId="0" xfId="4" applyFont="1"/>
    <xf numFmtId="15" fontId="2" fillId="0" borderId="0" xfId="4" applyNumberFormat="1"/>
    <xf numFmtId="4" fontId="2" fillId="0" borderId="0" xfId="4" applyNumberFormat="1" applyProtection="1">
      <protection locked="0"/>
    </xf>
    <xf numFmtId="0" fontId="6" fillId="0" borderId="0" xfId="4" applyFont="1"/>
    <xf numFmtId="0" fontId="14" fillId="7" borderId="0" xfId="4" applyFont="1" applyFill="1"/>
    <xf numFmtId="0" fontId="2" fillId="7" borderId="0" xfId="4" applyFill="1"/>
    <xf numFmtId="9" fontId="2" fillId="10" borderId="28" xfId="4" applyNumberFormat="1" applyFill="1" applyBorder="1"/>
    <xf numFmtId="0" fontId="3" fillId="2" borderId="1" xfId="4" applyFont="1" applyFill="1" applyBorder="1"/>
    <xf numFmtId="0" fontId="3" fillId="10" borderId="1" xfId="4" applyFont="1" applyFill="1" applyBorder="1"/>
    <xf numFmtId="0" fontId="2" fillId="2" borderId="1" xfId="4" applyFill="1" applyBorder="1"/>
    <xf numFmtId="10" fontId="2" fillId="2" borderId="1" xfId="4" applyNumberFormat="1" applyFill="1" applyBorder="1"/>
    <xf numFmtId="0" fontId="3" fillId="10" borderId="29" xfId="4" applyFont="1" applyFill="1" applyBorder="1"/>
    <xf numFmtId="165" fontId="2" fillId="2" borderId="28" xfId="4" applyNumberFormat="1" applyFill="1" applyBorder="1"/>
    <xf numFmtId="0" fontId="2" fillId="2" borderId="28" xfId="4" applyFill="1" applyBorder="1"/>
    <xf numFmtId="0" fontId="2" fillId="6" borderId="1" xfId="4" applyFill="1" applyBorder="1"/>
    <xf numFmtId="0" fontId="2" fillId="2" borderId="29" xfId="4" applyFill="1" applyBorder="1"/>
    <xf numFmtId="0" fontId="2" fillId="6" borderId="29" xfId="4" applyFill="1" applyBorder="1"/>
    <xf numFmtId="0" fontId="3" fillId="5" borderId="0" xfId="4" applyFont="1" applyFill="1"/>
    <xf numFmtId="0" fontId="13" fillId="6" borderId="0" xfId="4" applyFont="1" applyFill="1" applyAlignment="1">
      <alignment horizontal="center"/>
    </xf>
    <xf numFmtId="0" fontId="3" fillId="3" borderId="0" xfId="4" applyFont="1" applyFill="1"/>
    <xf numFmtId="0" fontId="3" fillId="7" borderId="0" xfId="4" applyFont="1" applyFill="1"/>
    <xf numFmtId="0" fontId="2" fillId="4" borderId="0" xfId="4" applyFill="1"/>
    <xf numFmtId="0" fontId="2" fillId="8" borderId="0" xfId="4" applyFill="1"/>
    <xf numFmtId="14" fontId="2" fillId="8" borderId="0" xfId="4" applyNumberFormat="1" applyFill="1"/>
    <xf numFmtId="22" fontId="2" fillId="8" borderId="0" xfId="4" applyNumberFormat="1" applyFill="1"/>
    <xf numFmtId="18" fontId="2" fillId="8" borderId="0" xfId="4" applyNumberFormat="1" applyFill="1"/>
    <xf numFmtId="0" fontId="3" fillId="0" borderId="0" xfId="4" applyFont="1"/>
    <xf numFmtId="0" fontId="3" fillId="0" borderId="1" xfId="4" applyFont="1" applyBorder="1"/>
    <xf numFmtId="0" fontId="4" fillId="0" borderId="3" xfId="4" applyFont="1" applyBorder="1" applyAlignment="1">
      <alignment vertical="center"/>
    </xf>
    <xf numFmtId="38" fontId="4" fillId="0" borderId="33" xfId="5" applyNumberFormat="1" applyFont="1" applyBorder="1" applyAlignment="1">
      <alignment vertical="center"/>
    </xf>
    <xf numFmtId="165" fontId="4" fillId="0" borderId="34" xfId="6" applyNumberFormat="1" applyFont="1" applyBorder="1" applyAlignment="1">
      <alignment vertical="center"/>
    </xf>
    <xf numFmtId="40" fontId="4" fillId="0" borderId="34" xfId="5" applyNumberFormat="1" applyFont="1" applyBorder="1" applyAlignment="1">
      <alignment vertical="center"/>
    </xf>
    <xf numFmtId="38" fontId="4" fillId="0" borderId="34" xfId="5" applyNumberFormat="1" applyFont="1" applyBorder="1" applyAlignment="1">
      <alignment vertical="center"/>
    </xf>
    <xf numFmtId="10" fontId="4" fillId="0" borderId="35" xfId="7" applyNumberFormat="1" applyFont="1" applyBorder="1" applyAlignment="1">
      <alignment vertical="center"/>
    </xf>
    <xf numFmtId="164" fontId="4" fillId="0" borderId="33" xfId="6" applyNumberFormat="1" applyFont="1" applyBorder="1" applyAlignment="1">
      <alignment vertical="center"/>
    </xf>
    <xf numFmtId="38" fontId="4" fillId="0" borderId="35" xfId="6" applyNumberFormat="1" applyFont="1" applyBorder="1" applyAlignment="1">
      <alignment vertical="center"/>
    </xf>
    <xf numFmtId="0" fontId="8" fillId="0" borderId="37" xfId="4" applyFont="1" applyBorder="1" applyAlignment="1">
      <alignment vertical="center"/>
    </xf>
    <xf numFmtId="164" fontId="8" fillId="0" borderId="38" xfId="4" applyNumberFormat="1" applyFont="1" applyBorder="1" applyAlignment="1">
      <alignment vertical="center"/>
    </xf>
    <xf numFmtId="0" fontId="8" fillId="10" borderId="37" xfId="4" applyFont="1" applyFill="1" applyBorder="1" applyAlignment="1">
      <alignment vertical="center"/>
    </xf>
    <xf numFmtId="0" fontId="2" fillId="10" borderId="0" xfId="4" applyFill="1"/>
    <xf numFmtId="0" fontId="18" fillId="4" borderId="0" xfId="8" applyFill="1"/>
    <xf numFmtId="0" fontId="18" fillId="0" borderId="0" xfId="8"/>
    <xf numFmtId="0" fontId="18" fillId="0" borderId="1" xfId="8" applyBorder="1"/>
    <xf numFmtId="168" fontId="18" fillId="0" borderId="0" xfId="8" applyNumberFormat="1"/>
    <xf numFmtId="0" fontId="2" fillId="0" borderId="1" xfId="3" applyBorder="1"/>
    <xf numFmtId="167" fontId="15" fillId="13" borderId="1" xfId="1" applyFont="1" applyFill="1" applyBorder="1" applyAlignment="1"/>
    <xf numFmtId="167" fontId="19" fillId="0" borderId="1" xfId="1" applyFont="1" applyBorder="1"/>
    <xf numFmtId="167" fontId="20" fillId="14" borderId="1" xfId="5" applyFont="1" applyFill="1" applyBorder="1"/>
    <xf numFmtId="169" fontId="20" fillId="14" borderId="1" xfId="5" applyNumberFormat="1" applyFont="1" applyFill="1" applyBorder="1"/>
    <xf numFmtId="167" fontId="21" fillId="0" borderId="1" xfId="1" applyFont="1" applyBorder="1"/>
    <xf numFmtId="169" fontId="21" fillId="0" borderId="1" xfId="5" applyNumberFormat="1" applyFont="1" applyBorder="1"/>
    <xf numFmtId="167" fontId="19" fillId="0" borderId="0" xfId="1" applyFont="1" applyBorder="1"/>
    <xf numFmtId="169" fontId="19" fillId="0" borderId="0" xfId="5" applyNumberFormat="1" applyFont="1" applyBorder="1"/>
    <xf numFmtId="169" fontId="19" fillId="0" borderId="1" xfId="5" applyNumberFormat="1" applyFont="1" applyBorder="1"/>
    <xf numFmtId="169" fontId="21" fillId="0" borderId="1" xfId="4" applyNumberFormat="1" applyFont="1" applyBorder="1"/>
    <xf numFmtId="169" fontId="19" fillId="0" borderId="0" xfId="4" applyNumberFormat="1" applyFont="1"/>
    <xf numFmtId="167" fontId="22" fillId="0" borderId="0" xfId="1" applyFont="1" applyBorder="1"/>
    <xf numFmtId="167" fontId="22" fillId="0" borderId="0" xfId="4" applyNumberFormat="1" applyFont="1"/>
    <xf numFmtId="0" fontId="19" fillId="0" borderId="0" xfId="9" applyFont="1"/>
    <xf numFmtId="170" fontId="20" fillId="14" borderId="1" xfId="1" applyNumberFormat="1" applyFont="1" applyFill="1" applyBorder="1"/>
    <xf numFmtId="2" fontId="2" fillId="0" borderId="1" xfId="3" applyNumberFormat="1" applyBorder="1"/>
    <xf numFmtId="15" fontId="2" fillId="0" borderId="1" xfId="3" applyNumberFormat="1" applyBorder="1"/>
    <xf numFmtId="0" fontId="23" fillId="0" borderId="0" xfId="0" applyFont="1"/>
    <xf numFmtId="0" fontId="23" fillId="0" borderId="1" xfId="0" applyFont="1" applyBorder="1"/>
    <xf numFmtId="0" fontId="23" fillId="9" borderId="1" xfId="0" applyFont="1" applyFill="1" applyBorder="1"/>
    <xf numFmtId="0" fontId="25" fillId="15" borderId="39" xfId="0" applyFont="1" applyFill="1" applyBorder="1" applyAlignment="1">
      <alignment horizontal="center" vertical="center" wrapText="1" readingOrder="1"/>
    </xf>
    <xf numFmtId="0" fontId="23" fillId="9" borderId="0" xfId="0" applyFont="1" applyFill="1"/>
    <xf numFmtId="9" fontId="26" fillId="0" borderId="39" xfId="0" applyNumberFormat="1" applyFont="1" applyBorder="1" applyAlignment="1">
      <alignment horizontal="center" wrapText="1" readingOrder="1"/>
    </xf>
    <xf numFmtId="9" fontId="23" fillId="0" borderId="1" xfId="0" applyNumberFormat="1" applyFont="1" applyBorder="1"/>
    <xf numFmtId="0" fontId="26" fillId="0" borderId="1" xfId="0" applyFont="1" applyBorder="1" applyAlignment="1">
      <alignment horizontal="left" vertical="center" wrapText="1" readingOrder="1"/>
    </xf>
    <xf numFmtId="0" fontId="26" fillId="0" borderId="1" xfId="0" applyFont="1" applyBorder="1" applyAlignment="1">
      <alignment horizontal="center" vertical="center" wrapText="1" readingOrder="1"/>
    </xf>
    <xf numFmtId="0" fontId="26" fillId="0" borderId="0" xfId="0" applyFont="1" applyAlignment="1">
      <alignment horizontal="center" vertical="center" wrapText="1" readingOrder="1"/>
    </xf>
    <xf numFmtId="9" fontId="26" fillId="0" borderId="1" xfId="0" applyNumberFormat="1" applyFont="1" applyBorder="1" applyAlignment="1">
      <alignment horizontal="center" wrapText="1" readingOrder="1"/>
    </xf>
    <xf numFmtId="0" fontId="28" fillId="0" borderId="0" xfId="0" applyFont="1"/>
    <xf numFmtId="0" fontId="29" fillId="0" borderId="0" xfId="4" applyFont="1"/>
    <xf numFmtId="0" fontId="29" fillId="0" borderId="0" xfId="4" applyFont="1" applyProtection="1">
      <protection locked="0"/>
    </xf>
    <xf numFmtId="0" fontId="29" fillId="0" borderId="1" xfId="4" applyFont="1" applyBorder="1" applyProtection="1">
      <protection locked="0"/>
    </xf>
    <xf numFmtId="0" fontId="29" fillId="0" borderId="0" xfId="0" applyFont="1"/>
    <xf numFmtId="0" fontId="29" fillId="0" borderId="1" xfId="4" applyFont="1" applyBorder="1"/>
    <xf numFmtId="15" fontId="29" fillId="0" borderId="1" xfId="4" applyNumberFormat="1" applyFont="1" applyBorder="1" applyProtection="1">
      <protection locked="0"/>
    </xf>
    <xf numFmtId="0" fontId="29" fillId="0" borderId="1" xfId="0" applyFont="1" applyBorder="1"/>
    <xf numFmtId="15" fontId="29" fillId="0" borderId="0" xfId="4" applyNumberFormat="1" applyFont="1" applyProtection="1">
      <protection locked="0"/>
    </xf>
    <xf numFmtId="4" fontId="29" fillId="0" borderId="0" xfId="4" applyNumberFormat="1" applyFont="1" applyProtection="1">
      <protection locked="0"/>
    </xf>
    <xf numFmtId="0" fontId="30" fillId="0" borderId="0" xfId="4" applyFont="1" applyProtection="1">
      <protection locked="0"/>
    </xf>
    <xf numFmtId="0" fontId="1" fillId="0" borderId="0" xfId="0" applyFont="1"/>
    <xf numFmtId="0" fontId="2" fillId="0" borderId="26" xfId="3" applyBorder="1"/>
    <xf numFmtId="0" fontId="2" fillId="0" borderId="21" xfId="3" applyBorder="1"/>
    <xf numFmtId="0" fontId="2" fillId="0" borderId="27" xfId="3" applyBorder="1"/>
    <xf numFmtId="0" fontId="2" fillId="0" borderId="6" xfId="3" applyBorder="1"/>
    <xf numFmtId="0" fontId="2" fillId="0" borderId="1" xfId="3" applyBorder="1" applyAlignment="1">
      <alignment horizontal="center"/>
    </xf>
    <xf numFmtId="4" fontId="2" fillId="0" borderId="1" xfId="3" applyNumberFormat="1" applyBorder="1" applyAlignment="1">
      <alignment horizontal="center"/>
    </xf>
    <xf numFmtId="0" fontId="3" fillId="0" borderId="1" xfId="3" applyFont="1" applyBorder="1" applyAlignment="1">
      <alignment horizontal="center"/>
    </xf>
    <xf numFmtId="0" fontId="12" fillId="9" borderId="1" xfId="3" applyFont="1" applyFill="1" applyBorder="1" applyAlignment="1">
      <alignment horizontal="center"/>
    </xf>
    <xf numFmtId="0" fontId="2" fillId="9" borderId="1" xfId="3" applyFill="1" applyBorder="1"/>
    <xf numFmtId="2" fontId="2" fillId="9" borderId="1" xfId="3" applyNumberFormat="1" applyFill="1" applyBorder="1"/>
    <xf numFmtId="0" fontId="3" fillId="9" borderId="1" xfId="3" applyFont="1" applyFill="1" applyBorder="1"/>
    <xf numFmtId="9" fontId="29" fillId="0" borderId="1" xfId="0" applyNumberFormat="1" applyFont="1" applyBorder="1" applyAlignment="1">
      <alignment horizontal="center"/>
    </xf>
    <xf numFmtId="10" fontId="29" fillId="0" borderId="1" xfId="0" applyNumberFormat="1" applyFont="1" applyBorder="1" applyAlignment="1">
      <alignment horizontal="center"/>
    </xf>
    <xf numFmtId="0" fontId="29" fillId="0" borderId="6" xfId="4" applyFont="1" applyBorder="1" applyProtection="1">
      <protection locked="0"/>
    </xf>
    <xf numFmtId="0" fontId="29" fillId="9" borderId="7" xfId="4" applyFont="1" applyFill="1" applyBorder="1" applyProtection="1">
      <protection locked="0"/>
    </xf>
    <xf numFmtId="0" fontId="29" fillId="9" borderId="43" xfId="4" applyFont="1" applyFill="1" applyBorder="1" applyProtection="1">
      <protection locked="0"/>
    </xf>
    <xf numFmtId="0" fontId="29" fillId="9" borderId="43" xfId="4" applyFont="1" applyFill="1" applyBorder="1"/>
    <xf numFmtId="0" fontId="29" fillId="9" borderId="26" xfId="4" applyFont="1" applyFill="1" applyBorder="1" applyProtection="1">
      <protection locked="0"/>
    </xf>
    <xf numFmtId="0" fontId="29" fillId="0" borderId="44" xfId="4" applyFont="1" applyBorder="1" applyProtection="1">
      <protection locked="0"/>
    </xf>
    <xf numFmtId="0" fontId="29" fillId="0" borderId="28" xfId="4" applyFont="1" applyBorder="1" applyProtection="1">
      <protection locked="0"/>
    </xf>
    <xf numFmtId="0" fontId="29" fillId="0" borderId="28" xfId="4" applyFont="1" applyBorder="1"/>
    <xf numFmtId="15" fontId="29" fillId="0" borderId="28" xfId="4" applyNumberFormat="1" applyFont="1" applyBorder="1" applyProtection="1">
      <protection locked="0"/>
    </xf>
    <xf numFmtId="9" fontId="29" fillId="0" borderId="0" xfId="0" applyNumberFormat="1" applyFont="1"/>
    <xf numFmtId="0" fontId="29" fillId="16" borderId="1" xfId="4" applyFont="1" applyFill="1" applyBorder="1" applyProtection="1">
      <protection hidden="1"/>
    </xf>
    <xf numFmtId="0" fontId="29" fillId="16" borderId="1" xfId="4" applyFont="1" applyFill="1" applyBorder="1"/>
    <xf numFmtId="0" fontId="29" fillId="16" borderId="27" xfId="4" applyFont="1" applyFill="1" applyBorder="1"/>
    <xf numFmtId="0" fontId="29" fillId="16" borderId="43" xfId="4" applyFont="1" applyFill="1" applyBorder="1"/>
    <xf numFmtId="0" fontId="29" fillId="16" borderId="0" xfId="4" applyFont="1" applyFill="1"/>
    <xf numFmtId="9" fontId="29" fillId="16" borderId="0" xfId="12" applyFont="1" applyFill="1"/>
    <xf numFmtId="0" fontId="29" fillId="16" borderId="28" xfId="4" applyFont="1" applyFill="1" applyBorder="1"/>
    <xf numFmtId="0" fontId="29" fillId="16" borderId="45" xfId="4" applyFont="1" applyFill="1" applyBorder="1"/>
    <xf numFmtId="2" fontId="29" fillId="0" borderId="0" xfId="4" applyNumberFormat="1" applyFont="1" applyProtection="1">
      <protection locked="0"/>
    </xf>
    <xf numFmtId="2" fontId="29" fillId="16" borderId="0" xfId="12" applyNumberFormat="1" applyFont="1" applyFill="1"/>
    <xf numFmtId="14" fontId="29" fillId="0" borderId="0" xfId="4" applyNumberFormat="1" applyFont="1"/>
    <xf numFmtId="0" fontId="29" fillId="0" borderId="0" xfId="0" pivotButton="1" applyFont="1"/>
    <xf numFmtId="0" fontId="29" fillId="0" borderId="0" xfId="0" applyFont="1" applyAlignment="1">
      <alignment horizontal="left"/>
    </xf>
    <xf numFmtId="0" fontId="29" fillId="0" borderId="0" xfId="0" applyFont="1" applyAlignment="1">
      <alignment horizontal="left" indent="1"/>
    </xf>
    <xf numFmtId="10" fontId="29" fillId="0" borderId="0" xfId="0" applyNumberFormat="1" applyFont="1"/>
    <xf numFmtId="0" fontId="29" fillId="0" borderId="0" xfId="0" applyFont="1" applyAlignment="1">
      <alignment horizontal="left" indent="2"/>
    </xf>
    <xf numFmtId="0" fontId="31" fillId="0" borderId="21" xfId="0" applyFont="1" applyBorder="1"/>
    <xf numFmtId="0" fontId="29" fillId="0" borderId="21" xfId="0" applyFont="1" applyBorder="1"/>
    <xf numFmtId="0" fontId="29" fillId="0" borderId="21" xfId="0" applyFont="1" applyBorder="1" applyAlignment="1">
      <alignment horizontal="left"/>
    </xf>
    <xf numFmtId="9" fontId="2" fillId="0" borderId="0" xfId="4" applyNumberFormat="1"/>
    <xf numFmtId="9" fontId="2" fillId="0" borderId="1" xfId="12" applyFont="1" applyBorder="1"/>
    <xf numFmtId="0" fontId="2" fillId="0" borderId="1" xfId="12" applyNumberFormat="1" applyFont="1" applyBorder="1"/>
    <xf numFmtId="0" fontId="2" fillId="0" borderId="0" xfId="4" applyAlignment="1">
      <alignment horizontal="right"/>
    </xf>
    <xf numFmtId="0" fontId="10" fillId="0" borderId="23" xfId="3" applyFont="1" applyBorder="1" applyAlignment="1">
      <alignment horizontal="center"/>
    </xf>
    <xf numFmtId="0" fontId="10" fillId="0" borderId="24" xfId="3" applyFont="1" applyBorder="1" applyAlignment="1">
      <alignment horizontal="center"/>
    </xf>
    <xf numFmtId="0" fontId="10" fillId="0" borderId="25" xfId="3" applyFont="1" applyBorder="1" applyAlignment="1">
      <alignment horizontal="center"/>
    </xf>
    <xf numFmtId="0" fontId="11" fillId="0" borderId="8" xfId="3" applyFont="1" applyBorder="1" applyAlignment="1">
      <alignment horizontal="center"/>
    </xf>
    <xf numFmtId="0" fontId="11" fillId="0" borderId="9" xfId="3" applyFont="1" applyBorder="1" applyAlignment="1">
      <alignment horizontal="center"/>
    </xf>
    <xf numFmtId="0" fontId="11" fillId="0" borderId="0" xfId="3" applyFont="1" applyAlignment="1">
      <alignment horizontal="center"/>
    </xf>
    <xf numFmtId="0" fontId="11" fillId="0" borderId="4" xfId="3" applyFont="1" applyBorder="1" applyAlignment="1">
      <alignment horizontal="center"/>
    </xf>
    <xf numFmtId="0" fontId="12" fillId="0" borderId="26" xfId="3" applyFont="1" applyBorder="1" applyAlignment="1">
      <alignment horizontal="center"/>
    </xf>
    <xf numFmtId="0" fontId="12" fillId="0" borderId="21" xfId="3" applyFont="1" applyBorder="1" applyAlignment="1">
      <alignment horizontal="center"/>
    </xf>
    <xf numFmtId="0" fontId="12" fillId="0" borderId="7" xfId="3" applyFont="1" applyBorder="1" applyAlignment="1">
      <alignment horizontal="center"/>
    </xf>
    <xf numFmtId="0" fontId="3" fillId="0" borderId="1" xfId="3" applyFont="1" applyBorder="1" applyAlignment="1">
      <alignment horizontal="center" vertical="center" textRotation="90"/>
    </xf>
    <xf numFmtId="0" fontId="3" fillId="9" borderId="27" xfId="3" applyFont="1" applyFill="1" applyBorder="1" applyAlignment="1">
      <alignment horizontal="center"/>
    </xf>
    <xf numFmtId="0" fontId="3" fillId="9" borderId="6" xfId="3" applyFont="1" applyFill="1" applyBorder="1" applyAlignment="1">
      <alignment horizontal="center"/>
    </xf>
    <xf numFmtId="0" fontId="29" fillId="9" borderId="27" xfId="4" applyFont="1" applyFill="1" applyBorder="1" applyAlignment="1" applyProtection="1">
      <alignment horizontal="center"/>
      <protection locked="0"/>
    </xf>
    <xf numFmtId="0" fontId="29" fillId="9" borderId="6" xfId="4" applyFont="1" applyFill="1" applyBorder="1" applyAlignment="1" applyProtection="1">
      <alignment horizontal="center"/>
      <protection locked="0"/>
    </xf>
    <xf numFmtId="0" fontId="29" fillId="9" borderId="1" xfId="4" applyFont="1" applyFill="1" applyBorder="1" applyAlignment="1" applyProtection="1">
      <alignment horizontal="center"/>
      <protection locked="0"/>
    </xf>
    <xf numFmtId="0" fontId="2" fillId="4" borderId="5" xfId="2" applyFill="1" applyBorder="1" applyAlignment="1">
      <alignment horizontal="center"/>
    </xf>
    <xf numFmtId="0" fontId="7" fillId="6" borderId="11" xfId="2" applyFont="1" applyFill="1" applyBorder="1" applyAlignment="1">
      <alignment horizontal="center"/>
    </xf>
    <xf numFmtId="0" fontId="7" fillId="6" borderId="12" xfId="2" applyFont="1" applyFill="1" applyBorder="1" applyAlignment="1">
      <alignment horizontal="center"/>
    </xf>
    <xf numFmtId="0" fontId="7" fillId="6" borderId="13" xfId="2" applyFont="1" applyFill="1" applyBorder="1" applyAlignment="1">
      <alignment horizontal="center"/>
    </xf>
    <xf numFmtId="0" fontId="3" fillId="10" borderId="2" xfId="4" applyFont="1" applyFill="1" applyBorder="1" applyAlignment="1">
      <alignment horizontal="center" vertical="center" textRotation="46"/>
    </xf>
    <xf numFmtId="0" fontId="3" fillId="10" borderId="30" xfId="4" applyFont="1" applyFill="1" applyBorder="1" applyAlignment="1">
      <alignment horizontal="center" vertical="center" textRotation="46"/>
    </xf>
    <xf numFmtId="0" fontId="25" fillId="15" borderId="40" xfId="0" applyFont="1" applyFill="1" applyBorder="1" applyAlignment="1">
      <alignment horizontal="center" vertical="center" wrapText="1" readingOrder="1"/>
    </xf>
    <xf numFmtId="0" fontId="25" fillId="15" borderId="41" xfId="0" applyFont="1" applyFill="1" applyBorder="1" applyAlignment="1">
      <alignment horizontal="center" vertical="center" wrapText="1" readingOrder="1"/>
    </xf>
    <xf numFmtId="0" fontId="25" fillId="15" borderId="42" xfId="0" applyFont="1" applyFill="1" applyBorder="1" applyAlignment="1">
      <alignment horizontal="center" vertical="center" wrapText="1" readingOrder="1"/>
    </xf>
    <xf numFmtId="0" fontId="16" fillId="11" borderId="23" xfId="4" applyFont="1" applyFill="1" applyBorder="1" applyAlignment="1">
      <alignment horizontal="center" vertical="center"/>
    </xf>
    <xf numFmtId="0" fontId="16" fillId="11" borderId="25" xfId="4" applyFont="1" applyFill="1" applyBorder="1" applyAlignment="1">
      <alignment horizontal="center" vertical="center"/>
    </xf>
    <xf numFmtId="0" fontId="17" fillId="12" borderId="31" xfId="4" applyFont="1" applyFill="1" applyBorder="1" applyAlignment="1">
      <alignment horizontal="center" vertical="center"/>
    </xf>
    <xf numFmtId="0" fontId="17" fillId="12" borderId="32" xfId="4" applyFont="1" applyFill="1" applyBorder="1" applyAlignment="1">
      <alignment horizontal="center" vertical="center"/>
    </xf>
    <xf numFmtId="0" fontId="17" fillId="12" borderId="36" xfId="4" applyFont="1" applyFill="1" applyBorder="1" applyAlignment="1">
      <alignment horizontal="center" vertical="center"/>
    </xf>
  </cellXfs>
  <cellStyles count="13">
    <cellStyle name="Comma" xfId="1" builtinId="3"/>
    <cellStyle name="Comma 2" xfId="5" xr:uid="{836D3764-A82B-4B60-BD6C-63342A10E779}"/>
    <cellStyle name="Comma 3" xfId="11" xr:uid="{BD51BEB2-6626-4603-9847-933FEA1E9AAC}"/>
    <cellStyle name="Currency 2" xfId="6" xr:uid="{6BC17766-4FF8-4470-9E7F-6F7CDAA34626}"/>
    <cellStyle name="Normal" xfId="0" builtinId="0"/>
    <cellStyle name="Normal 2" xfId="4" xr:uid="{EE7D983B-0C86-4B80-A779-9E3BC33D7254}"/>
    <cellStyle name="Normal 3" xfId="10" xr:uid="{7415FB54-545D-4EA5-9C77-32BB68922EAC}"/>
    <cellStyle name="Normal 4 2" xfId="9" xr:uid="{2EF7AB22-2AC3-44D1-9494-C14CBC72C94C}"/>
    <cellStyle name="Normal_excel_adv" xfId="2" xr:uid="{00000000-0005-0000-0000-000003000000}"/>
    <cellStyle name="Normal_ExcelFunction" xfId="3" xr:uid="{00000000-0005-0000-0000-000004000000}"/>
    <cellStyle name="Normal_Self study on data anlysis" xfId="8" xr:uid="{3DAE08FF-0E8A-4FAB-95CD-89FE6A8F54B3}"/>
    <cellStyle name="Percent" xfId="12" builtinId="5"/>
    <cellStyle name="Percent 2" xfId="7" xr:uid="{E0C3A4F1-7774-4C7E-88A4-41D65110AAFD}"/>
  </cellStyles>
  <dxfs count="342">
    <dxf>
      <font>
        <b/>
        <i val="0"/>
        <color rgb="FFFF0000"/>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val="0"/>
        <i val="0"/>
        <strike val="0"/>
        <condense val="0"/>
        <extend val="0"/>
        <outline val="0"/>
        <shadow val="0"/>
        <u val="none"/>
        <vertAlign val="baseline"/>
        <sz val="10"/>
        <color auto="1"/>
        <name val="Calibri"/>
        <family val="2"/>
        <scheme val="minor"/>
      </font>
      <numFmt numFmtId="13" formatCode="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9" formatCode="dd/mm/yyyy"/>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dxf>
    <dxf>
      <font>
        <b val="0"/>
        <i val="0"/>
        <strike val="0"/>
        <condense val="0"/>
        <extend val="0"/>
        <outline val="0"/>
        <shadow val="0"/>
        <u val="none"/>
        <vertAlign val="baseline"/>
        <sz val="10"/>
        <color auto="1"/>
        <name val="Calibri"/>
        <family val="2"/>
        <scheme val="minor"/>
      </font>
      <numFmt numFmtId="2" formatCode="0.00"/>
      <fill>
        <patternFill patternType="none">
          <fgColor indexed="64"/>
          <bgColor theme="7" tint="0.79998168889431442"/>
        </patternFill>
      </fill>
    </dxf>
    <dxf>
      <font>
        <b val="0"/>
        <i val="0"/>
        <strike val="0"/>
        <condense val="0"/>
        <extend val="0"/>
        <outline val="0"/>
        <shadow val="0"/>
        <u val="none"/>
        <vertAlign val="baseline"/>
        <sz val="10"/>
        <color auto="1"/>
        <name val="Calibri"/>
        <family val="2"/>
        <scheme val="minor"/>
      </font>
      <numFmt numFmtId="13" formatCode="0%"/>
      <fill>
        <patternFill patternType="solid">
          <fgColor indexed="64"/>
          <bgColor theme="7" tint="0.79998168889431442"/>
        </patternFill>
      </fill>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20" formatCode="dd/mmm/yy"/>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dxf>
    <dxf>
      <border outline="0">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 wise total 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Report!$AU$3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Report!$AT$4:$AT$12</c:f>
              <c:strCache>
                <c:ptCount val="8"/>
                <c:pt idx="0">
                  <c:v>Admin</c:v>
                </c:pt>
                <c:pt idx="1">
                  <c:v>CCD</c:v>
                </c:pt>
                <c:pt idx="2">
                  <c:v>Director</c:v>
                </c:pt>
                <c:pt idx="3">
                  <c:v>Finance</c:v>
                </c:pt>
                <c:pt idx="4">
                  <c:v>Mktg</c:v>
                </c:pt>
                <c:pt idx="5">
                  <c:v>Personnel</c:v>
                </c:pt>
                <c:pt idx="6">
                  <c:v>R&amp;D</c:v>
                </c:pt>
                <c:pt idx="7">
                  <c:v>Sales</c:v>
                </c:pt>
              </c:strCache>
            </c:strRef>
          </c:cat>
          <c:val>
            <c:numRef>
              <c:f>Report!$AU$4:$AU$12</c:f>
              <c:numCache>
                <c:formatCode>General</c:formatCode>
                <c:ptCount val="8"/>
                <c:pt idx="0">
                  <c:v>10</c:v>
                </c:pt>
                <c:pt idx="1">
                  <c:v>16</c:v>
                </c:pt>
                <c:pt idx="2">
                  <c:v>1</c:v>
                </c:pt>
                <c:pt idx="3">
                  <c:v>7</c:v>
                </c:pt>
                <c:pt idx="4">
                  <c:v>18</c:v>
                </c:pt>
                <c:pt idx="5">
                  <c:v>12</c:v>
                </c:pt>
                <c:pt idx="6">
                  <c:v>18</c:v>
                </c:pt>
                <c:pt idx="7">
                  <c:v>18</c:v>
                </c:pt>
              </c:numCache>
            </c:numRef>
          </c:val>
          <c:extLst>
            <c:ext xmlns:c16="http://schemas.microsoft.com/office/drawing/2014/chart" uri="{C3380CC4-5D6E-409C-BE32-E72D297353CC}">
              <c16:uniqueId val="{00000000-317A-4004-AFAD-864CE2D54E35}"/>
            </c:ext>
          </c:extLst>
        </c:ser>
        <c:dLbls>
          <c:dLblPos val="outEnd"/>
          <c:showLegendKey val="0"/>
          <c:showVal val="1"/>
          <c:showCatName val="0"/>
          <c:showSerName val="0"/>
          <c:showPercent val="0"/>
          <c:showBubbleSize val="0"/>
        </c:dLbls>
        <c:gapWidth val="182"/>
        <c:axId val="413999008"/>
        <c:axId val="413978368"/>
      </c:barChart>
      <c:catAx>
        <c:axId val="41399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78368"/>
        <c:crosses val="autoZero"/>
        <c:auto val="1"/>
        <c:lblAlgn val="ctr"/>
        <c:lblOffset val="100"/>
        <c:noMultiLvlLbl val="0"/>
      </c:catAx>
      <c:valAx>
        <c:axId val="41397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9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total emp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Report!$T$3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Report!$S$4:$S$25</c:f>
              <c:strCache>
                <c:ptCount val="21"/>
                <c:pt idx="0">
                  <c:v>1977</c:v>
                </c:pt>
                <c:pt idx="1">
                  <c:v>1979</c:v>
                </c:pt>
                <c:pt idx="2">
                  <c:v>1980</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Report!$T$4:$T$25</c:f>
              <c:numCache>
                <c:formatCode>General</c:formatCode>
                <c:ptCount val="21"/>
                <c:pt idx="0">
                  <c:v>3</c:v>
                </c:pt>
                <c:pt idx="1">
                  <c:v>3</c:v>
                </c:pt>
                <c:pt idx="2">
                  <c:v>2</c:v>
                </c:pt>
                <c:pt idx="3">
                  <c:v>6</c:v>
                </c:pt>
                <c:pt idx="4">
                  <c:v>3</c:v>
                </c:pt>
                <c:pt idx="5">
                  <c:v>4</c:v>
                </c:pt>
                <c:pt idx="6">
                  <c:v>1</c:v>
                </c:pt>
                <c:pt idx="7">
                  <c:v>2</c:v>
                </c:pt>
                <c:pt idx="8">
                  <c:v>4</c:v>
                </c:pt>
                <c:pt idx="9">
                  <c:v>25</c:v>
                </c:pt>
                <c:pt idx="10">
                  <c:v>9</c:v>
                </c:pt>
                <c:pt idx="11">
                  <c:v>3</c:v>
                </c:pt>
                <c:pt idx="12">
                  <c:v>4</c:v>
                </c:pt>
                <c:pt idx="13">
                  <c:v>3</c:v>
                </c:pt>
                <c:pt idx="14">
                  <c:v>1</c:v>
                </c:pt>
                <c:pt idx="15">
                  <c:v>1</c:v>
                </c:pt>
                <c:pt idx="16">
                  <c:v>7</c:v>
                </c:pt>
                <c:pt idx="17">
                  <c:v>1</c:v>
                </c:pt>
                <c:pt idx="18">
                  <c:v>5</c:v>
                </c:pt>
                <c:pt idx="19">
                  <c:v>3</c:v>
                </c:pt>
                <c:pt idx="20">
                  <c:v>10</c:v>
                </c:pt>
              </c:numCache>
            </c:numRef>
          </c:val>
          <c:smooth val="0"/>
          <c:extLst>
            <c:ext xmlns:c16="http://schemas.microsoft.com/office/drawing/2014/chart" uri="{C3380CC4-5D6E-409C-BE32-E72D297353CC}">
              <c16:uniqueId val="{00000000-923D-414D-A983-CEB8D396C07B}"/>
            </c:ext>
          </c:extLst>
        </c:ser>
        <c:dLbls>
          <c:dLblPos val="t"/>
          <c:showLegendKey val="0"/>
          <c:showVal val="1"/>
          <c:showCatName val="0"/>
          <c:showSerName val="0"/>
          <c:showPercent val="0"/>
          <c:showBubbleSize val="0"/>
        </c:dLbls>
        <c:smooth val="0"/>
        <c:axId val="413970688"/>
        <c:axId val="414000448"/>
      </c:lineChart>
      <c:catAx>
        <c:axId val="4139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00448"/>
        <c:crosses val="autoZero"/>
        <c:auto val="1"/>
        <c:lblAlgn val="ctr"/>
        <c:lblOffset val="100"/>
        <c:noMultiLvlLbl val="0"/>
      </c:catAx>
      <c:valAx>
        <c:axId val="414000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Report!$W$3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Report!$V$4:$V$11</c:f>
              <c:strCache>
                <c:ptCount val="7"/>
                <c:pt idx="0">
                  <c:v>Sheetal Desai</c:v>
                </c:pt>
                <c:pt idx="1">
                  <c:v>Sheetal Dodhia</c:v>
                </c:pt>
                <c:pt idx="2">
                  <c:v>Shilpa Parikh</c:v>
                </c:pt>
                <c:pt idx="3">
                  <c:v>Chitra Pednekar</c:v>
                </c:pt>
                <c:pt idx="4">
                  <c:v>Priyanka Mehta</c:v>
                </c:pt>
                <c:pt idx="5">
                  <c:v>Tejal Patel</c:v>
                </c:pt>
                <c:pt idx="6">
                  <c:v>Niki Digaria</c:v>
                </c:pt>
              </c:strCache>
            </c:strRef>
          </c:cat>
          <c:val>
            <c:numRef>
              <c:f>Report!$W$4:$W$11</c:f>
              <c:numCache>
                <c:formatCode>General</c:formatCode>
                <c:ptCount val="7"/>
                <c:pt idx="0">
                  <c:v>49000</c:v>
                </c:pt>
                <c:pt idx="1">
                  <c:v>24500</c:v>
                </c:pt>
                <c:pt idx="2">
                  <c:v>24500</c:v>
                </c:pt>
                <c:pt idx="3">
                  <c:v>24500</c:v>
                </c:pt>
                <c:pt idx="4">
                  <c:v>22750</c:v>
                </c:pt>
                <c:pt idx="5">
                  <c:v>22750</c:v>
                </c:pt>
                <c:pt idx="6">
                  <c:v>22750</c:v>
                </c:pt>
              </c:numCache>
            </c:numRef>
          </c:val>
          <c:extLst>
            <c:ext xmlns:c16="http://schemas.microsoft.com/office/drawing/2014/chart" uri="{C3380CC4-5D6E-409C-BE32-E72D297353CC}">
              <c16:uniqueId val="{00000000-C926-462A-9994-62CF8FB5B6C7}"/>
            </c:ext>
          </c:extLst>
        </c:ser>
        <c:dLbls>
          <c:dLblPos val="outEnd"/>
          <c:showLegendKey val="0"/>
          <c:showVal val="1"/>
          <c:showCatName val="0"/>
          <c:showSerName val="0"/>
          <c:showPercent val="0"/>
          <c:showBubbleSize val="0"/>
        </c:dLbls>
        <c:gapWidth val="219"/>
        <c:overlap val="-27"/>
        <c:axId val="414001408"/>
        <c:axId val="414001888"/>
      </c:barChart>
      <c:catAx>
        <c:axId val="4140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01888"/>
        <c:crosses val="autoZero"/>
        <c:auto val="1"/>
        <c:lblAlgn val="ctr"/>
        <c:lblOffset val="100"/>
        <c:noMultiLvlLbl val="0"/>
      </c:catAx>
      <c:valAx>
        <c:axId val="41400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5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Report!$Y$4:$Y$10</c:f>
              <c:strCache>
                <c:ptCount val="6"/>
                <c:pt idx="0">
                  <c:v>Ruby Joseph</c:v>
                </c:pt>
                <c:pt idx="1">
                  <c:v>Pinky Robert</c:v>
                </c:pt>
                <c:pt idx="2">
                  <c:v>Tapan Ghoshal</c:v>
                </c:pt>
                <c:pt idx="3">
                  <c:v>Kuldeep Sharma</c:v>
                </c:pt>
                <c:pt idx="4">
                  <c:v>Kunal Shah</c:v>
                </c:pt>
                <c:pt idx="5">
                  <c:v>Farhan Sadiq</c:v>
                </c:pt>
              </c:strCache>
            </c:strRef>
          </c:cat>
          <c:val>
            <c:numRef>
              <c:f>Report!$Z$4:$Z$10</c:f>
              <c:numCache>
                <c:formatCode>General</c:formatCode>
                <c:ptCount val="6"/>
                <c:pt idx="0">
                  <c:v>7000</c:v>
                </c:pt>
                <c:pt idx="1">
                  <c:v>7000</c:v>
                </c:pt>
                <c:pt idx="2">
                  <c:v>7000</c:v>
                </c:pt>
                <c:pt idx="3">
                  <c:v>7000</c:v>
                </c:pt>
                <c:pt idx="4">
                  <c:v>7000</c:v>
                </c:pt>
                <c:pt idx="5">
                  <c:v>5950</c:v>
                </c:pt>
              </c:numCache>
            </c:numRef>
          </c:val>
          <c:extLst>
            <c:ext xmlns:c16="http://schemas.microsoft.com/office/drawing/2014/chart" uri="{C3380CC4-5D6E-409C-BE32-E72D297353CC}">
              <c16:uniqueId val="{00000000-1928-482D-92AC-7830C1725A55}"/>
            </c:ext>
          </c:extLst>
        </c:ser>
        <c:dLbls>
          <c:dLblPos val="outEnd"/>
          <c:showLegendKey val="0"/>
          <c:showVal val="1"/>
          <c:showCatName val="0"/>
          <c:showSerName val="0"/>
          <c:showPercent val="0"/>
          <c:showBubbleSize val="0"/>
        </c:dLbls>
        <c:gapWidth val="219"/>
        <c:overlap val="-27"/>
        <c:axId val="108958832"/>
        <c:axId val="108943952"/>
      </c:barChart>
      <c:catAx>
        <c:axId val="1089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3952"/>
        <c:crosses val="autoZero"/>
        <c:auto val="1"/>
        <c:lblAlgn val="ctr"/>
        <c:lblOffset val="100"/>
        <c:noMultiLvlLbl val="0"/>
      </c:catAx>
      <c:valAx>
        <c:axId val="10894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5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wise</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Report!$AR$3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D3-4098-AA58-ADA66ED848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D3-4098-AA58-ADA66ED848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D3-4098-AA58-ADA66ED848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D3-4098-AA58-ADA66ED848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D3-4098-AA58-ADA66ED8486A}"/>
              </c:ext>
            </c:extLst>
          </c:dPt>
          <c:cat>
            <c:strRef>
              <c:f>Report!$AQ$4:$AQ$9</c:f>
              <c:strCache>
                <c:ptCount val="5"/>
                <c:pt idx="0">
                  <c:v>5001-10000</c:v>
                </c:pt>
                <c:pt idx="1">
                  <c:v>10001-15000</c:v>
                </c:pt>
                <c:pt idx="2">
                  <c:v>15001-20000</c:v>
                </c:pt>
                <c:pt idx="3">
                  <c:v>20001-25000</c:v>
                </c:pt>
                <c:pt idx="4">
                  <c:v>45001-50000</c:v>
                </c:pt>
              </c:strCache>
            </c:strRef>
          </c:cat>
          <c:val>
            <c:numRef>
              <c:f>Report!$AR$4:$AR$9</c:f>
              <c:numCache>
                <c:formatCode>General</c:formatCode>
                <c:ptCount val="5"/>
                <c:pt idx="0">
                  <c:v>16</c:v>
                </c:pt>
                <c:pt idx="1">
                  <c:v>25</c:v>
                </c:pt>
                <c:pt idx="2">
                  <c:v>48</c:v>
                </c:pt>
                <c:pt idx="3">
                  <c:v>10</c:v>
                </c:pt>
                <c:pt idx="4">
                  <c:v>1</c:v>
                </c:pt>
              </c:numCache>
            </c:numRef>
          </c:val>
          <c:extLst>
            <c:ext xmlns:c16="http://schemas.microsoft.com/office/drawing/2014/chart" uri="{C3380CC4-5D6E-409C-BE32-E72D297353CC}">
              <c16:uniqueId val="{0000000A-28D3-4098-AA58-ADA66ED848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solved.xlsx]Report!PivotTable7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 wise total emp and sal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Report!$AD$3</c:f>
              <c:strCache>
                <c:ptCount val="1"/>
                <c:pt idx="0">
                  <c:v>Sum of Salary</c:v>
                </c:pt>
              </c:strCache>
            </c:strRef>
          </c:tx>
          <c:spPr>
            <a:solidFill>
              <a:schemeClr val="accent2"/>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Report!$AB$4:$AB$12</c:f>
              <c:strCache>
                <c:ptCount val="8"/>
                <c:pt idx="0">
                  <c:v>Admin</c:v>
                </c:pt>
                <c:pt idx="1">
                  <c:v>CCD</c:v>
                </c:pt>
                <c:pt idx="2">
                  <c:v>Director</c:v>
                </c:pt>
                <c:pt idx="3">
                  <c:v>Finance</c:v>
                </c:pt>
                <c:pt idx="4">
                  <c:v>Mktg</c:v>
                </c:pt>
                <c:pt idx="5">
                  <c:v>Personnel</c:v>
                </c:pt>
                <c:pt idx="6">
                  <c:v>R&amp;D</c:v>
                </c:pt>
                <c:pt idx="7">
                  <c:v>Sales</c:v>
                </c:pt>
              </c:strCache>
            </c:strRef>
          </c:cat>
          <c:val>
            <c:numRef>
              <c:f>Report!$AD$4:$AD$12</c:f>
              <c:numCache>
                <c:formatCode>General</c:formatCode>
                <c:ptCount val="8"/>
                <c:pt idx="0">
                  <c:v>148750</c:v>
                </c:pt>
                <c:pt idx="1">
                  <c:v>241325</c:v>
                </c:pt>
                <c:pt idx="2">
                  <c:v>49000</c:v>
                </c:pt>
                <c:pt idx="3">
                  <c:v>126000</c:v>
                </c:pt>
                <c:pt idx="4">
                  <c:v>240450</c:v>
                </c:pt>
                <c:pt idx="5">
                  <c:v>183925</c:v>
                </c:pt>
                <c:pt idx="6">
                  <c:v>260050</c:v>
                </c:pt>
                <c:pt idx="7">
                  <c:v>304325</c:v>
                </c:pt>
              </c:numCache>
            </c:numRef>
          </c:val>
          <c:extLst>
            <c:ext xmlns:c16="http://schemas.microsoft.com/office/drawing/2014/chart" uri="{C3380CC4-5D6E-409C-BE32-E72D297353CC}">
              <c16:uniqueId val="{00000000-175E-4807-A4B9-3DDBA4C28C43}"/>
            </c:ext>
          </c:extLst>
        </c:ser>
        <c:dLbls>
          <c:dLblPos val="ctr"/>
          <c:showLegendKey val="0"/>
          <c:showVal val="1"/>
          <c:showCatName val="0"/>
          <c:showSerName val="0"/>
          <c:showPercent val="0"/>
          <c:showBubbleSize val="0"/>
        </c:dLbls>
        <c:gapWidth val="219"/>
        <c:axId val="758686320"/>
        <c:axId val="758679120"/>
      </c:barChart>
      <c:lineChart>
        <c:grouping val="standard"/>
        <c:varyColors val="0"/>
        <c:ser>
          <c:idx val="0"/>
          <c:order val="0"/>
          <c:tx>
            <c:strRef>
              <c:f>Report!$AC$3</c:f>
              <c:strCache>
                <c:ptCount val="1"/>
                <c:pt idx="0">
                  <c:v>Count of Emp Name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Report!$AB$4:$AB$12</c:f>
              <c:strCache>
                <c:ptCount val="8"/>
                <c:pt idx="0">
                  <c:v>Admin</c:v>
                </c:pt>
                <c:pt idx="1">
                  <c:v>CCD</c:v>
                </c:pt>
                <c:pt idx="2">
                  <c:v>Director</c:v>
                </c:pt>
                <c:pt idx="3">
                  <c:v>Finance</c:v>
                </c:pt>
                <c:pt idx="4">
                  <c:v>Mktg</c:v>
                </c:pt>
                <c:pt idx="5">
                  <c:v>Personnel</c:v>
                </c:pt>
                <c:pt idx="6">
                  <c:v>R&amp;D</c:v>
                </c:pt>
                <c:pt idx="7">
                  <c:v>Sales</c:v>
                </c:pt>
              </c:strCache>
            </c:strRef>
          </c:cat>
          <c:val>
            <c:numRef>
              <c:f>Report!$AC$4:$AC$12</c:f>
              <c:numCache>
                <c:formatCode>General</c:formatCode>
                <c:ptCount val="8"/>
                <c:pt idx="0">
                  <c:v>10</c:v>
                </c:pt>
                <c:pt idx="1">
                  <c:v>16</c:v>
                </c:pt>
                <c:pt idx="2">
                  <c:v>1</c:v>
                </c:pt>
                <c:pt idx="3">
                  <c:v>7</c:v>
                </c:pt>
                <c:pt idx="4">
                  <c:v>18</c:v>
                </c:pt>
                <c:pt idx="5">
                  <c:v>12</c:v>
                </c:pt>
                <c:pt idx="6">
                  <c:v>18</c:v>
                </c:pt>
                <c:pt idx="7">
                  <c:v>18</c:v>
                </c:pt>
              </c:numCache>
            </c:numRef>
          </c:val>
          <c:smooth val="0"/>
          <c:extLst>
            <c:ext xmlns:c16="http://schemas.microsoft.com/office/drawing/2014/chart" uri="{C3380CC4-5D6E-409C-BE32-E72D297353CC}">
              <c16:uniqueId val="{00000001-175E-4807-A4B9-3DDBA4C28C43}"/>
            </c:ext>
          </c:extLst>
        </c:ser>
        <c:dLbls>
          <c:dLblPos val="ctr"/>
          <c:showLegendKey val="0"/>
          <c:showVal val="1"/>
          <c:showCatName val="0"/>
          <c:showSerName val="0"/>
          <c:showPercent val="0"/>
          <c:showBubbleSize val="0"/>
        </c:dLbls>
        <c:marker val="1"/>
        <c:smooth val="0"/>
        <c:axId val="758664720"/>
        <c:axId val="758668560"/>
      </c:lineChart>
      <c:catAx>
        <c:axId val="75868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79120"/>
        <c:crosses val="autoZero"/>
        <c:auto val="1"/>
        <c:lblAlgn val="ctr"/>
        <c:lblOffset val="100"/>
        <c:noMultiLvlLbl val="0"/>
      </c:catAx>
      <c:valAx>
        <c:axId val="75867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863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7586685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64720"/>
        <c:crosses val="max"/>
        <c:crossBetween val="between"/>
      </c:valAx>
      <c:catAx>
        <c:axId val="758664720"/>
        <c:scaling>
          <c:orientation val="minMax"/>
        </c:scaling>
        <c:delete val="1"/>
        <c:axPos val="b"/>
        <c:numFmt formatCode="General" sourceLinked="1"/>
        <c:majorTickMark val="out"/>
        <c:minorTickMark val="none"/>
        <c:tickLblPos val="nextTo"/>
        <c:crossAx val="758668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Ref>
              <c:f>#REF!#REF!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#REF!#REF!</c15:sqref>
                        </c15:formulaRef>
                      </c:ext>
                    </c:extLst>
                    <c:strCache>
                      <c:ptCount val="1"/>
                      <c:pt idx="0">
                        <c:v>#REF!</c:v>
                      </c:pt>
                    </c:strCache>
                  </c:strRef>
                </c15:tx>
              </c15:filteredSeriesTitle>
            </c:ext>
            <c:ext xmlns:c16="http://schemas.microsoft.com/office/drawing/2014/chart" uri="{C3380CC4-5D6E-409C-BE32-E72D297353CC}">
              <c16:uniqueId val="{00000000-5EE1-411B-9EE3-2B6791821209}"/>
            </c:ext>
          </c:extLst>
        </c:ser>
        <c:ser>
          <c:idx val="1"/>
          <c:order val="1"/>
          <c:spPr>
            <a:solidFill>
              <a:srgbClr val="993366"/>
            </a:solidFill>
            <a:ln w="12700">
              <a:solidFill>
                <a:srgbClr val="000000"/>
              </a:solidFill>
              <a:prstDash val="solid"/>
            </a:ln>
          </c:spPr>
          <c:invertIfNegative val="0"/>
          <c:trendline>
            <c:spPr>
              <a:ln w="25400">
                <a:solidFill>
                  <a:srgbClr val="000000"/>
                </a:solidFill>
                <a:prstDash val="solid"/>
              </a:ln>
            </c:spPr>
            <c:trendlineType val="linear"/>
            <c:dispRSqr val="1"/>
            <c:dispEq val="1"/>
            <c:trendlineLbl>
              <c:numFmt formatCode="General" sourceLinked="0"/>
              <c:spPr>
                <a:noFill/>
                <a:ln w="25400">
                  <a:noFill/>
                </a:ln>
              </c:spPr>
              <c:txPr>
                <a:bodyPr/>
                <a:lstStyle/>
                <a:p>
                  <a:pPr>
                    <a:defRPr sz="425" b="0" i="0" u="none" strike="noStrike" baseline="0">
                      <a:solidFill>
                        <a:srgbClr val="000000"/>
                      </a:solidFill>
                      <a:latin typeface="Times New Roman"/>
                      <a:ea typeface="Times New Roman"/>
                      <a:cs typeface="Times New Roman"/>
                    </a:defRPr>
                  </a:pPr>
                  <a:endParaRPr lang="en-US"/>
                </a:p>
              </c:txPr>
            </c:trendlineLbl>
          </c:trendline>
          <c:val>
            <c:numRef>
              <c:f>#REF!#REF!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#REF!#REF!</c15:sqref>
                        </c15:formulaRef>
                      </c:ext>
                    </c:extLst>
                    <c:strCache>
                      <c:ptCount val="1"/>
                      <c:pt idx="0">
                        <c:v>#REF!</c:v>
                      </c:pt>
                    </c:strCache>
                  </c:strRef>
                </c15:tx>
              </c15:filteredSeriesTitle>
            </c:ext>
            <c:ext xmlns:c16="http://schemas.microsoft.com/office/drawing/2014/chart" uri="{C3380CC4-5D6E-409C-BE32-E72D297353CC}">
              <c16:uniqueId val="{00000002-5EE1-411B-9EE3-2B6791821209}"/>
            </c:ext>
          </c:extLst>
        </c:ser>
        <c:dLbls>
          <c:showLegendKey val="0"/>
          <c:showVal val="0"/>
          <c:showCatName val="0"/>
          <c:showSerName val="0"/>
          <c:showPercent val="0"/>
          <c:showBubbleSize val="0"/>
        </c:dLbls>
        <c:gapWidth val="150"/>
        <c:axId val="678626576"/>
        <c:axId val="1"/>
      </c:barChart>
      <c:catAx>
        <c:axId val="6786265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imes New Roman"/>
                <a:ea typeface="Times New Roman"/>
                <a:cs typeface="Times New Roman"/>
              </a:defRPr>
            </a:pPr>
            <a:endParaRPr lang="en-US"/>
          </a:p>
        </c:txPr>
        <c:crossAx val="67862657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8666772280321791"/>
          <c:y val="3.7735918587703768E-2"/>
        </c:manualLayout>
      </c:layout>
      <c:overlay val="0"/>
      <c:spPr>
        <a:noFill/>
        <a:ln w="25400">
          <a:noFill/>
        </a:ln>
      </c:spPr>
      <c:txPr>
        <a:bodyPr/>
        <a:lstStyle/>
        <a:p>
          <a:pPr>
            <a:defRPr sz="800"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022224440591234"/>
          <c:y val="0.21132114409114108"/>
          <c:w val="0.7866683738462974"/>
          <c:h val="0.63396343227342322"/>
        </c:manualLayout>
      </c:layout>
      <c:scatterChart>
        <c:scatterStyle val="lineMarker"/>
        <c:varyColors val="0"/>
        <c:ser>
          <c:idx val="0"/>
          <c:order val="0"/>
          <c:tx>
            <c:strRef>
              <c:f>Regression!$B$1</c:f>
              <c:strCache>
                <c:ptCount val="1"/>
                <c:pt idx="0">
                  <c:v>Y</c:v>
                </c:pt>
              </c:strCache>
            </c:strRef>
          </c:tx>
          <c:spPr>
            <a:ln w="19050">
              <a:noFill/>
            </a:ln>
          </c:spPr>
          <c:marker>
            <c:symbol val="diamond"/>
            <c:size val="5"/>
            <c:spPr>
              <a:solidFill>
                <a:srgbClr val="000080"/>
              </a:solidFill>
              <a:ln>
                <a:solidFill>
                  <a:srgbClr val="000080"/>
                </a:solidFill>
                <a:prstDash val="solid"/>
              </a:ln>
            </c:spPr>
          </c:marker>
          <c:xVal>
            <c:numRef>
              <c:f>Regression!$A$2:$A$7</c:f>
              <c:numCache>
                <c:formatCode>General</c:formatCode>
                <c:ptCount val="6"/>
                <c:pt idx="0">
                  <c:v>0</c:v>
                </c:pt>
                <c:pt idx="1">
                  <c:v>1</c:v>
                </c:pt>
                <c:pt idx="2">
                  <c:v>2</c:v>
                </c:pt>
                <c:pt idx="3">
                  <c:v>3</c:v>
                </c:pt>
                <c:pt idx="4">
                  <c:v>4</c:v>
                </c:pt>
                <c:pt idx="5">
                  <c:v>5</c:v>
                </c:pt>
              </c:numCache>
            </c:numRef>
          </c:xVal>
          <c:yVal>
            <c:numRef>
              <c:f>Regression!$B$2:$B$7</c:f>
              <c:numCache>
                <c:formatCode>General</c:formatCode>
                <c:ptCount val="6"/>
                <c:pt idx="0">
                  <c:v>1.7018999999999999E-2</c:v>
                </c:pt>
                <c:pt idx="1">
                  <c:v>4.4401999999999997E-2</c:v>
                </c:pt>
                <c:pt idx="2">
                  <c:v>8.3213999999999996E-2</c:v>
                </c:pt>
                <c:pt idx="3">
                  <c:v>0.119718</c:v>
                </c:pt>
                <c:pt idx="4">
                  <c:v>0.143932</c:v>
                </c:pt>
                <c:pt idx="5">
                  <c:v>0.166075</c:v>
                </c:pt>
              </c:numCache>
            </c:numRef>
          </c:yVal>
          <c:smooth val="0"/>
          <c:extLst>
            <c:ext xmlns:c16="http://schemas.microsoft.com/office/drawing/2014/chart" uri="{C3380CC4-5D6E-409C-BE32-E72D297353CC}">
              <c16:uniqueId val="{00000000-DD53-438F-BD2F-1525DBABE91E}"/>
            </c:ext>
          </c:extLst>
        </c:ser>
        <c:dLbls>
          <c:showLegendKey val="0"/>
          <c:showVal val="0"/>
          <c:showCatName val="0"/>
          <c:showSerName val="0"/>
          <c:showPercent val="0"/>
          <c:showBubbleSize val="0"/>
        </c:dLbls>
        <c:axId val="678633792"/>
        <c:axId val="1"/>
      </c:scatterChart>
      <c:valAx>
        <c:axId val="6786337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78633792"/>
        <c:crosses val="autoZero"/>
        <c:crossBetween val="midCat"/>
        <c:majorUnit val="0.05"/>
      </c:valAx>
      <c:spPr>
        <a:solidFill>
          <a:srgbClr val="C0C0C0"/>
        </a:solidFill>
        <a:ln w="12700">
          <a:solidFill>
            <a:srgbClr val="808080"/>
          </a:solidFill>
          <a:prstDash val="solid"/>
        </a:ln>
      </c:spPr>
    </c:plotArea>
    <c:legend>
      <c:legendPos val="r"/>
      <c:layout>
        <c:manualLayout>
          <c:xMode val="edge"/>
          <c:yMode val="edge"/>
          <c:x val="0.92444645062163766"/>
          <c:y val="0.49056694164014897"/>
          <c:w val="5.7777903163852354E-2"/>
          <c:h val="7.547183717540753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275990</xdr:colOff>
      <xdr:row>2</xdr:row>
      <xdr:rowOff>16463</xdr:rowOff>
    </xdr:from>
    <xdr:to>
      <xdr:col>7</xdr:col>
      <xdr:colOff>158074</xdr:colOff>
      <xdr:row>10</xdr:row>
      <xdr:rowOff>66745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69534F9-C0F1-9947-7CFC-14C8EAD166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98165" y="372434"/>
              <a:ext cx="1828800" cy="1474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378607</xdr:colOff>
      <xdr:row>19</xdr:row>
      <xdr:rowOff>44384</xdr:rowOff>
    </xdr:from>
    <xdr:to>
      <xdr:col>7</xdr:col>
      <xdr:colOff>260691</xdr:colOff>
      <xdr:row>32</xdr:row>
      <xdr:rowOff>83249</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C8AD7567-97FE-84F7-4F3B-05F2BE2B8298}"/>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100782" y="3426107"/>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213101</xdr:colOff>
      <xdr:row>18</xdr:row>
      <xdr:rowOff>83949</xdr:rowOff>
    </xdr:to>
    <xdr:graphicFrame macro="">
      <xdr:nvGraphicFramePr>
        <xdr:cNvPr id="2" name="Chart 1">
          <a:extLst>
            <a:ext uri="{FF2B5EF4-FFF2-40B4-BE49-F238E27FC236}">
              <a16:creationId xmlns:a16="http://schemas.microsoft.com/office/drawing/2014/main" id="{6AD88450-3604-455C-A333-A7794CE87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523067</xdr:colOff>
      <xdr:row>2</xdr:row>
      <xdr:rowOff>12915</xdr:rowOff>
    </xdr:from>
    <xdr:to>
      <xdr:col>20</xdr:col>
      <xdr:colOff>21771</xdr:colOff>
      <xdr:row>19</xdr:row>
      <xdr:rowOff>54429</xdr:rowOff>
    </xdr:to>
    <xdr:graphicFrame macro="">
      <xdr:nvGraphicFramePr>
        <xdr:cNvPr id="3" name="Chart 2">
          <a:extLst>
            <a:ext uri="{FF2B5EF4-FFF2-40B4-BE49-F238E27FC236}">
              <a16:creationId xmlns:a16="http://schemas.microsoft.com/office/drawing/2014/main" id="{45C09155-3030-4816-A7F3-890389D8B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25830</xdr:colOff>
      <xdr:row>20</xdr:row>
      <xdr:rowOff>142066</xdr:rowOff>
    </xdr:from>
    <xdr:to>
      <xdr:col>9</xdr:col>
      <xdr:colOff>71033</xdr:colOff>
      <xdr:row>41</xdr:row>
      <xdr:rowOff>129153</xdr:rowOff>
    </xdr:to>
    <xdr:graphicFrame macro="">
      <xdr:nvGraphicFramePr>
        <xdr:cNvPr id="4" name="Chart 3">
          <a:extLst>
            <a:ext uri="{FF2B5EF4-FFF2-40B4-BE49-F238E27FC236}">
              <a16:creationId xmlns:a16="http://schemas.microsoft.com/office/drawing/2014/main" id="{DAE07AFC-FB27-4242-929C-CFBF86DD8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126754</xdr:colOff>
      <xdr:row>23</xdr:row>
      <xdr:rowOff>10148</xdr:rowOff>
    </xdr:from>
    <xdr:to>
      <xdr:col>18</xdr:col>
      <xdr:colOff>146126</xdr:colOff>
      <xdr:row>43</xdr:row>
      <xdr:rowOff>81183</xdr:rowOff>
    </xdr:to>
    <xdr:graphicFrame macro="">
      <xdr:nvGraphicFramePr>
        <xdr:cNvPr id="5" name="Chart 4">
          <a:extLst>
            <a:ext uri="{FF2B5EF4-FFF2-40B4-BE49-F238E27FC236}">
              <a16:creationId xmlns:a16="http://schemas.microsoft.com/office/drawing/2014/main" id="{9B48663A-CD30-48BA-8133-0445B0603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19373</xdr:colOff>
      <xdr:row>45</xdr:row>
      <xdr:rowOff>51661</xdr:rowOff>
    </xdr:from>
    <xdr:to>
      <xdr:col>8</xdr:col>
      <xdr:colOff>219808</xdr:colOff>
      <xdr:row>63</xdr:row>
      <xdr:rowOff>139211</xdr:rowOff>
    </xdr:to>
    <xdr:graphicFrame macro="">
      <xdr:nvGraphicFramePr>
        <xdr:cNvPr id="6" name="Chart 5">
          <a:extLst>
            <a:ext uri="{FF2B5EF4-FFF2-40B4-BE49-F238E27FC236}">
              <a16:creationId xmlns:a16="http://schemas.microsoft.com/office/drawing/2014/main" id="{94D2F97C-D3AA-4994-9EFF-EFB6EDC5A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379339</xdr:colOff>
      <xdr:row>45</xdr:row>
      <xdr:rowOff>21770</xdr:rowOff>
    </xdr:from>
    <xdr:to>
      <xdr:col>19</xdr:col>
      <xdr:colOff>401053</xdr:colOff>
      <xdr:row>65</xdr:row>
      <xdr:rowOff>110288</xdr:rowOff>
    </xdr:to>
    <xdr:graphicFrame macro="">
      <xdr:nvGraphicFramePr>
        <xdr:cNvPr id="7" name="Chart 6">
          <a:extLst>
            <a:ext uri="{FF2B5EF4-FFF2-40B4-BE49-F238E27FC236}">
              <a16:creationId xmlns:a16="http://schemas.microsoft.com/office/drawing/2014/main" id="{5FC9D99D-4A06-4088-BF37-63DE42953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346363</xdr:colOff>
      <xdr:row>18</xdr:row>
      <xdr:rowOff>147205</xdr:rowOff>
    </xdr:from>
    <xdr:to>
      <xdr:col>23</xdr:col>
      <xdr:colOff>356754</xdr:colOff>
      <xdr:row>27</xdr:row>
      <xdr:rowOff>62734</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605BB04-B76C-4B98-AD18-882739863F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10077" y="3319613"/>
              <a:ext cx="1845412" cy="150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379707</xdr:colOff>
      <xdr:row>28</xdr:row>
      <xdr:rowOff>100923</xdr:rowOff>
    </xdr:from>
    <xdr:to>
      <xdr:col>22</xdr:col>
      <xdr:colOff>390098</xdr:colOff>
      <xdr:row>42</xdr:row>
      <xdr:rowOff>29053</xdr:rowOff>
    </xdr:to>
    <mc:AlternateContent xmlns:mc="http://schemas.openxmlformats.org/markup-compatibility/2006" xmlns:a14="http://schemas.microsoft.com/office/drawing/2010/main">
      <mc:Choice Requires="a14">
        <xdr:graphicFrame macro="">
          <xdr:nvGraphicFramePr>
            <xdr:cNvPr id="9" name="Branch 1">
              <a:extLst>
                <a:ext uri="{FF2B5EF4-FFF2-40B4-BE49-F238E27FC236}">
                  <a16:creationId xmlns:a16="http://schemas.microsoft.com/office/drawing/2014/main" id="{DCFF8EFF-C3EC-48A1-802D-EEEA05C82AD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2431748" y="5035780"/>
              <a:ext cx="1845411" cy="2395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295275</xdr:colOff>
      <xdr:row>13</xdr:row>
      <xdr:rowOff>0</xdr:rowOff>
    </xdr:from>
    <xdr:to>
      <xdr:col>8</xdr:col>
      <xdr:colOff>0</xdr:colOff>
      <xdr:row>13</xdr:row>
      <xdr:rowOff>0</xdr:rowOff>
    </xdr:to>
    <xdr:graphicFrame macro="">
      <xdr:nvGraphicFramePr>
        <xdr:cNvPr id="2" name="Chart 1">
          <a:extLst>
            <a:ext uri="{FF2B5EF4-FFF2-40B4-BE49-F238E27FC236}">
              <a16:creationId xmlns:a16="http://schemas.microsoft.com/office/drawing/2014/main" id="{10A13994-F749-493C-A2C5-D47D5C55E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9</xdr:col>
      <xdr:colOff>123825</xdr:colOff>
      <xdr:row>37</xdr:row>
      <xdr:rowOff>161925</xdr:rowOff>
    </xdr:to>
    <xdr:sp macro="" textlink="">
      <xdr:nvSpPr>
        <xdr:cNvPr id="3" name="Text Box 6">
          <a:extLst>
            <a:ext uri="{FF2B5EF4-FFF2-40B4-BE49-F238E27FC236}">
              <a16:creationId xmlns:a16="http://schemas.microsoft.com/office/drawing/2014/main" id="{F44DF3AF-038B-4E80-9E6D-7C0DC11EF1C0}"/>
            </a:ext>
          </a:extLst>
        </xdr:cNvPr>
        <xdr:cNvSpPr txBox="1">
          <a:spLocks noChangeArrowheads="1"/>
        </xdr:cNvSpPr>
      </xdr:nvSpPr>
      <xdr:spPr bwMode="auto">
        <a:xfrm>
          <a:off x="0" y="4400550"/>
          <a:ext cx="5305425" cy="316230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Using the FORECAST Function</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FORECAST function can be used whenever you have an existing set of data pairs (x-values and y-values) and you want to calculate an estimated y-value to a new x-value. Excel performs a linear regression based on the existing values and then inserts the x-values into the expression for the regression which gives you an y-value. The new x-value can have any value and is not restricted to be larger than the existing x-values.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FORECAST function uses the following syntax:</a:t>
          </a:r>
        </a:p>
        <a:p>
          <a:pPr algn="l" rtl="0">
            <a:defRPr sz="1000"/>
          </a:pPr>
          <a:r>
            <a:rPr lang="en-US" sz="1000" b="0" i="0" u="none" strike="noStrike" baseline="0">
              <a:solidFill>
                <a:srgbClr val="000000"/>
              </a:solidFill>
              <a:latin typeface="Arial"/>
              <a:cs typeface="Arial"/>
            </a:rPr>
            <a:t>=FORECAST(X, Yrange, Xrange)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this usage, X is the X value for which you want FORCAST to return a Y value. The Yrange and Xrange parameters are sets of know Y and X values.</a:t>
          </a: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13</xdr:row>
      <xdr:rowOff>38100</xdr:rowOff>
    </xdr:from>
    <xdr:to>
      <xdr:col>6</xdr:col>
      <xdr:colOff>457200</xdr:colOff>
      <xdr:row>28</xdr:row>
      <xdr:rowOff>133350</xdr:rowOff>
    </xdr:to>
    <xdr:graphicFrame macro="">
      <xdr:nvGraphicFramePr>
        <xdr:cNvPr id="2" name="Chart 2">
          <a:extLst>
            <a:ext uri="{FF2B5EF4-FFF2-40B4-BE49-F238E27FC236}">
              <a16:creationId xmlns:a16="http://schemas.microsoft.com/office/drawing/2014/main" id="{3E1A0057-1530-4299-9C66-C0073FA06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7.625782870367" createdVersion="8" refreshedVersion="8" minRefreshableVersion="3" recordCount="100" xr:uid="{7D84AC2E-6B2F-400F-A422-614D6A594E28}">
  <cacheSource type="worksheet">
    <worksheetSource name="Sdata"/>
  </cacheSource>
  <cacheFields count="26">
    <cacheField name="Empcode" numFmtId="0">
      <sharedItems containsSemiMixedTypes="0" containsString="0" containsNumber="1" containsInteger="1" minValue="1" maxValue="100"/>
    </cacheField>
    <cacheField name="First Name" numFmtId="0">
      <sharedItems count="95">
        <s v="Raja"/>
        <s v="Suman"/>
        <s v="Kuldeep"/>
        <s v="Beena"/>
        <s v="Seema"/>
        <s v="Julie"/>
        <s v="Deepak"/>
        <s v="Neena"/>
        <s v="Pankaj"/>
        <s v="Andre"/>
        <s v="Sujay"/>
        <s v="Shilpa"/>
        <s v="Meera"/>
        <s v="Sheetal"/>
        <s v="K. Sita"/>
        <s v="Priya"/>
        <s v="Aalok"/>
        <s v="Aakash"/>
        <s v="Parvati"/>
        <s v="Farhan"/>
        <s v="Satinder Kaur"/>
        <s v="Suchita"/>
        <s v="Shazia"/>
        <s v="Pooja"/>
        <s v="Jasbinder"/>
        <s v="Bharat"/>
        <s v="Rishi"/>
        <s v="Mala"/>
        <s v="Hajra"/>
        <s v="Aalam"/>
        <s v="Giriraj"/>
        <s v="Ankur"/>
        <s v="Tapan"/>
        <s v="Zarina"/>
        <s v="Arun"/>
        <s v="Chitra"/>
        <s v="Richa"/>
        <s v="Kirtikar"/>
        <s v="Piyush"/>
        <s v="Shaheen"/>
        <s v="Kinnari"/>
        <s v="Jeena"/>
        <s v="Vicky"/>
        <s v="Neha"/>
        <s v="Rakesh"/>
        <s v="Ruheal"/>
        <s v="Mario"/>
        <s v="Heena"/>
        <s v="Mehul"/>
        <s v="Vishal"/>
        <s v="Lalita"/>
        <s v="Kajal"/>
        <s v="Katti"/>
        <s v="Maya"/>
        <s v="Disha"/>
        <s v="Geeta"/>
        <s v="Anuradha"/>
        <s v="Asha"/>
        <s v="Waheda"/>
        <s v="Veena"/>
        <s v="Timsi"/>
        <s v="Parul"/>
        <s v="Uday"/>
        <s v="Mandakini"/>
        <s v="Pravin"/>
        <s v="Reeta"/>
        <s v="Surendra"/>
        <s v="Yamini"/>
        <s v="Laveena"/>
        <s v="Nita"/>
        <s v="Suraj"/>
        <s v="Nayeem"/>
        <s v="Drishti"/>
        <s v="Deep"/>
        <s v="Sagar"/>
        <s v="Dayanand"/>
        <s v="Tara"/>
        <s v="Kalpana"/>
        <s v="Kunal"/>
        <s v="Pinky"/>
        <s v="Ruby"/>
        <s v="Sonia"/>
        <s v="Jignesh"/>
        <s v="Vinit"/>
        <s v="Tejal"/>
        <s v="Priyanka"/>
        <s v="Niki"/>
        <s v="Payal"/>
        <s v="Harsha"/>
        <s v="Radhika"/>
        <s v="Kabir"/>
        <s v="Pushpa"/>
        <s v="Chetan"/>
        <s v="Indu"/>
        <s v="Rupesh"/>
      </sharedItems>
    </cacheField>
    <cacheField name="Last Name" numFmtId="0">
      <sharedItems count="78">
        <s v="Raymondekar"/>
        <s v="Shinde"/>
        <s v="Sharma"/>
        <s v="Mavadia"/>
        <s v="Ranganathan"/>
        <s v="D'Souza"/>
        <s v="Jain"/>
        <s v="Mukherjee"/>
        <s v="Sutradhar"/>
        <s v="Fernendes"/>
        <s v="Madhrani"/>
        <s v="Lele"/>
        <s v="Lalwani"/>
        <s v="Desai"/>
        <s v="Narayanan"/>
        <s v="Shirodkar"/>
        <s v="Trivedi"/>
        <s v="Dixit"/>
        <s v="Khanna"/>
        <s v="Sadiq"/>
        <s v="Sasan"/>
        <s v="Panchal"/>
        <s v="Sheikh"/>
        <s v="Nimkar"/>
        <s v="Khurana"/>
        <s v="Shetty"/>
        <s v="Malik"/>
        <s v="Bhaduri"/>
        <s v="Hoonjan"/>
        <s v="Qureshi"/>
        <s v="Gupta"/>
        <s v="Joshi"/>
        <s v="Ghoshal"/>
        <s v="Vora"/>
        <s v="Khetan"/>
        <s v="Parikh"/>
        <s v="Pednekar"/>
        <s v="Dodhia"/>
        <s v="Raje"/>
        <s v="Sardesai"/>
        <s v="Gokhale"/>
        <s v="Surti"/>
        <s v="Khan"/>
        <s v="Mehta"/>
        <s v="Baig"/>
        <s v="Kumar"/>
        <s v="Fernandes"/>
        <s v="Godbole"/>
        <s v="Sheth"/>
        <s v="Virsinghani"/>
        <s v="Rao"/>
        <s v="Joglekar"/>
        <s v="Parmar"/>
        <s v="Darekar"/>
        <s v="Zha"/>
        <s v="Patil"/>
        <s v="Shah"/>
        <s v="Naik"/>
        <s v="Godse"/>
        <s v="Shenoy"/>
        <s v="Pandhya"/>
        <s v="Saksena"/>
        <s v="Chhaya"/>
        <s v="Bidkar"/>
        <s v="Gandhi"/>
        <s v="Phule"/>
        <s v="Shirishkar"/>
        <s v="Robert"/>
        <s v="Joseph"/>
        <s v="Tripathi"/>
        <s v="Shrivastava"/>
        <s v="Patel"/>
        <s v="Digaria"/>
        <s v="Singhani"/>
        <s v="Kulkarni"/>
        <s v="Raut"/>
        <s v="Dalvi"/>
        <s v="Sawant"/>
      </sharedItems>
    </cacheField>
    <cacheField name="Dept" numFmtId="0">
      <sharedItems count="8">
        <s v="Sales"/>
        <s v="Admin"/>
        <s v="Mktg"/>
        <s v="R&amp;D"/>
        <s v="Personnel"/>
        <s v="Finance"/>
        <s v="Director"/>
        <s v="CCD"/>
      </sharedItems>
    </cacheField>
    <cacheField name="Region" numFmtId="0">
      <sharedItems count="4">
        <s v="north"/>
        <s v="east"/>
        <s v="south"/>
        <s v="west"/>
      </sharedItems>
    </cacheField>
    <cacheField name="Branch" numFmtId="0">
      <sharedItems count="30">
        <s v="Ferozepur"/>
        <s v="Cuttack"/>
        <s v="Hydrabad"/>
        <s v="Delhi"/>
        <s v="Kanpur"/>
        <s v="Mathura"/>
        <s v="Pune"/>
        <s v="Agra"/>
        <s v="Ambala"/>
        <s v="Darjeeling"/>
        <s v="Jammu"/>
        <s v="Calcutta"/>
        <s v="cochin"/>
        <s v="Jaipur"/>
        <s v="Nasik"/>
        <s v="Patna"/>
        <s v="Manglore"/>
        <s v="Banglore"/>
        <s v="Mumbai"/>
        <s v="Lucknow"/>
        <s v="Surat"/>
        <s v="Mysore"/>
        <s v="Aligarh"/>
        <s v="Baroda"/>
        <s v="Nagpur"/>
        <s v="Gangtok"/>
        <s v="Guwahati"/>
        <s v="chennai"/>
        <s v="Trivanadrum"/>
        <s v="Panji"/>
      </sharedItems>
    </cacheField>
    <cacheField name="Hiredate" numFmtId="15">
      <sharedItems containsSemiMixedTypes="0" containsNonDate="0" containsDate="1" containsString="0" minDate="1977-01-01T00:00:00" maxDate="1999-12-13T00:00:00" count="75">
        <d v="1977-01-01T00:00:00"/>
        <d v="1999-03-01T00:00:00"/>
        <d v="1979-11-24T00:00:00"/>
        <d v="1989-09-04T00:00:00"/>
        <d v="1988-09-04T00:00:00"/>
        <d v="1990-08-17T00:00:00"/>
        <d v="1999-12-12T00:00:00"/>
        <d v="1977-07-20T00:00:00"/>
        <d v="1985-12-21T00:00:00"/>
        <d v="1983-03-01T00:00:00"/>
        <d v="1984-12-11T00:00:00"/>
        <d v="1984-12-12T00:00:00"/>
        <d v="1984-12-13T00:00:00"/>
        <d v="1984-12-14T00:00:00"/>
        <d v="1986-08-13T00:00:00"/>
        <d v="1999-06-05T00:00:00"/>
        <d v="1999-06-06T00:00:00"/>
        <d v="1999-06-07T00:00:00"/>
        <d v="1999-06-08T00:00:00"/>
        <d v="1980-05-21T00:00:00"/>
        <d v="1999-04-24T00:00:00"/>
        <d v="1982-10-01T00:00:00"/>
        <d v="1992-07-02T00:00:00"/>
        <d v="1995-03-19T00:00:00"/>
        <d v="1996-05-04T00:00:00"/>
        <d v="1988-10-19T00:00:00"/>
        <d v="1997-07-07T00:00:00"/>
        <d v="1991-09-29T00:00:00"/>
        <d v="1992-05-05T00:00:00"/>
        <d v="1994-09-03T00:00:00"/>
        <d v="1997-06-14T00:00:00"/>
        <d v="1990-11-17T00:00:00"/>
        <d v="1988-02-07T00:00:00"/>
        <d v="1988-10-20T00:00:00"/>
        <d v="1988-10-21T00:00:00"/>
        <d v="1995-12-01T00:00:00"/>
        <d v="1995-03-03T00:00:00"/>
        <d v="1986-11-01T00:00:00"/>
        <d v="1992-10-01T00:00:00"/>
        <d v="1993-05-09T00:00:00"/>
        <d v="1990-11-05T00:00:00"/>
        <d v="1987-01-14T00:00:00"/>
        <d v="1987-11-24T00:00:00"/>
        <d v="1987-11-25T00:00:00"/>
        <d v="1987-11-26T00:00:00"/>
        <d v="1988-10-24T00:00:00"/>
        <d v="1988-10-25T00:00:00"/>
        <d v="1988-10-26T00:00:00"/>
        <d v="1988-10-27T00:00:00"/>
        <d v="1988-10-28T00:00:00"/>
        <d v="1995-03-04T00:00:00"/>
        <d v="1995-03-05T00:00:00"/>
        <d v="1988-10-22T00:00:00"/>
        <d v="1988-10-23T00:00:00"/>
        <d v="1988-10-29T00:00:00"/>
        <d v="1988-10-30T00:00:00"/>
        <d v="1988-10-31T00:00:00"/>
        <d v="1988-11-01T00:00:00"/>
        <d v="1999-03-02T00:00:00"/>
        <d v="1999-03-03T00:00:00"/>
        <d v="1998-01-14T00:00:00"/>
        <d v="1998-01-15T00:00:00"/>
        <d v="1998-01-16T00:00:00"/>
        <d v="1997-12-30T00:00:00"/>
        <d v="1979-02-21T00:00:00"/>
        <d v="1980-01-06T00:00:00"/>
        <d v="1979-11-13T00:00:00"/>
        <d v="1989-04-05T00:00:00"/>
        <d v="1989-04-06T00:00:00"/>
        <d v="1989-04-07T00:00:00"/>
        <d v="1989-04-08T00:00:00"/>
        <d v="1989-04-09T00:00:00"/>
        <d v="1989-04-10T00:00:00"/>
        <d v="1989-04-11T00:00:00"/>
        <d v="1999-02-02T00:00:00"/>
      </sharedItems>
      <fieldGroup par="25"/>
    </cacheField>
    <cacheField name="Salary" numFmtId="0">
      <sharedItems containsSemiMixedTypes="0" containsString="0" containsNumber="1" containsInteger="1" minValue="5950" maxValue="49000" count="27">
        <n v="21875"/>
        <n v="17500"/>
        <n v="7000"/>
        <n v="12250"/>
        <n v="21000"/>
        <n v="12425"/>
        <n v="13825"/>
        <n v="14875"/>
        <n v="15750"/>
        <n v="19250"/>
        <n v="49000"/>
        <n v="10500"/>
        <n v="5950"/>
        <n v="7875"/>
        <n v="13125"/>
        <n v="9625"/>
        <n v="14175"/>
        <n v="8750"/>
        <n v="9275"/>
        <n v="11725"/>
        <n v="24500"/>
        <n v="13300"/>
        <n v="11375"/>
        <n v="20125"/>
        <n v="14000"/>
        <n v="22750"/>
        <n v="17325"/>
      </sharedItems>
      <fieldGroup base="7">
        <rangePr autoStart="0" startNum="1" endNum="49000" groupInterval="5000"/>
        <groupItems count="12">
          <s v="&lt;1"/>
          <s v="1-5000"/>
          <s v="5001-10000"/>
          <s v="10001-15000"/>
          <s v="15001-20000"/>
          <s v="20001-25000"/>
          <s v="25001-30000"/>
          <s v="30001-35000"/>
          <s v="35001-40000"/>
          <s v="40001-45000"/>
          <s v="45001-50000"/>
          <s v="&gt;50001"/>
        </groupItems>
      </fieldGroup>
    </cacheField>
    <cacheField name="DA" numFmtId="0">
      <sharedItems containsSemiMixedTypes="0" containsString="0" containsNumber="1" minValue="1487.5" maxValue="12250"/>
    </cacheField>
    <cacheField name="HRA" numFmtId="0">
      <sharedItems containsSemiMixedTypes="0" containsString="0" containsNumber="1" containsInteger="1" minValue="2380" maxValue="19600"/>
    </cacheField>
    <cacheField name="Tax" numFmtId="0">
      <sharedItems containsSemiMixedTypes="0" containsString="0" containsNumber="1" minValue="446.25" maxValue="3675"/>
    </cacheField>
    <cacheField name="Increment" numFmtId="0">
      <sharedItems containsMixedTypes="1" containsNumber="1" containsInteger="1" minValue="1000" maxValue="47000"/>
    </cacheField>
    <cacheField name="Increment2" numFmtId="0">
      <sharedItems containsSemiMixedTypes="0" containsString="0" containsNumber="1" containsInteger="1" minValue="0" maxValue="47000"/>
    </cacheField>
    <cacheField name="Empcode2" numFmtId="0">
      <sharedItems containsMixedTypes="1" containsNumber="1" containsInteger="1" minValue="1" maxValue="47"/>
    </cacheField>
    <cacheField name="Bonus" numFmtId="0">
      <sharedItems containsSemiMixedTypes="0" containsString="0" containsNumber="1" minValue="0.05" maxValue="0.15"/>
    </cacheField>
    <cacheField name="Bonus in %" numFmtId="9">
      <sharedItems containsSemiMixedTypes="0" containsString="0" containsNumber="1" minValue="0.05" maxValue="0.15"/>
    </cacheField>
    <cacheField name="Bonus using vlookup" numFmtId="9">
      <sharedItems containsSemiMixedTypes="0" containsString="0" containsNumber="1" minValue="0.05" maxValue="0.15"/>
    </cacheField>
    <cacheField name="Bonus Amount" numFmtId="2">
      <sharedItems containsSemiMixedTypes="0" containsString="0" containsNumber="1" minValue="297.5" maxValue="7350"/>
    </cacheField>
    <cacheField name="Bonus + salary" numFmtId="0">
      <sharedItems containsSemiMixedTypes="0" containsString="0" containsNumber="1" minValue="6247.5" maxValue="56350"/>
    </cacheField>
    <cacheField name="Emp Name" numFmtId="0">
      <sharedItems count="100">
        <s v="Raja Raymondekar"/>
        <s v="Suman Shinde"/>
        <s v="Kuldeep Sharma"/>
        <s v="Beena Mavadia"/>
        <s v="Seema Ranganathan"/>
        <s v="Julie D'Souza"/>
        <s v="Deepak Jain"/>
        <s v="Neena Mukherjee"/>
        <s v="Pankaj Sutradhar"/>
        <s v="Andre Fernendes"/>
        <s v="Sujay Madhrani"/>
        <s v="Shilpa Lele"/>
        <s v="Meera Lalwani"/>
        <s v="Sheetal Desai"/>
        <s v="K. Sita Narayanan"/>
        <s v="Priya Shirodkar"/>
        <s v="Aalok Trivedi"/>
        <s v="Aakash Dixit"/>
        <s v="Parvati Khanna"/>
        <s v="Farhan Sadiq"/>
        <s v="Satinder Kaur Sasan"/>
        <s v="Suchita Panchal"/>
        <s v="Shazia Sheikh"/>
        <s v="Pooja Nimkar"/>
        <s v="Jasbinder Khurana"/>
        <s v="Bharat Shetty"/>
        <s v="Rishi Malik"/>
        <s v="Mala Bhaduri"/>
        <s v="Hajra Hoonjan"/>
        <s v="Aalam Qureshi"/>
        <s v="Giriraj Gupta"/>
        <s v="Ankur Joshi"/>
        <s v="Tapan Ghoshal"/>
        <s v="Zarina Vora"/>
        <s v="Arun Joshi"/>
        <s v="Pooja Khetan"/>
        <s v="Shilpa Parikh"/>
        <s v="Chitra Pednekar"/>
        <s v="Sheetal Dodhia"/>
        <s v="Richa Raje"/>
        <s v="Kirtikar Sardesai"/>
        <s v="Pooja Gokhale"/>
        <s v="Piyush Surti"/>
        <s v="Shaheen Khan"/>
        <s v="Kinnari Mehta"/>
        <s v="Jeena Baig"/>
        <s v="Vicky Joshi"/>
        <s v="Neha Joshi"/>
        <s v="Rakesh Kumar"/>
        <s v="Ruheal Baig"/>
        <s v="Mario Fernandes"/>
        <s v="Heena Godbole"/>
        <s v="Mehul Sheth"/>
        <s v="Vishal Virsinghani"/>
        <s v="Lalita Rao"/>
        <s v="Kajal Joglekar"/>
        <s v="Katti Surti"/>
        <s v="Maya Panchal"/>
        <s v="Disha Parmar"/>
        <s v="Geeta Darekar"/>
        <s v="Anuradha Zha"/>
        <s v="Asha Trivedi"/>
        <s v="Waheda Sheikh"/>
        <s v="Veena Patil"/>
        <s v="Timsi Desai"/>
        <s v="Parul Shah"/>
        <s v="Uday Naik"/>
        <s v="Mandakini Desai"/>
        <s v="Pravin Joshi"/>
        <s v="Reeta Naik"/>
        <s v="Surendra Godse"/>
        <s v="Yamini Gupta"/>
        <s v="Laveena Shenoy"/>
        <s v="Nita Pandhya"/>
        <s v="Suraj Saksena"/>
        <s v="Nayeem Khan"/>
        <s v="Drishti Shah"/>
        <s v="Deep Chhaya"/>
        <s v="Sagar Bidkar"/>
        <s v="Dayanand Gandhi"/>
        <s v="Tara Phule"/>
        <s v="Kalpana Shirishkar"/>
        <s v="Kunal Shah"/>
        <s v="Pinky Robert"/>
        <s v="Ruby Joseph"/>
        <s v="Sonia Sasan"/>
        <s v="Jignesh Tripathi"/>
        <s v="Vinit Shrivastava"/>
        <s v="Tejal Patel"/>
        <s v="Priyanka Mehta"/>
        <s v="Niki Digaria"/>
        <s v="Payal Singhani"/>
        <s v="Harsha Trivedi"/>
        <s v="Radhika Kulkarni"/>
        <s v="Kabir Vora"/>
        <s v="Beena Sharma"/>
        <s v="Pushpa Raut"/>
        <s v="Chetan Dalvi"/>
        <s v="Indu Shah"/>
        <s v="Rupesh Sawant"/>
      </sharedItems>
    </cacheField>
    <cacheField name="Emp Name 2" numFmtId="0">
      <sharedItems/>
    </cacheField>
    <cacheField name="Working Exp" numFmtId="0">
      <sharedItems containsSemiMixedTypes="0" containsString="0" containsNumber="1" containsInteger="1" minValue="26" maxValue="48" count="21">
        <n v="48"/>
        <n v="26"/>
        <n v="46"/>
        <n v="36"/>
        <n v="37"/>
        <n v="35"/>
        <n v="40"/>
        <n v="42"/>
        <n v="41"/>
        <n v="39"/>
        <n v="45"/>
        <n v="43"/>
        <n v="33"/>
        <n v="30"/>
        <n v="29"/>
        <n v="28"/>
        <n v="34"/>
        <n v="31"/>
        <n v="32"/>
        <n v="38"/>
        <n v="27"/>
      </sharedItems>
      <fieldGroup base="21">
        <rangePr autoStart="0" startNum="0" endNum="48" groupInterval="5"/>
        <groupItems count="12">
          <s v="&lt;0"/>
          <s v="0-4"/>
          <s v="5-9"/>
          <s v="10-14"/>
          <s v="15-19"/>
          <s v="20-24"/>
          <s v="25-29"/>
          <s v="30-34"/>
          <s v="35-39"/>
          <s v="40-44"/>
          <s v="45-49"/>
          <s v="&gt;50"/>
        </groupItems>
      </fieldGroup>
    </cacheField>
    <cacheField name="Today" numFmtId="14">
      <sharedItems containsSemiMixedTypes="0" containsNonDate="0" containsDate="1" containsString="0" minDate="2025-12-26T00:00:00" maxDate="2025-12-27T00:00:00"/>
    </cacheField>
    <cacheField name="Months (Hiredate)" numFmtId="0" databaseField="0">
      <fieldGroup base="6">
        <rangePr groupBy="months" startDate="1977-01-01T00:00:00" endDate="1999-12-13T00:00:00"/>
        <groupItems count="14">
          <s v="&lt;01-01-1977"/>
          <s v="Jan"/>
          <s v="Feb"/>
          <s v="Mar"/>
          <s v="Apr"/>
          <s v="May"/>
          <s v="Jun"/>
          <s v="Jul"/>
          <s v="Aug"/>
          <s v="Sep"/>
          <s v="Oct"/>
          <s v="Nov"/>
          <s v="Dec"/>
          <s v="&gt;13-12-1999"/>
        </groupItems>
      </fieldGroup>
    </cacheField>
    <cacheField name="Quarters (Hiredate)" numFmtId="0" databaseField="0">
      <fieldGroup base="6">
        <rangePr groupBy="quarters" startDate="1977-01-01T00:00:00" endDate="1999-12-13T00:00:00"/>
        <groupItems count="6">
          <s v="&lt;01-01-1977"/>
          <s v="Qtr1"/>
          <s v="Qtr2"/>
          <s v="Qtr3"/>
          <s v="Qtr4"/>
          <s v="&gt;13-12-1999"/>
        </groupItems>
      </fieldGroup>
    </cacheField>
    <cacheField name="Years (Hiredate)" numFmtId="0" databaseField="0">
      <fieldGroup base="6">
        <rangePr groupBy="years" startDate="1977-01-01T00:00:00" endDate="1999-12-13T00:00:00"/>
        <groupItems count="25">
          <s v="&lt;01-01-1977"/>
          <s v="1977"/>
          <s v="1978"/>
          <s v="1979"/>
          <s v="1980"/>
          <s v="1981"/>
          <s v="1982"/>
          <s v="1983"/>
          <s v="1984"/>
          <s v="1985"/>
          <s v="1986"/>
          <s v="1987"/>
          <s v="1988"/>
          <s v="1989"/>
          <s v="1990"/>
          <s v="1991"/>
          <s v="1992"/>
          <s v="1993"/>
          <s v="1994"/>
          <s v="1995"/>
          <s v="1996"/>
          <s v="1997"/>
          <s v="1998"/>
          <s v="1999"/>
          <s v="&gt;13-12-1999"/>
        </groupItems>
      </fieldGroup>
    </cacheField>
  </cacheFields>
  <extLst>
    <ext xmlns:x14="http://schemas.microsoft.com/office/spreadsheetml/2009/9/main" uri="{725AE2AE-9491-48be-B2B4-4EB974FC3084}">
      <x14:pivotCacheDefinition pivotCacheId="1726342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x v="0"/>
    <x v="0"/>
    <x v="0"/>
    <x v="0"/>
    <n v="5468.75"/>
    <n v="8750"/>
    <n v="1640.625"/>
    <n v="1000"/>
    <n v="1000"/>
    <n v="1"/>
    <n v="0.15"/>
    <n v="0.15"/>
    <n v="0.15"/>
    <n v="3281.25"/>
    <n v="25156.25"/>
    <x v="0"/>
    <s v="Raja Raymondekar"/>
    <x v="0"/>
    <d v="2025-12-26T00:00:00"/>
  </r>
  <r>
    <n v="2"/>
    <x v="1"/>
    <x v="1"/>
    <x v="0"/>
    <x v="1"/>
    <x v="1"/>
    <x v="0"/>
    <x v="1"/>
    <n v="4375"/>
    <n v="7000"/>
    <n v="1312.5"/>
    <e v="#N/A"/>
    <n v="0"/>
    <e v="#N/A"/>
    <n v="0.15"/>
    <n v="0.15"/>
    <n v="0.15"/>
    <n v="2625"/>
    <n v="20125"/>
    <x v="1"/>
    <s v="Suman Shinde"/>
    <x v="0"/>
    <d v="2025-12-26T00:00:00"/>
  </r>
  <r>
    <n v="3"/>
    <x v="2"/>
    <x v="2"/>
    <x v="1"/>
    <x v="2"/>
    <x v="2"/>
    <x v="1"/>
    <x v="2"/>
    <n v="1750"/>
    <n v="2800"/>
    <n v="525"/>
    <n v="3000"/>
    <n v="3000"/>
    <n v="3"/>
    <n v="0.05"/>
    <n v="0.05"/>
    <n v="0.05"/>
    <n v="350"/>
    <n v="7350"/>
    <x v="2"/>
    <s v="Kuldeep Sharma"/>
    <x v="1"/>
    <d v="2025-12-26T00:00:00"/>
  </r>
  <r>
    <n v="4"/>
    <x v="3"/>
    <x v="3"/>
    <x v="2"/>
    <x v="0"/>
    <x v="3"/>
    <x v="2"/>
    <x v="3"/>
    <n v="3062.5"/>
    <n v="4900"/>
    <n v="918.75"/>
    <e v="#N/A"/>
    <n v="0"/>
    <e v="#N/A"/>
    <n v="0.1"/>
    <n v="0.1"/>
    <n v="0.1"/>
    <n v="1225"/>
    <n v="13475"/>
    <x v="3"/>
    <s v="Beena Mavadia"/>
    <x v="2"/>
    <d v="2025-12-26T00:00:00"/>
  </r>
  <r>
    <n v="5"/>
    <x v="4"/>
    <x v="4"/>
    <x v="3"/>
    <x v="0"/>
    <x v="4"/>
    <x v="3"/>
    <x v="4"/>
    <n v="5250"/>
    <n v="8400"/>
    <n v="1575"/>
    <n v="5000"/>
    <n v="5000"/>
    <n v="5"/>
    <n v="0.15"/>
    <n v="0.15"/>
    <n v="0.15"/>
    <n v="3150"/>
    <n v="24150"/>
    <x v="4"/>
    <s v="Seema Ranganathan"/>
    <x v="3"/>
    <d v="2025-12-26T00:00:00"/>
  </r>
  <r>
    <n v="6"/>
    <x v="5"/>
    <x v="5"/>
    <x v="3"/>
    <x v="0"/>
    <x v="5"/>
    <x v="4"/>
    <x v="5"/>
    <n v="3106.25"/>
    <n v="4970"/>
    <n v="931.875"/>
    <e v="#N/A"/>
    <n v="0"/>
    <e v="#N/A"/>
    <n v="0.1"/>
    <n v="0.1"/>
    <n v="0.1"/>
    <n v="1242.5"/>
    <n v="13667.5"/>
    <x v="5"/>
    <s v="Julie D'Souza"/>
    <x v="4"/>
    <d v="2025-12-26T00:00:00"/>
  </r>
  <r>
    <n v="7"/>
    <x v="6"/>
    <x v="6"/>
    <x v="4"/>
    <x v="3"/>
    <x v="6"/>
    <x v="5"/>
    <x v="6"/>
    <n v="3456.25"/>
    <n v="5530"/>
    <n v="1036.875"/>
    <n v="7000"/>
    <n v="7000"/>
    <n v="7"/>
    <n v="0.1"/>
    <n v="0.1"/>
    <n v="0.1"/>
    <n v="1382.5"/>
    <n v="15207.5"/>
    <x v="6"/>
    <s v="Deepak Jain"/>
    <x v="5"/>
    <d v="2025-12-26T00:00:00"/>
  </r>
  <r>
    <n v="8"/>
    <x v="7"/>
    <x v="7"/>
    <x v="3"/>
    <x v="0"/>
    <x v="7"/>
    <x v="3"/>
    <x v="5"/>
    <n v="3106.25"/>
    <n v="4970"/>
    <n v="931.875"/>
    <e v="#N/A"/>
    <n v="0"/>
    <e v="#N/A"/>
    <n v="0.1"/>
    <n v="0.1"/>
    <n v="0.1"/>
    <n v="1242.5"/>
    <n v="13667.5"/>
    <x v="7"/>
    <s v="Neena Mukherjee"/>
    <x v="3"/>
    <d v="2025-12-26T00:00:00"/>
  </r>
  <r>
    <n v="9"/>
    <x v="8"/>
    <x v="8"/>
    <x v="0"/>
    <x v="0"/>
    <x v="8"/>
    <x v="6"/>
    <x v="7"/>
    <n v="3718.75"/>
    <n v="5950"/>
    <n v="1115.625"/>
    <n v="9000"/>
    <n v="9000"/>
    <n v="9"/>
    <n v="0.1"/>
    <n v="0.1"/>
    <n v="0.1"/>
    <n v="1487.5"/>
    <n v="16362.5"/>
    <x v="8"/>
    <s v="Pankaj Sutradhar"/>
    <x v="1"/>
    <d v="2025-12-26T00:00:00"/>
  </r>
  <r>
    <n v="10"/>
    <x v="9"/>
    <x v="9"/>
    <x v="2"/>
    <x v="1"/>
    <x v="9"/>
    <x v="7"/>
    <x v="8"/>
    <n v="3937.5"/>
    <n v="6300"/>
    <n v="1181.25"/>
    <e v="#N/A"/>
    <n v="0"/>
    <e v="#N/A"/>
    <n v="0.15"/>
    <n v="0.15"/>
    <n v="0.15"/>
    <n v="2362.5"/>
    <n v="18112.5"/>
    <x v="9"/>
    <s v="Andre Fernendes"/>
    <x v="0"/>
    <d v="2025-12-26T00:00:00"/>
  </r>
  <r>
    <n v="11"/>
    <x v="10"/>
    <x v="10"/>
    <x v="5"/>
    <x v="3"/>
    <x v="6"/>
    <x v="8"/>
    <x v="7"/>
    <n v="3718.75"/>
    <n v="5950"/>
    <n v="1115.625"/>
    <n v="11000"/>
    <n v="11000"/>
    <n v="11"/>
    <n v="0.1"/>
    <n v="0.1"/>
    <n v="0.1"/>
    <n v="1487.5"/>
    <n v="16362.5"/>
    <x v="10"/>
    <s v="Sujay Madhrani"/>
    <x v="6"/>
    <d v="2025-12-26T00:00:00"/>
  </r>
  <r>
    <n v="12"/>
    <x v="11"/>
    <x v="11"/>
    <x v="1"/>
    <x v="0"/>
    <x v="10"/>
    <x v="9"/>
    <x v="4"/>
    <n v="5250"/>
    <n v="8400"/>
    <n v="1575"/>
    <e v="#N/A"/>
    <n v="0"/>
    <e v="#N/A"/>
    <n v="0.15"/>
    <n v="0.15"/>
    <n v="0.15"/>
    <n v="3150"/>
    <n v="24150"/>
    <x v="11"/>
    <s v="Shilpa Lele"/>
    <x v="7"/>
    <d v="2025-12-26T00:00:00"/>
  </r>
  <r>
    <n v="13"/>
    <x v="12"/>
    <x v="12"/>
    <x v="5"/>
    <x v="1"/>
    <x v="11"/>
    <x v="10"/>
    <x v="9"/>
    <n v="4812.5"/>
    <n v="7700"/>
    <n v="1443.75"/>
    <n v="13000"/>
    <n v="13000"/>
    <n v="13"/>
    <n v="0.15"/>
    <n v="0.15"/>
    <n v="0.15"/>
    <n v="2887.5"/>
    <n v="22137.5"/>
    <x v="12"/>
    <s v="Meera Lalwani"/>
    <x v="8"/>
    <d v="2025-12-26T00:00:00"/>
  </r>
  <r>
    <n v="14"/>
    <x v="13"/>
    <x v="13"/>
    <x v="6"/>
    <x v="2"/>
    <x v="12"/>
    <x v="11"/>
    <x v="10"/>
    <n v="12250"/>
    <n v="19600"/>
    <n v="3675"/>
    <e v="#N/A"/>
    <n v="0"/>
    <e v="#N/A"/>
    <n v="0.15"/>
    <n v="0.15"/>
    <n v="0.15"/>
    <n v="7350"/>
    <n v="56350"/>
    <x v="13"/>
    <s v="Sheetal Desai"/>
    <x v="8"/>
    <d v="2025-12-26T00:00:00"/>
  </r>
  <r>
    <n v="15"/>
    <x v="14"/>
    <x v="14"/>
    <x v="4"/>
    <x v="0"/>
    <x v="10"/>
    <x v="12"/>
    <x v="7"/>
    <n v="3718.75"/>
    <n v="5950"/>
    <n v="1115.625"/>
    <n v="15000"/>
    <n v="15000"/>
    <n v="15"/>
    <n v="0.1"/>
    <n v="0.1"/>
    <n v="0.1"/>
    <n v="1487.5"/>
    <n v="16362.5"/>
    <x v="14"/>
    <s v="K. Sita Narayanan"/>
    <x v="8"/>
    <d v="2025-12-26T00:00:00"/>
  </r>
  <r>
    <n v="16"/>
    <x v="15"/>
    <x v="15"/>
    <x v="4"/>
    <x v="0"/>
    <x v="13"/>
    <x v="13"/>
    <x v="7"/>
    <n v="3718.75"/>
    <n v="5950"/>
    <n v="1115.625"/>
    <e v="#N/A"/>
    <n v="0"/>
    <e v="#N/A"/>
    <n v="0.1"/>
    <n v="0.1"/>
    <n v="0.1"/>
    <n v="1487.5"/>
    <n v="16362.5"/>
    <x v="15"/>
    <s v="Priya Shirodkar"/>
    <x v="8"/>
    <d v="2025-12-26T00:00:00"/>
  </r>
  <r>
    <n v="17"/>
    <x v="16"/>
    <x v="16"/>
    <x v="1"/>
    <x v="1"/>
    <x v="1"/>
    <x v="9"/>
    <x v="8"/>
    <n v="3937.5"/>
    <n v="6300"/>
    <n v="1181.25"/>
    <n v="17000"/>
    <n v="17000"/>
    <n v="17"/>
    <n v="0.15"/>
    <n v="0.15"/>
    <n v="0.15"/>
    <n v="2362.5"/>
    <n v="18112.5"/>
    <x v="16"/>
    <s v="Aalok Trivedi"/>
    <x v="7"/>
    <d v="2025-12-26T00:00:00"/>
  </r>
  <r>
    <n v="18"/>
    <x v="17"/>
    <x v="17"/>
    <x v="1"/>
    <x v="3"/>
    <x v="14"/>
    <x v="9"/>
    <x v="8"/>
    <n v="3937.5"/>
    <n v="6300"/>
    <n v="1181.25"/>
    <e v="#N/A"/>
    <n v="0"/>
    <e v="#N/A"/>
    <n v="0.15"/>
    <n v="0.15"/>
    <n v="0.15"/>
    <n v="2362.5"/>
    <n v="18112.5"/>
    <x v="17"/>
    <s v="Aakash Dixit"/>
    <x v="7"/>
    <d v="2025-12-26T00:00:00"/>
  </r>
  <r>
    <n v="19"/>
    <x v="18"/>
    <x v="18"/>
    <x v="2"/>
    <x v="0"/>
    <x v="5"/>
    <x v="14"/>
    <x v="11"/>
    <n v="2625"/>
    <n v="4200"/>
    <n v="787.5"/>
    <n v="19000"/>
    <n v="19000"/>
    <n v="19"/>
    <n v="0.1"/>
    <n v="0.1"/>
    <n v="0.1"/>
    <n v="1050"/>
    <n v="11550"/>
    <x v="18"/>
    <s v="Parvati Khanna"/>
    <x v="9"/>
    <d v="2025-12-26T00:00:00"/>
  </r>
  <r>
    <n v="20"/>
    <x v="19"/>
    <x v="19"/>
    <x v="2"/>
    <x v="0"/>
    <x v="13"/>
    <x v="15"/>
    <x v="12"/>
    <n v="1487.5"/>
    <n v="2380"/>
    <n v="446.25"/>
    <e v="#N/A"/>
    <n v="0"/>
    <e v="#N/A"/>
    <n v="0.05"/>
    <n v="0.05"/>
    <n v="0.05"/>
    <n v="297.5"/>
    <n v="6247.5"/>
    <x v="19"/>
    <s v="Farhan Sadiq"/>
    <x v="1"/>
    <d v="2025-12-26T00:00:00"/>
  </r>
  <r>
    <n v="21"/>
    <x v="20"/>
    <x v="20"/>
    <x v="2"/>
    <x v="1"/>
    <x v="15"/>
    <x v="16"/>
    <x v="13"/>
    <n v="1968.75"/>
    <n v="3150"/>
    <n v="590.625"/>
    <n v="21000"/>
    <n v="21000"/>
    <n v="21"/>
    <n v="0.05"/>
    <n v="0.05"/>
    <n v="0.05"/>
    <n v="393.75"/>
    <n v="8268.75"/>
    <x v="20"/>
    <s v="Satinder Kaur Sasan"/>
    <x v="1"/>
    <d v="2025-12-26T00:00:00"/>
  </r>
  <r>
    <n v="22"/>
    <x v="21"/>
    <x v="21"/>
    <x v="2"/>
    <x v="3"/>
    <x v="14"/>
    <x v="17"/>
    <x v="13"/>
    <n v="1968.75"/>
    <n v="3150"/>
    <n v="590.625"/>
    <e v="#N/A"/>
    <n v="0"/>
    <e v="#N/A"/>
    <n v="0.05"/>
    <n v="0.05"/>
    <n v="0.05"/>
    <n v="393.75"/>
    <n v="8268.75"/>
    <x v="21"/>
    <s v="Suchita Panchal"/>
    <x v="1"/>
    <d v="2025-12-26T00:00:00"/>
  </r>
  <r>
    <n v="23"/>
    <x v="22"/>
    <x v="22"/>
    <x v="2"/>
    <x v="3"/>
    <x v="6"/>
    <x v="18"/>
    <x v="13"/>
    <n v="1968.75"/>
    <n v="3150"/>
    <n v="590.625"/>
    <n v="23000"/>
    <n v="23000"/>
    <n v="23"/>
    <n v="0.05"/>
    <n v="0.05"/>
    <n v="0.05"/>
    <n v="393.75"/>
    <n v="8268.75"/>
    <x v="22"/>
    <s v="Shazia Sheikh"/>
    <x v="1"/>
    <d v="2025-12-26T00:00:00"/>
  </r>
  <r>
    <n v="24"/>
    <x v="23"/>
    <x v="23"/>
    <x v="0"/>
    <x v="3"/>
    <x v="14"/>
    <x v="19"/>
    <x v="7"/>
    <n v="3718.75"/>
    <n v="5950"/>
    <n v="1115.625"/>
    <e v="#N/A"/>
    <n v="0"/>
    <e v="#N/A"/>
    <n v="0.1"/>
    <n v="0.1"/>
    <n v="0.1"/>
    <n v="1487.5"/>
    <n v="16362.5"/>
    <x v="23"/>
    <s v="Pooja Nimkar"/>
    <x v="10"/>
    <d v="2025-12-26T00:00:00"/>
  </r>
  <r>
    <n v="25"/>
    <x v="24"/>
    <x v="24"/>
    <x v="3"/>
    <x v="2"/>
    <x v="16"/>
    <x v="20"/>
    <x v="13"/>
    <n v="1968.75"/>
    <n v="3150"/>
    <n v="590.625"/>
    <n v="25000"/>
    <n v="25000"/>
    <n v="25"/>
    <n v="0.05"/>
    <n v="0.05"/>
    <n v="0.05"/>
    <n v="393.75"/>
    <n v="8268.75"/>
    <x v="24"/>
    <s v="Jasbinder Khurana"/>
    <x v="1"/>
    <d v="2025-12-26T00:00:00"/>
  </r>
  <r>
    <n v="26"/>
    <x v="25"/>
    <x v="25"/>
    <x v="0"/>
    <x v="1"/>
    <x v="1"/>
    <x v="21"/>
    <x v="9"/>
    <n v="4812.5"/>
    <n v="7700"/>
    <n v="1443.75"/>
    <e v="#N/A"/>
    <n v="0"/>
    <e v="#N/A"/>
    <n v="0.15"/>
    <n v="0.15"/>
    <n v="0.15"/>
    <n v="2887.5"/>
    <n v="22137.5"/>
    <x v="25"/>
    <s v="Bharat Shetty"/>
    <x v="11"/>
    <d v="2025-12-26T00:00:00"/>
  </r>
  <r>
    <n v="27"/>
    <x v="26"/>
    <x v="26"/>
    <x v="0"/>
    <x v="2"/>
    <x v="17"/>
    <x v="22"/>
    <x v="14"/>
    <n v="3281.25"/>
    <n v="5250"/>
    <n v="984.375"/>
    <n v="27000"/>
    <n v="27000"/>
    <n v="27"/>
    <n v="0.1"/>
    <n v="0.1"/>
    <n v="0.1"/>
    <n v="1312.5"/>
    <n v="14437.5"/>
    <x v="26"/>
    <s v="Rishi Malik"/>
    <x v="12"/>
    <d v="2025-12-26T00:00:00"/>
  </r>
  <r>
    <n v="28"/>
    <x v="27"/>
    <x v="27"/>
    <x v="3"/>
    <x v="3"/>
    <x v="18"/>
    <x v="23"/>
    <x v="11"/>
    <n v="2625"/>
    <n v="4200"/>
    <n v="787.5"/>
    <e v="#N/A"/>
    <n v="0"/>
    <e v="#N/A"/>
    <n v="0.1"/>
    <n v="0.1"/>
    <n v="0.1"/>
    <n v="1050"/>
    <n v="11550"/>
    <x v="27"/>
    <s v="Mala Bhaduri"/>
    <x v="13"/>
    <d v="2025-12-26T00:00:00"/>
  </r>
  <r>
    <n v="29"/>
    <x v="28"/>
    <x v="28"/>
    <x v="1"/>
    <x v="0"/>
    <x v="13"/>
    <x v="24"/>
    <x v="15"/>
    <n v="2406.25"/>
    <n v="3850"/>
    <n v="721.875"/>
    <n v="29000"/>
    <n v="29000"/>
    <n v="29"/>
    <n v="0.05"/>
    <n v="0.05"/>
    <n v="0.05"/>
    <n v="481.25"/>
    <n v="10106.25"/>
    <x v="28"/>
    <s v="Hajra Hoonjan"/>
    <x v="14"/>
    <d v="2025-12-26T00:00:00"/>
  </r>
  <r>
    <n v="30"/>
    <x v="29"/>
    <x v="29"/>
    <x v="4"/>
    <x v="1"/>
    <x v="15"/>
    <x v="25"/>
    <x v="16"/>
    <n v="3543.75"/>
    <n v="5670"/>
    <n v="1063.125"/>
    <e v="#N/A"/>
    <n v="0"/>
    <e v="#N/A"/>
    <n v="0.1"/>
    <n v="0.1"/>
    <n v="0.1"/>
    <n v="1417.5"/>
    <n v="15592.5"/>
    <x v="29"/>
    <s v="Aalam Qureshi"/>
    <x v="4"/>
    <d v="2025-12-26T00:00:00"/>
  </r>
  <r>
    <n v="31"/>
    <x v="30"/>
    <x v="30"/>
    <x v="3"/>
    <x v="0"/>
    <x v="7"/>
    <x v="21"/>
    <x v="8"/>
    <n v="3937.5"/>
    <n v="6300"/>
    <n v="1181.25"/>
    <n v="31000"/>
    <n v="31000"/>
    <n v="31"/>
    <n v="0.15"/>
    <n v="0.15"/>
    <n v="0.15"/>
    <n v="2362.5"/>
    <n v="18112.5"/>
    <x v="30"/>
    <s v="Giriraj Gupta"/>
    <x v="11"/>
    <d v="2025-12-26T00:00:00"/>
  </r>
  <r>
    <n v="32"/>
    <x v="31"/>
    <x v="31"/>
    <x v="7"/>
    <x v="2"/>
    <x v="16"/>
    <x v="21"/>
    <x v="8"/>
    <n v="3937.5"/>
    <n v="6300"/>
    <n v="1181.25"/>
    <e v="#N/A"/>
    <n v="0"/>
    <e v="#N/A"/>
    <n v="0.15"/>
    <n v="0.15"/>
    <n v="0.15"/>
    <n v="2362.5"/>
    <n v="18112.5"/>
    <x v="31"/>
    <s v="Ankur Joshi"/>
    <x v="11"/>
    <d v="2025-12-26T00:00:00"/>
  </r>
  <r>
    <n v="33"/>
    <x v="32"/>
    <x v="32"/>
    <x v="7"/>
    <x v="0"/>
    <x v="8"/>
    <x v="26"/>
    <x v="2"/>
    <n v="1750"/>
    <n v="2800"/>
    <n v="525"/>
    <n v="33000"/>
    <n v="33000"/>
    <n v="33"/>
    <n v="0.05"/>
    <n v="0.05"/>
    <n v="0.05"/>
    <n v="350"/>
    <n v="7350"/>
    <x v="32"/>
    <s v="Tapan Ghoshal"/>
    <x v="15"/>
    <d v="2025-12-26T00:00:00"/>
  </r>
  <r>
    <n v="34"/>
    <x v="33"/>
    <x v="33"/>
    <x v="7"/>
    <x v="0"/>
    <x v="19"/>
    <x v="27"/>
    <x v="17"/>
    <n v="2187.5"/>
    <n v="3500"/>
    <n v="656.25"/>
    <e v="#N/A"/>
    <n v="0"/>
    <e v="#N/A"/>
    <n v="0.05"/>
    <n v="0.05"/>
    <n v="0.05"/>
    <n v="437.5"/>
    <n v="9187.5"/>
    <x v="33"/>
    <s v="Zarina Vora"/>
    <x v="16"/>
    <d v="2025-12-26T00:00:00"/>
  </r>
  <r>
    <n v="35"/>
    <x v="34"/>
    <x v="31"/>
    <x v="2"/>
    <x v="2"/>
    <x v="16"/>
    <x v="28"/>
    <x v="18"/>
    <n v="2318.75"/>
    <n v="3710"/>
    <n v="695.625"/>
    <n v="35000"/>
    <n v="35000"/>
    <n v="35"/>
    <n v="0.05"/>
    <n v="0.05"/>
    <n v="0.05"/>
    <n v="463.75"/>
    <n v="9738.75"/>
    <x v="34"/>
    <s v="Arun Joshi"/>
    <x v="12"/>
    <d v="2025-12-26T00:00:00"/>
  </r>
  <r>
    <n v="36"/>
    <x v="23"/>
    <x v="34"/>
    <x v="4"/>
    <x v="3"/>
    <x v="20"/>
    <x v="29"/>
    <x v="19"/>
    <n v="2931.25"/>
    <n v="4690"/>
    <n v="879.375"/>
    <e v="#N/A"/>
    <n v="0"/>
    <e v="#N/A"/>
    <n v="0.1"/>
    <n v="0.1"/>
    <n v="0.1"/>
    <n v="1172.5"/>
    <n v="12897.5"/>
    <x v="35"/>
    <s v="Pooja Khetan"/>
    <x v="17"/>
    <d v="2025-12-26T00:00:00"/>
  </r>
  <r>
    <n v="37"/>
    <x v="11"/>
    <x v="35"/>
    <x v="5"/>
    <x v="2"/>
    <x v="21"/>
    <x v="21"/>
    <x v="20"/>
    <n v="6125"/>
    <n v="9800"/>
    <n v="1837.5"/>
    <n v="37000"/>
    <n v="37000"/>
    <n v="37"/>
    <n v="0.15"/>
    <n v="0.15"/>
    <n v="0.15"/>
    <n v="3675"/>
    <n v="28175"/>
    <x v="36"/>
    <s v="Shilpa Parikh"/>
    <x v="11"/>
    <d v="2025-12-26T00:00:00"/>
  </r>
  <r>
    <n v="38"/>
    <x v="35"/>
    <x v="36"/>
    <x v="5"/>
    <x v="0"/>
    <x v="22"/>
    <x v="21"/>
    <x v="20"/>
    <n v="6125"/>
    <n v="9800"/>
    <n v="1837.5"/>
    <e v="#N/A"/>
    <n v="0"/>
    <e v="#N/A"/>
    <n v="0.15"/>
    <n v="0.15"/>
    <n v="0.15"/>
    <n v="3675"/>
    <n v="28175"/>
    <x v="37"/>
    <s v="Chitra Pednekar"/>
    <x v="11"/>
    <d v="2025-12-26T00:00:00"/>
  </r>
  <r>
    <n v="39"/>
    <x v="13"/>
    <x v="37"/>
    <x v="5"/>
    <x v="0"/>
    <x v="3"/>
    <x v="21"/>
    <x v="20"/>
    <n v="6125"/>
    <n v="9800"/>
    <n v="1837.5"/>
    <n v="39000"/>
    <n v="39000"/>
    <n v="39"/>
    <n v="0.15"/>
    <n v="0.15"/>
    <n v="0.15"/>
    <n v="3675"/>
    <n v="28175"/>
    <x v="38"/>
    <s v="Sheetal Dodhia"/>
    <x v="11"/>
    <d v="2025-12-26T00:00:00"/>
  </r>
  <r>
    <n v="40"/>
    <x v="36"/>
    <x v="38"/>
    <x v="0"/>
    <x v="2"/>
    <x v="16"/>
    <x v="27"/>
    <x v="11"/>
    <n v="2625"/>
    <n v="4200"/>
    <n v="787.5"/>
    <e v="#N/A"/>
    <n v="0"/>
    <e v="#N/A"/>
    <n v="0.1"/>
    <n v="0.1"/>
    <n v="0.1"/>
    <n v="1050"/>
    <n v="11550"/>
    <x v="39"/>
    <s v="Richa Raje"/>
    <x v="16"/>
    <d v="2025-12-26T00:00:00"/>
  </r>
  <r>
    <n v="41"/>
    <x v="37"/>
    <x v="39"/>
    <x v="1"/>
    <x v="1"/>
    <x v="9"/>
    <x v="30"/>
    <x v="13"/>
    <n v="1968.75"/>
    <n v="3150"/>
    <n v="590.625"/>
    <n v="41000"/>
    <n v="41000"/>
    <n v="41"/>
    <n v="0.05"/>
    <n v="0.05"/>
    <n v="0.05"/>
    <n v="393.75"/>
    <n v="8268.75"/>
    <x v="40"/>
    <s v="Kirtikar Sardesai"/>
    <x v="15"/>
    <d v="2025-12-26T00:00:00"/>
  </r>
  <r>
    <n v="42"/>
    <x v="23"/>
    <x v="40"/>
    <x v="3"/>
    <x v="1"/>
    <x v="11"/>
    <x v="27"/>
    <x v="21"/>
    <n v="3325"/>
    <n v="5320"/>
    <n v="997.5"/>
    <e v="#N/A"/>
    <n v="0"/>
    <e v="#N/A"/>
    <n v="0.1"/>
    <n v="0.1"/>
    <n v="0.1"/>
    <n v="1330"/>
    <n v="14630"/>
    <x v="41"/>
    <s v="Pooja Gokhale"/>
    <x v="16"/>
    <d v="2025-12-26T00:00:00"/>
  </r>
  <r>
    <n v="43"/>
    <x v="38"/>
    <x v="41"/>
    <x v="4"/>
    <x v="3"/>
    <x v="18"/>
    <x v="25"/>
    <x v="8"/>
    <n v="3937.5"/>
    <n v="6300"/>
    <n v="1181.25"/>
    <n v="43000"/>
    <n v="43000"/>
    <n v="43"/>
    <n v="0.15"/>
    <n v="0.15"/>
    <n v="0.15"/>
    <n v="2362.5"/>
    <n v="18112.5"/>
    <x v="42"/>
    <s v="Piyush Surti"/>
    <x v="4"/>
    <d v="2025-12-26T00:00:00"/>
  </r>
  <r>
    <n v="44"/>
    <x v="39"/>
    <x v="42"/>
    <x v="4"/>
    <x v="1"/>
    <x v="1"/>
    <x v="31"/>
    <x v="6"/>
    <n v="3456.25"/>
    <n v="5530"/>
    <n v="1036.875"/>
    <e v="#N/A"/>
    <n v="0"/>
    <e v="#N/A"/>
    <n v="0.1"/>
    <n v="0.1"/>
    <n v="0.1"/>
    <n v="1382.5"/>
    <n v="15207.5"/>
    <x v="43"/>
    <s v="Shaheen Khan"/>
    <x v="5"/>
    <d v="2025-12-26T00:00:00"/>
  </r>
  <r>
    <n v="45"/>
    <x v="40"/>
    <x v="43"/>
    <x v="3"/>
    <x v="0"/>
    <x v="0"/>
    <x v="26"/>
    <x v="22"/>
    <n v="2843.75"/>
    <n v="4550"/>
    <n v="853.125"/>
    <n v="45000"/>
    <n v="45000"/>
    <n v="45"/>
    <n v="0.1"/>
    <n v="0.1"/>
    <n v="0.1"/>
    <n v="1137.5"/>
    <n v="12512.5"/>
    <x v="44"/>
    <s v="Kinnari Mehta"/>
    <x v="15"/>
    <d v="2025-12-26T00:00:00"/>
  </r>
  <r>
    <n v="46"/>
    <x v="41"/>
    <x v="44"/>
    <x v="0"/>
    <x v="0"/>
    <x v="19"/>
    <x v="27"/>
    <x v="8"/>
    <n v="3937.5"/>
    <n v="6300"/>
    <n v="1181.25"/>
    <e v="#N/A"/>
    <n v="0"/>
    <e v="#N/A"/>
    <n v="0.15"/>
    <n v="0.15"/>
    <n v="0.15"/>
    <n v="2362.5"/>
    <n v="18112.5"/>
    <x v="45"/>
    <s v="Jeena Baig"/>
    <x v="16"/>
    <d v="2025-12-26T00:00:00"/>
  </r>
  <r>
    <n v="47"/>
    <x v="42"/>
    <x v="31"/>
    <x v="1"/>
    <x v="0"/>
    <x v="4"/>
    <x v="32"/>
    <x v="8"/>
    <n v="3937.5"/>
    <n v="6300"/>
    <n v="1181.25"/>
    <n v="47000"/>
    <n v="47000"/>
    <n v="47"/>
    <n v="0.15"/>
    <n v="0.15"/>
    <n v="0.15"/>
    <n v="2362.5"/>
    <n v="18112.5"/>
    <x v="46"/>
    <s v="Vicky Joshi"/>
    <x v="4"/>
    <d v="2025-12-26T00:00:00"/>
  </r>
  <r>
    <n v="48"/>
    <x v="43"/>
    <x v="31"/>
    <x v="7"/>
    <x v="3"/>
    <x v="23"/>
    <x v="25"/>
    <x v="8"/>
    <n v="3937.5"/>
    <n v="6300"/>
    <n v="1181.25"/>
    <e v="#N/A"/>
    <n v="0"/>
    <e v="#N/A"/>
    <n v="0.15"/>
    <n v="0.15"/>
    <n v="0.15"/>
    <n v="2362.5"/>
    <n v="18112.5"/>
    <x v="47"/>
    <s v="Neha Joshi"/>
    <x v="4"/>
    <d v="2025-12-26T00:00:00"/>
  </r>
  <r>
    <n v="49"/>
    <x v="44"/>
    <x v="45"/>
    <x v="7"/>
    <x v="2"/>
    <x v="12"/>
    <x v="25"/>
    <x v="8"/>
    <n v="3937.5"/>
    <n v="6300"/>
    <n v="1181.25"/>
    <e v="#N/A"/>
    <n v="0"/>
    <e v="#N/A"/>
    <n v="0.15"/>
    <n v="0.15"/>
    <n v="0.15"/>
    <n v="2362.5"/>
    <n v="18112.5"/>
    <x v="48"/>
    <s v="Rakesh Kumar"/>
    <x v="4"/>
    <d v="2025-12-26T00:00:00"/>
  </r>
  <r>
    <n v="50"/>
    <x v="45"/>
    <x v="44"/>
    <x v="4"/>
    <x v="3"/>
    <x v="23"/>
    <x v="25"/>
    <x v="8"/>
    <n v="3937.5"/>
    <n v="6300"/>
    <n v="1181.25"/>
    <e v="#N/A"/>
    <n v="0"/>
    <e v="#N/A"/>
    <n v="0.15"/>
    <n v="0.15"/>
    <n v="0.15"/>
    <n v="2362.5"/>
    <n v="18112.5"/>
    <x v="49"/>
    <s v="Ruheal Baig"/>
    <x v="4"/>
    <d v="2025-12-26T00:00:00"/>
  </r>
  <r>
    <n v="51"/>
    <x v="46"/>
    <x v="46"/>
    <x v="0"/>
    <x v="0"/>
    <x v="10"/>
    <x v="33"/>
    <x v="8"/>
    <n v="3937.5"/>
    <n v="6300"/>
    <n v="1181.25"/>
    <e v="#N/A"/>
    <n v="0"/>
    <e v="#N/A"/>
    <n v="0.15"/>
    <n v="0.15"/>
    <n v="0.15"/>
    <n v="2362.5"/>
    <n v="18112.5"/>
    <x v="50"/>
    <s v="Mario Fernandes"/>
    <x v="4"/>
    <d v="2025-12-26T00:00:00"/>
  </r>
  <r>
    <n v="52"/>
    <x v="47"/>
    <x v="47"/>
    <x v="7"/>
    <x v="0"/>
    <x v="19"/>
    <x v="34"/>
    <x v="9"/>
    <n v="4812.5"/>
    <n v="7700"/>
    <n v="1443.75"/>
    <e v="#N/A"/>
    <n v="0"/>
    <e v="#N/A"/>
    <n v="0.15"/>
    <n v="0.15"/>
    <n v="0.15"/>
    <n v="2887.5"/>
    <n v="22137.5"/>
    <x v="51"/>
    <s v="Heena Godbole"/>
    <x v="4"/>
    <d v="2025-12-26T00:00:00"/>
  </r>
  <r>
    <n v="53"/>
    <x v="48"/>
    <x v="48"/>
    <x v="7"/>
    <x v="3"/>
    <x v="24"/>
    <x v="35"/>
    <x v="8"/>
    <n v="3937.5"/>
    <n v="6300"/>
    <n v="1181.25"/>
    <e v="#N/A"/>
    <n v="0"/>
    <e v="#N/A"/>
    <n v="0.15"/>
    <n v="0.15"/>
    <n v="0.15"/>
    <n v="2362.5"/>
    <n v="18112.5"/>
    <x v="52"/>
    <s v="Mehul Sheth"/>
    <x v="13"/>
    <d v="2025-12-26T00:00:00"/>
  </r>
  <r>
    <n v="54"/>
    <x v="49"/>
    <x v="49"/>
    <x v="7"/>
    <x v="1"/>
    <x v="25"/>
    <x v="36"/>
    <x v="8"/>
    <n v="3937.5"/>
    <n v="6300"/>
    <n v="1181.25"/>
    <e v="#N/A"/>
    <n v="0"/>
    <e v="#N/A"/>
    <n v="0.15"/>
    <n v="0.15"/>
    <n v="0.15"/>
    <n v="2362.5"/>
    <n v="18112.5"/>
    <x v="53"/>
    <s v="Vishal Virsinghani"/>
    <x v="13"/>
    <d v="2025-12-26T00:00:00"/>
  </r>
  <r>
    <n v="55"/>
    <x v="50"/>
    <x v="50"/>
    <x v="7"/>
    <x v="1"/>
    <x v="26"/>
    <x v="37"/>
    <x v="8"/>
    <n v="3937.5"/>
    <n v="6300"/>
    <n v="1181.25"/>
    <e v="#N/A"/>
    <n v="0"/>
    <e v="#N/A"/>
    <n v="0.15"/>
    <n v="0.15"/>
    <n v="0.15"/>
    <n v="2362.5"/>
    <n v="18112.5"/>
    <x v="54"/>
    <s v="Lalita Rao"/>
    <x v="9"/>
    <d v="2025-12-26T00:00:00"/>
  </r>
  <r>
    <n v="56"/>
    <x v="51"/>
    <x v="51"/>
    <x v="0"/>
    <x v="3"/>
    <x v="24"/>
    <x v="38"/>
    <x v="7"/>
    <n v="3718.75"/>
    <n v="5950"/>
    <n v="1115.625"/>
    <e v="#N/A"/>
    <n v="0"/>
    <e v="#N/A"/>
    <n v="0.1"/>
    <n v="0.1"/>
    <n v="0.1"/>
    <n v="1487.5"/>
    <n v="16362.5"/>
    <x v="55"/>
    <s v="Kajal Joglekar"/>
    <x v="12"/>
    <d v="2025-12-26T00:00:00"/>
  </r>
  <r>
    <n v="57"/>
    <x v="52"/>
    <x v="41"/>
    <x v="0"/>
    <x v="2"/>
    <x v="27"/>
    <x v="39"/>
    <x v="7"/>
    <n v="3718.75"/>
    <n v="5950"/>
    <n v="1115.625"/>
    <e v="#N/A"/>
    <n v="0"/>
    <e v="#N/A"/>
    <n v="0.1"/>
    <n v="0.1"/>
    <n v="0.1"/>
    <n v="1487.5"/>
    <n v="16362.5"/>
    <x v="56"/>
    <s v="Katti Surti"/>
    <x v="18"/>
    <d v="2025-12-26T00:00:00"/>
  </r>
  <r>
    <n v="58"/>
    <x v="53"/>
    <x v="21"/>
    <x v="2"/>
    <x v="0"/>
    <x v="7"/>
    <x v="40"/>
    <x v="1"/>
    <n v="4375"/>
    <n v="7000"/>
    <n v="1312.5"/>
    <e v="#N/A"/>
    <n v="0"/>
    <e v="#N/A"/>
    <n v="0.15"/>
    <n v="0.15"/>
    <n v="0.15"/>
    <n v="2625"/>
    <n v="20125"/>
    <x v="57"/>
    <s v="Maya Panchal"/>
    <x v="5"/>
    <d v="2025-12-26T00:00:00"/>
  </r>
  <r>
    <n v="59"/>
    <x v="54"/>
    <x v="52"/>
    <x v="1"/>
    <x v="2"/>
    <x v="17"/>
    <x v="41"/>
    <x v="9"/>
    <n v="4812.5"/>
    <n v="7700"/>
    <n v="1443.75"/>
    <e v="#N/A"/>
    <n v="0"/>
    <e v="#N/A"/>
    <n v="0.15"/>
    <n v="0.15"/>
    <n v="0.15"/>
    <n v="2887.5"/>
    <n v="22137.5"/>
    <x v="58"/>
    <s v="Disha Parmar"/>
    <x v="19"/>
    <d v="2025-12-26T00:00:00"/>
  </r>
  <r>
    <n v="60"/>
    <x v="55"/>
    <x v="53"/>
    <x v="2"/>
    <x v="2"/>
    <x v="28"/>
    <x v="42"/>
    <x v="9"/>
    <n v="4812.5"/>
    <n v="7700"/>
    <n v="1443.75"/>
    <e v="#N/A"/>
    <n v="0"/>
    <e v="#N/A"/>
    <n v="0.15"/>
    <n v="0.15"/>
    <n v="0.15"/>
    <n v="2887.5"/>
    <n v="22137.5"/>
    <x v="59"/>
    <s v="Geeta Darekar"/>
    <x v="19"/>
    <d v="2025-12-26T00:00:00"/>
  </r>
  <r>
    <n v="61"/>
    <x v="56"/>
    <x v="54"/>
    <x v="1"/>
    <x v="0"/>
    <x v="7"/>
    <x v="43"/>
    <x v="9"/>
    <n v="4812.5"/>
    <n v="7700"/>
    <n v="1443.75"/>
    <e v="#N/A"/>
    <n v="0"/>
    <e v="#N/A"/>
    <n v="0.15"/>
    <n v="0.15"/>
    <n v="0.15"/>
    <n v="2887.5"/>
    <n v="22137.5"/>
    <x v="60"/>
    <s v="Anuradha Zha"/>
    <x v="19"/>
    <d v="2025-12-26T00:00:00"/>
  </r>
  <r>
    <n v="62"/>
    <x v="57"/>
    <x v="16"/>
    <x v="0"/>
    <x v="0"/>
    <x v="4"/>
    <x v="44"/>
    <x v="9"/>
    <n v="4812.5"/>
    <n v="7700"/>
    <n v="1443.75"/>
    <e v="#N/A"/>
    <n v="0"/>
    <e v="#N/A"/>
    <n v="0.15"/>
    <n v="0.15"/>
    <n v="0.15"/>
    <n v="2887.5"/>
    <n v="22137.5"/>
    <x v="61"/>
    <s v="Asha Trivedi"/>
    <x v="19"/>
    <d v="2025-12-26T00:00:00"/>
  </r>
  <r>
    <n v="63"/>
    <x v="58"/>
    <x v="22"/>
    <x v="3"/>
    <x v="0"/>
    <x v="10"/>
    <x v="45"/>
    <x v="1"/>
    <n v="4375"/>
    <n v="7000"/>
    <n v="1312.5"/>
    <e v="#N/A"/>
    <n v="0"/>
    <e v="#N/A"/>
    <n v="0.15"/>
    <n v="0.15"/>
    <n v="0.15"/>
    <n v="2625"/>
    <n v="20125"/>
    <x v="62"/>
    <s v="Waheda Sheikh"/>
    <x v="4"/>
    <d v="2025-12-26T00:00:00"/>
  </r>
  <r>
    <n v="64"/>
    <x v="59"/>
    <x v="55"/>
    <x v="4"/>
    <x v="2"/>
    <x v="2"/>
    <x v="46"/>
    <x v="1"/>
    <n v="4375"/>
    <n v="7000"/>
    <n v="1312.5"/>
    <e v="#N/A"/>
    <n v="0"/>
    <e v="#N/A"/>
    <n v="0.15"/>
    <n v="0.15"/>
    <n v="0.15"/>
    <n v="2625"/>
    <n v="20125"/>
    <x v="63"/>
    <s v="Veena Patil"/>
    <x v="4"/>
    <d v="2025-12-26T00:00:00"/>
  </r>
  <r>
    <n v="65"/>
    <x v="60"/>
    <x v="13"/>
    <x v="7"/>
    <x v="1"/>
    <x v="11"/>
    <x v="47"/>
    <x v="1"/>
    <n v="4375"/>
    <n v="7000"/>
    <n v="1312.5"/>
    <e v="#N/A"/>
    <n v="0"/>
    <e v="#N/A"/>
    <n v="0.15"/>
    <n v="0.15"/>
    <n v="0.15"/>
    <n v="2625"/>
    <n v="20125"/>
    <x v="64"/>
    <s v="Timsi Desai"/>
    <x v="4"/>
    <d v="2025-12-26T00:00:00"/>
  </r>
  <r>
    <n v="66"/>
    <x v="61"/>
    <x v="56"/>
    <x v="4"/>
    <x v="0"/>
    <x v="7"/>
    <x v="48"/>
    <x v="1"/>
    <n v="4375"/>
    <n v="7000"/>
    <n v="1312.5"/>
    <e v="#N/A"/>
    <n v="0"/>
    <e v="#N/A"/>
    <n v="0.15"/>
    <n v="0.15"/>
    <n v="0.15"/>
    <n v="2625"/>
    <n v="20125"/>
    <x v="65"/>
    <s v="Parul Shah"/>
    <x v="4"/>
    <d v="2025-12-26T00:00:00"/>
  </r>
  <r>
    <n v="67"/>
    <x v="62"/>
    <x v="57"/>
    <x v="4"/>
    <x v="0"/>
    <x v="19"/>
    <x v="49"/>
    <x v="23"/>
    <n v="5031.25"/>
    <n v="8050"/>
    <n v="1509.375"/>
    <e v="#N/A"/>
    <n v="0"/>
    <e v="#N/A"/>
    <n v="0.15"/>
    <n v="0.15"/>
    <n v="0.15"/>
    <n v="3018.75"/>
    <n v="23143.75"/>
    <x v="66"/>
    <s v="Uday Naik"/>
    <x v="4"/>
    <d v="2025-12-26T00:00:00"/>
  </r>
  <r>
    <n v="68"/>
    <x v="63"/>
    <x v="13"/>
    <x v="0"/>
    <x v="0"/>
    <x v="3"/>
    <x v="35"/>
    <x v="24"/>
    <n v="3500"/>
    <n v="5600"/>
    <n v="1050"/>
    <e v="#N/A"/>
    <n v="0"/>
    <e v="#N/A"/>
    <n v="0.1"/>
    <n v="0.1"/>
    <n v="0.1"/>
    <n v="1400"/>
    <n v="15400"/>
    <x v="67"/>
    <s v="Mandakini Desai"/>
    <x v="13"/>
    <d v="2025-12-26T00:00:00"/>
  </r>
  <r>
    <n v="69"/>
    <x v="64"/>
    <x v="31"/>
    <x v="4"/>
    <x v="0"/>
    <x v="3"/>
    <x v="36"/>
    <x v="24"/>
    <n v="3500"/>
    <n v="5600"/>
    <n v="1050"/>
    <e v="#N/A"/>
    <n v="0"/>
    <e v="#N/A"/>
    <n v="0.1"/>
    <n v="0.1"/>
    <n v="0.1"/>
    <n v="1400"/>
    <n v="15400"/>
    <x v="68"/>
    <s v="Pravin Joshi"/>
    <x v="13"/>
    <d v="2025-12-26T00:00:00"/>
  </r>
  <r>
    <n v="70"/>
    <x v="65"/>
    <x v="57"/>
    <x v="2"/>
    <x v="1"/>
    <x v="11"/>
    <x v="50"/>
    <x v="24"/>
    <n v="3500"/>
    <n v="5600"/>
    <n v="1050"/>
    <e v="#N/A"/>
    <n v="0"/>
    <e v="#N/A"/>
    <n v="0.1"/>
    <n v="0.1"/>
    <n v="0.1"/>
    <n v="1400"/>
    <n v="15400"/>
    <x v="69"/>
    <s v="Reeta Naik"/>
    <x v="13"/>
    <d v="2025-12-26T00:00:00"/>
  </r>
  <r>
    <n v="71"/>
    <x v="66"/>
    <x v="58"/>
    <x v="3"/>
    <x v="3"/>
    <x v="29"/>
    <x v="51"/>
    <x v="24"/>
    <n v="3500"/>
    <n v="5600"/>
    <n v="1050"/>
    <e v="#N/A"/>
    <n v="0"/>
    <e v="#N/A"/>
    <n v="0.1"/>
    <n v="0.1"/>
    <n v="0.1"/>
    <n v="1400"/>
    <n v="15400"/>
    <x v="70"/>
    <s v="Surendra Godse"/>
    <x v="13"/>
    <d v="2025-12-26T00:00:00"/>
  </r>
  <r>
    <n v="72"/>
    <x v="67"/>
    <x v="30"/>
    <x v="3"/>
    <x v="2"/>
    <x v="21"/>
    <x v="52"/>
    <x v="1"/>
    <n v="4375"/>
    <n v="7000"/>
    <n v="1312.5"/>
    <e v="#N/A"/>
    <n v="0"/>
    <e v="#N/A"/>
    <n v="0.15"/>
    <n v="0.15"/>
    <n v="0.15"/>
    <n v="2625"/>
    <n v="20125"/>
    <x v="71"/>
    <s v="Yamini Gupta"/>
    <x v="4"/>
    <d v="2025-12-26T00:00:00"/>
  </r>
  <r>
    <n v="73"/>
    <x v="68"/>
    <x v="59"/>
    <x v="7"/>
    <x v="0"/>
    <x v="13"/>
    <x v="53"/>
    <x v="1"/>
    <n v="4375"/>
    <n v="7000"/>
    <n v="1312.5"/>
    <e v="#N/A"/>
    <n v="0"/>
    <e v="#N/A"/>
    <n v="0.15"/>
    <n v="0.15"/>
    <n v="0.15"/>
    <n v="2625"/>
    <n v="20125"/>
    <x v="72"/>
    <s v="Laveena Shenoy"/>
    <x v="4"/>
    <d v="2025-12-26T00:00:00"/>
  </r>
  <r>
    <n v="74"/>
    <x v="69"/>
    <x v="60"/>
    <x v="0"/>
    <x v="1"/>
    <x v="9"/>
    <x v="45"/>
    <x v="1"/>
    <n v="4375"/>
    <n v="7000"/>
    <n v="1312.5"/>
    <e v="#N/A"/>
    <n v="0"/>
    <e v="#N/A"/>
    <n v="0.15"/>
    <n v="0.15"/>
    <n v="0.15"/>
    <n v="2625"/>
    <n v="20125"/>
    <x v="73"/>
    <s v="Nita Pandhya"/>
    <x v="4"/>
    <d v="2025-12-26T00:00:00"/>
  </r>
  <r>
    <n v="75"/>
    <x v="70"/>
    <x v="61"/>
    <x v="1"/>
    <x v="1"/>
    <x v="11"/>
    <x v="46"/>
    <x v="1"/>
    <n v="4375"/>
    <n v="7000"/>
    <n v="1312.5"/>
    <e v="#N/A"/>
    <n v="0"/>
    <e v="#N/A"/>
    <n v="0.15"/>
    <n v="0.15"/>
    <n v="0.15"/>
    <n v="2625"/>
    <n v="20125"/>
    <x v="74"/>
    <s v="Suraj Saksena"/>
    <x v="4"/>
    <d v="2025-12-26T00:00:00"/>
  </r>
  <r>
    <n v="76"/>
    <x v="71"/>
    <x v="42"/>
    <x v="7"/>
    <x v="3"/>
    <x v="29"/>
    <x v="47"/>
    <x v="1"/>
    <n v="4375"/>
    <n v="7000"/>
    <n v="1312.5"/>
    <e v="#N/A"/>
    <n v="0"/>
    <e v="#N/A"/>
    <n v="0.15"/>
    <n v="0.15"/>
    <n v="0.15"/>
    <n v="2625"/>
    <n v="20125"/>
    <x v="75"/>
    <s v="Nayeem Khan"/>
    <x v="4"/>
    <d v="2025-12-26T00:00:00"/>
  </r>
  <r>
    <n v="77"/>
    <x v="72"/>
    <x v="56"/>
    <x v="3"/>
    <x v="0"/>
    <x v="3"/>
    <x v="48"/>
    <x v="1"/>
    <n v="4375"/>
    <n v="7000"/>
    <n v="1312.5"/>
    <e v="#N/A"/>
    <n v="0"/>
    <e v="#N/A"/>
    <n v="0.15"/>
    <n v="0.15"/>
    <n v="0.15"/>
    <n v="2625"/>
    <n v="20125"/>
    <x v="76"/>
    <s v="Drishti Shah"/>
    <x v="4"/>
    <d v="2025-12-26T00:00:00"/>
  </r>
  <r>
    <n v="78"/>
    <x v="73"/>
    <x v="62"/>
    <x v="0"/>
    <x v="3"/>
    <x v="18"/>
    <x v="49"/>
    <x v="1"/>
    <n v="4375"/>
    <n v="7000"/>
    <n v="1312.5"/>
    <e v="#N/A"/>
    <n v="0"/>
    <e v="#N/A"/>
    <n v="0.15"/>
    <n v="0.15"/>
    <n v="0.15"/>
    <n v="2625"/>
    <n v="20125"/>
    <x v="77"/>
    <s v="Deep Chhaya"/>
    <x v="4"/>
    <d v="2025-12-26T00:00:00"/>
  </r>
  <r>
    <n v="79"/>
    <x v="74"/>
    <x v="63"/>
    <x v="2"/>
    <x v="0"/>
    <x v="3"/>
    <x v="54"/>
    <x v="1"/>
    <n v="4375"/>
    <n v="7000"/>
    <n v="1312.5"/>
    <e v="#N/A"/>
    <n v="0"/>
    <e v="#N/A"/>
    <n v="0.15"/>
    <n v="0.15"/>
    <n v="0.15"/>
    <n v="2625"/>
    <n v="20125"/>
    <x v="78"/>
    <s v="Sagar Bidkar"/>
    <x v="4"/>
    <d v="2025-12-26T00:00:00"/>
  </r>
  <r>
    <n v="80"/>
    <x v="75"/>
    <x v="64"/>
    <x v="2"/>
    <x v="0"/>
    <x v="0"/>
    <x v="55"/>
    <x v="1"/>
    <n v="4375"/>
    <n v="7000"/>
    <n v="1312.5"/>
    <e v="#N/A"/>
    <n v="0"/>
    <e v="#N/A"/>
    <n v="0.15"/>
    <n v="0.15"/>
    <n v="0.15"/>
    <n v="2625"/>
    <n v="20125"/>
    <x v="79"/>
    <s v="Dayanand Gandhi"/>
    <x v="4"/>
    <d v="2025-12-26T00:00:00"/>
  </r>
  <r>
    <n v="81"/>
    <x v="76"/>
    <x v="65"/>
    <x v="7"/>
    <x v="2"/>
    <x v="27"/>
    <x v="56"/>
    <x v="1"/>
    <n v="4375"/>
    <n v="7000"/>
    <n v="1312.5"/>
    <e v="#N/A"/>
    <n v="0"/>
    <e v="#N/A"/>
    <n v="0.15"/>
    <n v="0.15"/>
    <n v="0.15"/>
    <n v="2625"/>
    <n v="20125"/>
    <x v="80"/>
    <s v="Tara Phule"/>
    <x v="4"/>
    <d v="2025-12-26T00:00:00"/>
  </r>
  <r>
    <n v="82"/>
    <x v="77"/>
    <x v="66"/>
    <x v="3"/>
    <x v="1"/>
    <x v="1"/>
    <x v="57"/>
    <x v="1"/>
    <n v="4375"/>
    <n v="7000"/>
    <n v="1312.5"/>
    <e v="#N/A"/>
    <n v="0"/>
    <e v="#N/A"/>
    <n v="0.15"/>
    <n v="0.15"/>
    <n v="0.15"/>
    <n v="2625"/>
    <n v="20125"/>
    <x v="81"/>
    <s v="Kalpana Shirishkar"/>
    <x v="4"/>
    <d v="2025-12-26T00:00:00"/>
  </r>
  <r>
    <n v="83"/>
    <x v="78"/>
    <x v="56"/>
    <x v="7"/>
    <x v="0"/>
    <x v="22"/>
    <x v="58"/>
    <x v="2"/>
    <n v="1750"/>
    <n v="2800"/>
    <n v="525"/>
    <e v="#N/A"/>
    <n v="0"/>
    <e v="#N/A"/>
    <n v="0.05"/>
    <n v="0.05"/>
    <n v="0.05"/>
    <n v="350"/>
    <n v="7350"/>
    <x v="82"/>
    <s v="Kunal Shah"/>
    <x v="1"/>
    <d v="2025-12-26T00:00:00"/>
  </r>
  <r>
    <n v="84"/>
    <x v="79"/>
    <x v="67"/>
    <x v="3"/>
    <x v="1"/>
    <x v="11"/>
    <x v="59"/>
    <x v="2"/>
    <n v="1750"/>
    <n v="2800"/>
    <n v="525"/>
    <e v="#N/A"/>
    <n v="0"/>
    <e v="#N/A"/>
    <n v="0.05"/>
    <n v="0.05"/>
    <n v="0.05"/>
    <n v="350"/>
    <n v="7350"/>
    <x v="83"/>
    <s v="Pinky Robert"/>
    <x v="1"/>
    <d v="2025-12-26T00:00:00"/>
  </r>
  <r>
    <n v="85"/>
    <x v="80"/>
    <x v="68"/>
    <x v="3"/>
    <x v="0"/>
    <x v="7"/>
    <x v="60"/>
    <x v="2"/>
    <n v="1750"/>
    <n v="2800"/>
    <n v="525"/>
    <e v="#N/A"/>
    <n v="0"/>
    <e v="#N/A"/>
    <n v="0.05"/>
    <n v="0.05"/>
    <n v="0.05"/>
    <n v="350"/>
    <n v="7350"/>
    <x v="84"/>
    <s v="Ruby Joseph"/>
    <x v="20"/>
    <d v="2025-12-26T00:00:00"/>
  </r>
  <r>
    <n v="86"/>
    <x v="81"/>
    <x v="20"/>
    <x v="7"/>
    <x v="0"/>
    <x v="10"/>
    <x v="61"/>
    <x v="1"/>
    <n v="4375"/>
    <n v="7000"/>
    <n v="1312.5"/>
    <e v="#N/A"/>
    <n v="0"/>
    <e v="#N/A"/>
    <n v="0.15"/>
    <n v="0.15"/>
    <n v="0.15"/>
    <n v="2625"/>
    <n v="20125"/>
    <x v="85"/>
    <s v="Sonia Sasan"/>
    <x v="20"/>
    <d v="2025-12-26T00:00:00"/>
  </r>
  <r>
    <n v="87"/>
    <x v="82"/>
    <x v="69"/>
    <x v="2"/>
    <x v="2"/>
    <x v="2"/>
    <x v="62"/>
    <x v="1"/>
    <n v="4375"/>
    <n v="7000"/>
    <n v="1312.5"/>
    <e v="#N/A"/>
    <n v="0"/>
    <e v="#N/A"/>
    <n v="0.15"/>
    <n v="0.15"/>
    <n v="0.15"/>
    <n v="2625"/>
    <n v="20125"/>
    <x v="86"/>
    <s v="Jignesh Tripathi"/>
    <x v="20"/>
    <d v="2025-12-26T00:00:00"/>
  </r>
  <r>
    <n v="88"/>
    <x v="83"/>
    <x v="70"/>
    <x v="2"/>
    <x v="3"/>
    <x v="6"/>
    <x v="63"/>
    <x v="13"/>
    <n v="1968.75"/>
    <n v="3150"/>
    <n v="590.625"/>
    <e v="#N/A"/>
    <n v="0"/>
    <e v="#N/A"/>
    <n v="0.05"/>
    <n v="0.05"/>
    <n v="0.05"/>
    <n v="393.75"/>
    <n v="8268.75"/>
    <x v="87"/>
    <s v="Vinit Shrivastava"/>
    <x v="20"/>
    <d v="2025-12-26T00:00:00"/>
  </r>
  <r>
    <n v="89"/>
    <x v="84"/>
    <x v="71"/>
    <x v="0"/>
    <x v="0"/>
    <x v="22"/>
    <x v="64"/>
    <x v="25"/>
    <n v="5687.5"/>
    <n v="9100"/>
    <n v="1706.25"/>
    <e v="#N/A"/>
    <n v="0"/>
    <e v="#N/A"/>
    <n v="0.15"/>
    <n v="0.15"/>
    <n v="0.15"/>
    <n v="3412.5"/>
    <n v="26162.5"/>
    <x v="88"/>
    <s v="Tejal Patel"/>
    <x v="2"/>
    <d v="2025-12-26T00:00:00"/>
  </r>
  <r>
    <n v="90"/>
    <x v="85"/>
    <x v="43"/>
    <x v="3"/>
    <x v="0"/>
    <x v="13"/>
    <x v="65"/>
    <x v="25"/>
    <n v="5687.5"/>
    <n v="9100"/>
    <n v="1706.25"/>
    <e v="#N/A"/>
    <n v="0"/>
    <e v="#N/A"/>
    <n v="0.15"/>
    <n v="0.15"/>
    <n v="0.15"/>
    <n v="3412.5"/>
    <n v="26162.5"/>
    <x v="89"/>
    <s v="Priyanka Mehta"/>
    <x v="10"/>
    <d v="2025-12-26T00:00:00"/>
  </r>
  <r>
    <n v="91"/>
    <x v="86"/>
    <x v="72"/>
    <x v="0"/>
    <x v="1"/>
    <x v="11"/>
    <x v="66"/>
    <x v="25"/>
    <n v="5687.5"/>
    <n v="9100"/>
    <n v="1706.25"/>
    <e v="#N/A"/>
    <n v="0"/>
    <e v="#N/A"/>
    <n v="0.15"/>
    <n v="0.15"/>
    <n v="0.15"/>
    <n v="3412.5"/>
    <n v="26162.5"/>
    <x v="90"/>
    <s v="Niki Digaria"/>
    <x v="2"/>
    <d v="2025-12-26T00:00:00"/>
  </r>
  <r>
    <n v="92"/>
    <x v="87"/>
    <x v="73"/>
    <x v="2"/>
    <x v="1"/>
    <x v="25"/>
    <x v="67"/>
    <x v="26"/>
    <n v="4331.25"/>
    <n v="6930"/>
    <n v="1299.375"/>
    <e v="#N/A"/>
    <n v="0"/>
    <e v="#N/A"/>
    <n v="0.15"/>
    <n v="0.15"/>
    <n v="0.15"/>
    <n v="2598.75"/>
    <n v="19923.75"/>
    <x v="91"/>
    <s v="Payal Singhani"/>
    <x v="3"/>
    <d v="2025-12-26T00:00:00"/>
  </r>
  <r>
    <n v="93"/>
    <x v="88"/>
    <x v="16"/>
    <x v="0"/>
    <x v="2"/>
    <x v="17"/>
    <x v="68"/>
    <x v="26"/>
    <n v="4331.25"/>
    <n v="6930"/>
    <n v="1299.375"/>
    <e v="#N/A"/>
    <n v="0"/>
    <e v="#N/A"/>
    <n v="0.15"/>
    <n v="0.15"/>
    <n v="0.15"/>
    <n v="2598.75"/>
    <n v="19923.75"/>
    <x v="92"/>
    <s v="Harsha Trivedi"/>
    <x v="3"/>
    <d v="2025-12-26T00:00:00"/>
  </r>
  <r>
    <n v="94"/>
    <x v="89"/>
    <x v="74"/>
    <x v="2"/>
    <x v="3"/>
    <x v="20"/>
    <x v="69"/>
    <x v="26"/>
    <n v="4331.25"/>
    <n v="6930"/>
    <n v="1299.375"/>
    <e v="#N/A"/>
    <n v="0"/>
    <e v="#N/A"/>
    <n v="0.15"/>
    <n v="0.15"/>
    <n v="0.15"/>
    <n v="2598.75"/>
    <n v="19923.75"/>
    <x v="93"/>
    <s v="Radhika Kulkarni"/>
    <x v="3"/>
    <d v="2025-12-26T00:00:00"/>
  </r>
  <r>
    <n v="95"/>
    <x v="90"/>
    <x v="33"/>
    <x v="2"/>
    <x v="2"/>
    <x v="17"/>
    <x v="70"/>
    <x v="26"/>
    <n v="4331.25"/>
    <n v="6930"/>
    <n v="1299.375"/>
    <e v="#N/A"/>
    <n v="0"/>
    <e v="#N/A"/>
    <n v="0.15"/>
    <n v="0.15"/>
    <n v="0.15"/>
    <n v="2598.75"/>
    <n v="19923.75"/>
    <x v="94"/>
    <s v="Kabir Vora"/>
    <x v="3"/>
    <d v="2025-12-26T00:00:00"/>
  </r>
  <r>
    <n v="96"/>
    <x v="3"/>
    <x v="2"/>
    <x v="3"/>
    <x v="3"/>
    <x v="24"/>
    <x v="71"/>
    <x v="26"/>
    <n v="4331.25"/>
    <n v="6930"/>
    <n v="1299.375"/>
    <e v="#N/A"/>
    <n v="0"/>
    <e v="#N/A"/>
    <n v="0.15"/>
    <n v="0.15"/>
    <n v="0.15"/>
    <n v="2598.75"/>
    <n v="19923.75"/>
    <x v="95"/>
    <s v="Beena Sharma"/>
    <x v="3"/>
    <d v="2025-12-26T00:00:00"/>
  </r>
  <r>
    <n v="97"/>
    <x v="91"/>
    <x v="75"/>
    <x v="3"/>
    <x v="2"/>
    <x v="28"/>
    <x v="72"/>
    <x v="26"/>
    <n v="4331.25"/>
    <n v="6930"/>
    <n v="1299.375"/>
    <e v="#N/A"/>
    <n v="0"/>
    <e v="#N/A"/>
    <n v="0.15"/>
    <n v="0.15"/>
    <n v="0.15"/>
    <n v="2598.75"/>
    <n v="19923.75"/>
    <x v="96"/>
    <s v="Pushpa Raut"/>
    <x v="3"/>
    <d v="2025-12-26T00:00:00"/>
  </r>
  <r>
    <n v="98"/>
    <x v="92"/>
    <x v="76"/>
    <x v="7"/>
    <x v="0"/>
    <x v="3"/>
    <x v="73"/>
    <x v="26"/>
    <n v="4331.25"/>
    <n v="6930"/>
    <n v="1299.375"/>
    <e v="#N/A"/>
    <n v="0"/>
    <e v="#N/A"/>
    <n v="0.15"/>
    <n v="0.15"/>
    <n v="0.15"/>
    <n v="2598.75"/>
    <n v="19923.75"/>
    <x v="97"/>
    <s v="Chetan Dalvi"/>
    <x v="3"/>
    <d v="2025-12-26T00:00:00"/>
  </r>
  <r>
    <n v="99"/>
    <x v="93"/>
    <x v="56"/>
    <x v="5"/>
    <x v="3"/>
    <x v="18"/>
    <x v="63"/>
    <x v="11"/>
    <n v="2625"/>
    <n v="4200"/>
    <n v="787.5"/>
    <e v="#N/A"/>
    <n v="0"/>
    <e v="#N/A"/>
    <n v="0.1"/>
    <n v="0.1"/>
    <n v="0.1"/>
    <n v="1050"/>
    <n v="11550"/>
    <x v="98"/>
    <s v="Indu Shah"/>
    <x v="20"/>
    <d v="2025-12-26T00:00:00"/>
  </r>
  <r>
    <n v="100"/>
    <x v="94"/>
    <x v="77"/>
    <x v="5"/>
    <x v="2"/>
    <x v="2"/>
    <x v="74"/>
    <x v="13"/>
    <n v="1968.75"/>
    <n v="3150"/>
    <n v="590.625"/>
    <e v="#N/A"/>
    <n v="0"/>
    <e v="#N/A"/>
    <n v="0.05"/>
    <n v="0.05"/>
    <n v="0.05"/>
    <n v="393.75"/>
    <n v="8268.75"/>
    <x v="99"/>
    <s v="Rupesh Sawant"/>
    <x v="1"/>
    <d v="2025-12-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6F8983-2B47-4154-B20E-ED8803F701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3:W11"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axis="axisRow"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19"/>
  </rowFields>
  <rowItems count="8">
    <i>
      <x v="78"/>
    </i>
    <i>
      <x v="79"/>
    </i>
    <i>
      <x v="81"/>
    </i>
    <i>
      <x v="12"/>
    </i>
    <i>
      <x v="62"/>
    </i>
    <i>
      <x v="90"/>
    </i>
    <i>
      <x v="49"/>
    </i>
    <i t="grand">
      <x/>
    </i>
  </rowItems>
  <colItems count="1">
    <i/>
  </colItems>
  <dataFields count="1">
    <dataField name="Sum of Salary" fld="7" baseField="0" baseItem="0"/>
  </dataFields>
  <formats count="5">
    <format dxfId="163">
      <pivotArea type="all" dataOnly="0" outline="0" fieldPosition="0"/>
    </format>
    <format dxfId="162">
      <pivotArea outline="0" collapsedLevelsAreSubtotals="1" fieldPosition="0"/>
    </format>
    <format dxfId="161">
      <pivotArea field="25" type="button" dataOnly="0" labelOnly="1" outline="0"/>
    </format>
    <format dxfId="160">
      <pivotArea dataOnly="0" labelOnly="1" grandRow="1" outline="0" fieldPosition="0"/>
    </format>
    <format dxfId="15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6F7CA5-6F54-4EEF-88D0-C5A0F89015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3:AD12" firstHeaderRow="0"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1"/>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Count of Emp Name" fld="19" subtotal="count" baseField="0" baseItem="0"/>
    <dataField name="Sum of Salary" fld="7" baseField="0" baseItem="0"/>
  </dataFields>
  <formats count="5">
    <format dxfId="168">
      <pivotArea type="all" dataOnly="0" outline="0" fieldPosition="0"/>
    </format>
    <format dxfId="167">
      <pivotArea outline="0" collapsedLevelsAreSubtotals="1" fieldPosition="0"/>
    </format>
    <format dxfId="166">
      <pivotArea field="25" type="button" dataOnly="0" labelOnly="1" outline="0"/>
    </format>
    <format dxfId="165">
      <pivotArea dataOnly="0" labelOnly="1" grandRow="1" outline="0" fieldPosition="0"/>
    </format>
    <format dxfId="164">
      <pivotArea dataOnly="0" labelOnly="1" outline="0" axis="axisValues" fieldPosition="0"/>
    </format>
  </format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C27A0-962C-415D-922B-2D7DB111BB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3:T25"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5"/>
  </rowFields>
  <rowItems count="22">
    <i>
      <x v="1"/>
    </i>
    <i>
      <x v="3"/>
    </i>
    <i>
      <x v="4"/>
    </i>
    <i>
      <x v="6"/>
    </i>
    <i>
      <x v="7"/>
    </i>
    <i>
      <x v="8"/>
    </i>
    <i>
      <x v="9"/>
    </i>
    <i>
      <x v="10"/>
    </i>
    <i>
      <x v="11"/>
    </i>
    <i>
      <x v="12"/>
    </i>
    <i>
      <x v="13"/>
    </i>
    <i>
      <x v="14"/>
    </i>
    <i>
      <x v="15"/>
    </i>
    <i>
      <x v="16"/>
    </i>
    <i>
      <x v="17"/>
    </i>
    <i>
      <x v="18"/>
    </i>
    <i>
      <x v="19"/>
    </i>
    <i>
      <x v="20"/>
    </i>
    <i>
      <x v="21"/>
    </i>
    <i>
      <x v="22"/>
    </i>
    <i>
      <x v="23"/>
    </i>
    <i t="grand">
      <x/>
    </i>
  </rowItems>
  <colItems count="1">
    <i/>
  </colItems>
  <dataFields count="1">
    <dataField name="Count of First Name" fld="1" subtotal="count" baseField="0" baseItem="0"/>
  </dataFields>
  <formats count="6">
    <format dxfId="174">
      <pivotArea type="all" dataOnly="0" outline="0" fieldPosition="0"/>
    </format>
    <format dxfId="173">
      <pivotArea outline="0" collapsedLevelsAreSubtotals="1" fieldPosition="0"/>
    </format>
    <format dxfId="172">
      <pivotArea field="25" type="button" dataOnly="0" labelOnly="1" outline="0" axis="axisRow" fieldPosition="0"/>
    </format>
    <format dxfId="171">
      <pivotArea dataOnly="0" labelOnly="1" fieldPosition="0">
        <references count="1">
          <reference field="25" count="21">
            <x v="1"/>
            <x v="3"/>
            <x v="4"/>
            <x v="6"/>
            <x v="7"/>
            <x v="8"/>
            <x v="9"/>
            <x v="10"/>
            <x v="11"/>
            <x v="12"/>
            <x v="13"/>
            <x v="14"/>
            <x v="15"/>
            <x v="16"/>
            <x v="17"/>
            <x v="18"/>
            <x v="19"/>
            <x v="20"/>
            <x v="21"/>
            <x v="22"/>
            <x v="23"/>
          </reference>
        </references>
      </pivotArea>
    </format>
    <format dxfId="170">
      <pivotArea dataOnly="0" labelOnly="1" grandRow="1" outline="0" fieldPosition="0"/>
    </format>
    <format dxfId="16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6443E-2A0C-4D3D-A1B4-16CCCD943F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P64" firstHeaderRow="1" firstDataRow="2"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axis="axisRow"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2">
    <field x="25"/>
    <field x="23"/>
  </rowFields>
  <rowItems count="60">
    <i>
      <x v="1"/>
    </i>
    <i>
      <x v="3"/>
    </i>
    <i r="1">
      <x v="2"/>
    </i>
    <i r="1">
      <x v="11"/>
    </i>
    <i>
      <x v="4"/>
    </i>
    <i r="1">
      <x v="1"/>
    </i>
    <i r="1">
      <x v="5"/>
    </i>
    <i>
      <x v="6"/>
    </i>
    <i r="1">
      <x v="10"/>
    </i>
    <i>
      <x v="7"/>
    </i>
    <i r="1">
      <x v="3"/>
    </i>
    <i>
      <x v="8"/>
    </i>
    <i r="1">
      <x v="12"/>
    </i>
    <i>
      <x v="9"/>
    </i>
    <i r="1">
      <x v="12"/>
    </i>
    <i>
      <x v="10"/>
    </i>
    <i r="1">
      <x v="8"/>
    </i>
    <i r="1">
      <x v="11"/>
    </i>
    <i>
      <x v="11"/>
    </i>
    <i r="1">
      <x v="1"/>
    </i>
    <i r="1">
      <x v="11"/>
    </i>
    <i>
      <x v="12"/>
    </i>
    <i r="1">
      <x v="2"/>
    </i>
    <i r="1">
      <x v="9"/>
    </i>
    <i r="1">
      <x v="10"/>
    </i>
    <i r="1">
      <x v="11"/>
    </i>
    <i>
      <x v="13"/>
    </i>
    <i r="1">
      <x v="4"/>
    </i>
    <i r="1">
      <x v="9"/>
    </i>
    <i>
      <x v="14"/>
    </i>
    <i r="1">
      <x v="8"/>
    </i>
    <i r="1">
      <x v="11"/>
    </i>
    <i>
      <x v="15"/>
    </i>
    <i r="1">
      <x v="9"/>
    </i>
    <i>
      <x v="16"/>
    </i>
    <i r="1">
      <x v="5"/>
    </i>
    <i r="1">
      <x v="7"/>
    </i>
    <i r="1">
      <x v="10"/>
    </i>
    <i>
      <x v="17"/>
    </i>
    <i r="1">
      <x v="5"/>
    </i>
    <i>
      <x v="18"/>
    </i>
    <i r="1">
      <x v="9"/>
    </i>
    <i>
      <x v="19"/>
    </i>
    <i r="1">
      <x v="3"/>
    </i>
    <i r="1">
      <x v="12"/>
    </i>
    <i>
      <x v="20"/>
    </i>
    <i r="1">
      <x v="5"/>
    </i>
    <i>
      <x v="21"/>
    </i>
    <i r="1">
      <x v="6"/>
    </i>
    <i r="1">
      <x v="7"/>
    </i>
    <i r="1">
      <x v="12"/>
    </i>
    <i>
      <x v="22"/>
    </i>
    <i r="1">
      <x v="1"/>
    </i>
    <i>
      <x v="23"/>
    </i>
    <i r="1">
      <x v="2"/>
    </i>
    <i r="1">
      <x v="3"/>
    </i>
    <i r="1">
      <x v="4"/>
    </i>
    <i r="1">
      <x v="6"/>
    </i>
    <i r="1">
      <x v="12"/>
    </i>
    <i t="grand">
      <x/>
    </i>
  </rowItems>
  <colFields count="1">
    <field x="24"/>
  </colFields>
  <colItems count="5">
    <i>
      <x v="1"/>
    </i>
    <i>
      <x v="2"/>
    </i>
    <i>
      <x v="3"/>
    </i>
    <i>
      <x v="4"/>
    </i>
    <i t="grand">
      <x/>
    </i>
  </colItems>
  <dataFields count="1">
    <dataField name="Count of First Name" fld="1" subtotal="count" baseField="0" baseItem="0"/>
  </dataFields>
  <formats count="30">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24" type="button" dataOnly="0" labelOnly="1" outline="0" axis="axisCol" fieldPosition="0"/>
    </format>
    <format dxfId="200">
      <pivotArea type="topRight" dataOnly="0" labelOnly="1" outline="0" fieldPosition="0"/>
    </format>
    <format dxfId="199">
      <pivotArea field="25" type="button" dataOnly="0" labelOnly="1" outline="0" axis="axisRow" fieldPosition="0"/>
    </format>
    <format dxfId="198">
      <pivotArea dataOnly="0" labelOnly="1" fieldPosition="0">
        <references count="1">
          <reference field="25" count="21">
            <x v="1"/>
            <x v="3"/>
            <x v="4"/>
            <x v="6"/>
            <x v="7"/>
            <x v="8"/>
            <x v="9"/>
            <x v="10"/>
            <x v="11"/>
            <x v="12"/>
            <x v="13"/>
            <x v="14"/>
            <x v="15"/>
            <x v="16"/>
            <x v="17"/>
            <x v="18"/>
            <x v="19"/>
            <x v="20"/>
            <x v="21"/>
            <x v="22"/>
            <x v="23"/>
          </reference>
        </references>
      </pivotArea>
    </format>
    <format dxfId="197">
      <pivotArea dataOnly="0" labelOnly="1" grandRow="1" outline="0" fieldPosition="0"/>
    </format>
    <format dxfId="196">
      <pivotArea dataOnly="0" labelOnly="1" fieldPosition="0">
        <references count="2">
          <reference field="23" count="2">
            <x v="2"/>
            <x v="11"/>
          </reference>
          <reference field="25" count="1" selected="0">
            <x v="3"/>
          </reference>
        </references>
      </pivotArea>
    </format>
    <format dxfId="195">
      <pivotArea dataOnly="0" labelOnly="1" fieldPosition="0">
        <references count="2">
          <reference field="23" count="2">
            <x v="1"/>
            <x v="5"/>
          </reference>
          <reference field="25" count="1" selected="0">
            <x v="4"/>
          </reference>
        </references>
      </pivotArea>
    </format>
    <format dxfId="194">
      <pivotArea dataOnly="0" labelOnly="1" fieldPosition="0">
        <references count="2">
          <reference field="23" count="1">
            <x v="10"/>
          </reference>
          <reference field="25" count="1" selected="0">
            <x v="6"/>
          </reference>
        </references>
      </pivotArea>
    </format>
    <format dxfId="193">
      <pivotArea dataOnly="0" labelOnly="1" fieldPosition="0">
        <references count="2">
          <reference field="23" count="1">
            <x v="3"/>
          </reference>
          <reference field="25" count="1" selected="0">
            <x v="7"/>
          </reference>
        </references>
      </pivotArea>
    </format>
    <format dxfId="192">
      <pivotArea dataOnly="0" labelOnly="1" fieldPosition="0">
        <references count="2">
          <reference field="23" count="1">
            <x v="12"/>
          </reference>
          <reference field="25" count="1" selected="0">
            <x v="8"/>
          </reference>
        </references>
      </pivotArea>
    </format>
    <format dxfId="191">
      <pivotArea dataOnly="0" labelOnly="1" fieldPosition="0">
        <references count="2">
          <reference field="23" count="1">
            <x v="12"/>
          </reference>
          <reference field="25" count="1" selected="0">
            <x v="9"/>
          </reference>
        </references>
      </pivotArea>
    </format>
    <format dxfId="190">
      <pivotArea dataOnly="0" labelOnly="1" fieldPosition="0">
        <references count="2">
          <reference field="23" count="2">
            <x v="8"/>
            <x v="11"/>
          </reference>
          <reference field="25" count="1" selected="0">
            <x v="10"/>
          </reference>
        </references>
      </pivotArea>
    </format>
    <format dxfId="189">
      <pivotArea dataOnly="0" labelOnly="1" fieldPosition="0">
        <references count="2">
          <reference field="23" count="2">
            <x v="1"/>
            <x v="11"/>
          </reference>
          <reference field="25" count="1" selected="0">
            <x v="11"/>
          </reference>
        </references>
      </pivotArea>
    </format>
    <format dxfId="188">
      <pivotArea dataOnly="0" labelOnly="1" fieldPosition="0">
        <references count="2">
          <reference field="23" count="4">
            <x v="2"/>
            <x v="9"/>
            <x v="10"/>
            <x v="11"/>
          </reference>
          <reference field="25" count="1" selected="0">
            <x v="12"/>
          </reference>
        </references>
      </pivotArea>
    </format>
    <format dxfId="187">
      <pivotArea dataOnly="0" labelOnly="1" fieldPosition="0">
        <references count="2">
          <reference field="23" count="2">
            <x v="4"/>
            <x v="9"/>
          </reference>
          <reference field="25" count="1" selected="0">
            <x v="13"/>
          </reference>
        </references>
      </pivotArea>
    </format>
    <format dxfId="186">
      <pivotArea dataOnly="0" labelOnly="1" fieldPosition="0">
        <references count="2">
          <reference field="23" count="2">
            <x v="8"/>
            <x v="11"/>
          </reference>
          <reference field="25" count="1" selected="0">
            <x v="14"/>
          </reference>
        </references>
      </pivotArea>
    </format>
    <format dxfId="185">
      <pivotArea dataOnly="0" labelOnly="1" fieldPosition="0">
        <references count="2">
          <reference field="23" count="1">
            <x v="9"/>
          </reference>
          <reference field="25" count="1" selected="0">
            <x v="15"/>
          </reference>
        </references>
      </pivotArea>
    </format>
    <format dxfId="184">
      <pivotArea dataOnly="0" labelOnly="1" fieldPosition="0">
        <references count="2">
          <reference field="23" count="3">
            <x v="5"/>
            <x v="7"/>
            <x v="10"/>
          </reference>
          <reference field="25" count="1" selected="0">
            <x v="16"/>
          </reference>
        </references>
      </pivotArea>
    </format>
    <format dxfId="183">
      <pivotArea dataOnly="0" labelOnly="1" fieldPosition="0">
        <references count="2">
          <reference field="23" count="1">
            <x v="5"/>
          </reference>
          <reference field="25" count="1" selected="0">
            <x v="17"/>
          </reference>
        </references>
      </pivotArea>
    </format>
    <format dxfId="182">
      <pivotArea dataOnly="0" labelOnly="1" fieldPosition="0">
        <references count="2">
          <reference field="23" count="1">
            <x v="9"/>
          </reference>
          <reference field="25" count="1" selected="0">
            <x v="18"/>
          </reference>
        </references>
      </pivotArea>
    </format>
    <format dxfId="181">
      <pivotArea dataOnly="0" labelOnly="1" fieldPosition="0">
        <references count="2">
          <reference field="23" count="2">
            <x v="3"/>
            <x v="12"/>
          </reference>
          <reference field="25" count="1" selected="0">
            <x v="19"/>
          </reference>
        </references>
      </pivotArea>
    </format>
    <format dxfId="180">
      <pivotArea dataOnly="0" labelOnly="1" fieldPosition="0">
        <references count="2">
          <reference field="23" count="1">
            <x v="5"/>
          </reference>
          <reference field="25" count="1" selected="0">
            <x v="20"/>
          </reference>
        </references>
      </pivotArea>
    </format>
    <format dxfId="179">
      <pivotArea dataOnly="0" labelOnly="1" fieldPosition="0">
        <references count="2">
          <reference field="23" count="3">
            <x v="6"/>
            <x v="7"/>
            <x v="12"/>
          </reference>
          <reference field="25" count="1" selected="0">
            <x v="21"/>
          </reference>
        </references>
      </pivotArea>
    </format>
    <format dxfId="178">
      <pivotArea dataOnly="0" labelOnly="1" fieldPosition="0">
        <references count="2">
          <reference field="23" count="1">
            <x v="1"/>
          </reference>
          <reference field="25" count="1" selected="0">
            <x v="22"/>
          </reference>
        </references>
      </pivotArea>
    </format>
    <format dxfId="177">
      <pivotArea dataOnly="0" labelOnly="1" fieldPosition="0">
        <references count="2">
          <reference field="23" count="5">
            <x v="2"/>
            <x v="3"/>
            <x v="4"/>
            <x v="6"/>
            <x v="12"/>
          </reference>
          <reference field="25" count="1" selected="0">
            <x v="23"/>
          </reference>
        </references>
      </pivotArea>
    </format>
    <format dxfId="176">
      <pivotArea dataOnly="0" labelOnly="1" fieldPosition="0">
        <references count="1">
          <reference field="24" count="4">
            <x v="1"/>
            <x v="2"/>
            <x v="3"/>
            <x v="4"/>
          </reference>
        </references>
      </pivotArea>
    </format>
    <format dxfId="17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276E65-B6E6-4396-889B-58D3F4F23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Z10"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axis="axisRow"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19"/>
  </rowFields>
  <rowItems count="7">
    <i>
      <x v="70"/>
    </i>
    <i>
      <x v="55"/>
    </i>
    <i>
      <x v="88"/>
    </i>
    <i>
      <x v="36"/>
    </i>
    <i>
      <x v="37"/>
    </i>
    <i>
      <x v="18"/>
    </i>
    <i t="grand">
      <x/>
    </i>
  </rowItems>
  <colItems count="1">
    <i/>
  </colItems>
  <dataFields count="1">
    <dataField name="Sum of Salary" fld="7" baseField="0" baseItem="0"/>
  </dataFields>
  <formats count="5">
    <format dxfId="209">
      <pivotArea type="all" dataOnly="0" outline="0" fieldPosition="0"/>
    </format>
    <format dxfId="208">
      <pivotArea outline="0" collapsedLevelsAreSubtotals="1" fieldPosition="0"/>
    </format>
    <format dxfId="207">
      <pivotArea field="25" type="button" dataOnly="0" labelOnly="1" outline="0"/>
    </format>
    <format dxfId="206">
      <pivotArea dataOnly="0" labelOnly="1" grandRow="1" outline="0" fieldPosition="0"/>
    </format>
    <format dxfId="205">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E7A27D-7197-4410-8FDC-BFC8B636C3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T3:AU12"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3"/>
  </rowFields>
  <rowItems count="9">
    <i>
      <x/>
    </i>
    <i>
      <x v="1"/>
    </i>
    <i>
      <x v="2"/>
    </i>
    <i>
      <x v="3"/>
    </i>
    <i>
      <x v="4"/>
    </i>
    <i>
      <x v="5"/>
    </i>
    <i>
      <x v="6"/>
    </i>
    <i>
      <x v="7"/>
    </i>
    <i t="grand">
      <x/>
    </i>
  </rowItems>
  <colItems count="1">
    <i/>
  </colItems>
  <dataFields count="1">
    <dataField name="Count of Emp Name" fld="19" subtotal="count" baseField="0" baseItem="0"/>
  </dataFields>
  <formats count="5">
    <format dxfId="214">
      <pivotArea type="all" dataOnly="0" outline="0" fieldPosition="0"/>
    </format>
    <format dxfId="213">
      <pivotArea outline="0" collapsedLevelsAreSubtotals="1" fieldPosition="0"/>
    </format>
    <format dxfId="212">
      <pivotArea field="25" type="button" dataOnly="0" labelOnly="1" outline="0"/>
    </format>
    <format dxfId="211">
      <pivotArea dataOnly="0" labelOnly="1" grandRow="1" outline="0" fieldPosition="0"/>
    </format>
    <format dxfId="21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C1A1E8-98AF-4AD1-A360-3754A0275C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7" firstHeaderRow="0"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axis="axisRow"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2">
    <field x="4"/>
    <field x="3"/>
  </rowFields>
  <rowItems count="34">
    <i>
      <x/>
    </i>
    <i r="1">
      <x/>
    </i>
    <i r="1">
      <x v="1"/>
    </i>
    <i r="1">
      <x v="3"/>
    </i>
    <i r="1">
      <x v="4"/>
    </i>
    <i r="1">
      <x v="5"/>
    </i>
    <i r="1">
      <x v="6"/>
    </i>
    <i r="1">
      <x v="7"/>
    </i>
    <i>
      <x v="1"/>
    </i>
    <i r="1">
      <x/>
    </i>
    <i r="1">
      <x v="1"/>
    </i>
    <i r="1">
      <x v="2"/>
    </i>
    <i r="1">
      <x v="3"/>
    </i>
    <i r="1">
      <x v="4"/>
    </i>
    <i r="1">
      <x v="5"/>
    </i>
    <i r="1">
      <x v="6"/>
    </i>
    <i r="1">
      <x v="7"/>
    </i>
    <i>
      <x v="2"/>
    </i>
    <i r="1">
      <x/>
    </i>
    <i r="1">
      <x v="1"/>
    </i>
    <i r="1">
      <x v="3"/>
    </i>
    <i r="1">
      <x v="4"/>
    </i>
    <i r="1">
      <x v="5"/>
    </i>
    <i r="1">
      <x v="6"/>
    </i>
    <i r="1">
      <x v="7"/>
    </i>
    <i>
      <x v="3"/>
    </i>
    <i r="1">
      <x/>
    </i>
    <i r="1">
      <x v="1"/>
    </i>
    <i r="1">
      <x v="3"/>
    </i>
    <i r="1">
      <x v="4"/>
    </i>
    <i r="1">
      <x v="5"/>
    </i>
    <i r="1">
      <x v="6"/>
    </i>
    <i r="1">
      <x v="7"/>
    </i>
    <i t="grand">
      <x/>
    </i>
  </rowItems>
  <colFields count="1">
    <field x="-2"/>
  </colFields>
  <colItems count="4">
    <i>
      <x/>
    </i>
    <i i="1">
      <x v="1"/>
    </i>
    <i i="2">
      <x v="2"/>
    </i>
    <i i="3">
      <x v="3"/>
    </i>
  </colItems>
  <dataFields count="4">
    <dataField name="Count of First Name" fld="1" subtotal="count" baseField="0" baseItem="0"/>
    <dataField name="Sum of Salary" fld="7" baseField="0" baseItem="0"/>
    <dataField name="% of grand total" fld="7" showDataAs="percentOfTotal" baseField="0" baseItem="0" numFmtId="10"/>
    <dataField name="% of parent total" fld="7" baseField="4" baseItem="0" numFmtId="10">
      <extLst>
        <ext xmlns:x14="http://schemas.microsoft.com/office/spreadsheetml/2009/9/main" uri="{E15A36E0-9728-4e99-A89B-3F7291B0FE68}">
          <x14:dataField pivotShowAs="percentOfParent"/>
        </ext>
      </extLst>
    </dataField>
  </dataFields>
  <formats count="14">
    <format dxfId="228">
      <pivotArea type="all" dataOnly="0" outline="0" fieldPosition="0"/>
    </format>
    <format dxfId="227">
      <pivotArea dataOnly="0" labelOnly="1" outline="0" axis="axisValues" fieldPosition="0"/>
    </format>
    <format dxfId="226">
      <pivotArea outline="0" fieldPosition="0">
        <references count="1">
          <reference field="4294967294" count="1">
            <x v="2"/>
          </reference>
        </references>
      </pivotArea>
    </format>
    <format dxfId="225">
      <pivotArea outline="0" fieldPosition="0">
        <references count="1">
          <reference field="4294967294" count="1">
            <x v="3"/>
          </reference>
        </references>
      </pivotArea>
    </format>
    <format dxfId="224">
      <pivotArea type="all" dataOnly="0" outline="0" fieldPosition="0"/>
    </format>
    <format dxfId="223">
      <pivotArea outline="0" collapsedLevelsAreSubtotals="1" fieldPosition="0"/>
    </format>
    <format dxfId="222">
      <pivotArea field="4" type="button" dataOnly="0" labelOnly="1" outline="0" axis="axisRow" fieldPosition="0"/>
    </format>
    <format dxfId="221">
      <pivotArea dataOnly="0" labelOnly="1" fieldPosition="0">
        <references count="1">
          <reference field="4" count="0"/>
        </references>
      </pivotArea>
    </format>
    <format dxfId="220">
      <pivotArea dataOnly="0" labelOnly="1" grandRow="1" outline="0" fieldPosition="0"/>
    </format>
    <format dxfId="219">
      <pivotArea dataOnly="0" labelOnly="1" fieldPosition="0">
        <references count="2">
          <reference field="3" count="7">
            <x v="0"/>
            <x v="1"/>
            <x v="3"/>
            <x v="4"/>
            <x v="5"/>
            <x v="6"/>
            <x v="7"/>
          </reference>
          <reference field="4" count="1" selected="0">
            <x v="0"/>
          </reference>
        </references>
      </pivotArea>
    </format>
    <format dxfId="218">
      <pivotArea dataOnly="0" labelOnly="1" fieldPosition="0">
        <references count="2">
          <reference field="3" count="0"/>
          <reference field="4" count="1" selected="0">
            <x v="1"/>
          </reference>
        </references>
      </pivotArea>
    </format>
    <format dxfId="217">
      <pivotArea dataOnly="0" labelOnly="1" fieldPosition="0">
        <references count="2">
          <reference field="3" count="7">
            <x v="0"/>
            <x v="1"/>
            <x v="3"/>
            <x v="4"/>
            <x v="5"/>
            <x v="6"/>
            <x v="7"/>
          </reference>
          <reference field="4" count="1" selected="0">
            <x v="2"/>
          </reference>
        </references>
      </pivotArea>
    </format>
    <format dxfId="216">
      <pivotArea dataOnly="0" labelOnly="1" fieldPosition="0">
        <references count="2">
          <reference field="3" count="7">
            <x v="0"/>
            <x v="1"/>
            <x v="3"/>
            <x v="4"/>
            <x v="5"/>
            <x v="6"/>
            <x v="7"/>
          </reference>
          <reference field="4" count="1" selected="0">
            <x v="3"/>
          </reference>
        </references>
      </pivotArea>
    </format>
    <format dxfId="2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26C28A-367D-42EF-8EC6-8CC0BA0B5B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xp">
  <location ref="AF3:AG9"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axis="axisRow"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1"/>
  </rowFields>
  <rowItems count="6">
    <i>
      <x v="6"/>
    </i>
    <i>
      <x v="7"/>
    </i>
    <i>
      <x v="8"/>
    </i>
    <i>
      <x v="9"/>
    </i>
    <i>
      <x v="10"/>
    </i>
    <i t="grand">
      <x/>
    </i>
  </rowItems>
  <colItems count="1">
    <i/>
  </colItems>
  <dataFields count="1">
    <dataField name="Count of Emp Name" fld="19" subtotal="count" baseField="0" baseItem="0"/>
  </dataFields>
  <formats count="5">
    <format dxfId="233">
      <pivotArea type="all" dataOnly="0" outline="0" fieldPosition="0"/>
    </format>
    <format dxfId="232">
      <pivotArea outline="0" collapsedLevelsAreSubtotals="1" fieldPosition="0"/>
    </format>
    <format dxfId="231">
      <pivotArea field="25" type="button" dataOnly="0" labelOnly="1" outline="0"/>
    </format>
    <format dxfId="230">
      <pivotArea dataOnly="0" labelOnly="1" grandRow="1" outline="0" fieldPosition="0"/>
    </format>
    <format dxfId="2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8D20DB-3C0F-4374-84CB-1D947C68E5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xp">
  <location ref="AJ3:AO25" firstHeaderRow="0"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5"/>
  </rowFields>
  <rowItems count="22">
    <i>
      <x v="1"/>
    </i>
    <i>
      <x v="3"/>
    </i>
    <i>
      <x v="4"/>
    </i>
    <i>
      <x v="6"/>
    </i>
    <i>
      <x v="7"/>
    </i>
    <i>
      <x v="8"/>
    </i>
    <i>
      <x v="9"/>
    </i>
    <i>
      <x v="10"/>
    </i>
    <i>
      <x v="11"/>
    </i>
    <i>
      <x v="12"/>
    </i>
    <i>
      <x v="13"/>
    </i>
    <i>
      <x v="14"/>
    </i>
    <i>
      <x v="15"/>
    </i>
    <i>
      <x v="16"/>
    </i>
    <i>
      <x v="17"/>
    </i>
    <i>
      <x v="18"/>
    </i>
    <i>
      <x v="19"/>
    </i>
    <i>
      <x v="20"/>
    </i>
    <i>
      <x v="21"/>
    </i>
    <i>
      <x v="22"/>
    </i>
    <i>
      <x v="23"/>
    </i>
    <i t="grand">
      <x/>
    </i>
  </rowItems>
  <colFields count="1">
    <field x="-2"/>
  </colFields>
  <colItems count="5">
    <i>
      <x/>
    </i>
    <i i="1">
      <x v="1"/>
    </i>
    <i i="2">
      <x v="2"/>
    </i>
    <i i="3">
      <x v="3"/>
    </i>
    <i i="4">
      <x v="4"/>
    </i>
  </colItems>
  <dataFields count="5">
    <dataField name="Sum of Salary" fld="7" baseField="0" baseItem="0"/>
    <dataField name="Running total" fld="7" showDataAs="runTotal" baseField="25" baseItem="0"/>
    <dataField name="% Running Total" fld="7" baseField="25" baseItem="1" numFmtId="10">
      <extLst>
        <ext xmlns:x14="http://schemas.microsoft.com/office/spreadsheetml/2009/9/main" uri="{E15A36E0-9728-4e99-A89B-3F7291B0FE68}">
          <x14:dataField pivotShowAs="percentOfRunningTotal"/>
        </ext>
      </extLst>
    </dataField>
    <dataField name="Diff from Previous" fld="7" showDataAs="difference" baseField="25" baseItem="1048828"/>
    <dataField name="% diff from previous" fld="7" showDataAs="percentDiff" baseField="25" baseItem="1048828" numFmtId="10"/>
  </dataFields>
  <formats count="7">
    <format dxfId="240">
      <pivotArea type="all" dataOnly="0" outline="0" fieldPosition="0"/>
    </format>
    <format dxfId="239">
      <pivotArea outline="0" collapsedLevelsAreSubtotals="1" fieldPosition="0"/>
    </format>
    <format dxfId="238">
      <pivotArea field="25" type="button" dataOnly="0" labelOnly="1" outline="0" axis="axisRow" fieldPosition="0"/>
    </format>
    <format dxfId="237">
      <pivotArea dataOnly="0" labelOnly="1" grandRow="1" outline="0" fieldPosition="0"/>
    </format>
    <format dxfId="236">
      <pivotArea dataOnly="0" labelOnly="1" outline="0" axis="axisValues" fieldPosition="0"/>
    </format>
    <format dxfId="235">
      <pivotArea outline="0" fieldPosition="0">
        <references count="1">
          <reference field="4294967294" count="1">
            <x v="2"/>
          </reference>
        </references>
      </pivotArea>
    </format>
    <format dxfId="234">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95AABF-0AF9-42FF-A18B-8F64ED5BED2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ing Exp">
  <location ref="AQ3:AR9"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7"/>
  </rowFields>
  <rowItems count="6">
    <i>
      <x v="2"/>
    </i>
    <i>
      <x v="3"/>
    </i>
    <i>
      <x v="4"/>
    </i>
    <i>
      <x v="5"/>
    </i>
    <i>
      <x v="10"/>
    </i>
    <i t="grand">
      <x/>
    </i>
  </rowItems>
  <colItems count="1">
    <i/>
  </colItems>
  <dataFields count="1">
    <dataField name="Count of First Name" fld="1" subtotal="count" baseField="0" baseItem="0"/>
  </dataFields>
  <formats count="5">
    <format dxfId="245">
      <pivotArea type="all" dataOnly="0" outline="0" fieldPosition="0"/>
    </format>
    <format dxfId="244">
      <pivotArea outline="0" collapsedLevelsAreSubtotals="1" fieldPosition="0"/>
    </format>
    <format dxfId="243">
      <pivotArea field="25" type="button" dataOnly="0" labelOnly="1" outline="0"/>
    </format>
    <format dxfId="242">
      <pivotArea dataOnly="0" labelOnly="1" grandRow="1" outline="0" fieldPosition="0"/>
    </format>
    <format dxfId="241">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4" format="10">
      <pivotArea type="data" outline="0" fieldPosition="0">
        <references count="2">
          <reference field="4294967294" count="1" selected="0">
            <x v="0"/>
          </reference>
          <reference field="7" count="1" selected="0">
            <x v="4"/>
          </reference>
        </references>
      </pivotArea>
    </chartFormat>
    <chartFormat chart="4" format="11">
      <pivotArea type="data" outline="0" fieldPosition="0">
        <references count="2">
          <reference field="4294967294" count="1" selected="0">
            <x v="0"/>
          </reference>
          <reference field="7" count="1" selected="0">
            <x v="5"/>
          </reference>
        </references>
      </pivotArea>
    </chartFormat>
    <chartFormat chart="4" format="12">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0B42D6-AAA0-4FC7-94C4-7596554BEA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8"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3">
    <field x="25"/>
    <field x="24"/>
    <field x="23"/>
  </rowFields>
  <rowItems count="95">
    <i>
      <x v="1"/>
    </i>
    <i>
      <x v="3"/>
    </i>
    <i r="1">
      <x v="1"/>
    </i>
    <i r="2">
      <x v="2"/>
    </i>
    <i r="1">
      <x v="4"/>
    </i>
    <i r="2">
      <x v="11"/>
    </i>
    <i>
      <x v="4"/>
    </i>
    <i r="1">
      <x v="1"/>
    </i>
    <i r="2">
      <x v="1"/>
    </i>
    <i r="1">
      <x v="2"/>
    </i>
    <i r="2">
      <x v="5"/>
    </i>
    <i>
      <x v="6"/>
    </i>
    <i r="1">
      <x v="4"/>
    </i>
    <i r="2">
      <x v="10"/>
    </i>
    <i>
      <x v="7"/>
    </i>
    <i r="1">
      <x v="1"/>
    </i>
    <i r="2">
      <x v="3"/>
    </i>
    <i>
      <x v="8"/>
    </i>
    <i r="1">
      <x v="4"/>
    </i>
    <i r="2">
      <x v="12"/>
    </i>
    <i>
      <x v="9"/>
    </i>
    <i r="1">
      <x v="4"/>
    </i>
    <i r="2">
      <x v="12"/>
    </i>
    <i>
      <x v="10"/>
    </i>
    <i r="1">
      <x v="3"/>
    </i>
    <i r="2">
      <x v="8"/>
    </i>
    <i r="1">
      <x v="4"/>
    </i>
    <i r="2">
      <x v="11"/>
    </i>
    <i>
      <x v="11"/>
    </i>
    <i r="1">
      <x v="1"/>
    </i>
    <i r="2">
      <x v="1"/>
    </i>
    <i r="1">
      <x v="4"/>
    </i>
    <i r="2">
      <x v="11"/>
    </i>
    <i>
      <x v="12"/>
    </i>
    <i r="1">
      <x v="1"/>
    </i>
    <i r="2">
      <x v="2"/>
    </i>
    <i r="1">
      <x v="3"/>
    </i>
    <i r="2">
      <x v="9"/>
    </i>
    <i r="1">
      <x v="4"/>
    </i>
    <i r="2">
      <x v="10"/>
    </i>
    <i r="2">
      <x v="11"/>
    </i>
    <i>
      <x v="13"/>
    </i>
    <i r="1">
      <x v="2"/>
    </i>
    <i r="2">
      <x v="4"/>
    </i>
    <i r="1">
      <x v="3"/>
    </i>
    <i r="2">
      <x v="9"/>
    </i>
    <i>
      <x v="14"/>
    </i>
    <i r="1">
      <x v="3"/>
    </i>
    <i r="2">
      <x v="8"/>
    </i>
    <i r="1">
      <x v="4"/>
    </i>
    <i r="2">
      <x v="11"/>
    </i>
    <i>
      <x v="15"/>
    </i>
    <i r="1">
      <x v="3"/>
    </i>
    <i r="2">
      <x v="9"/>
    </i>
    <i>
      <x v="16"/>
    </i>
    <i r="1">
      <x v="2"/>
    </i>
    <i r="2">
      <x v="5"/>
    </i>
    <i r="1">
      <x v="3"/>
    </i>
    <i r="2">
      <x v="7"/>
    </i>
    <i r="1">
      <x v="4"/>
    </i>
    <i r="2">
      <x v="10"/>
    </i>
    <i>
      <x v="17"/>
    </i>
    <i r="1">
      <x v="2"/>
    </i>
    <i r="2">
      <x v="5"/>
    </i>
    <i>
      <x v="18"/>
    </i>
    <i r="1">
      <x v="3"/>
    </i>
    <i r="2">
      <x v="9"/>
    </i>
    <i>
      <x v="19"/>
    </i>
    <i r="1">
      <x v="1"/>
    </i>
    <i r="2">
      <x v="3"/>
    </i>
    <i r="1">
      <x v="4"/>
    </i>
    <i r="2">
      <x v="12"/>
    </i>
    <i>
      <x v="20"/>
    </i>
    <i r="1">
      <x v="2"/>
    </i>
    <i r="2">
      <x v="5"/>
    </i>
    <i>
      <x v="21"/>
    </i>
    <i r="1">
      <x v="2"/>
    </i>
    <i r="2">
      <x v="6"/>
    </i>
    <i r="1">
      <x v="3"/>
    </i>
    <i r="2">
      <x v="7"/>
    </i>
    <i r="1">
      <x v="4"/>
    </i>
    <i r="2">
      <x v="12"/>
    </i>
    <i>
      <x v="22"/>
    </i>
    <i r="1">
      <x v="1"/>
    </i>
    <i r="2">
      <x v="1"/>
    </i>
    <i>
      <x v="23"/>
    </i>
    <i r="1">
      <x v="1"/>
    </i>
    <i r="2">
      <x v="2"/>
    </i>
    <i r="2">
      <x v="3"/>
    </i>
    <i r="1">
      <x v="2"/>
    </i>
    <i r="2">
      <x v="4"/>
    </i>
    <i r="2">
      <x v="6"/>
    </i>
    <i r="1">
      <x v="4"/>
    </i>
    <i r="2">
      <x v="12"/>
    </i>
    <i t="grand">
      <x/>
    </i>
  </rowItems>
  <colItems count="1">
    <i/>
  </colItems>
  <dataFields count="1">
    <dataField name="Count of First Name" fld="1" subtotal="count" baseField="0" baseItem="0"/>
  </dataFields>
  <formats count="61">
    <format dxfId="306">
      <pivotArea type="all" dataOnly="0" outline="0" fieldPosition="0"/>
    </format>
    <format dxfId="305">
      <pivotArea outline="0" collapsedLevelsAreSubtotals="1" fieldPosition="0"/>
    </format>
    <format dxfId="304">
      <pivotArea field="25" type="button" dataOnly="0" labelOnly="1" outline="0" axis="axisRow" fieldPosition="0"/>
    </format>
    <format dxfId="303">
      <pivotArea dataOnly="0" labelOnly="1" fieldPosition="0">
        <references count="1">
          <reference field="25" count="21">
            <x v="1"/>
            <x v="3"/>
            <x v="4"/>
            <x v="6"/>
            <x v="7"/>
            <x v="8"/>
            <x v="9"/>
            <x v="10"/>
            <x v="11"/>
            <x v="12"/>
            <x v="13"/>
            <x v="14"/>
            <x v="15"/>
            <x v="16"/>
            <x v="17"/>
            <x v="18"/>
            <x v="19"/>
            <x v="20"/>
            <x v="21"/>
            <x v="22"/>
            <x v="23"/>
          </reference>
        </references>
      </pivotArea>
    </format>
    <format dxfId="302">
      <pivotArea dataOnly="0" labelOnly="1" grandRow="1" outline="0" fieldPosition="0"/>
    </format>
    <format dxfId="301">
      <pivotArea dataOnly="0" labelOnly="1" fieldPosition="0">
        <references count="2">
          <reference field="24" count="2">
            <x v="1"/>
            <x v="4"/>
          </reference>
          <reference field="25" count="1" selected="0">
            <x v="3"/>
          </reference>
        </references>
      </pivotArea>
    </format>
    <format dxfId="300">
      <pivotArea dataOnly="0" labelOnly="1" fieldPosition="0">
        <references count="2">
          <reference field="24" count="2">
            <x v="1"/>
            <x v="2"/>
          </reference>
          <reference field="25" count="1" selected="0">
            <x v="4"/>
          </reference>
        </references>
      </pivotArea>
    </format>
    <format dxfId="299">
      <pivotArea dataOnly="0" labelOnly="1" fieldPosition="0">
        <references count="2">
          <reference field="24" count="1">
            <x v="4"/>
          </reference>
          <reference field="25" count="1" selected="0">
            <x v="6"/>
          </reference>
        </references>
      </pivotArea>
    </format>
    <format dxfId="298">
      <pivotArea dataOnly="0" labelOnly="1" fieldPosition="0">
        <references count="2">
          <reference field="24" count="1">
            <x v="1"/>
          </reference>
          <reference field="25" count="1" selected="0">
            <x v="7"/>
          </reference>
        </references>
      </pivotArea>
    </format>
    <format dxfId="297">
      <pivotArea dataOnly="0" labelOnly="1" fieldPosition="0">
        <references count="2">
          <reference field="24" count="1">
            <x v="4"/>
          </reference>
          <reference field="25" count="1" selected="0">
            <x v="8"/>
          </reference>
        </references>
      </pivotArea>
    </format>
    <format dxfId="296">
      <pivotArea dataOnly="0" labelOnly="1" fieldPosition="0">
        <references count="2">
          <reference field="24" count="1">
            <x v="4"/>
          </reference>
          <reference field="25" count="1" selected="0">
            <x v="9"/>
          </reference>
        </references>
      </pivotArea>
    </format>
    <format dxfId="295">
      <pivotArea dataOnly="0" labelOnly="1" fieldPosition="0">
        <references count="2">
          <reference field="24" count="2">
            <x v="3"/>
            <x v="4"/>
          </reference>
          <reference field="25" count="1" selected="0">
            <x v="10"/>
          </reference>
        </references>
      </pivotArea>
    </format>
    <format dxfId="294">
      <pivotArea dataOnly="0" labelOnly="1" fieldPosition="0">
        <references count="2">
          <reference field="24" count="2">
            <x v="1"/>
            <x v="4"/>
          </reference>
          <reference field="25" count="1" selected="0">
            <x v="11"/>
          </reference>
        </references>
      </pivotArea>
    </format>
    <format dxfId="293">
      <pivotArea dataOnly="0" labelOnly="1" fieldPosition="0">
        <references count="2">
          <reference field="24" count="3">
            <x v="1"/>
            <x v="3"/>
            <x v="4"/>
          </reference>
          <reference field="25" count="1" selected="0">
            <x v="12"/>
          </reference>
        </references>
      </pivotArea>
    </format>
    <format dxfId="292">
      <pivotArea dataOnly="0" labelOnly="1" fieldPosition="0">
        <references count="2">
          <reference field="24" count="2">
            <x v="2"/>
            <x v="3"/>
          </reference>
          <reference field="25" count="1" selected="0">
            <x v="13"/>
          </reference>
        </references>
      </pivotArea>
    </format>
    <format dxfId="291">
      <pivotArea dataOnly="0" labelOnly="1" fieldPosition="0">
        <references count="2">
          <reference field="24" count="2">
            <x v="3"/>
            <x v="4"/>
          </reference>
          <reference field="25" count="1" selected="0">
            <x v="14"/>
          </reference>
        </references>
      </pivotArea>
    </format>
    <format dxfId="290">
      <pivotArea dataOnly="0" labelOnly="1" fieldPosition="0">
        <references count="2">
          <reference field="24" count="1">
            <x v="3"/>
          </reference>
          <reference field="25" count="1" selected="0">
            <x v="15"/>
          </reference>
        </references>
      </pivotArea>
    </format>
    <format dxfId="289">
      <pivotArea dataOnly="0" labelOnly="1" fieldPosition="0">
        <references count="2">
          <reference field="24" count="3">
            <x v="2"/>
            <x v="3"/>
            <x v="4"/>
          </reference>
          <reference field="25" count="1" selected="0">
            <x v="16"/>
          </reference>
        </references>
      </pivotArea>
    </format>
    <format dxfId="288">
      <pivotArea dataOnly="0" labelOnly="1" fieldPosition="0">
        <references count="2">
          <reference field="24" count="1">
            <x v="2"/>
          </reference>
          <reference field="25" count="1" selected="0">
            <x v="17"/>
          </reference>
        </references>
      </pivotArea>
    </format>
    <format dxfId="287">
      <pivotArea dataOnly="0" labelOnly="1" fieldPosition="0">
        <references count="2">
          <reference field="24" count="1">
            <x v="3"/>
          </reference>
          <reference field="25" count="1" selected="0">
            <x v="18"/>
          </reference>
        </references>
      </pivotArea>
    </format>
    <format dxfId="286">
      <pivotArea dataOnly="0" labelOnly="1" fieldPosition="0">
        <references count="2">
          <reference field="24" count="2">
            <x v="1"/>
            <x v="4"/>
          </reference>
          <reference field="25" count="1" selected="0">
            <x v="19"/>
          </reference>
        </references>
      </pivotArea>
    </format>
    <format dxfId="285">
      <pivotArea dataOnly="0" labelOnly="1" fieldPosition="0">
        <references count="2">
          <reference field="24" count="1">
            <x v="2"/>
          </reference>
          <reference field="25" count="1" selected="0">
            <x v="20"/>
          </reference>
        </references>
      </pivotArea>
    </format>
    <format dxfId="284">
      <pivotArea dataOnly="0" labelOnly="1" fieldPosition="0">
        <references count="2">
          <reference field="24" count="3">
            <x v="2"/>
            <x v="3"/>
            <x v="4"/>
          </reference>
          <reference field="25" count="1" selected="0">
            <x v="21"/>
          </reference>
        </references>
      </pivotArea>
    </format>
    <format dxfId="283">
      <pivotArea dataOnly="0" labelOnly="1" fieldPosition="0">
        <references count="2">
          <reference field="24" count="1">
            <x v="1"/>
          </reference>
          <reference field="25" count="1" selected="0">
            <x v="22"/>
          </reference>
        </references>
      </pivotArea>
    </format>
    <format dxfId="282">
      <pivotArea dataOnly="0" labelOnly="1" fieldPosition="0">
        <references count="2">
          <reference field="24" count="3">
            <x v="1"/>
            <x v="2"/>
            <x v="4"/>
          </reference>
          <reference field="25" count="1" selected="0">
            <x v="23"/>
          </reference>
        </references>
      </pivotArea>
    </format>
    <format dxfId="281">
      <pivotArea dataOnly="0" labelOnly="1" fieldPosition="0">
        <references count="3">
          <reference field="23" count="1">
            <x v="2"/>
          </reference>
          <reference field="24" count="1" selected="0">
            <x v="1"/>
          </reference>
          <reference field="25" count="1" selected="0">
            <x v="3"/>
          </reference>
        </references>
      </pivotArea>
    </format>
    <format dxfId="280">
      <pivotArea dataOnly="0" labelOnly="1" fieldPosition="0">
        <references count="3">
          <reference field="23" count="1">
            <x v="11"/>
          </reference>
          <reference field="24" count="1" selected="0">
            <x v="4"/>
          </reference>
          <reference field="25" count="1" selected="0">
            <x v="3"/>
          </reference>
        </references>
      </pivotArea>
    </format>
    <format dxfId="279">
      <pivotArea dataOnly="0" labelOnly="1" fieldPosition="0">
        <references count="3">
          <reference field="23" count="1">
            <x v="1"/>
          </reference>
          <reference field="24" count="1" selected="0">
            <x v="1"/>
          </reference>
          <reference field="25" count="1" selected="0">
            <x v="4"/>
          </reference>
        </references>
      </pivotArea>
    </format>
    <format dxfId="278">
      <pivotArea dataOnly="0" labelOnly="1" fieldPosition="0">
        <references count="3">
          <reference field="23" count="1">
            <x v="5"/>
          </reference>
          <reference field="24" count="1" selected="0">
            <x v="2"/>
          </reference>
          <reference field="25" count="1" selected="0">
            <x v="4"/>
          </reference>
        </references>
      </pivotArea>
    </format>
    <format dxfId="277">
      <pivotArea dataOnly="0" labelOnly="1" fieldPosition="0">
        <references count="3">
          <reference field="23" count="1">
            <x v="10"/>
          </reference>
          <reference field="24" count="1" selected="0">
            <x v="4"/>
          </reference>
          <reference field="25" count="1" selected="0">
            <x v="6"/>
          </reference>
        </references>
      </pivotArea>
    </format>
    <format dxfId="276">
      <pivotArea dataOnly="0" labelOnly="1" fieldPosition="0">
        <references count="3">
          <reference field="23" count="1">
            <x v="3"/>
          </reference>
          <reference field="24" count="1" selected="0">
            <x v="1"/>
          </reference>
          <reference field="25" count="1" selected="0">
            <x v="7"/>
          </reference>
        </references>
      </pivotArea>
    </format>
    <format dxfId="275">
      <pivotArea dataOnly="0" labelOnly="1" fieldPosition="0">
        <references count="3">
          <reference field="23" count="1">
            <x v="12"/>
          </reference>
          <reference field="24" count="1" selected="0">
            <x v="4"/>
          </reference>
          <reference field="25" count="1" selected="0">
            <x v="8"/>
          </reference>
        </references>
      </pivotArea>
    </format>
    <format dxfId="274">
      <pivotArea dataOnly="0" labelOnly="1" fieldPosition="0">
        <references count="3">
          <reference field="23" count="1">
            <x v="12"/>
          </reference>
          <reference field="24" count="1" selected="0">
            <x v="4"/>
          </reference>
          <reference field="25" count="1" selected="0">
            <x v="9"/>
          </reference>
        </references>
      </pivotArea>
    </format>
    <format dxfId="273">
      <pivotArea dataOnly="0" labelOnly="1" fieldPosition="0">
        <references count="3">
          <reference field="23" count="1">
            <x v="8"/>
          </reference>
          <reference field="24" count="1" selected="0">
            <x v="3"/>
          </reference>
          <reference field="25" count="1" selected="0">
            <x v="10"/>
          </reference>
        </references>
      </pivotArea>
    </format>
    <format dxfId="272">
      <pivotArea dataOnly="0" labelOnly="1" fieldPosition="0">
        <references count="3">
          <reference field="23" count="1">
            <x v="11"/>
          </reference>
          <reference field="24" count="1" selected="0">
            <x v="4"/>
          </reference>
          <reference field="25" count="1" selected="0">
            <x v="10"/>
          </reference>
        </references>
      </pivotArea>
    </format>
    <format dxfId="271">
      <pivotArea dataOnly="0" labelOnly="1" fieldPosition="0">
        <references count="3">
          <reference field="23" count="1">
            <x v="1"/>
          </reference>
          <reference field="24" count="1" selected="0">
            <x v="1"/>
          </reference>
          <reference field="25" count="1" selected="0">
            <x v="11"/>
          </reference>
        </references>
      </pivotArea>
    </format>
    <format dxfId="270">
      <pivotArea dataOnly="0" labelOnly="1" fieldPosition="0">
        <references count="3">
          <reference field="23" count="1">
            <x v="11"/>
          </reference>
          <reference field="24" count="1" selected="0">
            <x v="4"/>
          </reference>
          <reference field="25" count="1" selected="0">
            <x v="11"/>
          </reference>
        </references>
      </pivotArea>
    </format>
    <format dxfId="269">
      <pivotArea dataOnly="0" labelOnly="1" fieldPosition="0">
        <references count="3">
          <reference field="23" count="1">
            <x v="2"/>
          </reference>
          <reference field="24" count="1" selected="0">
            <x v="1"/>
          </reference>
          <reference field="25" count="1" selected="0">
            <x v="12"/>
          </reference>
        </references>
      </pivotArea>
    </format>
    <format dxfId="268">
      <pivotArea dataOnly="0" labelOnly="1" fieldPosition="0">
        <references count="3">
          <reference field="23" count="1">
            <x v="9"/>
          </reference>
          <reference field="24" count="1" selected="0">
            <x v="3"/>
          </reference>
          <reference field="25" count="1" selected="0">
            <x v="12"/>
          </reference>
        </references>
      </pivotArea>
    </format>
    <format dxfId="267">
      <pivotArea dataOnly="0" labelOnly="1" fieldPosition="0">
        <references count="3">
          <reference field="23" count="2">
            <x v="10"/>
            <x v="11"/>
          </reference>
          <reference field="24" count="1" selected="0">
            <x v="4"/>
          </reference>
          <reference field="25" count="1" selected="0">
            <x v="12"/>
          </reference>
        </references>
      </pivotArea>
    </format>
    <format dxfId="266">
      <pivotArea dataOnly="0" labelOnly="1" fieldPosition="0">
        <references count="3">
          <reference field="23" count="1">
            <x v="4"/>
          </reference>
          <reference field="24" count="1" selected="0">
            <x v="2"/>
          </reference>
          <reference field="25" count="1" selected="0">
            <x v="13"/>
          </reference>
        </references>
      </pivotArea>
    </format>
    <format dxfId="265">
      <pivotArea dataOnly="0" labelOnly="1" fieldPosition="0">
        <references count="3">
          <reference field="23" count="1">
            <x v="9"/>
          </reference>
          <reference field="24" count="1" selected="0">
            <x v="3"/>
          </reference>
          <reference field="25" count="1" selected="0">
            <x v="13"/>
          </reference>
        </references>
      </pivotArea>
    </format>
    <format dxfId="264">
      <pivotArea dataOnly="0" labelOnly="1" fieldPosition="0">
        <references count="3">
          <reference field="23" count="1">
            <x v="8"/>
          </reference>
          <reference field="24" count="1" selected="0">
            <x v="3"/>
          </reference>
          <reference field="25" count="1" selected="0">
            <x v="14"/>
          </reference>
        </references>
      </pivotArea>
    </format>
    <format dxfId="263">
      <pivotArea dataOnly="0" labelOnly="1" fieldPosition="0">
        <references count="3">
          <reference field="23" count="1">
            <x v="11"/>
          </reference>
          <reference field="24" count="1" selected="0">
            <x v="4"/>
          </reference>
          <reference field="25" count="1" selected="0">
            <x v="14"/>
          </reference>
        </references>
      </pivotArea>
    </format>
    <format dxfId="262">
      <pivotArea dataOnly="0" labelOnly="1" fieldPosition="0">
        <references count="3">
          <reference field="23" count="1">
            <x v="9"/>
          </reference>
          <reference field="24" count="1" selected="0">
            <x v="3"/>
          </reference>
          <reference field="25" count="1" selected="0">
            <x v="15"/>
          </reference>
        </references>
      </pivotArea>
    </format>
    <format dxfId="261">
      <pivotArea dataOnly="0" labelOnly="1" fieldPosition="0">
        <references count="3">
          <reference field="23" count="1">
            <x v="5"/>
          </reference>
          <reference field="24" count="1" selected="0">
            <x v="2"/>
          </reference>
          <reference field="25" count="1" selected="0">
            <x v="16"/>
          </reference>
        </references>
      </pivotArea>
    </format>
    <format dxfId="260">
      <pivotArea dataOnly="0" labelOnly="1" fieldPosition="0">
        <references count="3">
          <reference field="23" count="1">
            <x v="7"/>
          </reference>
          <reference field="24" count="1" selected="0">
            <x v="3"/>
          </reference>
          <reference field="25" count="1" selected="0">
            <x v="16"/>
          </reference>
        </references>
      </pivotArea>
    </format>
    <format dxfId="259">
      <pivotArea dataOnly="0" labelOnly="1" fieldPosition="0">
        <references count="3">
          <reference field="23" count="1">
            <x v="10"/>
          </reference>
          <reference field="24" count="1" selected="0">
            <x v="4"/>
          </reference>
          <reference field="25" count="1" selected="0">
            <x v="16"/>
          </reference>
        </references>
      </pivotArea>
    </format>
    <format dxfId="258">
      <pivotArea dataOnly="0" labelOnly="1" fieldPosition="0">
        <references count="3">
          <reference field="23" count="1">
            <x v="5"/>
          </reference>
          <reference field="24" count="1" selected="0">
            <x v="2"/>
          </reference>
          <reference field="25" count="1" selected="0">
            <x v="17"/>
          </reference>
        </references>
      </pivotArea>
    </format>
    <format dxfId="257">
      <pivotArea dataOnly="0" labelOnly="1" fieldPosition="0">
        <references count="3">
          <reference field="23" count="1">
            <x v="9"/>
          </reference>
          <reference field="24" count="1" selected="0">
            <x v="3"/>
          </reference>
          <reference field="25" count="1" selected="0">
            <x v="18"/>
          </reference>
        </references>
      </pivotArea>
    </format>
    <format dxfId="256">
      <pivotArea dataOnly="0" labelOnly="1" fieldPosition="0">
        <references count="3">
          <reference field="23" count="1">
            <x v="3"/>
          </reference>
          <reference field="24" count="1" selected="0">
            <x v="1"/>
          </reference>
          <reference field="25" count="1" selected="0">
            <x v="19"/>
          </reference>
        </references>
      </pivotArea>
    </format>
    <format dxfId="255">
      <pivotArea dataOnly="0" labelOnly="1" fieldPosition="0">
        <references count="3">
          <reference field="23" count="1">
            <x v="12"/>
          </reference>
          <reference field="24" count="1" selected="0">
            <x v="4"/>
          </reference>
          <reference field="25" count="1" selected="0">
            <x v="19"/>
          </reference>
        </references>
      </pivotArea>
    </format>
    <format dxfId="254">
      <pivotArea dataOnly="0" labelOnly="1" fieldPosition="0">
        <references count="3">
          <reference field="23" count="1">
            <x v="5"/>
          </reference>
          <reference field="24" count="1" selected="0">
            <x v="2"/>
          </reference>
          <reference field="25" count="1" selected="0">
            <x v="20"/>
          </reference>
        </references>
      </pivotArea>
    </format>
    <format dxfId="253">
      <pivotArea dataOnly="0" labelOnly="1" fieldPosition="0">
        <references count="3">
          <reference field="23" count="1">
            <x v="6"/>
          </reference>
          <reference field="24" count="1" selected="0">
            <x v="2"/>
          </reference>
          <reference field="25" count="1" selected="0">
            <x v="21"/>
          </reference>
        </references>
      </pivotArea>
    </format>
    <format dxfId="252">
      <pivotArea dataOnly="0" labelOnly="1" fieldPosition="0">
        <references count="3">
          <reference field="23" count="1">
            <x v="7"/>
          </reference>
          <reference field="24" count="1" selected="0">
            <x v="3"/>
          </reference>
          <reference field="25" count="1" selected="0">
            <x v="21"/>
          </reference>
        </references>
      </pivotArea>
    </format>
    <format dxfId="251">
      <pivotArea dataOnly="0" labelOnly="1" fieldPosition="0">
        <references count="3">
          <reference field="23" count="1">
            <x v="12"/>
          </reference>
          <reference field="24" count="1" selected="0">
            <x v="4"/>
          </reference>
          <reference field="25" count="1" selected="0">
            <x v="21"/>
          </reference>
        </references>
      </pivotArea>
    </format>
    <format dxfId="250">
      <pivotArea dataOnly="0" labelOnly="1" fieldPosition="0">
        <references count="3">
          <reference field="23" count="1">
            <x v="1"/>
          </reference>
          <reference field="24" count="1" selected="0">
            <x v="1"/>
          </reference>
          <reference field="25" count="1" selected="0">
            <x v="22"/>
          </reference>
        </references>
      </pivotArea>
    </format>
    <format dxfId="249">
      <pivotArea dataOnly="0" labelOnly="1" fieldPosition="0">
        <references count="3">
          <reference field="23" count="2">
            <x v="2"/>
            <x v="3"/>
          </reference>
          <reference field="24" count="1" selected="0">
            <x v="1"/>
          </reference>
          <reference field="25" count="1" selected="0">
            <x v="23"/>
          </reference>
        </references>
      </pivotArea>
    </format>
    <format dxfId="248">
      <pivotArea dataOnly="0" labelOnly="1" fieldPosition="0">
        <references count="3">
          <reference field="23" count="2">
            <x v="4"/>
            <x v="6"/>
          </reference>
          <reference field="24" count="1" selected="0">
            <x v="2"/>
          </reference>
          <reference field="25" count="1" selected="0">
            <x v="23"/>
          </reference>
        </references>
      </pivotArea>
    </format>
    <format dxfId="247">
      <pivotArea dataOnly="0" labelOnly="1" fieldPosition="0">
        <references count="3">
          <reference field="23" count="1">
            <x v="12"/>
          </reference>
          <reference field="24" count="1" selected="0">
            <x v="4"/>
          </reference>
          <reference field="25" count="1" selected="0">
            <x v="23"/>
          </reference>
        </references>
      </pivotArea>
    </format>
    <format dxfId="2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1BAC4D-C352-441F-BB4E-7D40687C84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S64" firstHeaderRow="1" firstDataRow="2"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axis="axisRow"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2">
    <field x="25"/>
    <field x="23"/>
  </rowFields>
  <rowItems count="60">
    <i>
      <x v="1"/>
    </i>
    <i>
      <x v="3"/>
    </i>
    <i r="1">
      <x v="2"/>
    </i>
    <i r="1">
      <x v="11"/>
    </i>
    <i>
      <x v="4"/>
    </i>
    <i r="1">
      <x v="1"/>
    </i>
    <i r="1">
      <x v="5"/>
    </i>
    <i>
      <x v="6"/>
    </i>
    <i r="1">
      <x v="10"/>
    </i>
    <i>
      <x v="7"/>
    </i>
    <i r="1">
      <x v="3"/>
    </i>
    <i>
      <x v="8"/>
    </i>
    <i r="1">
      <x v="12"/>
    </i>
    <i>
      <x v="9"/>
    </i>
    <i r="1">
      <x v="12"/>
    </i>
    <i>
      <x v="10"/>
    </i>
    <i r="1">
      <x v="8"/>
    </i>
    <i r="1">
      <x v="11"/>
    </i>
    <i>
      <x v="11"/>
    </i>
    <i r="1">
      <x v="1"/>
    </i>
    <i r="1">
      <x v="11"/>
    </i>
    <i>
      <x v="12"/>
    </i>
    <i r="1">
      <x v="2"/>
    </i>
    <i r="1">
      <x v="9"/>
    </i>
    <i r="1">
      <x v="10"/>
    </i>
    <i r="1">
      <x v="11"/>
    </i>
    <i>
      <x v="13"/>
    </i>
    <i r="1">
      <x v="4"/>
    </i>
    <i r="1">
      <x v="9"/>
    </i>
    <i>
      <x v="14"/>
    </i>
    <i r="1">
      <x v="8"/>
    </i>
    <i r="1">
      <x v="11"/>
    </i>
    <i>
      <x v="15"/>
    </i>
    <i r="1">
      <x v="9"/>
    </i>
    <i>
      <x v="16"/>
    </i>
    <i r="1">
      <x v="5"/>
    </i>
    <i r="1">
      <x v="7"/>
    </i>
    <i r="1">
      <x v="10"/>
    </i>
    <i>
      <x v="17"/>
    </i>
    <i r="1">
      <x v="5"/>
    </i>
    <i>
      <x v="18"/>
    </i>
    <i r="1">
      <x v="9"/>
    </i>
    <i>
      <x v="19"/>
    </i>
    <i r="1">
      <x v="3"/>
    </i>
    <i r="1">
      <x v="12"/>
    </i>
    <i>
      <x v="20"/>
    </i>
    <i r="1">
      <x v="5"/>
    </i>
    <i>
      <x v="21"/>
    </i>
    <i r="1">
      <x v="6"/>
    </i>
    <i r="1">
      <x v="7"/>
    </i>
    <i r="1">
      <x v="12"/>
    </i>
    <i>
      <x v="22"/>
    </i>
    <i r="1">
      <x v="1"/>
    </i>
    <i>
      <x v="23"/>
    </i>
    <i r="1">
      <x v="2"/>
    </i>
    <i r="1">
      <x v="3"/>
    </i>
    <i r="1">
      <x v="4"/>
    </i>
    <i r="1">
      <x v="6"/>
    </i>
    <i r="1">
      <x v="12"/>
    </i>
    <i t="grand">
      <x/>
    </i>
  </rowItems>
  <colFields count="1">
    <field x="24"/>
  </colFields>
  <colItems count="5">
    <i>
      <x v="1"/>
    </i>
    <i>
      <x v="2"/>
    </i>
    <i>
      <x v="3"/>
    </i>
    <i>
      <x v="4"/>
    </i>
    <i t="grand">
      <x/>
    </i>
  </colItems>
  <dataFields count="1">
    <dataField name="Count of First Name" fld="1" subtotal="count" baseField="0" baseItem="0"/>
  </dataFields>
  <formats count="30">
    <format dxfId="30">
      <pivotArea type="all" dataOnly="0" outline="0" fieldPosition="0"/>
    </format>
    <format dxfId="29">
      <pivotArea outline="0" collapsedLevelsAreSubtotals="1" fieldPosition="0"/>
    </format>
    <format dxfId="28">
      <pivotArea type="origin" dataOnly="0" labelOnly="1" outline="0" fieldPosition="0"/>
    </format>
    <format dxfId="27">
      <pivotArea field="24" type="button" dataOnly="0" labelOnly="1" outline="0" axis="axisCol" fieldPosition="0"/>
    </format>
    <format dxfId="26">
      <pivotArea type="topRight" dataOnly="0" labelOnly="1" outline="0" fieldPosition="0"/>
    </format>
    <format dxfId="25">
      <pivotArea field="25" type="button" dataOnly="0" labelOnly="1" outline="0" axis="axisRow" fieldPosition="0"/>
    </format>
    <format dxfId="24">
      <pivotArea dataOnly="0" labelOnly="1" fieldPosition="0">
        <references count="1">
          <reference field="25" count="21">
            <x v="1"/>
            <x v="3"/>
            <x v="4"/>
            <x v="6"/>
            <x v="7"/>
            <x v="8"/>
            <x v="9"/>
            <x v="10"/>
            <x v="11"/>
            <x v="12"/>
            <x v="13"/>
            <x v="14"/>
            <x v="15"/>
            <x v="16"/>
            <x v="17"/>
            <x v="18"/>
            <x v="19"/>
            <x v="20"/>
            <x v="21"/>
            <x v="22"/>
            <x v="23"/>
          </reference>
        </references>
      </pivotArea>
    </format>
    <format dxfId="23">
      <pivotArea dataOnly="0" labelOnly="1" grandRow="1" outline="0" fieldPosition="0"/>
    </format>
    <format dxfId="22">
      <pivotArea dataOnly="0" labelOnly="1" fieldPosition="0">
        <references count="2">
          <reference field="23" count="2">
            <x v="2"/>
            <x v="11"/>
          </reference>
          <reference field="25" count="1" selected="0">
            <x v="3"/>
          </reference>
        </references>
      </pivotArea>
    </format>
    <format dxfId="21">
      <pivotArea dataOnly="0" labelOnly="1" fieldPosition="0">
        <references count="2">
          <reference field="23" count="2">
            <x v="1"/>
            <x v="5"/>
          </reference>
          <reference field="25" count="1" selected="0">
            <x v="4"/>
          </reference>
        </references>
      </pivotArea>
    </format>
    <format dxfId="20">
      <pivotArea dataOnly="0" labelOnly="1" fieldPosition="0">
        <references count="2">
          <reference field="23" count="1">
            <x v="10"/>
          </reference>
          <reference field="25" count="1" selected="0">
            <x v="6"/>
          </reference>
        </references>
      </pivotArea>
    </format>
    <format dxfId="19">
      <pivotArea dataOnly="0" labelOnly="1" fieldPosition="0">
        <references count="2">
          <reference field="23" count="1">
            <x v="3"/>
          </reference>
          <reference field="25" count="1" selected="0">
            <x v="7"/>
          </reference>
        </references>
      </pivotArea>
    </format>
    <format dxfId="18">
      <pivotArea dataOnly="0" labelOnly="1" fieldPosition="0">
        <references count="2">
          <reference field="23" count="1">
            <x v="12"/>
          </reference>
          <reference field="25" count="1" selected="0">
            <x v="8"/>
          </reference>
        </references>
      </pivotArea>
    </format>
    <format dxfId="17">
      <pivotArea dataOnly="0" labelOnly="1" fieldPosition="0">
        <references count="2">
          <reference field="23" count="1">
            <x v="12"/>
          </reference>
          <reference field="25" count="1" selected="0">
            <x v="9"/>
          </reference>
        </references>
      </pivotArea>
    </format>
    <format dxfId="16">
      <pivotArea dataOnly="0" labelOnly="1" fieldPosition="0">
        <references count="2">
          <reference field="23" count="2">
            <x v="8"/>
            <x v="11"/>
          </reference>
          <reference field="25" count="1" selected="0">
            <x v="10"/>
          </reference>
        </references>
      </pivotArea>
    </format>
    <format dxfId="15">
      <pivotArea dataOnly="0" labelOnly="1" fieldPosition="0">
        <references count="2">
          <reference field="23" count="2">
            <x v="1"/>
            <x v="11"/>
          </reference>
          <reference field="25" count="1" selected="0">
            <x v="11"/>
          </reference>
        </references>
      </pivotArea>
    </format>
    <format dxfId="14">
      <pivotArea dataOnly="0" labelOnly="1" fieldPosition="0">
        <references count="2">
          <reference field="23" count="4">
            <x v="2"/>
            <x v="9"/>
            <x v="10"/>
            <x v="11"/>
          </reference>
          <reference field="25" count="1" selected="0">
            <x v="12"/>
          </reference>
        </references>
      </pivotArea>
    </format>
    <format dxfId="13">
      <pivotArea dataOnly="0" labelOnly="1" fieldPosition="0">
        <references count="2">
          <reference field="23" count="2">
            <x v="4"/>
            <x v="9"/>
          </reference>
          <reference field="25" count="1" selected="0">
            <x v="13"/>
          </reference>
        </references>
      </pivotArea>
    </format>
    <format dxfId="12">
      <pivotArea dataOnly="0" labelOnly="1" fieldPosition="0">
        <references count="2">
          <reference field="23" count="2">
            <x v="8"/>
            <x v="11"/>
          </reference>
          <reference field="25" count="1" selected="0">
            <x v="14"/>
          </reference>
        </references>
      </pivotArea>
    </format>
    <format dxfId="11">
      <pivotArea dataOnly="0" labelOnly="1" fieldPosition="0">
        <references count="2">
          <reference field="23" count="1">
            <x v="9"/>
          </reference>
          <reference field="25" count="1" selected="0">
            <x v="15"/>
          </reference>
        </references>
      </pivotArea>
    </format>
    <format dxfId="10">
      <pivotArea dataOnly="0" labelOnly="1" fieldPosition="0">
        <references count="2">
          <reference field="23" count="3">
            <x v="5"/>
            <x v="7"/>
            <x v="10"/>
          </reference>
          <reference field="25" count="1" selected="0">
            <x v="16"/>
          </reference>
        </references>
      </pivotArea>
    </format>
    <format dxfId="9">
      <pivotArea dataOnly="0" labelOnly="1" fieldPosition="0">
        <references count="2">
          <reference field="23" count="1">
            <x v="5"/>
          </reference>
          <reference field="25" count="1" selected="0">
            <x v="17"/>
          </reference>
        </references>
      </pivotArea>
    </format>
    <format dxfId="8">
      <pivotArea dataOnly="0" labelOnly="1" fieldPosition="0">
        <references count="2">
          <reference field="23" count="1">
            <x v="9"/>
          </reference>
          <reference field="25" count="1" selected="0">
            <x v="18"/>
          </reference>
        </references>
      </pivotArea>
    </format>
    <format dxfId="7">
      <pivotArea dataOnly="0" labelOnly="1" fieldPosition="0">
        <references count="2">
          <reference field="23" count="2">
            <x v="3"/>
            <x v="12"/>
          </reference>
          <reference field="25" count="1" selected="0">
            <x v="19"/>
          </reference>
        </references>
      </pivotArea>
    </format>
    <format dxfId="6">
      <pivotArea dataOnly="0" labelOnly="1" fieldPosition="0">
        <references count="2">
          <reference field="23" count="1">
            <x v="5"/>
          </reference>
          <reference field="25" count="1" selected="0">
            <x v="20"/>
          </reference>
        </references>
      </pivotArea>
    </format>
    <format dxfId="5">
      <pivotArea dataOnly="0" labelOnly="1" fieldPosition="0">
        <references count="2">
          <reference field="23" count="3">
            <x v="6"/>
            <x v="7"/>
            <x v="12"/>
          </reference>
          <reference field="25" count="1" selected="0">
            <x v="21"/>
          </reference>
        </references>
      </pivotArea>
    </format>
    <format dxfId="4">
      <pivotArea dataOnly="0" labelOnly="1" fieldPosition="0">
        <references count="2">
          <reference field="23" count="1">
            <x v="1"/>
          </reference>
          <reference field="25" count="1" selected="0">
            <x v="22"/>
          </reference>
        </references>
      </pivotArea>
    </format>
    <format dxfId="3">
      <pivotArea dataOnly="0" labelOnly="1" fieldPosition="0">
        <references count="2">
          <reference field="23" count="5">
            <x v="2"/>
            <x v="3"/>
            <x v="4"/>
            <x v="6"/>
            <x v="12"/>
          </reference>
          <reference field="25" count="1" selected="0">
            <x v="23"/>
          </reference>
        </references>
      </pivotArea>
    </format>
    <format dxfId="2">
      <pivotArea dataOnly="0" labelOnly="1" fieldPosition="0">
        <references count="1">
          <reference field="24" count="4">
            <x v="1"/>
            <x v="2"/>
            <x v="3"/>
            <x v="4"/>
          </reference>
        </references>
      </pivotArea>
    </format>
    <format dxfId="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6A1E71-FDCF-4CDA-A485-BD04352A000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A3:BA4" firstHeaderRow="1" firstDataRow="1" firstDataCol="0"/>
  <pivotFields count="26">
    <pivotField dataField="1"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Items count="1">
    <i/>
  </rowItems>
  <colItems count="1">
    <i/>
  </colItems>
  <dataFields count="1">
    <dataField name="Count of Empcode" fld="0" subtotal="count" baseField="0" baseItem="0"/>
  </dataFields>
  <formats count="5">
    <format dxfId="35">
      <pivotArea type="all" dataOnly="0" outline="0" fieldPosition="0"/>
    </format>
    <format dxfId="34">
      <pivotArea outline="0" collapsedLevelsAreSubtotals="1" fieldPosition="0"/>
    </format>
    <format dxfId="33">
      <pivotArea field="25" type="button" dataOnly="0" labelOnly="1" outline="0"/>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96F5D4-1944-4B45-B5A9-922338C3CF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7" firstHeaderRow="0"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axis="axisRow"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2">
    <field x="4"/>
    <field x="3"/>
  </rowFields>
  <rowItems count="34">
    <i>
      <x/>
    </i>
    <i r="1">
      <x/>
    </i>
    <i r="1">
      <x v="1"/>
    </i>
    <i r="1">
      <x v="3"/>
    </i>
    <i r="1">
      <x v="4"/>
    </i>
    <i r="1">
      <x v="5"/>
    </i>
    <i r="1">
      <x v="6"/>
    </i>
    <i r="1">
      <x v="7"/>
    </i>
    <i>
      <x v="1"/>
    </i>
    <i r="1">
      <x/>
    </i>
    <i r="1">
      <x v="1"/>
    </i>
    <i r="1">
      <x v="2"/>
    </i>
    <i r="1">
      <x v="3"/>
    </i>
    <i r="1">
      <x v="4"/>
    </i>
    <i r="1">
      <x v="5"/>
    </i>
    <i r="1">
      <x v="6"/>
    </i>
    <i r="1">
      <x v="7"/>
    </i>
    <i>
      <x v="2"/>
    </i>
    <i r="1">
      <x/>
    </i>
    <i r="1">
      <x v="1"/>
    </i>
    <i r="1">
      <x v="3"/>
    </i>
    <i r="1">
      <x v="4"/>
    </i>
    <i r="1">
      <x v="5"/>
    </i>
    <i r="1">
      <x v="6"/>
    </i>
    <i r="1">
      <x v="7"/>
    </i>
    <i>
      <x v="3"/>
    </i>
    <i r="1">
      <x/>
    </i>
    <i r="1">
      <x v="1"/>
    </i>
    <i r="1">
      <x v="3"/>
    </i>
    <i r="1">
      <x v="4"/>
    </i>
    <i r="1">
      <x v="5"/>
    </i>
    <i r="1">
      <x v="6"/>
    </i>
    <i r="1">
      <x v="7"/>
    </i>
    <i t="grand">
      <x/>
    </i>
  </rowItems>
  <colFields count="1">
    <field x="-2"/>
  </colFields>
  <colItems count="4">
    <i>
      <x/>
    </i>
    <i i="1">
      <x v="1"/>
    </i>
    <i i="2">
      <x v="2"/>
    </i>
    <i i="3">
      <x v="3"/>
    </i>
  </colItems>
  <dataFields count="4">
    <dataField name="Count of First Name" fld="1" subtotal="count" baseField="0" baseItem="0"/>
    <dataField name="Sum of Salary" fld="7" baseField="0" baseItem="0"/>
    <dataField name="% of grand total" fld="7" showDataAs="percentOfTotal" baseField="0" baseItem="0" numFmtId="10"/>
    <dataField name="% of parent total" fld="7" baseField="4" baseItem="0" numFmtId="10">
      <extLst>
        <ext xmlns:x14="http://schemas.microsoft.com/office/spreadsheetml/2009/9/main" uri="{E15A36E0-9728-4e99-A89B-3F7291B0FE68}">
          <x14:dataField pivotShowAs="percentOfParent"/>
        </ext>
      </extLst>
    </dataField>
  </dataFields>
  <formats count="14">
    <format dxfId="49">
      <pivotArea type="all" dataOnly="0" outline="0" fieldPosition="0"/>
    </format>
    <format dxfId="48">
      <pivotArea dataOnly="0" labelOnly="1" outline="0" axis="axisValues" fieldPosition="0"/>
    </format>
    <format dxfId="47">
      <pivotArea outline="0" fieldPosition="0">
        <references count="1">
          <reference field="4294967294" count="1">
            <x v="2"/>
          </reference>
        </references>
      </pivotArea>
    </format>
    <format dxfId="46">
      <pivotArea outline="0" fieldPosition="0">
        <references count="1">
          <reference field="4294967294" count="1">
            <x v="3"/>
          </reference>
        </references>
      </pivotArea>
    </format>
    <format dxfId="45">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fieldPosition="0">
        <references count="2">
          <reference field="3" count="7">
            <x v="0"/>
            <x v="1"/>
            <x v="3"/>
            <x v="4"/>
            <x v="5"/>
            <x v="6"/>
            <x v="7"/>
          </reference>
          <reference field="4" count="1" selected="0">
            <x v="0"/>
          </reference>
        </references>
      </pivotArea>
    </format>
    <format dxfId="39">
      <pivotArea dataOnly="0" labelOnly="1" fieldPosition="0">
        <references count="2">
          <reference field="3" count="0"/>
          <reference field="4" count="1" selected="0">
            <x v="1"/>
          </reference>
        </references>
      </pivotArea>
    </format>
    <format dxfId="38">
      <pivotArea dataOnly="0" labelOnly="1" fieldPosition="0">
        <references count="2">
          <reference field="3" count="7">
            <x v="0"/>
            <x v="1"/>
            <x v="3"/>
            <x v="4"/>
            <x v="5"/>
            <x v="6"/>
            <x v="7"/>
          </reference>
          <reference field="4" count="1" selected="0">
            <x v="2"/>
          </reference>
        </references>
      </pivotArea>
    </format>
    <format dxfId="37">
      <pivotArea dataOnly="0" labelOnly="1" fieldPosition="0">
        <references count="2">
          <reference field="3" count="7">
            <x v="0"/>
            <x v="1"/>
            <x v="3"/>
            <x v="4"/>
            <x v="5"/>
            <x v="6"/>
            <x v="7"/>
          </reference>
          <reference field="4" count="1" selected="0">
            <x v="3"/>
          </reference>
        </references>
      </pivotArea>
    </format>
    <format dxfId="3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42B129-3256-4C0B-A2B0-AD70A817D7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3:Z11"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axis="axisRow"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19"/>
  </rowFields>
  <rowItems count="8">
    <i>
      <x v="78"/>
    </i>
    <i>
      <x v="79"/>
    </i>
    <i>
      <x v="81"/>
    </i>
    <i>
      <x v="12"/>
    </i>
    <i>
      <x v="62"/>
    </i>
    <i>
      <x v="90"/>
    </i>
    <i>
      <x v="49"/>
    </i>
    <i t="grand">
      <x/>
    </i>
  </rowItems>
  <colItems count="1">
    <i/>
  </colItems>
  <dataFields count="1">
    <dataField name="Sum of Salary" fld="7" baseField="0" baseItem="0"/>
  </dataFields>
  <formats count="5">
    <format dxfId="54">
      <pivotArea type="all" dataOnly="0" outline="0" fieldPosition="0"/>
    </format>
    <format dxfId="53">
      <pivotArea outline="0" collapsedLevelsAreSubtotals="1" fieldPosition="0"/>
    </format>
    <format dxfId="52">
      <pivotArea field="25" type="button" dataOnly="0" labelOnly="1" outline="0"/>
    </format>
    <format dxfId="51">
      <pivotArea dataOnly="0" labelOnly="1" grandRow="1" outline="0" fieldPosition="0"/>
    </format>
    <format dxfId="5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3DD07F-EF66-4A3D-9A70-404D3A63D6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3:AC10"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axis="axisRow"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19"/>
  </rowFields>
  <rowItems count="7">
    <i>
      <x v="70"/>
    </i>
    <i>
      <x v="55"/>
    </i>
    <i>
      <x v="88"/>
    </i>
    <i>
      <x v="36"/>
    </i>
    <i>
      <x v="37"/>
    </i>
    <i>
      <x v="18"/>
    </i>
    <i t="grand">
      <x/>
    </i>
  </rowItems>
  <colItems count="1">
    <i/>
  </colItems>
  <dataFields count="1">
    <dataField name="Sum of Salary" fld="7" baseField="0" baseItem="0"/>
  </dataFields>
  <formats count="5">
    <format dxfId="59">
      <pivotArea type="all" dataOnly="0" outline="0" fieldPosition="0"/>
    </format>
    <format dxfId="58">
      <pivotArea outline="0" collapsedLevelsAreSubtotals="1" fieldPosition="0"/>
    </format>
    <format dxfId="57">
      <pivotArea field="25" type="button" dataOnly="0" labelOnly="1" outline="0"/>
    </format>
    <format dxfId="56">
      <pivotArea dataOnly="0" labelOnly="1" grandRow="1" outline="0" fieldPosition="0"/>
    </format>
    <format dxfId="55">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74B3AD4-DCF6-44B7-9A7F-5689DBD660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8"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3">
    <field x="25"/>
    <field x="24"/>
    <field x="23"/>
  </rowFields>
  <rowItems count="95">
    <i>
      <x v="1"/>
    </i>
    <i>
      <x v="3"/>
    </i>
    <i r="1">
      <x v="1"/>
    </i>
    <i r="2">
      <x v="2"/>
    </i>
    <i r="1">
      <x v="4"/>
    </i>
    <i r="2">
      <x v="11"/>
    </i>
    <i>
      <x v="4"/>
    </i>
    <i r="1">
      <x v="1"/>
    </i>
    <i r="2">
      <x v="1"/>
    </i>
    <i r="1">
      <x v="2"/>
    </i>
    <i r="2">
      <x v="5"/>
    </i>
    <i>
      <x v="6"/>
    </i>
    <i r="1">
      <x v="4"/>
    </i>
    <i r="2">
      <x v="10"/>
    </i>
    <i>
      <x v="7"/>
    </i>
    <i r="1">
      <x v="1"/>
    </i>
    <i r="2">
      <x v="3"/>
    </i>
    <i>
      <x v="8"/>
    </i>
    <i r="1">
      <x v="4"/>
    </i>
    <i r="2">
      <x v="12"/>
    </i>
    <i>
      <x v="9"/>
    </i>
    <i r="1">
      <x v="4"/>
    </i>
    <i r="2">
      <x v="12"/>
    </i>
    <i>
      <x v="10"/>
    </i>
    <i r="1">
      <x v="3"/>
    </i>
    <i r="2">
      <x v="8"/>
    </i>
    <i r="1">
      <x v="4"/>
    </i>
    <i r="2">
      <x v="11"/>
    </i>
    <i>
      <x v="11"/>
    </i>
    <i r="1">
      <x v="1"/>
    </i>
    <i r="2">
      <x v="1"/>
    </i>
    <i r="1">
      <x v="4"/>
    </i>
    <i r="2">
      <x v="11"/>
    </i>
    <i>
      <x v="12"/>
    </i>
    <i r="1">
      <x v="1"/>
    </i>
    <i r="2">
      <x v="2"/>
    </i>
    <i r="1">
      <x v="3"/>
    </i>
    <i r="2">
      <x v="9"/>
    </i>
    <i r="1">
      <x v="4"/>
    </i>
    <i r="2">
      <x v="10"/>
    </i>
    <i r="2">
      <x v="11"/>
    </i>
    <i>
      <x v="13"/>
    </i>
    <i r="1">
      <x v="2"/>
    </i>
    <i r="2">
      <x v="4"/>
    </i>
    <i r="1">
      <x v="3"/>
    </i>
    <i r="2">
      <x v="9"/>
    </i>
    <i>
      <x v="14"/>
    </i>
    <i r="1">
      <x v="3"/>
    </i>
    <i r="2">
      <x v="8"/>
    </i>
    <i r="1">
      <x v="4"/>
    </i>
    <i r="2">
      <x v="11"/>
    </i>
    <i>
      <x v="15"/>
    </i>
    <i r="1">
      <x v="3"/>
    </i>
    <i r="2">
      <x v="9"/>
    </i>
    <i>
      <x v="16"/>
    </i>
    <i r="1">
      <x v="2"/>
    </i>
    <i r="2">
      <x v="5"/>
    </i>
    <i r="1">
      <x v="3"/>
    </i>
    <i r="2">
      <x v="7"/>
    </i>
    <i r="1">
      <x v="4"/>
    </i>
    <i r="2">
      <x v="10"/>
    </i>
    <i>
      <x v="17"/>
    </i>
    <i r="1">
      <x v="2"/>
    </i>
    <i r="2">
      <x v="5"/>
    </i>
    <i>
      <x v="18"/>
    </i>
    <i r="1">
      <x v="3"/>
    </i>
    <i r="2">
      <x v="9"/>
    </i>
    <i>
      <x v="19"/>
    </i>
    <i r="1">
      <x v="1"/>
    </i>
    <i r="2">
      <x v="3"/>
    </i>
    <i r="1">
      <x v="4"/>
    </i>
    <i r="2">
      <x v="12"/>
    </i>
    <i>
      <x v="20"/>
    </i>
    <i r="1">
      <x v="2"/>
    </i>
    <i r="2">
      <x v="5"/>
    </i>
    <i>
      <x v="21"/>
    </i>
    <i r="1">
      <x v="2"/>
    </i>
    <i r="2">
      <x v="6"/>
    </i>
    <i r="1">
      <x v="3"/>
    </i>
    <i r="2">
      <x v="7"/>
    </i>
    <i r="1">
      <x v="4"/>
    </i>
    <i r="2">
      <x v="12"/>
    </i>
    <i>
      <x v="22"/>
    </i>
    <i r="1">
      <x v="1"/>
    </i>
    <i r="2">
      <x v="1"/>
    </i>
    <i>
      <x v="23"/>
    </i>
    <i r="1">
      <x v="1"/>
    </i>
    <i r="2">
      <x v="2"/>
    </i>
    <i r="2">
      <x v="3"/>
    </i>
    <i r="1">
      <x v="2"/>
    </i>
    <i r="2">
      <x v="4"/>
    </i>
    <i r="2">
      <x v="6"/>
    </i>
    <i r="1">
      <x v="4"/>
    </i>
    <i r="2">
      <x v="12"/>
    </i>
    <i t="grand">
      <x/>
    </i>
  </rowItems>
  <colItems count="1">
    <i/>
  </colItems>
  <dataFields count="1">
    <dataField name="Count of First Name" fld="1" subtotal="count" baseField="0" baseItem="0"/>
  </dataFields>
  <formats count="61">
    <format dxfId="120">
      <pivotArea type="all" dataOnly="0" outline="0" fieldPosition="0"/>
    </format>
    <format dxfId="119">
      <pivotArea outline="0" collapsedLevelsAreSubtotals="1" fieldPosition="0"/>
    </format>
    <format dxfId="118">
      <pivotArea field="25" type="button" dataOnly="0" labelOnly="1" outline="0" axis="axisRow" fieldPosition="0"/>
    </format>
    <format dxfId="117">
      <pivotArea dataOnly="0" labelOnly="1" fieldPosition="0">
        <references count="1">
          <reference field="25" count="21">
            <x v="1"/>
            <x v="3"/>
            <x v="4"/>
            <x v="6"/>
            <x v="7"/>
            <x v="8"/>
            <x v="9"/>
            <x v="10"/>
            <x v="11"/>
            <x v="12"/>
            <x v="13"/>
            <x v="14"/>
            <x v="15"/>
            <x v="16"/>
            <x v="17"/>
            <x v="18"/>
            <x v="19"/>
            <x v="20"/>
            <x v="21"/>
            <x v="22"/>
            <x v="23"/>
          </reference>
        </references>
      </pivotArea>
    </format>
    <format dxfId="116">
      <pivotArea dataOnly="0" labelOnly="1" grandRow="1" outline="0" fieldPosition="0"/>
    </format>
    <format dxfId="115">
      <pivotArea dataOnly="0" labelOnly="1" fieldPosition="0">
        <references count="2">
          <reference field="24" count="2">
            <x v="1"/>
            <x v="4"/>
          </reference>
          <reference field="25" count="1" selected="0">
            <x v="3"/>
          </reference>
        </references>
      </pivotArea>
    </format>
    <format dxfId="114">
      <pivotArea dataOnly="0" labelOnly="1" fieldPosition="0">
        <references count="2">
          <reference field="24" count="2">
            <x v="1"/>
            <x v="2"/>
          </reference>
          <reference field="25" count="1" selected="0">
            <x v="4"/>
          </reference>
        </references>
      </pivotArea>
    </format>
    <format dxfId="113">
      <pivotArea dataOnly="0" labelOnly="1" fieldPosition="0">
        <references count="2">
          <reference field="24" count="1">
            <x v="4"/>
          </reference>
          <reference field="25" count="1" selected="0">
            <x v="6"/>
          </reference>
        </references>
      </pivotArea>
    </format>
    <format dxfId="112">
      <pivotArea dataOnly="0" labelOnly="1" fieldPosition="0">
        <references count="2">
          <reference field="24" count="1">
            <x v="1"/>
          </reference>
          <reference field="25" count="1" selected="0">
            <x v="7"/>
          </reference>
        </references>
      </pivotArea>
    </format>
    <format dxfId="111">
      <pivotArea dataOnly="0" labelOnly="1" fieldPosition="0">
        <references count="2">
          <reference field="24" count="1">
            <x v="4"/>
          </reference>
          <reference field="25" count="1" selected="0">
            <x v="8"/>
          </reference>
        </references>
      </pivotArea>
    </format>
    <format dxfId="110">
      <pivotArea dataOnly="0" labelOnly="1" fieldPosition="0">
        <references count="2">
          <reference field="24" count="1">
            <x v="4"/>
          </reference>
          <reference field="25" count="1" selected="0">
            <x v="9"/>
          </reference>
        </references>
      </pivotArea>
    </format>
    <format dxfId="109">
      <pivotArea dataOnly="0" labelOnly="1" fieldPosition="0">
        <references count="2">
          <reference field="24" count="2">
            <x v="3"/>
            <x v="4"/>
          </reference>
          <reference field="25" count="1" selected="0">
            <x v="10"/>
          </reference>
        </references>
      </pivotArea>
    </format>
    <format dxfId="108">
      <pivotArea dataOnly="0" labelOnly="1" fieldPosition="0">
        <references count="2">
          <reference field="24" count="2">
            <x v="1"/>
            <x v="4"/>
          </reference>
          <reference field="25" count="1" selected="0">
            <x v="11"/>
          </reference>
        </references>
      </pivotArea>
    </format>
    <format dxfId="107">
      <pivotArea dataOnly="0" labelOnly="1" fieldPosition="0">
        <references count="2">
          <reference field="24" count="3">
            <x v="1"/>
            <x v="3"/>
            <x v="4"/>
          </reference>
          <reference field="25" count="1" selected="0">
            <x v="12"/>
          </reference>
        </references>
      </pivotArea>
    </format>
    <format dxfId="106">
      <pivotArea dataOnly="0" labelOnly="1" fieldPosition="0">
        <references count="2">
          <reference field="24" count="2">
            <x v="2"/>
            <x v="3"/>
          </reference>
          <reference field="25" count="1" selected="0">
            <x v="13"/>
          </reference>
        </references>
      </pivotArea>
    </format>
    <format dxfId="105">
      <pivotArea dataOnly="0" labelOnly="1" fieldPosition="0">
        <references count="2">
          <reference field="24" count="2">
            <x v="3"/>
            <x v="4"/>
          </reference>
          <reference field="25" count="1" selected="0">
            <x v="14"/>
          </reference>
        </references>
      </pivotArea>
    </format>
    <format dxfId="104">
      <pivotArea dataOnly="0" labelOnly="1" fieldPosition="0">
        <references count="2">
          <reference field="24" count="1">
            <x v="3"/>
          </reference>
          <reference field="25" count="1" selected="0">
            <x v="15"/>
          </reference>
        </references>
      </pivotArea>
    </format>
    <format dxfId="103">
      <pivotArea dataOnly="0" labelOnly="1" fieldPosition="0">
        <references count="2">
          <reference field="24" count="3">
            <x v="2"/>
            <x v="3"/>
            <x v="4"/>
          </reference>
          <reference field="25" count="1" selected="0">
            <x v="16"/>
          </reference>
        </references>
      </pivotArea>
    </format>
    <format dxfId="102">
      <pivotArea dataOnly="0" labelOnly="1" fieldPosition="0">
        <references count="2">
          <reference field="24" count="1">
            <x v="2"/>
          </reference>
          <reference field="25" count="1" selected="0">
            <x v="17"/>
          </reference>
        </references>
      </pivotArea>
    </format>
    <format dxfId="101">
      <pivotArea dataOnly="0" labelOnly="1" fieldPosition="0">
        <references count="2">
          <reference field="24" count="1">
            <x v="3"/>
          </reference>
          <reference field="25" count="1" selected="0">
            <x v="18"/>
          </reference>
        </references>
      </pivotArea>
    </format>
    <format dxfId="100">
      <pivotArea dataOnly="0" labelOnly="1" fieldPosition="0">
        <references count="2">
          <reference field="24" count="2">
            <x v="1"/>
            <x v="4"/>
          </reference>
          <reference field="25" count="1" selected="0">
            <x v="19"/>
          </reference>
        </references>
      </pivotArea>
    </format>
    <format dxfId="99">
      <pivotArea dataOnly="0" labelOnly="1" fieldPosition="0">
        <references count="2">
          <reference field="24" count="1">
            <x v="2"/>
          </reference>
          <reference field="25" count="1" selected="0">
            <x v="20"/>
          </reference>
        </references>
      </pivotArea>
    </format>
    <format dxfId="98">
      <pivotArea dataOnly="0" labelOnly="1" fieldPosition="0">
        <references count="2">
          <reference field="24" count="3">
            <x v="2"/>
            <x v="3"/>
            <x v="4"/>
          </reference>
          <reference field="25" count="1" selected="0">
            <x v="21"/>
          </reference>
        </references>
      </pivotArea>
    </format>
    <format dxfId="97">
      <pivotArea dataOnly="0" labelOnly="1" fieldPosition="0">
        <references count="2">
          <reference field="24" count="1">
            <x v="1"/>
          </reference>
          <reference field="25" count="1" selected="0">
            <x v="22"/>
          </reference>
        </references>
      </pivotArea>
    </format>
    <format dxfId="96">
      <pivotArea dataOnly="0" labelOnly="1" fieldPosition="0">
        <references count="2">
          <reference field="24" count="3">
            <x v="1"/>
            <x v="2"/>
            <x v="4"/>
          </reference>
          <reference field="25" count="1" selected="0">
            <x v="23"/>
          </reference>
        </references>
      </pivotArea>
    </format>
    <format dxfId="95">
      <pivotArea dataOnly="0" labelOnly="1" fieldPosition="0">
        <references count="3">
          <reference field="23" count="1">
            <x v="2"/>
          </reference>
          <reference field="24" count="1" selected="0">
            <x v="1"/>
          </reference>
          <reference field="25" count="1" selected="0">
            <x v="3"/>
          </reference>
        </references>
      </pivotArea>
    </format>
    <format dxfId="94">
      <pivotArea dataOnly="0" labelOnly="1" fieldPosition="0">
        <references count="3">
          <reference field="23" count="1">
            <x v="11"/>
          </reference>
          <reference field="24" count="1" selected="0">
            <x v="4"/>
          </reference>
          <reference field="25" count="1" selected="0">
            <x v="3"/>
          </reference>
        </references>
      </pivotArea>
    </format>
    <format dxfId="93">
      <pivotArea dataOnly="0" labelOnly="1" fieldPosition="0">
        <references count="3">
          <reference field="23" count="1">
            <x v="1"/>
          </reference>
          <reference field="24" count="1" selected="0">
            <x v="1"/>
          </reference>
          <reference field="25" count="1" selected="0">
            <x v="4"/>
          </reference>
        </references>
      </pivotArea>
    </format>
    <format dxfId="92">
      <pivotArea dataOnly="0" labelOnly="1" fieldPosition="0">
        <references count="3">
          <reference field="23" count="1">
            <x v="5"/>
          </reference>
          <reference field="24" count="1" selected="0">
            <x v="2"/>
          </reference>
          <reference field="25" count="1" selected="0">
            <x v="4"/>
          </reference>
        </references>
      </pivotArea>
    </format>
    <format dxfId="91">
      <pivotArea dataOnly="0" labelOnly="1" fieldPosition="0">
        <references count="3">
          <reference field="23" count="1">
            <x v="10"/>
          </reference>
          <reference field="24" count="1" selected="0">
            <x v="4"/>
          </reference>
          <reference field="25" count="1" selected="0">
            <x v="6"/>
          </reference>
        </references>
      </pivotArea>
    </format>
    <format dxfId="90">
      <pivotArea dataOnly="0" labelOnly="1" fieldPosition="0">
        <references count="3">
          <reference field="23" count="1">
            <x v="3"/>
          </reference>
          <reference field="24" count="1" selected="0">
            <x v="1"/>
          </reference>
          <reference field="25" count="1" selected="0">
            <x v="7"/>
          </reference>
        </references>
      </pivotArea>
    </format>
    <format dxfId="89">
      <pivotArea dataOnly="0" labelOnly="1" fieldPosition="0">
        <references count="3">
          <reference field="23" count="1">
            <x v="12"/>
          </reference>
          <reference field="24" count="1" selected="0">
            <x v="4"/>
          </reference>
          <reference field="25" count="1" selected="0">
            <x v="8"/>
          </reference>
        </references>
      </pivotArea>
    </format>
    <format dxfId="88">
      <pivotArea dataOnly="0" labelOnly="1" fieldPosition="0">
        <references count="3">
          <reference field="23" count="1">
            <x v="12"/>
          </reference>
          <reference field="24" count="1" selected="0">
            <x v="4"/>
          </reference>
          <reference field="25" count="1" selected="0">
            <x v="9"/>
          </reference>
        </references>
      </pivotArea>
    </format>
    <format dxfId="87">
      <pivotArea dataOnly="0" labelOnly="1" fieldPosition="0">
        <references count="3">
          <reference field="23" count="1">
            <x v="8"/>
          </reference>
          <reference field="24" count="1" selected="0">
            <x v="3"/>
          </reference>
          <reference field="25" count="1" selected="0">
            <x v="10"/>
          </reference>
        </references>
      </pivotArea>
    </format>
    <format dxfId="86">
      <pivotArea dataOnly="0" labelOnly="1" fieldPosition="0">
        <references count="3">
          <reference field="23" count="1">
            <x v="11"/>
          </reference>
          <reference field="24" count="1" selected="0">
            <x v="4"/>
          </reference>
          <reference field="25" count="1" selected="0">
            <x v="10"/>
          </reference>
        </references>
      </pivotArea>
    </format>
    <format dxfId="85">
      <pivotArea dataOnly="0" labelOnly="1" fieldPosition="0">
        <references count="3">
          <reference field="23" count="1">
            <x v="1"/>
          </reference>
          <reference field="24" count="1" selected="0">
            <x v="1"/>
          </reference>
          <reference field="25" count="1" selected="0">
            <x v="11"/>
          </reference>
        </references>
      </pivotArea>
    </format>
    <format dxfId="84">
      <pivotArea dataOnly="0" labelOnly="1" fieldPosition="0">
        <references count="3">
          <reference field="23" count="1">
            <x v="11"/>
          </reference>
          <reference field="24" count="1" selected="0">
            <x v="4"/>
          </reference>
          <reference field="25" count="1" selected="0">
            <x v="11"/>
          </reference>
        </references>
      </pivotArea>
    </format>
    <format dxfId="83">
      <pivotArea dataOnly="0" labelOnly="1" fieldPosition="0">
        <references count="3">
          <reference field="23" count="1">
            <x v="2"/>
          </reference>
          <reference field="24" count="1" selected="0">
            <x v="1"/>
          </reference>
          <reference field="25" count="1" selected="0">
            <x v="12"/>
          </reference>
        </references>
      </pivotArea>
    </format>
    <format dxfId="82">
      <pivotArea dataOnly="0" labelOnly="1" fieldPosition="0">
        <references count="3">
          <reference field="23" count="1">
            <x v="9"/>
          </reference>
          <reference field="24" count="1" selected="0">
            <x v="3"/>
          </reference>
          <reference field="25" count="1" selected="0">
            <x v="12"/>
          </reference>
        </references>
      </pivotArea>
    </format>
    <format dxfId="81">
      <pivotArea dataOnly="0" labelOnly="1" fieldPosition="0">
        <references count="3">
          <reference field="23" count="2">
            <x v="10"/>
            <x v="11"/>
          </reference>
          <reference field="24" count="1" selected="0">
            <x v="4"/>
          </reference>
          <reference field="25" count="1" selected="0">
            <x v="12"/>
          </reference>
        </references>
      </pivotArea>
    </format>
    <format dxfId="80">
      <pivotArea dataOnly="0" labelOnly="1" fieldPosition="0">
        <references count="3">
          <reference field="23" count="1">
            <x v="4"/>
          </reference>
          <reference field="24" count="1" selected="0">
            <x v="2"/>
          </reference>
          <reference field="25" count="1" selected="0">
            <x v="13"/>
          </reference>
        </references>
      </pivotArea>
    </format>
    <format dxfId="79">
      <pivotArea dataOnly="0" labelOnly="1" fieldPosition="0">
        <references count="3">
          <reference field="23" count="1">
            <x v="9"/>
          </reference>
          <reference field="24" count="1" selected="0">
            <x v="3"/>
          </reference>
          <reference field="25" count="1" selected="0">
            <x v="13"/>
          </reference>
        </references>
      </pivotArea>
    </format>
    <format dxfId="78">
      <pivotArea dataOnly="0" labelOnly="1" fieldPosition="0">
        <references count="3">
          <reference field="23" count="1">
            <x v="8"/>
          </reference>
          <reference field="24" count="1" selected="0">
            <x v="3"/>
          </reference>
          <reference field="25" count="1" selected="0">
            <x v="14"/>
          </reference>
        </references>
      </pivotArea>
    </format>
    <format dxfId="77">
      <pivotArea dataOnly="0" labelOnly="1" fieldPosition="0">
        <references count="3">
          <reference field="23" count="1">
            <x v="11"/>
          </reference>
          <reference field="24" count="1" selected="0">
            <x v="4"/>
          </reference>
          <reference field="25" count="1" selected="0">
            <x v="14"/>
          </reference>
        </references>
      </pivotArea>
    </format>
    <format dxfId="76">
      <pivotArea dataOnly="0" labelOnly="1" fieldPosition="0">
        <references count="3">
          <reference field="23" count="1">
            <x v="9"/>
          </reference>
          <reference field="24" count="1" selected="0">
            <x v="3"/>
          </reference>
          <reference field="25" count="1" selected="0">
            <x v="15"/>
          </reference>
        </references>
      </pivotArea>
    </format>
    <format dxfId="75">
      <pivotArea dataOnly="0" labelOnly="1" fieldPosition="0">
        <references count="3">
          <reference field="23" count="1">
            <x v="5"/>
          </reference>
          <reference field="24" count="1" selected="0">
            <x v="2"/>
          </reference>
          <reference field="25" count="1" selected="0">
            <x v="16"/>
          </reference>
        </references>
      </pivotArea>
    </format>
    <format dxfId="74">
      <pivotArea dataOnly="0" labelOnly="1" fieldPosition="0">
        <references count="3">
          <reference field="23" count="1">
            <x v="7"/>
          </reference>
          <reference field="24" count="1" selected="0">
            <x v="3"/>
          </reference>
          <reference field="25" count="1" selected="0">
            <x v="16"/>
          </reference>
        </references>
      </pivotArea>
    </format>
    <format dxfId="73">
      <pivotArea dataOnly="0" labelOnly="1" fieldPosition="0">
        <references count="3">
          <reference field="23" count="1">
            <x v="10"/>
          </reference>
          <reference field="24" count="1" selected="0">
            <x v="4"/>
          </reference>
          <reference field="25" count="1" selected="0">
            <x v="16"/>
          </reference>
        </references>
      </pivotArea>
    </format>
    <format dxfId="72">
      <pivotArea dataOnly="0" labelOnly="1" fieldPosition="0">
        <references count="3">
          <reference field="23" count="1">
            <x v="5"/>
          </reference>
          <reference field="24" count="1" selected="0">
            <x v="2"/>
          </reference>
          <reference field="25" count="1" selected="0">
            <x v="17"/>
          </reference>
        </references>
      </pivotArea>
    </format>
    <format dxfId="71">
      <pivotArea dataOnly="0" labelOnly="1" fieldPosition="0">
        <references count="3">
          <reference field="23" count="1">
            <x v="9"/>
          </reference>
          <reference field="24" count="1" selected="0">
            <x v="3"/>
          </reference>
          <reference field="25" count="1" selected="0">
            <x v="18"/>
          </reference>
        </references>
      </pivotArea>
    </format>
    <format dxfId="70">
      <pivotArea dataOnly="0" labelOnly="1" fieldPosition="0">
        <references count="3">
          <reference field="23" count="1">
            <x v="3"/>
          </reference>
          <reference field="24" count="1" selected="0">
            <x v="1"/>
          </reference>
          <reference field="25" count="1" selected="0">
            <x v="19"/>
          </reference>
        </references>
      </pivotArea>
    </format>
    <format dxfId="69">
      <pivotArea dataOnly="0" labelOnly="1" fieldPosition="0">
        <references count="3">
          <reference field="23" count="1">
            <x v="12"/>
          </reference>
          <reference field="24" count="1" selected="0">
            <x v="4"/>
          </reference>
          <reference field="25" count="1" selected="0">
            <x v="19"/>
          </reference>
        </references>
      </pivotArea>
    </format>
    <format dxfId="68">
      <pivotArea dataOnly="0" labelOnly="1" fieldPosition="0">
        <references count="3">
          <reference field="23" count="1">
            <x v="5"/>
          </reference>
          <reference field="24" count="1" selected="0">
            <x v="2"/>
          </reference>
          <reference field="25" count="1" selected="0">
            <x v="20"/>
          </reference>
        </references>
      </pivotArea>
    </format>
    <format dxfId="67">
      <pivotArea dataOnly="0" labelOnly="1" fieldPosition="0">
        <references count="3">
          <reference field="23" count="1">
            <x v="6"/>
          </reference>
          <reference field="24" count="1" selected="0">
            <x v="2"/>
          </reference>
          <reference field="25" count="1" selected="0">
            <x v="21"/>
          </reference>
        </references>
      </pivotArea>
    </format>
    <format dxfId="66">
      <pivotArea dataOnly="0" labelOnly="1" fieldPosition="0">
        <references count="3">
          <reference field="23" count="1">
            <x v="7"/>
          </reference>
          <reference field="24" count="1" selected="0">
            <x v="3"/>
          </reference>
          <reference field="25" count="1" selected="0">
            <x v="21"/>
          </reference>
        </references>
      </pivotArea>
    </format>
    <format dxfId="65">
      <pivotArea dataOnly="0" labelOnly="1" fieldPosition="0">
        <references count="3">
          <reference field="23" count="1">
            <x v="12"/>
          </reference>
          <reference field="24" count="1" selected="0">
            <x v="4"/>
          </reference>
          <reference field="25" count="1" selected="0">
            <x v="21"/>
          </reference>
        </references>
      </pivotArea>
    </format>
    <format dxfId="64">
      <pivotArea dataOnly="0" labelOnly="1" fieldPosition="0">
        <references count="3">
          <reference field="23" count="1">
            <x v="1"/>
          </reference>
          <reference field="24" count="1" selected="0">
            <x v="1"/>
          </reference>
          <reference field="25" count="1" selected="0">
            <x v="22"/>
          </reference>
        </references>
      </pivotArea>
    </format>
    <format dxfId="63">
      <pivotArea dataOnly="0" labelOnly="1" fieldPosition="0">
        <references count="3">
          <reference field="23" count="2">
            <x v="2"/>
            <x v="3"/>
          </reference>
          <reference field="24" count="1" selected="0">
            <x v="1"/>
          </reference>
          <reference field="25" count="1" selected="0">
            <x v="23"/>
          </reference>
        </references>
      </pivotArea>
    </format>
    <format dxfId="62">
      <pivotArea dataOnly="0" labelOnly="1" fieldPosition="0">
        <references count="3">
          <reference field="23" count="2">
            <x v="4"/>
            <x v="6"/>
          </reference>
          <reference field="24" count="1" selected="0">
            <x v="2"/>
          </reference>
          <reference field="25" count="1" selected="0">
            <x v="23"/>
          </reference>
        </references>
      </pivotArea>
    </format>
    <format dxfId="61">
      <pivotArea dataOnly="0" labelOnly="1" fieldPosition="0">
        <references count="3">
          <reference field="23" count="1">
            <x v="12"/>
          </reference>
          <reference field="24" count="1" selected="0">
            <x v="4"/>
          </reference>
          <reference field="25" count="1" selected="0">
            <x v="23"/>
          </reference>
        </references>
      </pivotArea>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D98939C-27C4-4CE5-B866-10F7E60646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xp">
  <location ref="AM3:AR25" firstHeaderRow="0"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5"/>
  </rowFields>
  <rowItems count="22">
    <i>
      <x v="1"/>
    </i>
    <i>
      <x v="3"/>
    </i>
    <i>
      <x v="4"/>
    </i>
    <i>
      <x v="6"/>
    </i>
    <i>
      <x v="7"/>
    </i>
    <i>
      <x v="8"/>
    </i>
    <i>
      <x v="9"/>
    </i>
    <i>
      <x v="10"/>
    </i>
    <i>
      <x v="11"/>
    </i>
    <i>
      <x v="12"/>
    </i>
    <i>
      <x v="13"/>
    </i>
    <i>
      <x v="14"/>
    </i>
    <i>
      <x v="15"/>
    </i>
    <i>
      <x v="16"/>
    </i>
    <i>
      <x v="17"/>
    </i>
    <i>
      <x v="18"/>
    </i>
    <i>
      <x v="19"/>
    </i>
    <i>
      <x v="20"/>
    </i>
    <i>
      <x v="21"/>
    </i>
    <i>
      <x v="22"/>
    </i>
    <i>
      <x v="23"/>
    </i>
    <i t="grand">
      <x/>
    </i>
  </rowItems>
  <colFields count="1">
    <field x="-2"/>
  </colFields>
  <colItems count="5">
    <i>
      <x/>
    </i>
    <i i="1">
      <x v="1"/>
    </i>
    <i i="2">
      <x v="2"/>
    </i>
    <i i="3">
      <x v="3"/>
    </i>
    <i i="4">
      <x v="4"/>
    </i>
  </colItems>
  <dataFields count="5">
    <dataField name="Sum of Salary" fld="7" baseField="0" baseItem="0"/>
    <dataField name="Running total" fld="7" showDataAs="runTotal" baseField="25" baseItem="0"/>
    <dataField name="% Running Total" fld="7" baseField="25" baseItem="1" numFmtId="10">
      <extLst>
        <ext xmlns:x14="http://schemas.microsoft.com/office/spreadsheetml/2009/9/main" uri="{E15A36E0-9728-4e99-A89B-3F7291B0FE68}">
          <x14:dataField pivotShowAs="percentOfRunningTotal"/>
        </ext>
      </extLst>
    </dataField>
    <dataField name="Diff from Previous" fld="7" showDataAs="difference" baseField="25" baseItem="1048828"/>
    <dataField name="% diff from previous" fld="7" showDataAs="percentDiff" baseField="25" baseItem="1048828" numFmtId="10"/>
  </dataFields>
  <formats count="7">
    <format dxfId="127">
      <pivotArea type="all" dataOnly="0" outline="0" fieldPosition="0"/>
    </format>
    <format dxfId="126">
      <pivotArea outline="0" collapsedLevelsAreSubtotals="1" fieldPosition="0"/>
    </format>
    <format dxfId="125">
      <pivotArea field="25" type="button" dataOnly="0" labelOnly="1" outline="0" axis="axisRow" fieldPosition="0"/>
    </format>
    <format dxfId="124">
      <pivotArea dataOnly="0" labelOnly="1" grandRow="1" outline="0" fieldPosition="0"/>
    </format>
    <format dxfId="123">
      <pivotArea dataOnly="0" labelOnly="1" outline="0" axis="axisValues" fieldPosition="0"/>
    </format>
    <format dxfId="122">
      <pivotArea outline="0" fieldPosition="0">
        <references count="1">
          <reference field="4294967294" count="1">
            <x v="2"/>
          </reference>
        </references>
      </pivotArea>
    </format>
    <format dxfId="121">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D3C1922-0AAA-4233-B42B-BA2B2F6B72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W3:AX12"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3"/>
  </rowFields>
  <rowItems count="9">
    <i>
      <x/>
    </i>
    <i>
      <x v="1"/>
    </i>
    <i>
      <x v="2"/>
    </i>
    <i>
      <x v="3"/>
    </i>
    <i>
      <x v="4"/>
    </i>
    <i>
      <x v="5"/>
    </i>
    <i>
      <x v="6"/>
    </i>
    <i>
      <x v="7"/>
    </i>
    <i t="grand">
      <x/>
    </i>
  </rowItems>
  <colItems count="1">
    <i/>
  </colItems>
  <dataFields count="1">
    <dataField name="Count of Emp Name" fld="19" subtotal="count" baseField="0" baseItem="0"/>
  </dataFields>
  <formats count="5">
    <format dxfId="132">
      <pivotArea type="all" dataOnly="0" outline="0" fieldPosition="0"/>
    </format>
    <format dxfId="131">
      <pivotArea outline="0" collapsedLevelsAreSubtotals="1" fieldPosition="0"/>
    </format>
    <format dxfId="130">
      <pivotArea field="25" type="button" dataOnly="0" labelOnly="1" outline="0"/>
    </format>
    <format dxfId="129">
      <pivotArea dataOnly="0" labelOnly="1" grandRow="1" outline="0" fieldPosition="0"/>
    </format>
    <format dxfId="12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181732-9DE3-4459-A5F9-9501397748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3:W25"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5"/>
  </rowFields>
  <rowItems count="22">
    <i>
      <x v="1"/>
    </i>
    <i>
      <x v="3"/>
    </i>
    <i>
      <x v="4"/>
    </i>
    <i>
      <x v="6"/>
    </i>
    <i>
      <x v="7"/>
    </i>
    <i>
      <x v="8"/>
    </i>
    <i>
      <x v="9"/>
    </i>
    <i>
      <x v="10"/>
    </i>
    <i>
      <x v="11"/>
    </i>
    <i>
      <x v="12"/>
    </i>
    <i>
      <x v="13"/>
    </i>
    <i>
      <x v="14"/>
    </i>
    <i>
      <x v="15"/>
    </i>
    <i>
      <x v="16"/>
    </i>
    <i>
      <x v="17"/>
    </i>
    <i>
      <x v="18"/>
    </i>
    <i>
      <x v="19"/>
    </i>
    <i>
      <x v="20"/>
    </i>
    <i>
      <x v="21"/>
    </i>
    <i>
      <x v="22"/>
    </i>
    <i>
      <x v="23"/>
    </i>
    <i t="grand">
      <x/>
    </i>
  </rowItems>
  <colItems count="1">
    <i/>
  </colItems>
  <dataFields count="1">
    <dataField name="Count of First Name" fld="1" subtotal="count" baseField="0" baseItem="0"/>
  </dataFields>
  <formats count="6">
    <format dxfId="138">
      <pivotArea type="all" dataOnly="0" outline="0" fieldPosition="0"/>
    </format>
    <format dxfId="137">
      <pivotArea outline="0" collapsedLevelsAreSubtotals="1" fieldPosition="0"/>
    </format>
    <format dxfId="136">
      <pivotArea field="25" type="button" dataOnly="0" labelOnly="1" outline="0" axis="axisRow" fieldPosition="0"/>
    </format>
    <format dxfId="135">
      <pivotArea dataOnly="0" labelOnly="1" fieldPosition="0">
        <references count="1">
          <reference field="25" count="21">
            <x v="1"/>
            <x v="3"/>
            <x v="4"/>
            <x v="6"/>
            <x v="7"/>
            <x v="8"/>
            <x v="9"/>
            <x v="10"/>
            <x v="11"/>
            <x v="12"/>
            <x v="13"/>
            <x v="14"/>
            <x v="15"/>
            <x v="16"/>
            <x v="17"/>
            <x v="18"/>
            <x v="19"/>
            <x v="20"/>
            <x v="21"/>
            <x v="22"/>
            <x v="23"/>
          </reference>
        </references>
      </pivotArea>
    </format>
    <format dxfId="134">
      <pivotArea dataOnly="0" labelOnly="1" grandRow="1" outline="0" fieldPosition="0"/>
    </format>
    <format dxfId="13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5B201EF-956B-414C-B1B7-9D9C788D37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xp">
  <location ref="AI3:AJ9" firstHeaderRow="1"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axis="axisRow"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21"/>
  </rowFields>
  <rowItems count="6">
    <i>
      <x v="6"/>
    </i>
    <i>
      <x v="7"/>
    </i>
    <i>
      <x v="8"/>
    </i>
    <i>
      <x v="9"/>
    </i>
    <i>
      <x v="10"/>
    </i>
    <i t="grand">
      <x/>
    </i>
  </rowItems>
  <colItems count="1">
    <i/>
  </colItems>
  <dataFields count="1">
    <dataField name="Count of Emp Name" fld="19" subtotal="count" baseField="0" baseItem="0"/>
  </dataFields>
  <formats count="5">
    <format dxfId="143">
      <pivotArea type="all" dataOnly="0" outline="0" fieldPosition="0"/>
    </format>
    <format dxfId="142">
      <pivotArea outline="0" collapsedLevelsAreSubtotals="1" fieldPosition="0"/>
    </format>
    <format dxfId="141">
      <pivotArea field="25" type="button" dataOnly="0" labelOnly="1" outline="0"/>
    </format>
    <format dxfId="140">
      <pivotArea dataOnly="0" labelOnly="1" grandRow="1" outline="0"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FE96A19-7FEE-4FE8-9C88-7216E06E27F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ing Exp">
  <location ref="AT3:AU9" firstHeaderRow="1" firstDataRow="1" firstDataCol="1"/>
  <pivotFields count="26">
    <pivotField showAll="0"/>
    <pivotField dataField="1"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7"/>
  </rowFields>
  <rowItems count="6">
    <i>
      <x v="2"/>
    </i>
    <i>
      <x v="3"/>
    </i>
    <i>
      <x v="4"/>
    </i>
    <i>
      <x v="5"/>
    </i>
    <i>
      <x v="10"/>
    </i>
    <i t="grand">
      <x/>
    </i>
  </rowItems>
  <colItems count="1">
    <i/>
  </colItems>
  <dataFields count="1">
    <dataField name="Count of First Name" fld="1" subtotal="count" baseField="0" baseItem="0"/>
  </dataFields>
  <formats count="5">
    <format dxfId="148">
      <pivotArea type="all" dataOnly="0" outline="0" fieldPosition="0"/>
    </format>
    <format dxfId="147">
      <pivotArea outline="0" collapsedLevelsAreSubtotals="1" fieldPosition="0"/>
    </format>
    <format dxfId="146">
      <pivotArea field="25" type="button" dataOnly="0" labelOnly="1" outline="0"/>
    </format>
    <format dxfId="145">
      <pivotArea dataOnly="0" labelOnly="1" grandRow="1" outline="0" fieldPosition="0"/>
    </format>
    <format dxfId="144">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4" format="10">
      <pivotArea type="data" outline="0" fieldPosition="0">
        <references count="2">
          <reference field="4294967294" count="1" selected="0">
            <x v="0"/>
          </reference>
          <reference field="7" count="1" selected="0">
            <x v="4"/>
          </reference>
        </references>
      </pivotArea>
    </chartFormat>
    <chartFormat chart="4" format="11">
      <pivotArea type="data" outline="0" fieldPosition="0">
        <references count="2">
          <reference field="4294967294" count="1" selected="0">
            <x v="0"/>
          </reference>
          <reference field="7" count="1" selected="0">
            <x v="5"/>
          </reference>
        </references>
      </pivotArea>
    </chartFormat>
    <chartFormat chart="4" format="12">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B95AF5A-2A99-4E5C-AD2F-2D4D714A11F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C3:BC4" firstHeaderRow="1" firstDataRow="1" firstDataCol="0"/>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sumSubtotal="1">
      <items count="13">
        <item x="0"/>
        <item x="1"/>
        <item x="2"/>
        <item x="3"/>
        <item x="4"/>
        <item x="5"/>
        <item x="6"/>
        <item x="7"/>
        <item x="8"/>
        <item x="9"/>
        <item x="10"/>
        <item x="11"/>
        <item t="sum"/>
      </items>
    </pivotField>
    <pivotField showAll="0"/>
    <pivotField showAll="0"/>
    <pivotField showAll="0"/>
    <pivotField showAll="0"/>
    <pivotField showAll="0"/>
    <pivotField showAll="0"/>
    <pivotField showAll="0"/>
    <pivotField numFmtId="9" showAll="0"/>
    <pivotField numFmtId="9" showAll="0"/>
    <pivotField numFmtId="2" showAll="0"/>
    <pivotField showAll="0"/>
    <pivotField showAll="0">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Items count="1">
    <i/>
  </rowItems>
  <colItems count="1">
    <i/>
  </colItems>
  <dataFields count="1">
    <dataField name="Sum of Salary" fld="7" baseField="0" baseItem="0"/>
  </dataFields>
  <formats count="5">
    <format dxfId="153">
      <pivotArea type="all" dataOnly="0" outline="0" fieldPosition="0"/>
    </format>
    <format dxfId="152">
      <pivotArea outline="0" collapsedLevelsAreSubtotals="1" fieldPosition="0"/>
    </format>
    <format dxfId="151">
      <pivotArea field="25" type="button" dataOnly="0" labelOnly="1" outline="0"/>
    </format>
    <format dxfId="150">
      <pivotArea dataOnly="0" labelOnly="1" grandRow="1" outline="0" fieldPosition="0"/>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2D2835D-C95F-4B71-A223-840917E36A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3:AG12" firstHeaderRow="0" firstDataRow="1" firstDataCol="1"/>
  <pivotFields count="26">
    <pivotField showAll="0"/>
    <pivotField showAll="0"/>
    <pivotField showAll="0">
      <items count="79">
        <item x="44"/>
        <item x="27"/>
        <item x="63"/>
        <item x="62"/>
        <item x="76"/>
        <item x="53"/>
        <item x="13"/>
        <item x="72"/>
        <item x="17"/>
        <item x="37"/>
        <item x="5"/>
        <item x="46"/>
        <item x="9"/>
        <item x="64"/>
        <item x="32"/>
        <item x="47"/>
        <item x="58"/>
        <item x="40"/>
        <item x="30"/>
        <item x="28"/>
        <item x="6"/>
        <item x="51"/>
        <item x="68"/>
        <item x="31"/>
        <item x="42"/>
        <item x="18"/>
        <item x="34"/>
        <item x="24"/>
        <item x="74"/>
        <item x="45"/>
        <item x="12"/>
        <item x="11"/>
        <item x="10"/>
        <item x="26"/>
        <item x="3"/>
        <item x="43"/>
        <item x="7"/>
        <item x="57"/>
        <item x="14"/>
        <item x="23"/>
        <item x="21"/>
        <item x="60"/>
        <item x="35"/>
        <item x="52"/>
        <item x="71"/>
        <item x="55"/>
        <item x="36"/>
        <item x="65"/>
        <item x="29"/>
        <item x="38"/>
        <item x="4"/>
        <item x="50"/>
        <item x="75"/>
        <item x="0"/>
        <item x="67"/>
        <item x="19"/>
        <item x="61"/>
        <item x="39"/>
        <item x="20"/>
        <item x="77"/>
        <item x="56"/>
        <item x="2"/>
        <item x="22"/>
        <item x="59"/>
        <item x="48"/>
        <item x="25"/>
        <item x="1"/>
        <item x="66"/>
        <item x="15"/>
        <item x="70"/>
        <item x="73"/>
        <item x="41"/>
        <item x="8"/>
        <item x="69"/>
        <item x="16"/>
        <item x="49"/>
        <item x="33"/>
        <item x="54"/>
        <item t="default"/>
      </items>
    </pivotField>
    <pivotField axis="axisRow" showAll="0">
      <items count="9">
        <item x="1"/>
        <item x="7"/>
        <item x="6"/>
        <item x="5"/>
        <item x="2"/>
        <item x="4"/>
        <item x="3"/>
        <item x="0"/>
        <item t="default"/>
      </items>
    </pivotField>
    <pivotField showAll="0">
      <items count="5">
        <item x="0"/>
        <item x="2"/>
        <item x="1"/>
        <item x="3"/>
        <item t="default"/>
      </items>
    </pivotField>
    <pivotField showAll="0">
      <items count="31">
        <item x="7"/>
        <item x="22"/>
        <item x="8"/>
        <item x="17"/>
        <item x="23"/>
        <item x="11"/>
        <item x="27"/>
        <item x="12"/>
        <item x="1"/>
        <item x="9"/>
        <item x="3"/>
        <item x="0"/>
        <item x="25"/>
        <item x="26"/>
        <item x="2"/>
        <item x="13"/>
        <item x="10"/>
        <item x="4"/>
        <item x="19"/>
        <item x="16"/>
        <item x="5"/>
        <item x="18"/>
        <item x="21"/>
        <item x="24"/>
        <item x="14"/>
        <item x="29"/>
        <item x="15"/>
        <item x="6"/>
        <item x="20"/>
        <item x="28"/>
        <item t="default"/>
      </items>
    </pivotField>
    <pivotField numFmtId="15" showAll="0">
      <items count="76">
        <item x="0"/>
        <item x="7"/>
        <item x="64"/>
        <item x="66"/>
        <item x="2"/>
        <item x="65"/>
        <item x="19"/>
        <item x="21"/>
        <item x="9"/>
        <item x="10"/>
        <item x="11"/>
        <item x="12"/>
        <item x="13"/>
        <item x="8"/>
        <item x="14"/>
        <item x="37"/>
        <item x="41"/>
        <item x="42"/>
        <item x="43"/>
        <item x="44"/>
        <item x="32"/>
        <item x="4"/>
        <item x="25"/>
        <item x="33"/>
        <item x="34"/>
        <item x="52"/>
        <item x="53"/>
        <item x="45"/>
        <item x="46"/>
        <item x="47"/>
        <item x="48"/>
        <item x="49"/>
        <item x="54"/>
        <item x="55"/>
        <item x="56"/>
        <item x="57"/>
        <item x="67"/>
        <item x="68"/>
        <item x="69"/>
        <item x="70"/>
        <item x="71"/>
        <item x="72"/>
        <item x="73"/>
        <item x="3"/>
        <item x="5"/>
        <item x="40"/>
        <item x="31"/>
        <item x="27"/>
        <item x="28"/>
        <item x="22"/>
        <item x="38"/>
        <item x="39"/>
        <item x="29"/>
        <item x="36"/>
        <item x="50"/>
        <item x="51"/>
        <item x="23"/>
        <item x="35"/>
        <item x="24"/>
        <item x="30"/>
        <item x="26"/>
        <item x="63"/>
        <item x="60"/>
        <item x="61"/>
        <item x="62"/>
        <item x="74"/>
        <item x="1"/>
        <item x="58"/>
        <item x="59"/>
        <item x="20"/>
        <item x="15"/>
        <item x="16"/>
        <item x="17"/>
        <item x="18"/>
        <item x="6"/>
        <item t="default"/>
      </items>
    </pivotField>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9" showAll="0"/>
    <pivotField numFmtId="9" showAll="0"/>
    <pivotField numFmtId="2" showAll="0"/>
    <pivotField showAll="0"/>
    <pivotField dataField="1" showAll="0" measureFilter="1" sortType="descending">
      <items count="101">
        <item x="17"/>
        <item x="29"/>
        <item x="16"/>
        <item x="9"/>
        <item x="31"/>
        <item x="60"/>
        <item x="34"/>
        <item x="61"/>
        <item x="3"/>
        <item x="95"/>
        <item x="25"/>
        <item x="97"/>
        <item x="37"/>
        <item x="79"/>
        <item x="77"/>
        <item x="6"/>
        <item x="58"/>
        <item x="76"/>
        <item x="19"/>
        <item x="59"/>
        <item x="30"/>
        <item x="28"/>
        <item x="92"/>
        <item x="51"/>
        <item x="98"/>
        <item x="24"/>
        <item x="45"/>
        <item x="86"/>
        <item x="5"/>
        <item x="14"/>
        <item x="94"/>
        <item x="55"/>
        <item x="81"/>
        <item x="56"/>
        <item x="44"/>
        <item x="40"/>
        <item x="2"/>
        <item x="82"/>
        <item x="54"/>
        <item x="72"/>
        <item x="27"/>
        <item x="67"/>
        <item x="50"/>
        <item x="57"/>
        <item x="12"/>
        <item x="52"/>
        <item x="75"/>
        <item x="7"/>
        <item x="47"/>
        <item x="90"/>
        <item x="73"/>
        <item x="8"/>
        <item x="65"/>
        <item x="18"/>
        <item x="91"/>
        <item x="83"/>
        <item x="42"/>
        <item x="41"/>
        <item x="35"/>
        <item x="23"/>
        <item x="68"/>
        <item x="15"/>
        <item x="89"/>
        <item x="96"/>
        <item x="93"/>
        <item x="0"/>
        <item x="48"/>
        <item x="69"/>
        <item x="39"/>
        <item x="26"/>
        <item x="84"/>
        <item x="49"/>
        <item x="99"/>
        <item x="78"/>
        <item x="20"/>
        <item x="4"/>
        <item x="43"/>
        <item x="22"/>
        <item x="13"/>
        <item x="38"/>
        <item x="11"/>
        <item x="36"/>
        <item x="85"/>
        <item x="21"/>
        <item x="10"/>
        <item x="1"/>
        <item x="74"/>
        <item x="70"/>
        <item x="32"/>
        <item x="80"/>
        <item x="88"/>
        <item x="64"/>
        <item x="66"/>
        <item x="63"/>
        <item x="46"/>
        <item x="87"/>
        <item x="53"/>
        <item x="62"/>
        <item x="71"/>
        <item x="33"/>
        <item t="default"/>
      </items>
      <autoSortScope>
        <pivotArea dataOnly="0" outline="0" fieldPosition="0">
          <references count="1">
            <reference field="4294967294" count="1" selected="0">
              <x v="1"/>
            </reference>
          </references>
        </pivotArea>
      </autoSortScope>
    </pivotField>
    <pivotField showAll="0"/>
    <pivotField showAll="0">
      <items count="13">
        <item x="0"/>
        <item x="1"/>
        <item x="2"/>
        <item x="3"/>
        <item x="4"/>
        <item x="5"/>
        <item x="6"/>
        <item x="7"/>
        <item x="8"/>
        <item x="9"/>
        <item x="10"/>
        <item x="11"/>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sd="0" x="1"/>
        <item x="2"/>
        <item x="3"/>
        <item x="4"/>
        <item x="5"/>
        <item x="6"/>
        <item x="7"/>
        <item x="8"/>
        <item x="9"/>
        <item x="10"/>
        <item x="11"/>
        <item x="12"/>
        <item x="13"/>
        <item x="14"/>
        <item x="15"/>
        <item x="16"/>
        <item x="17"/>
        <item x="18"/>
        <item x="19"/>
        <item x="20"/>
        <item x="21"/>
        <item x="22"/>
        <item x="23"/>
        <item x="24"/>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Count of Emp Name" fld="19" subtotal="count" baseField="0" baseItem="0"/>
    <dataField name="Sum of Salary" fld="7" baseField="0" baseItem="0"/>
  </dataFields>
  <formats count="5">
    <format dxfId="158">
      <pivotArea type="all" dataOnly="0" outline="0" fieldPosition="0"/>
    </format>
    <format dxfId="157">
      <pivotArea outline="0" collapsedLevelsAreSubtotals="1" fieldPosition="0"/>
    </format>
    <format dxfId="156">
      <pivotArea field="25" type="button" dataOnly="0" labelOnly="1" outline="0"/>
    </format>
    <format dxfId="155">
      <pivotArea dataOnly="0" labelOnly="1" grandRow="1" outline="0" fieldPosition="0"/>
    </format>
    <format dxfId="15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0B69C2-806F-4BDC-8942-DDB4A3488083}" sourceName="Region">
  <pivotTables>
    <pivotTable tabId="33" name="PivotTable1"/>
    <pivotTable tabId="31" name="PivotTable1"/>
    <pivotTable tabId="31" name="PivotTable11"/>
    <pivotTable tabId="31" name="PivotTable12"/>
    <pivotTable tabId="31" name="PivotTable13"/>
    <pivotTable tabId="31" name="PivotTable2"/>
    <pivotTable tabId="31" name="PivotTable3"/>
    <pivotTable tabId="31" name="PivotTable4"/>
    <pivotTable tabId="31" name="PivotTable5"/>
    <pivotTable tabId="31" name="PivotTable6"/>
    <pivotTable tabId="31" name="PivotTable7"/>
    <pivotTable tabId="31" name="PivotTable8"/>
    <pivotTable tabId="33" name="PivotTable11"/>
    <pivotTable tabId="33" name="PivotTable12"/>
    <pivotTable tabId="33" name="PivotTable13"/>
    <pivotTable tabId="33" name="PivotTable2"/>
    <pivotTable tabId="33" name="PivotTable3"/>
    <pivotTable tabId="33" name="PivotTable4"/>
    <pivotTable tabId="33" name="PivotTable5"/>
    <pivotTable tabId="33" name="PivotTable6"/>
    <pivotTable tabId="33" name="PivotTable7"/>
    <pivotTable tabId="33" name="PivotTable8"/>
    <pivotTable tabId="33" name="PivotTable14"/>
    <pivotTable tabId="33" name="PivotTable15"/>
  </pivotTables>
  <data>
    <tabular pivotCacheId="1726342019">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31B2246-8D63-4759-95E9-01B8CA1D720C}" sourceName="Branch">
  <pivotTables>
    <pivotTable tabId="33" name="PivotTable1"/>
    <pivotTable tabId="31" name="PivotTable1"/>
    <pivotTable tabId="31" name="PivotTable11"/>
    <pivotTable tabId="31" name="PivotTable12"/>
    <pivotTable tabId="31" name="PivotTable13"/>
    <pivotTable tabId="31" name="PivotTable2"/>
    <pivotTable tabId="31" name="PivotTable3"/>
    <pivotTable tabId="31" name="PivotTable4"/>
    <pivotTable tabId="31" name="PivotTable5"/>
    <pivotTable tabId="31" name="PivotTable6"/>
    <pivotTable tabId="31" name="PivotTable7"/>
    <pivotTable tabId="31" name="PivotTable8"/>
    <pivotTable tabId="33" name="PivotTable11"/>
    <pivotTable tabId="33" name="PivotTable12"/>
    <pivotTable tabId="33" name="PivotTable13"/>
    <pivotTable tabId="33" name="PivotTable2"/>
    <pivotTable tabId="33" name="PivotTable3"/>
    <pivotTable tabId="33" name="PivotTable4"/>
    <pivotTable tabId="33" name="PivotTable5"/>
    <pivotTable tabId="33" name="PivotTable6"/>
    <pivotTable tabId="33" name="PivotTable7"/>
    <pivotTable tabId="33" name="PivotTable8"/>
    <pivotTable tabId="33" name="PivotTable14"/>
    <pivotTable tabId="33" name="PivotTable15"/>
  </pivotTables>
  <data>
    <tabular pivotCacheId="1726342019">
      <items count="30">
        <i x="7" s="1"/>
        <i x="22" s="1"/>
        <i x="8" s="1"/>
        <i x="17" s="1"/>
        <i x="23" s="1"/>
        <i x="11" s="1"/>
        <i x="27" s="1"/>
        <i x="12" s="1"/>
        <i x="1" s="1"/>
        <i x="9" s="1"/>
        <i x="3" s="1"/>
        <i x="0" s="1"/>
        <i x="25" s="1"/>
        <i x="26" s="1"/>
        <i x="2" s="1"/>
        <i x="13" s="1"/>
        <i x="10" s="1"/>
        <i x="4" s="1"/>
        <i x="19" s="1"/>
        <i x="16" s="1"/>
        <i x="5" s="1"/>
        <i x="18" s="1"/>
        <i x="21" s="1"/>
        <i x="24" s="1"/>
        <i x="14" s="1"/>
        <i x="29" s="1"/>
        <i x="15" s="1"/>
        <i x="6" s="1"/>
        <i x="20"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17A004-4637-4843-9CCD-C07C7918996D}" cache="Slicer_Region" caption="Region" rowHeight="222250"/>
  <slicer name="Branch" xr10:uid="{AFAAF8E8-6398-43DF-9F96-A351FFC9A2DB}" cache="Slicer_Branch" caption="Branch"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AEF695A-85C5-4B55-B658-5D3F19ABD1DB}" cache="Slicer_Region" caption="Region" rowHeight="222250"/>
  <slicer name="Branch 1" xr10:uid="{2F0A3CB4-9434-4548-9190-6FA26F8762DF}" cache="Slicer_Branch" caption="Branch"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9B323D-95CD-40F5-A02B-C5B1F34785A3}" name="Sdata" displayName="Sdata" ref="A16:W116" totalsRowShown="0" headerRowDxfId="341" dataDxfId="339" headerRowBorderDxfId="340" tableBorderDxfId="338" totalsRowBorderDxfId="337" headerRowCellStyle="Normal 2" dataCellStyle="Normal 2">
  <autoFilter ref="A16:W116" xr:uid="{C19B323D-95CD-40F5-A02B-C5B1F34785A3}"/>
  <tableColumns count="23">
    <tableColumn id="1" xr3:uid="{4FCC94B2-1608-4C75-8A71-4125EE683F20}" name="Empcode" dataDxfId="336" dataCellStyle="Normal 2"/>
    <tableColumn id="2" xr3:uid="{37C07504-7BF0-4A6B-A5C5-E6851376EED7}" name="First Name" dataDxfId="335" dataCellStyle="Normal 2"/>
    <tableColumn id="3" xr3:uid="{BEED60D3-34C6-49B7-B3A8-33BECABE9B59}" name="Last Name" dataDxfId="334" dataCellStyle="Normal 2"/>
    <tableColumn id="4" xr3:uid="{BF301F31-56BC-449E-B14A-1E9DC31A25AC}" name="Dept" dataDxfId="333" dataCellStyle="Normal 2"/>
    <tableColumn id="5" xr3:uid="{B3011954-B64D-4B25-9250-6BEBF0B568C6}" name="Region" dataDxfId="332" dataCellStyle="Normal 2"/>
    <tableColumn id="6" xr3:uid="{4B04F976-ADCB-467B-8BAE-6289A92FD1A7}" name="Branch" dataDxfId="331" dataCellStyle="Normal 2"/>
    <tableColumn id="7" xr3:uid="{14C19216-AEEF-4B4C-A974-80FDA2678A27}" name="Hiredate" dataDxfId="330" dataCellStyle="Normal 2"/>
    <tableColumn id="8" xr3:uid="{BC82219B-7B27-403D-954E-541F64F1EE8C}" name="Salary" dataDxfId="329" dataCellStyle="Normal 2"/>
    <tableColumn id="9" xr3:uid="{85982C6A-47C7-44DC-9308-592C239CE5F5}" name="DA" dataDxfId="328" dataCellStyle="Normal 2">
      <calculatedColumnFormula>$H17 * I$15</calculatedColumnFormula>
    </tableColumn>
    <tableColumn id="10" xr3:uid="{F6CBECFE-99A9-4982-A1B6-E0C85A4B5544}" name="HRA" dataDxfId="327" dataCellStyle="Normal 2">
      <calculatedColumnFormula>$H17 * J$15</calculatedColumnFormula>
    </tableColumn>
    <tableColumn id="11" xr3:uid="{F12F9800-700C-401E-BDAF-7EAB706974FA}" name="Tax" dataDxfId="326" dataCellStyle="Normal 2">
      <calculatedColumnFormula>$H17 * K$15</calculatedColumnFormula>
    </tableColumn>
    <tableColumn id="12" xr3:uid="{E01DF0A0-7F97-4EE6-BAD6-827C7B635E05}" name="Increment" dataDxfId="325" dataCellStyle="Normal 2">
      <calculatedColumnFormula>VLOOKUP(Sdata[[#This Row],[Empcode]],idata[],2,0)</calculatedColumnFormula>
    </tableColumn>
    <tableColumn id="13" xr3:uid="{2ACD42CF-7A88-4CA3-B09F-9F361DDBA047}" name="Increment2" dataDxfId="324" dataCellStyle="Normal 2">
      <calculatedColumnFormula>IFERROR(VLOOKUP(Sdata[[#This Row],[Empcode]],idata[],2,0), 0)</calculatedColumnFormula>
    </tableColumn>
    <tableColumn id="14" xr3:uid="{B024EAFC-8D58-4B67-BA73-6D298F61C824}" name="Empcode2" dataDxfId="323" dataCellStyle="Normal 2">
      <calculatedColumnFormula>VLOOKUP(Sdata[[#This Row],[Empcode]],idata[],1,0)</calculatedColumnFormula>
    </tableColumn>
    <tableColumn id="16" xr3:uid="{5B327345-CDC2-4C31-885C-29EAB94F0C77}" name="Bonus" dataDxfId="322" dataCellStyle="Normal 2">
      <calculatedColumnFormula>IF(Sdata[[#This Row],[Salary]]&gt;=15000,15%, IF(Sdata[[#This Row],[Salary]]&gt;=10000, 10%, IF(Sdata[[#This Row],[Salary]]&gt;=5000,5%, 2%)))</calculatedColumnFormula>
    </tableColumn>
    <tableColumn id="17" xr3:uid="{4BBE00A5-5C11-4A2E-9956-7273F90EF9A8}" name="Bonus in %" dataDxfId="321" dataCellStyle="Percent">
      <calculatedColumnFormula>IF(Sdata[[#This Row],[Salary]]&gt;=15000,15%, IF(Sdata[[#This Row],[Salary]]&gt;=10000, 10%, IF(Sdata[[#This Row],[Salary]]&gt;=5000,5%, 2%)))</calculatedColumnFormula>
    </tableColumn>
    <tableColumn id="19" xr3:uid="{4DB13DF1-51D3-492D-B3C5-21756241E6A3}" name="Bonus using vlookup" dataDxfId="320" dataCellStyle="Percent">
      <calculatedColumnFormula>VLOOKUP(Sdata[[#This Row],[Salary]],bdata[],2,1)</calculatedColumnFormula>
    </tableColumn>
    <tableColumn id="20" xr3:uid="{46509AAC-35CE-45A5-BFE0-DF99402939B8}" name="Bonus Amount" dataDxfId="319" dataCellStyle="Percent">
      <calculatedColumnFormula>(Sdata[[#This Row],[Bonus in %]]*Sdata[[#This Row],[Salary]])</calculatedColumnFormula>
    </tableColumn>
    <tableColumn id="18" xr3:uid="{375F7EF3-0ED8-4D1A-B8B0-96D901E48DF5}" name="Bonus + salary" dataDxfId="318" dataCellStyle="Normal 2">
      <calculatedColumnFormula>SUM(Sdata[[#This Row],[Salary]], Sdata[[#This Row],[Salary]]*Sdata[[#This Row],[Bonus in %]])</calculatedColumnFormula>
    </tableColumn>
    <tableColumn id="15" xr3:uid="{0DFA926F-C955-449C-9C1B-0FB524563F6D}" name="Emp Name" dataDxfId="317" dataCellStyle="Normal 2">
      <calculatedColumnFormula>_xlfn.CONCAT(Sdata[[#This Row],[First Name]]," ",Sdata[[#This Row],[Last Name]])</calculatedColumnFormula>
    </tableColumn>
    <tableColumn id="22" xr3:uid="{C02FA199-B280-4474-B9AE-3B07ACB981D4}" name="Emp Name 2" dataDxfId="316" dataCellStyle="Normal 2">
      <calculatedColumnFormula>B17&amp;" "&amp;C17</calculatedColumnFormula>
    </tableColumn>
    <tableColumn id="21" xr3:uid="{B988B1AA-70EA-474D-874E-0936B12CC6EF}" name="Working Exp" dataDxfId="315" dataCellStyle="Normal 2">
      <calculatedColumnFormula>DATEDIF(Sdata[[#This Row],[Hiredate]], TODAY(), "Y")</calculatedColumnFormula>
    </tableColumn>
    <tableColumn id="23" xr3:uid="{E7C640CF-8F4F-49DC-A242-C2F940D7EBB6}" name="Today" dataDxfId="314" dataCellStyle="Normal 2">
      <calculatedColumnFormula>TODAY()</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B5275D-B01D-4146-81F8-70BBEE74D29C}" name="idata" displayName="idata" ref="A1:B25" totalsRowShown="0" headerRowDxfId="313" dataDxfId="312">
  <autoFilter ref="A1:B25" xr:uid="{ADB5275D-B01D-4146-81F8-70BBEE74D29C}"/>
  <tableColumns count="2">
    <tableColumn id="1" xr3:uid="{BD0A3B71-3815-4B20-8C31-80A46D0C648E}" name="Empcode" dataDxfId="311"/>
    <tableColumn id="2" xr3:uid="{485BF538-ECA1-48D0-A9B5-61E7D0FB942E}" name="Inc" dataDxfId="310"/>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BAB0BF-81B5-4D87-9804-D2E949805002}" name="bdata" displayName="bdata" ref="D1:E5" totalsRowShown="0" headerRowDxfId="309">
  <autoFilter ref="D1:E5" xr:uid="{D5BAB0BF-81B5-4D87-9804-D2E949805002}"/>
  <tableColumns count="2">
    <tableColumn id="1" xr3:uid="{DA342826-8D8C-465C-81B3-7F11DA93D97B}" name="Salary" dataDxfId="308"/>
    <tableColumn id="2" xr3:uid="{D64A9122-759A-4A32-8E29-A94079043856}" name="Bonus" dataDxfId="307"/>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CD00438-8B48-41F5-B805-D2403A1A6149}">
  <we:reference id="wa200005271" version="2.5.4.0" store="en-US" storeType="OMEX"/>
  <we:alternateReferences>
    <we:reference id="wa200005271" version="2.5.4.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07/relationships/slicer" Target="../slicers/slicer1.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2.bin"/><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N107"/>
  <sheetViews>
    <sheetView showGridLines="0" tabSelected="1" topLeftCell="C3" zoomScale="129" zoomScaleNormal="141" workbookViewId="0">
      <selection activeCell="H19" sqref="H19"/>
    </sheetView>
  </sheetViews>
  <sheetFormatPr defaultColWidth="9.109375" defaultRowHeight="13.2" x14ac:dyDescent="0.25"/>
  <cols>
    <col min="1" max="1" width="6.88671875" style="26" bestFit="1" customWidth="1"/>
    <col min="2" max="2" width="25.5546875" style="26" customWidth="1"/>
    <col min="3" max="3" width="12.88671875" style="26" customWidth="1"/>
    <col min="4" max="4" width="18.109375" style="26" bestFit="1" customWidth="1"/>
    <col min="5" max="5" width="13.109375" style="26" customWidth="1"/>
    <col min="6" max="6" width="12.5546875" style="26" bestFit="1" customWidth="1"/>
    <col min="7" max="7" width="10.33203125" style="26" bestFit="1" customWidth="1"/>
    <col min="8" max="12" width="9.109375" style="26"/>
    <col min="13" max="13" width="13.44140625" style="26" customWidth="1"/>
    <col min="14" max="16384" width="9.109375" style="26"/>
  </cols>
  <sheetData>
    <row r="1" spans="1:14" ht="24.75" customHeight="1" x14ac:dyDescent="0.35">
      <c r="A1" s="163" t="s">
        <v>424</v>
      </c>
      <c r="B1" s="164"/>
      <c r="C1" s="164"/>
      <c r="D1" s="164"/>
      <c r="E1" s="164"/>
      <c r="F1" s="164"/>
      <c r="G1" s="165"/>
      <c r="J1" s="27"/>
    </row>
    <row r="2" spans="1:14" ht="18.75" customHeight="1" thickBot="1" x14ac:dyDescent="0.4">
      <c r="A2" s="166" t="s">
        <v>425</v>
      </c>
      <c r="B2" s="167"/>
      <c r="C2" s="167"/>
      <c r="D2" s="167"/>
      <c r="E2" s="167"/>
      <c r="F2" s="168"/>
      <c r="G2" s="169"/>
      <c r="J2" s="27"/>
    </row>
    <row r="3" spans="1:14" ht="15.6" x14ac:dyDescent="0.3">
      <c r="A3" s="117"/>
      <c r="B3" s="118"/>
      <c r="C3" s="170" t="s">
        <v>426</v>
      </c>
      <c r="D3" s="171"/>
      <c r="E3" s="172"/>
      <c r="F3" s="119"/>
      <c r="G3" s="120"/>
      <c r="J3" s="27"/>
    </row>
    <row r="4" spans="1:14" ht="15.6" x14ac:dyDescent="0.3">
      <c r="A4" s="124" t="s">
        <v>427</v>
      </c>
      <c r="B4" s="124" t="s">
        <v>191</v>
      </c>
      <c r="C4" s="124" t="s">
        <v>428</v>
      </c>
      <c r="D4" s="124" t="s">
        <v>429</v>
      </c>
      <c r="E4" s="124" t="s">
        <v>430</v>
      </c>
      <c r="F4" s="124" t="s">
        <v>431</v>
      </c>
      <c r="G4" s="124" t="s">
        <v>432</v>
      </c>
      <c r="H4" s="125" t="s">
        <v>630</v>
      </c>
      <c r="I4" s="125" t="s">
        <v>631</v>
      </c>
      <c r="J4" s="126" t="s">
        <v>632</v>
      </c>
      <c r="K4" s="125" t="s">
        <v>633</v>
      </c>
      <c r="L4" s="125" t="s">
        <v>634</v>
      </c>
      <c r="M4" s="125" t="s">
        <v>635</v>
      </c>
    </row>
    <row r="5" spans="1:14" x14ac:dyDescent="0.25">
      <c r="A5" s="121">
        <v>1</v>
      </c>
      <c r="B5" s="76" t="s">
        <v>433</v>
      </c>
      <c r="C5" s="121">
        <v>45</v>
      </c>
      <c r="D5" s="121">
        <v>55</v>
      </c>
      <c r="E5" s="121">
        <v>67</v>
      </c>
      <c r="F5" s="121">
        <f>SUM(C5:E5)</f>
        <v>167</v>
      </c>
      <c r="G5" s="122">
        <f>AVERAGE(C5:E5)</f>
        <v>55.666666666666664</v>
      </c>
      <c r="H5" s="76" t="str">
        <f>IF(G5&gt;=40,"pass","fail")</f>
        <v>pass</v>
      </c>
      <c r="I5" s="76" t="str">
        <f>IF(AND(C5&gt;=40,D5&gt;=40,E5&gt;=40),"pass","fail")</f>
        <v>pass</v>
      </c>
      <c r="J5" s="92" t="str">
        <f>IF(OR(C5&lt;40,D5&lt;40,E5&lt;40),"fail","pass")</f>
        <v>pass</v>
      </c>
      <c r="K5" s="76" t="str">
        <f>IF(MIN(C5:E5)&lt;40,"fail","pass")</f>
        <v>pass</v>
      </c>
      <c r="L5" s="76" t="str">
        <f>IF(K5="fail", "fail", IF(G5&gt;=75, "A", IF(G5&gt;=60, "B", "C")))</f>
        <v>C</v>
      </c>
      <c r="M5" s="76" t="str">
        <f>IF(K5="fail","fail",VLOOKUP(G5, $J$18:$K$22,2,1))</f>
        <v>C</v>
      </c>
      <c r="N5" s="26" t="s">
        <v>727</v>
      </c>
    </row>
    <row r="6" spans="1:14" x14ac:dyDescent="0.25">
      <c r="A6" s="121">
        <v>2</v>
      </c>
      <c r="B6" s="76" t="s">
        <v>434</v>
      </c>
      <c r="C6" s="121">
        <v>78</v>
      </c>
      <c r="D6" s="121">
        <v>65</v>
      </c>
      <c r="E6" s="121">
        <v>75</v>
      </c>
      <c r="F6" s="121">
        <f>SUM(C6:E6)</f>
        <v>218</v>
      </c>
      <c r="G6" s="122">
        <f t="shared" ref="G6:G14" si="0">AVERAGE(C6:E6)</f>
        <v>72.666666666666671</v>
      </c>
      <c r="H6" s="76" t="str">
        <f t="shared" ref="H6:H14" si="1">IF(G6&gt;=40,"pass","fail")</f>
        <v>pass</v>
      </c>
      <c r="I6" s="76" t="str">
        <f t="shared" ref="I6:I14" si="2">IF(AND(C6&gt;=40,D6&gt;=40,E6&gt;=40),"pass","fail")</f>
        <v>pass</v>
      </c>
      <c r="J6" s="92" t="str">
        <f t="shared" ref="J6:J14" si="3">IF(OR(C6&lt;40,D6&lt;40,E6&lt;40),"fail","pass")</f>
        <v>pass</v>
      </c>
      <c r="K6" s="76" t="str">
        <f t="shared" ref="K6:K13" si="4">IF(MIN(C6:E6)&lt;40,"fail","pass")</f>
        <v>pass</v>
      </c>
      <c r="L6" s="76" t="str">
        <f t="shared" ref="L6:L14" si="5">IF(K6="fail", "fail", IF(G6&gt;=75, "A", IF(G6&gt;=60, "B", "C")))</f>
        <v>B</v>
      </c>
      <c r="M6" s="76" t="str">
        <f t="shared" ref="M6:M14" si="6">IF(K6="fail","fail",VLOOKUP(G6, $J$18:$K$22,2,1))</f>
        <v>B</v>
      </c>
    </row>
    <row r="7" spans="1:14" x14ac:dyDescent="0.25">
      <c r="A7" s="121">
        <v>3</v>
      </c>
      <c r="B7" s="76" t="s">
        <v>435</v>
      </c>
      <c r="C7" s="121">
        <v>39</v>
      </c>
      <c r="D7" s="121">
        <v>52</v>
      </c>
      <c r="E7" s="121">
        <v>59</v>
      </c>
      <c r="F7" s="121">
        <f t="shared" ref="F7:F14" si="7">SUM(C7:E7)</f>
        <v>150</v>
      </c>
      <c r="G7" s="122">
        <f t="shared" si="0"/>
        <v>50</v>
      </c>
      <c r="H7" s="76" t="str">
        <f t="shared" si="1"/>
        <v>pass</v>
      </c>
      <c r="I7" s="76" t="str">
        <f t="shared" si="2"/>
        <v>fail</v>
      </c>
      <c r="J7" s="92" t="str">
        <f t="shared" si="3"/>
        <v>fail</v>
      </c>
      <c r="K7" s="76" t="str">
        <f t="shared" si="4"/>
        <v>fail</v>
      </c>
      <c r="L7" s="76" t="str">
        <f t="shared" si="5"/>
        <v>fail</v>
      </c>
      <c r="M7" s="76" t="str">
        <f t="shared" si="6"/>
        <v>fail</v>
      </c>
    </row>
    <row r="8" spans="1:14" x14ac:dyDescent="0.25">
      <c r="A8" s="121">
        <v>4</v>
      </c>
      <c r="B8" s="76" t="s">
        <v>436</v>
      </c>
      <c r="C8" s="121">
        <v>45</v>
      </c>
      <c r="D8" s="121">
        <v>25</v>
      </c>
      <c r="E8" s="121">
        <v>36</v>
      </c>
      <c r="F8" s="121">
        <f t="shared" si="7"/>
        <v>106</v>
      </c>
      <c r="G8" s="122">
        <f t="shared" si="0"/>
        <v>35.333333333333336</v>
      </c>
      <c r="H8" s="76" t="str">
        <f t="shared" si="1"/>
        <v>fail</v>
      </c>
      <c r="I8" s="76" t="str">
        <f t="shared" si="2"/>
        <v>fail</v>
      </c>
      <c r="J8" s="92" t="str">
        <f t="shared" si="3"/>
        <v>fail</v>
      </c>
      <c r="K8" s="76" t="str">
        <f t="shared" si="4"/>
        <v>fail</v>
      </c>
      <c r="L8" s="76" t="str">
        <f t="shared" si="5"/>
        <v>fail</v>
      </c>
      <c r="M8" s="76" t="str">
        <f t="shared" si="6"/>
        <v>fail</v>
      </c>
    </row>
    <row r="9" spans="1:14" x14ac:dyDescent="0.25">
      <c r="A9" s="121">
        <v>5</v>
      </c>
      <c r="B9" s="76" t="s">
        <v>437</v>
      </c>
      <c r="C9" s="121">
        <v>45</v>
      </c>
      <c r="D9" s="121">
        <v>28</v>
      </c>
      <c r="E9" s="121">
        <v>53</v>
      </c>
      <c r="F9" s="121">
        <f t="shared" si="7"/>
        <v>126</v>
      </c>
      <c r="G9" s="122">
        <f t="shared" si="0"/>
        <v>42</v>
      </c>
      <c r="H9" s="76" t="str">
        <f t="shared" si="1"/>
        <v>pass</v>
      </c>
      <c r="I9" s="76" t="str">
        <f t="shared" si="2"/>
        <v>fail</v>
      </c>
      <c r="J9" s="92" t="str">
        <f t="shared" si="3"/>
        <v>fail</v>
      </c>
      <c r="K9" s="76" t="str">
        <f t="shared" si="4"/>
        <v>fail</v>
      </c>
      <c r="L9" s="76" t="str">
        <f t="shared" si="5"/>
        <v>fail</v>
      </c>
      <c r="M9" s="76" t="str">
        <f t="shared" si="6"/>
        <v>fail</v>
      </c>
    </row>
    <row r="10" spans="1:14" x14ac:dyDescent="0.25">
      <c r="A10" s="121">
        <v>6</v>
      </c>
      <c r="B10" s="76" t="s">
        <v>36</v>
      </c>
      <c r="C10" s="121">
        <v>89</v>
      </c>
      <c r="D10" s="121">
        <v>75</v>
      </c>
      <c r="E10" s="121">
        <v>61</v>
      </c>
      <c r="F10" s="121">
        <f t="shared" si="7"/>
        <v>225</v>
      </c>
      <c r="G10" s="122">
        <f t="shared" si="0"/>
        <v>75</v>
      </c>
      <c r="H10" s="76" t="str">
        <f t="shared" si="1"/>
        <v>pass</v>
      </c>
      <c r="I10" s="76" t="str">
        <f t="shared" si="2"/>
        <v>pass</v>
      </c>
      <c r="J10" s="92" t="str">
        <f t="shared" si="3"/>
        <v>pass</v>
      </c>
      <c r="K10" s="76" t="str">
        <f t="shared" si="4"/>
        <v>pass</v>
      </c>
      <c r="L10" s="76" t="str">
        <f t="shared" si="5"/>
        <v>A</v>
      </c>
      <c r="M10" s="76" t="str">
        <f t="shared" si="6"/>
        <v>A</v>
      </c>
    </row>
    <row r="11" spans="1:14" x14ac:dyDescent="0.25">
      <c r="A11" s="121">
        <v>7</v>
      </c>
      <c r="B11" s="76" t="s">
        <v>438</v>
      </c>
      <c r="C11" s="121">
        <v>71</v>
      </c>
      <c r="D11" s="121">
        <v>64</v>
      </c>
      <c r="E11" s="121">
        <v>73</v>
      </c>
      <c r="F11" s="121">
        <f t="shared" si="7"/>
        <v>208</v>
      </c>
      <c r="G11" s="122">
        <f t="shared" si="0"/>
        <v>69.333333333333329</v>
      </c>
      <c r="H11" s="76" t="str">
        <f t="shared" si="1"/>
        <v>pass</v>
      </c>
      <c r="I11" s="76" t="str">
        <f t="shared" si="2"/>
        <v>pass</v>
      </c>
      <c r="J11" s="92" t="str">
        <f t="shared" si="3"/>
        <v>pass</v>
      </c>
      <c r="K11" s="76" t="str">
        <f t="shared" si="4"/>
        <v>pass</v>
      </c>
      <c r="L11" s="76" t="str">
        <f t="shared" si="5"/>
        <v>B</v>
      </c>
      <c r="M11" s="76" t="str">
        <f t="shared" si="6"/>
        <v>B</v>
      </c>
    </row>
    <row r="12" spans="1:14" x14ac:dyDescent="0.25">
      <c r="A12" s="121">
        <v>8</v>
      </c>
      <c r="B12" s="76" t="s">
        <v>439</v>
      </c>
      <c r="C12" s="121">
        <v>45</v>
      </c>
      <c r="D12" s="121">
        <v>45</v>
      </c>
      <c r="E12" s="121">
        <v>45</v>
      </c>
      <c r="F12" s="121">
        <f t="shared" si="7"/>
        <v>135</v>
      </c>
      <c r="G12" s="122">
        <f t="shared" si="0"/>
        <v>45</v>
      </c>
      <c r="H12" s="76" t="str">
        <f t="shared" si="1"/>
        <v>pass</v>
      </c>
      <c r="I12" s="76" t="str">
        <f t="shared" si="2"/>
        <v>pass</v>
      </c>
      <c r="J12" s="92" t="str">
        <f t="shared" si="3"/>
        <v>pass</v>
      </c>
      <c r="K12" s="76" t="str">
        <f t="shared" si="4"/>
        <v>pass</v>
      </c>
      <c r="L12" s="76" t="str">
        <f t="shared" si="5"/>
        <v>C</v>
      </c>
      <c r="M12" s="76" t="str">
        <f t="shared" si="6"/>
        <v>C</v>
      </c>
    </row>
    <row r="13" spans="1:14" x14ac:dyDescent="0.25">
      <c r="A13" s="121">
        <v>9</v>
      </c>
      <c r="B13" s="76" t="s">
        <v>440</v>
      </c>
      <c r="C13" s="121">
        <v>45</v>
      </c>
      <c r="D13" s="121">
        <v>65</v>
      </c>
      <c r="E13" s="121">
        <v>30</v>
      </c>
      <c r="F13" s="121">
        <f t="shared" si="7"/>
        <v>140</v>
      </c>
      <c r="G13" s="122">
        <f t="shared" si="0"/>
        <v>46.666666666666664</v>
      </c>
      <c r="H13" s="76" t="str">
        <f t="shared" si="1"/>
        <v>pass</v>
      </c>
      <c r="I13" s="76" t="str">
        <f t="shared" si="2"/>
        <v>fail</v>
      </c>
      <c r="J13" s="92" t="str">
        <f t="shared" si="3"/>
        <v>fail</v>
      </c>
      <c r="K13" s="76" t="str">
        <f t="shared" si="4"/>
        <v>fail</v>
      </c>
      <c r="L13" s="76" t="str">
        <f t="shared" si="5"/>
        <v>fail</v>
      </c>
      <c r="M13" s="76" t="str">
        <f t="shared" si="6"/>
        <v>fail</v>
      </c>
    </row>
    <row r="14" spans="1:14" x14ac:dyDescent="0.25">
      <c r="A14" s="121">
        <v>10</v>
      </c>
      <c r="B14" s="76" t="s">
        <v>441</v>
      </c>
      <c r="C14" s="121">
        <v>75</v>
      </c>
      <c r="D14" s="121">
        <v>65</v>
      </c>
      <c r="E14" s="121">
        <v>55</v>
      </c>
      <c r="F14" s="121">
        <f t="shared" si="7"/>
        <v>195</v>
      </c>
      <c r="G14" s="122">
        <f t="shared" si="0"/>
        <v>65</v>
      </c>
      <c r="H14" s="76" t="str">
        <f t="shared" si="1"/>
        <v>pass</v>
      </c>
      <c r="I14" s="76" t="str">
        <f t="shared" si="2"/>
        <v>pass</v>
      </c>
      <c r="J14" s="92" t="str">
        <f t="shared" si="3"/>
        <v>pass</v>
      </c>
      <c r="K14" s="76" t="str">
        <f>IF(MIN(C14:E14)&lt;40,"fail","pass")</f>
        <v>pass</v>
      </c>
      <c r="L14" s="76" t="str">
        <f t="shared" si="5"/>
        <v>B</v>
      </c>
      <c r="M14" s="76" t="str">
        <f t="shared" si="6"/>
        <v>B</v>
      </c>
    </row>
    <row r="15" spans="1:14" x14ac:dyDescent="0.25">
      <c r="A15" s="173" t="s">
        <v>442</v>
      </c>
      <c r="B15" s="127" t="s">
        <v>443</v>
      </c>
      <c r="C15" s="123">
        <f>SUM(C5:C14)</f>
        <v>577</v>
      </c>
      <c r="D15" s="123">
        <f t="shared" ref="D15:E15" si="8">SUM(D5:D14)</f>
        <v>539</v>
      </c>
      <c r="E15" s="123">
        <f t="shared" si="8"/>
        <v>554</v>
      </c>
      <c r="F15" s="123"/>
      <c r="G15" s="123"/>
      <c r="H15" s="76"/>
      <c r="I15" s="76"/>
      <c r="J15" s="92"/>
      <c r="K15" s="76"/>
      <c r="L15" s="76"/>
      <c r="M15" s="76"/>
    </row>
    <row r="16" spans="1:14" x14ac:dyDescent="0.25">
      <c r="A16" s="173"/>
      <c r="B16" s="127" t="s">
        <v>444</v>
      </c>
      <c r="C16" s="123">
        <f>COUNTA(B5:B14)</f>
        <v>10</v>
      </c>
      <c r="D16" s="127" t="s">
        <v>445</v>
      </c>
      <c r="E16" s="123">
        <f>COUNTA(C4:E4)</f>
        <v>3</v>
      </c>
      <c r="J16" s="27"/>
    </row>
    <row r="17" spans="1:11" x14ac:dyDescent="0.25">
      <c r="A17" s="173"/>
      <c r="B17" s="127" t="s">
        <v>446</v>
      </c>
      <c r="C17" s="123">
        <f>MAX(C5:C14)</f>
        <v>89</v>
      </c>
      <c r="D17" s="123">
        <f t="shared" ref="D17:E17" si="9">MAX(D5:D14)</f>
        <v>75</v>
      </c>
      <c r="E17" s="123">
        <f t="shared" si="9"/>
        <v>75</v>
      </c>
      <c r="J17" s="27"/>
    </row>
    <row r="18" spans="1:11" x14ac:dyDescent="0.25">
      <c r="A18" s="173"/>
      <c r="B18" s="127" t="s">
        <v>447</v>
      </c>
      <c r="C18" s="123">
        <f>MIN(C5:C14)</f>
        <v>39</v>
      </c>
      <c r="D18" s="123">
        <f t="shared" ref="D18:E18" si="10">MIN(D5:D14)</f>
        <v>25</v>
      </c>
      <c r="E18" s="123">
        <f t="shared" si="10"/>
        <v>30</v>
      </c>
      <c r="G18" s="174" t="s">
        <v>636</v>
      </c>
      <c r="H18" s="175"/>
      <c r="J18" s="92" t="s">
        <v>725</v>
      </c>
      <c r="K18" s="76" t="s">
        <v>726</v>
      </c>
    </row>
    <row r="19" spans="1:11" x14ac:dyDescent="0.25">
      <c r="A19" s="173"/>
      <c r="B19" s="127" t="s">
        <v>448</v>
      </c>
      <c r="C19" s="123">
        <f>COUNTIFS(C5:C14,"&gt;70")</f>
        <v>4</v>
      </c>
      <c r="D19" s="123">
        <f t="shared" ref="D19:E19" si="11">COUNTIFS(D5:D14,"&gt;70")</f>
        <v>1</v>
      </c>
      <c r="E19" s="123">
        <f t="shared" si="11"/>
        <v>2</v>
      </c>
      <c r="G19" s="93" t="s">
        <v>637</v>
      </c>
      <c r="H19" s="76">
        <f>COUNTIFS(L5:L14,"=A")</f>
        <v>1</v>
      </c>
      <c r="J19" s="92">
        <v>0</v>
      </c>
      <c r="K19" s="76" t="s">
        <v>640</v>
      </c>
    </row>
    <row r="20" spans="1:11" x14ac:dyDescent="0.25">
      <c r="A20" s="173"/>
      <c r="B20" s="127" t="s">
        <v>619</v>
      </c>
      <c r="C20" s="123">
        <f>COUNTIFS(C5:C14,"&lt;40")</f>
        <v>1</v>
      </c>
      <c r="D20" s="123">
        <f t="shared" ref="D20:E20" si="12">COUNTIFS(D5:D14,"&lt;40")</f>
        <v>2</v>
      </c>
      <c r="E20" s="123">
        <f t="shared" si="12"/>
        <v>2</v>
      </c>
      <c r="G20" s="93" t="s">
        <v>638</v>
      </c>
      <c r="H20" s="76">
        <f>COUNTIFS(L5:L14, "=B")</f>
        <v>3</v>
      </c>
      <c r="J20" s="92">
        <v>40</v>
      </c>
      <c r="K20" s="76" t="s">
        <v>639</v>
      </c>
    </row>
    <row r="21" spans="1:11" x14ac:dyDescent="0.25">
      <c r="B21" s="127" t="s">
        <v>620</v>
      </c>
      <c r="C21" s="121">
        <f>COUNTIFS(C5:C14,"&lt;60",C5:C14,"&gt;=40")</f>
        <v>5</v>
      </c>
      <c r="D21" s="121">
        <f t="shared" ref="D21:E21" si="13">COUNTIFS(D5:D14,"&lt;60",D5:D14,"&gt;=40")</f>
        <v>3</v>
      </c>
      <c r="E21" s="121">
        <f t="shared" si="13"/>
        <v>4</v>
      </c>
      <c r="G21" s="76" t="s">
        <v>639</v>
      </c>
      <c r="H21" s="76">
        <f>COUNTIFS(L5:L14, "=C")</f>
        <v>2</v>
      </c>
      <c r="J21" s="92">
        <v>60</v>
      </c>
      <c r="K21" s="76" t="s">
        <v>638</v>
      </c>
    </row>
    <row r="22" spans="1:11" x14ac:dyDescent="0.25">
      <c r="G22" s="76" t="s">
        <v>640</v>
      </c>
      <c r="H22" s="76">
        <f>COUNTIFS(L5:L14, "=fail")</f>
        <v>4</v>
      </c>
      <c r="J22" s="92">
        <v>75</v>
      </c>
      <c r="K22" s="76" t="s">
        <v>637</v>
      </c>
    </row>
    <row r="23" spans="1:11" x14ac:dyDescent="0.25">
      <c r="B23"/>
      <c r="C23"/>
      <c r="D23"/>
      <c r="E23"/>
      <c r="J23" s="27"/>
    </row>
    <row r="24" spans="1:11" x14ac:dyDescent="0.25">
      <c r="B24"/>
      <c r="C24"/>
      <c r="D24"/>
      <c r="E24"/>
      <c r="J24" s="27"/>
    </row>
    <row r="25" spans="1:11" x14ac:dyDescent="0.25">
      <c r="B25"/>
      <c r="C25"/>
      <c r="D25"/>
      <c r="E25"/>
      <c r="J25" s="27"/>
    </row>
    <row r="26" spans="1:11" x14ac:dyDescent="0.25">
      <c r="B26"/>
      <c r="C26"/>
      <c r="D26"/>
      <c r="E26"/>
      <c r="J26" s="27"/>
    </row>
    <row r="27" spans="1:11" x14ac:dyDescent="0.25">
      <c r="B27"/>
      <c r="C27"/>
      <c r="D27"/>
      <c r="E27"/>
      <c r="J27" s="27"/>
    </row>
    <row r="28" spans="1:11" x14ac:dyDescent="0.25">
      <c r="J28" s="27"/>
    </row>
    <row r="29" spans="1:11" x14ac:dyDescent="0.25">
      <c r="J29" s="27"/>
    </row>
    <row r="30" spans="1:11" x14ac:dyDescent="0.25">
      <c r="J30" s="27"/>
    </row>
    <row r="31" spans="1:11" x14ac:dyDescent="0.25">
      <c r="J31" s="27"/>
    </row>
    <row r="32" spans="1:11" x14ac:dyDescent="0.25">
      <c r="J32" s="27"/>
    </row>
    <row r="33" spans="10:10" x14ac:dyDescent="0.25">
      <c r="J33" s="27"/>
    </row>
    <row r="34" spans="10:10" x14ac:dyDescent="0.25">
      <c r="J34" s="27"/>
    </row>
    <row r="35" spans="10:10" x14ac:dyDescent="0.25">
      <c r="J35" s="27"/>
    </row>
    <row r="36" spans="10:10" x14ac:dyDescent="0.25">
      <c r="J36" s="27"/>
    </row>
    <row r="37" spans="10:10" x14ac:dyDescent="0.25">
      <c r="J37" s="27"/>
    </row>
    <row r="38" spans="10:10" x14ac:dyDescent="0.25">
      <c r="J38" s="27"/>
    </row>
    <row r="39" spans="10:10" x14ac:dyDescent="0.25">
      <c r="J39" s="27"/>
    </row>
    <row r="40" spans="10:10" x14ac:dyDescent="0.25">
      <c r="J40" s="27"/>
    </row>
    <row r="41" spans="10:10" x14ac:dyDescent="0.25">
      <c r="J41" s="27"/>
    </row>
    <row r="42" spans="10:10" x14ac:dyDescent="0.25">
      <c r="J42" s="27"/>
    </row>
    <row r="43" spans="10:10" x14ac:dyDescent="0.25">
      <c r="J43" s="27"/>
    </row>
    <row r="44" spans="10:10" x14ac:dyDescent="0.25">
      <c r="J44" s="27"/>
    </row>
    <row r="45" spans="10:10" x14ac:dyDescent="0.25">
      <c r="J45" s="27"/>
    </row>
    <row r="46" spans="10:10" x14ac:dyDescent="0.25">
      <c r="J46" s="27"/>
    </row>
    <row r="47" spans="10:10" x14ac:dyDescent="0.25">
      <c r="J47" s="27"/>
    </row>
    <row r="48" spans="10:10" x14ac:dyDescent="0.25">
      <c r="J48" s="27"/>
    </row>
    <row r="49" spans="10:10" x14ac:dyDescent="0.25">
      <c r="J49" s="27"/>
    </row>
    <row r="50" spans="10:10" x14ac:dyDescent="0.25">
      <c r="J50" s="27"/>
    </row>
    <row r="51" spans="10:10" x14ac:dyDescent="0.25">
      <c r="J51" s="27"/>
    </row>
    <row r="52" spans="10:10" x14ac:dyDescent="0.25">
      <c r="J52" s="27"/>
    </row>
    <row r="53" spans="10:10" x14ac:dyDescent="0.25">
      <c r="J53" s="27"/>
    </row>
    <row r="54" spans="10:10" x14ac:dyDescent="0.25">
      <c r="J54" s="27"/>
    </row>
    <row r="55" spans="10:10" x14ac:dyDescent="0.25">
      <c r="J55" s="27"/>
    </row>
    <row r="56" spans="10:10" x14ac:dyDescent="0.25">
      <c r="J56" s="27"/>
    </row>
    <row r="57" spans="10:10" x14ac:dyDescent="0.25">
      <c r="J57" s="27"/>
    </row>
    <row r="58" spans="10:10" x14ac:dyDescent="0.25">
      <c r="J58" s="27"/>
    </row>
    <row r="59" spans="10:10" x14ac:dyDescent="0.25">
      <c r="J59" s="27"/>
    </row>
    <row r="60" spans="10:10" x14ac:dyDescent="0.25">
      <c r="J60" s="27"/>
    </row>
    <row r="61" spans="10:10" x14ac:dyDescent="0.25">
      <c r="J61" s="27"/>
    </row>
    <row r="62" spans="10:10" x14ac:dyDescent="0.25">
      <c r="J62" s="27"/>
    </row>
    <row r="63" spans="10:10" x14ac:dyDescent="0.25">
      <c r="J63" s="27"/>
    </row>
    <row r="64" spans="10:10" x14ac:dyDescent="0.25">
      <c r="J64" s="27"/>
    </row>
    <row r="65" spans="10:10" x14ac:dyDescent="0.25">
      <c r="J65" s="27"/>
    </row>
    <row r="66" spans="10:10" x14ac:dyDescent="0.25">
      <c r="J66" s="27"/>
    </row>
    <row r="67" spans="10:10" x14ac:dyDescent="0.25">
      <c r="J67" s="27"/>
    </row>
    <row r="68" spans="10:10" x14ac:dyDescent="0.25">
      <c r="J68" s="27"/>
    </row>
    <row r="69" spans="10:10" x14ac:dyDescent="0.25">
      <c r="J69" s="27"/>
    </row>
    <row r="70" spans="10:10" x14ac:dyDescent="0.25">
      <c r="J70" s="27"/>
    </row>
    <row r="71" spans="10:10" x14ac:dyDescent="0.25">
      <c r="J71" s="27"/>
    </row>
    <row r="72" spans="10:10" x14ac:dyDescent="0.25">
      <c r="J72" s="27"/>
    </row>
    <row r="73" spans="10:10" x14ac:dyDescent="0.25">
      <c r="J73" s="27"/>
    </row>
    <row r="74" spans="10:10" x14ac:dyDescent="0.25">
      <c r="J74" s="27"/>
    </row>
    <row r="75" spans="10:10" x14ac:dyDescent="0.25">
      <c r="J75" s="27"/>
    </row>
    <row r="76" spans="10:10" x14ac:dyDescent="0.25">
      <c r="J76" s="27"/>
    </row>
    <row r="77" spans="10:10" x14ac:dyDescent="0.25">
      <c r="J77" s="27"/>
    </row>
    <row r="78" spans="10:10" x14ac:dyDescent="0.25">
      <c r="J78" s="27"/>
    </row>
    <row r="79" spans="10:10" x14ac:dyDescent="0.25">
      <c r="J79" s="27"/>
    </row>
    <row r="80" spans="10:10" x14ac:dyDescent="0.25">
      <c r="J80" s="27"/>
    </row>
    <row r="81" spans="10:10" x14ac:dyDescent="0.25">
      <c r="J81" s="27"/>
    </row>
    <row r="82" spans="10:10" x14ac:dyDescent="0.25">
      <c r="J82" s="27"/>
    </row>
    <row r="83" spans="10:10" x14ac:dyDescent="0.25">
      <c r="J83" s="27"/>
    </row>
    <row r="84" spans="10:10" x14ac:dyDescent="0.25">
      <c r="J84" s="27"/>
    </row>
    <row r="85" spans="10:10" x14ac:dyDescent="0.25">
      <c r="J85" s="27"/>
    </row>
    <row r="86" spans="10:10" x14ac:dyDescent="0.25">
      <c r="J86" s="27"/>
    </row>
    <row r="87" spans="10:10" x14ac:dyDescent="0.25">
      <c r="J87" s="27"/>
    </row>
    <row r="88" spans="10:10" x14ac:dyDescent="0.25">
      <c r="J88" s="27"/>
    </row>
    <row r="89" spans="10:10" x14ac:dyDescent="0.25">
      <c r="J89" s="27"/>
    </row>
    <row r="90" spans="10:10" x14ac:dyDescent="0.25">
      <c r="J90" s="27"/>
    </row>
    <row r="91" spans="10:10" x14ac:dyDescent="0.25">
      <c r="J91" s="27"/>
    </row>
    <row r="92" spans="10:10" x14ac:dyDescent="0.25">
      <c r="J92" s="27"/>
    </row>
    <row r="93" spans="10:10" x14ac:dyDescent="0.25">
      <c r="J93" s="27"/>
    </row>
    <row r="94" spans="10:10" x14ac:dyDescent="0.25">
      <c r="J94" s="27"/>
    </row>
    <row r="95" spans="10:10" x14ac:dyDescent="0.25">
      <c r="J95" s="27"/>
    </row>
    <row r="96" spans="10:10" x14ac:dyDescent="0.25">
      <c r="J96" s="27"/>
    </row>
    <row r="97" spans="10:10" x14ac:dyDescent="0.25">
      <c r="J97" s="27"/>
    </row>
    <row r="98" spans="10:10" x14ac:dyDescent="0.25">
      <c r="J98" s="27"/>
    </row>
    <row r="99" spans="10:10" x14ac:dyDescent="0.25">
      <c r="J99" s="27"/>
    </row>
    <row r="100" spans="10:10" x14ac:dyDescent="0.25">
      <c r="J100" s="27"/>
    </row>
    <row r="101" spans="10:10" x14ac:dyDescent="0.25">
      <c r="J101" s="27"/>
    </row>
    <row r="102" spans="10:10" x14ac:dyDescent="0.25">
      <c r="J102" s="27"/>
    </row>
    <row r="103" spans="10:10" x14ac:dyDescent="0.25">
      <c r="J103" s="27"/>
    </row>
    <row r="104" spans="10:10" x14ac:dyDescent="0.25">
      <c r="J104" s="27"/>
    </row>
    <row r="105" spans="10:10" x14ac:dyDescent="0.25">
      <c r="J105" s="27"/>
    </row>
    <row r="106" spans="10:10" x14ac:dyDescent="0.25">
      <c r="J106" s="27"/>
    </row>
    <row r="107" spans="10:10" x14ac:dyDescent="0.25">
      <c r="J107" s="27"/>
    </row>
  </sheetData>
  <mergeCells count="5">
    <mergeCell ref="A1:G1"/>
    <mergeCell ref="A2:G2"/>
    <mergeCell ref="C3:E3"/>
    <mergeCell ref="A15:A20"/>
    <mergeCell ref="G18:H18"/>
  </mergeCells>
  <phoneticPr fontId="2" type="noConversion"/>
  <conditionalFormatting sqref="C5:E14">
    <cfRule type="cellIs" dxfId="0" priority="2" operator="lessThan">
      <formula>40</formula>
    </cfRule>
  </conditionalFormatting>
  <pageMargins left="0.75" right="0.75" top="1" bottom="1" header="0.5" footer="0.5"/>
  <pageSetup orientation="portrait" verticalDpi="180" r:id="rId1"/>
  <headerFooter alignWithMargins="0"/>
  <customProperties>
    <customPr name="LastActiv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86F9-2768-47A9-99FD-891AE8862688}">
  <dimension ref="A1:X134"/>
  <sheetViews>
    <sheetView showGridLines="0" topLeftCell="A10" zoomScale="118" zoomScaleNormal="89" workbookViewId="0">
      <selection activeCell="V31" sqref="V31"/>
    </sheetView>
  </sheetViews>
  <sheetFormatPr defaultColWidth="9.109375" defaultRowHeight="13.8" x14ac:dyDescent="0.3"/>
  <cols>
    <col min="1" max="1" width="13.88671875" style="107" customWidth="1"/>
    <col min="2" max="2" width="12.33203125" style="107" customWidth="1"/>
    <col min="3" max="3" width="14.33203125" style="106" customWidth="1"/>
    <col min="4" max="4" width="9.33203125" style="107" bestFit="1" customWidth="1"/>
    <col min="5" max="5" width="9.6640625" style="107" customWidth="1"/>
    <col min="6" max="6" width="11" style="107" customWidth="1"/>
    <col min="7" max="7" width="11.33203125" style="107" customWidth="1"/>
    <col min="8" max="11" width="10.88671875" style="107" customWidth="1"/>
    <col min="12" max="12" width="9.109375" style="107"/>
    <col min="13" max="13" width="12.44140625" style="107" bestFit="1" customWidth="1"/>
    <col min="14" max="14" width="11.44140625" style="107" bestFit="1" customWidth="1"/>
    <col min="15" max="15" width="9.109375" style="107"/>
    <col min="16" max="16" width="11.77734375" style="107" bestFit="1" customWidth="1"/>
    <col min="17" max="17" width="19.5546875" style="107" bestFit="1" customWidth="1"/>
    <col min="18" max="18" width="14.88671875" style="107" bestFit="1" customWidth="1"/>
    <col min="19" max="19" width="14.44140625" style="107" bestFit="1" customWidth="1"/>
    <col min="20" max="20" width="16.5546875" style="107" bestFit="1" customWidth="1"/>
    <col min="21" max="21" width="16.5546875" style="107" customWidth="1"/>
    <col min="22" max="22" width="13" style="107" bestFit="1" customWidth="1"/>
    <col min="23" max="23" width="10.109375" style="107" bestFit="1" customWidth="1"/>
    <col min="24" max="16384" width="9.109375" style="107"/>
  </cols>
  <sheetData>
    <row r="1" spans="1:23" x14ac:dyDescent="0.3">
      <c r="A1" s="176" t="s">
        <v>475</v>
      </c>
      <c r="B1" s="177"/>
    </row>
    <row r="2" spans="1:23" x14ac:dyDescent="0.3">
      <c r="A2" s="108" t="s">
        <v>476</v>
      </c>
      <c r="B2" s="140">
        <f>COUNT(Sdata[Empcode])</f>
        <v>100</v>
      </c>
      <c r="D2" s="178" t="s">
        <v>477</v>
      </c>
      <c r="E2" s="178"/>
      <c r="F2" s="178"/>
      <c r="G2" s="178"/>
      <c r="H2" s="178"/>
    </row>
    <row r="3" spans="1:23" x14ac:dyDescent="0.3">
      <c r="A3" s="108" t="s">
        <v>478</v>
      </c>
      <c r="B3" s="140">
        <f>SUM(Sdata[Salary])</f>
        <v>1553825</v>
      </c>
      <c r="D3" s="108"/>
      <c r="E3" s="108" t="s">
        <v>47</v>
      </c>
      <c r="F3" s="108" t="s">
        <v>9</v>
      </c>
      <c r="G3" s="108" t="s">
        <v>24</v>
      </c>
      <c r="H3" s="108" t="s">
        <v>13</v>
      </c>
      <c r="I3"/>
      <c r="J3"/>
      <c r="K3"/>
    </row>
    <row r="4" spans="1:23" x14ac:dyDescent="0.3">
      <c r="A4" s="108" t="s">
        <v>479</v>
      </c>
      <c r="B4" s="140">
        <f>MAX(Sdata[Salary])</f>
        <v>49000</v>
      </c>
      <c r="D4" s="108" t="s">
        <v>193</v>
      </c>
      <c r="E4" s="140">
        <f>SUMIFS(Sdata[Salary],Sdata[Region],$D4,Sdata[Dept],E$3)</f>
        <v>41125</v>
      </c>
      <c r="F4" s="140">
        <f>SUMIFS(Sdata[Salary],Sdata[Region],$D4,Sdata[Dept],F$3)</f>
        <v>54950</v>
      </c>
      <c r="G4" s="140">
        <f>SUMIFS(Sdata[Salary],Sdata[Region],$D4,Sdata[Dept],G$3)</f>
        <v>77000</v>
      </c>
      <c r="H4" s="140">
        <f>SUMIFS(Sdata[Salary],Sdata[Region],$D4,Sdata[Dept],H$3)</f>
        <v>19250</v>
      </c>
      <c r="I4"/>
      <c r="J4"/>
      <c r="K4"/>
    </row>
    <row r="5" spans="1:23" x14ac:dyDescent="0.3">
      <c r="A5" s="108" t="s">
        <v>480</v>
      </c>
      <c r="B5" s="140">
        <f>MIN(Sdata[Salary])</f>
        <v>5950</v>
      </c>
      <c r="D5" s="108" t="s">
        <v>194</v>
      </c>
      <c r="E5" s="140">
        <f>SUMIFS(Sdata[Salary],Sdata[Region],$D5,Sdata[Dept],E$3)</f>
        <v>15750</v>
      </c>
      <c r="F5" s="140">
        <f>SUMIFS(Sdata[Salary],Sdata[Region],$D5,Sdata[Dept],F$3)</f>
        <v>40950</v>
      </c>
      <c r="G5" s="140">
        <f>SUMIFS(Sdata[Salary],Sdata[Region],$D5,Sdata[Dept],G$3)</f>
        <v>47250</v>
      </c>
      <c r="H5" s="140">
        <f>SUMIFS(Sdata[Salary],Sdata[Region],$D5,Sdata[Dept],H$3)</f>
        <v>25375</v>
      </c>
      <c r="I5"/>
      <c r="J5"/>
      <c r="K5"/>
    </row>
    <row r="6" spans="1:23" x14ac:dyDescent="0.3">
      <c r="A6" s="108" t="s">
        <v>481</v>
      </c>
      <c r="B6" s="140">
        <f>AVERAGE(Sdata[Salary])</f>
        <v>15538.25</v>
      </c>
      <c r="D6" s="108" t="s">
        <v>195</v>
      </c>
      <c r="E6" s="140">
        <f>SUMIFS(Sdata[Salary],Sdata[Region],$D6,Sdata[Dept],E$3)</f>
        <v>65625</v>
      </c>
      <c r="F6" s="140">
        <f>SUMIFS(Sdata[Salary],Sdata[Region],$D6,Sdata[Dept],F$3)</f>
        <v>81200</v>
      </c>
      <c r="G6" s="140">
        <f>SUMIFS(Sdata[Salary],Sdata[Region],$D6,Sdata[Dept],G$3)</f>
        <v>124250</v>
      </c>
      <c r="H6" s="140">
        <f>SUMIFS(Sdata[Salary],Sdata[Region],$D6,Sdata[Dept],H$3)</f>
        <v>49000</v>
      </c>
      <c r="I6"/>
      <c r="J6"/>
      <c r="K6"/>
    </row>
    <row r="7" spans="1:23" x14ac:dyDescent="0.3">
      <c r="A7" s="176" t="s">
        <v>482</v>
      </c>
      <c r="B7" s="177"/>
      <c r="D7" s="108" t="s">
        <v>196</v>
      </c>
      <c r="E7" s="140">
        <f>SUMIFS(Sdata[Salary],Sdata[Region],$D7,Sdata[Dept],E$3)</f>
        <v>26250</v>
      </c>
      <c r="F7" s="140">
        <f>SUMIFS(Sdata[Salary],Sdata[Region],$D7,Sdata[Dept],F$3)</f>
        <v>63350</v>
      </c>
      <c r="G7" s="140">
        <f>SUMIFS(Sdata[Salary],Sdata[Region],$D7,Sdata[Dept],G$3)</f>
        <v>55825</v>
      </c>
      <c r="H7" s="140">
        <f>SUMIFS(Sdata[Salary],Sdata[Region],$D7,Sdata[Dept],H$3)</f>
        <v>32375</v>
      </c>
      <c r="I7"/>
      <c r="J7"/>
      <c r="K7"/>
      <c r="L7" s="116"/>
    </row>
    <row r="8" spans="1:23" x14ac:dyDescent="0.3">
      <c r="A8" s="108" t="s">
        <v>483</v>
      </c>
      <c r="B8" s="112" t="s">
        <v>195</v>
      </c>
      <c r="L8" s="116"/>
    </row>
    <row r="9" spans="1:23" x14ac:dyDescent="0.3">
      <c r="A9" s="108" t="s">
        <v>476</v>
      </c>
      <c r="B9" s="140">
        <f>COUNTIFS(Sdata[Region], "=north")</f>
        <v>40</v>
      </c>
      <c r="L9" s="116"/>
    </row>
    <row r="10" spans="1:23" x14ac:dyDescent="0.3">
      <c r="A10" s="108" t="s">
        <v>478</v>
      </c>
      <c r="B10" s="140">
        <f>SUMIFS(Sdata[Salary], Sdata[Region], "=north")</f>
        <v>633500</v>
      </c>
      <c r="E10" s="116"/>
      <c r="F10" s="116"/>
      <c r="G10" s="116"/>
      <c r="H10" s="116"/>
      <c r="I10" s="116"/>
      <c r="J10" s="116"/>
      <c r="K10" s="116"/>
      <c r="L10" s="116"/>
    </row>
    <row r="11" spans="1:23" x14ac:dyDescent="0.3">
      <c r="E11" s="116"/>
      <c r="F11" s="116"/>
      <c r="G11" s="116"/>
      <c r="H11" s="116"/>
      <c r="I11" s="116"/>
      <c r="J11" s="116"/>
      <c r="K11" s="116"/>
      <c r="L11" s="116"/>
    </row>
    <row r="12" spans="1:23" x14ac:dyDescent="0.3">
      <c r="E12" s="116"/>
      <c r="F12" s="116"/>
      <c r="G12" s="116"/>
      <c r="H12" s="116"/>
      <c r="I12" s="116"/>
      <c r="J12" s="116"/>
      <c r="K12" s="116"/>
      <c r="L12" s="116"/>
    </row>
    <row r="13" spans="1:23" x14ac:dyDescent="0.3">
      <c r="L13" s="116"/>
      <c r="Q13" s="148"/>
    </row>
    <row r="14" spans="1:23" x14ac:dyDescent="0.3">
      <c r="L14" s="116"/>
    </row>
    <row r="15" spans="1:23" x14ac:dyDescent="0.3">
      <c r="A15" s="109"/>
      <c r="C15" s="109"/>
      <c r="D15" s="109"/>
      <c r="E15" s="109"/>
      <c r="F15" s="109"/>
      <c r="G15" s="109"/>
      <c r="H15" s="109"/>
      <c r="I15" s="128">
        <v>0.25</v>
      </c>
      <c r="J15" s="128">
        <v>0.4</v>
      </c>
      <c r="K15" s="129">
        <v>7.4999999999999997E-2</v>
      </c>
      <c r="W15" s="107" t="s">
        <v>732</v>
      </c>
    </row>
    <row r="16" spans="1:23" x14ac:dyDescent="0.3">
      <c r="A16" s="131" t="s">
        <v>0</v>
      </c>
      <c r="B16" s="132" t="s">
        <v>1</v>
      </c>
      <c r="C16" s="133" t="s">
        <v>2</v>
      </c>
      <c r="D16" s="132" t="s">
        <v>3</v>
      </c>
      <c r="E16" s="132" t="s">
        <v>4</v>
      </c>
      <c r="F16" s="132" t="s">
        <v>484</v>
      </c>
      <c r="G16" s="132" t="s">
        <v>5</v>
      </c>
      <c r="H16" s="132" t="s">
        <v>6</v>
      </c>
      <c r="I16" s="132" t="s">
        <v>714</v>
      </c>
      <c r="J16" s="132" t="s">
        <v>715</v>
      </c>
      <c r="K16" s="134" t="s">
        <v>192</v>
      </c>
      <c r="L16" s="132" t="s">
        <v>720</v>
      </c>
      <c r="M16" s="132" t="s">
        <v>721</v>
      </c>
      <c r="N16" s="132" t="s">
        <v>717</v>
      </c>
      <c r="O16" s="132" t="s">
        <v>718</v>
      </c>
      <c r="P16" s="132" t="s">
        <v>719</v>
      </c>
      <c r="Q16" s="132" t="s">
        <v>722</v>
      </c>
      <c r="R16" s="132" t="s">
        <v>724</v>
      </c>
      <c r="S16" s="132" t="s">
        <v>723</v>
      </c>
      <c r="T16" s="132" t="s">
        <v>729</v>
      </c>
      <c r="U16" s="132" t="s">
        <v>731</v>
      </c>
      <c r="V16" s="132" t="s">
        <v>730</v>
      </c>
      <c r="W16" s="132" t="s">
        <v>564</v>
      </c>
    </row>
    <row r="17" spans="1:24" x14ac:dyDescent="0.3">
      <c r="A17" s="130">
        <v>1</v>
      </c>
      <c r="B17" s="110" t="s">
        <v>56</v>
      </c>
      <c r="C17" s="110" t="s">
        <v>57</v>
      </c>
      <c r="D17" s="108" t="s">
        <v>24</v>
      </c>
      <c r="E17" s="108" t="s">
        <v>58</v>
      </c>
      <c r="F17" s="108" t="s">
        <v>487</v>
      </c>
      <c r="G17" s="111">
        <v>28126</v>
      </c>
      <c r="H17" s="110">
        <v>21875</v>
      </c>
      <c r="I17" s="141">
        <f>$H17 * I$15</f>
        <v>5468.75</v>
      </c>
      <c r="J17" s="141">
        <f>$H17 * J$15</f>
        <v>8750</v>
      </c>
      <c r="K17" s="142">
        <f>$H17 * K$15</f>
        <v>1640.625</v>
      </c>
      <c r="L17" s="143">
        <f>VLOOKUP(Sdata[[#This Row],[Empcode]],idata[],2,0)</f>
        <v>1000</v>
      </c>
      <c r="M17" s="144">
        <f>IFERROR(VLOOKUP(Sdata[[#This Row],[Empcode]],idata[],2,0), 0)</f>
        <v>1000</v>
      </c>
      <c r="N17" s="143">
        <f>VLOOKUP(Sdata[[#This Row],[Empcode]],idata[],1,0)</f>
        <v>1</v>
      </c>
      <c r="O17" s="144">
        <f>IF(Sdata[[#This Row],[Salary]]&gt;=15000,15%, IF(Sdata[[#This Row],[Salary]]&gt;=10000, 10%, IF(Sdata[[#This Row],[Salary]]&gt;=5000,5%, 2%)))</f>
        <v>0.15</v>
      </c>
      <c r="P17" s="145">
        <f>IF(Sdata[[#This Row],[Salary]]&gt;=15000,15%, IF(Sdata[[#This Row],[Salary]]&gt;=10000, 10%, IF(Sdata[[#This Row],[Salary]]&gt;=5000,5%, 2%)))</f>
        <v>0.15</v>
      </c>
      <c r="Q17" s="145">
        <f>VLOOKUP(Sdata[[#This Row],[Salary]],bdata[],2,1)</f>
        <v>0.15</v>
      </c>
      <c r="R17" s="149">
        <f>(Sdata[[#This Row],[Bonus in %]]*Sdata[[#This Row],[Salary]])</f>
        <v>3281.25</v>
      </c>
      <c r="S17" s="144">
        <f>SUM(Sdata[[#This Row],[Salary]], Sdata[[#This Row],[Salary]]*Sdata[[#This Row],[Bonus in %]])</f>
        <v>25156.25</v>
      </c>
      <c r="T17" s="106" t="str">
        <f>_xlfn.CONCAT(Sdata[[#This Row],[First Name]]," ",Sdata[[#This Row],[Last Name]])</f>
        <v>Raja Raymondekar</v>
      </c>
      <c r="U17" s="109" t="str">
        <f t="shared" ref="U17:U48" si="0">B17&amp;" "&amp;C17</f>
        <v>Raja Raymondekar</v>
      </c>
      <c r="V17" s="106">
        <f ca="1">DATEDIF(Sdata[[#This Row],[Hiredate]], TODAY(), "Y")</f>
        <v>48</v>
      </c>
      <c r="W17" s="150">
        <f t="shared" ref="W17:W48" ca="1" si="1">TODAY()</f>
        <v>46018</v>
      </c>
      <c r="X17" s="113"/>
    </row>
    <row r="18" spans="1:24" x14ac:dyDescent="0.3">
      <c r="A18" s="130">
        <v>2</v>
      </c>
      <c r="B18" s="110" t="s">
        <v>123</v>
      </c>
      <c r="C18" s="110" t="s">
        <v>124</v>
      </c>
      <c r="D18" s="108" t="s">
        <v>24</v>
      </c>
      <c r="E18" s="108" t="s">
        <v>10</v>
      </c>
      <c r="F18" s="108" t="s">
        <v>488</v>
      </c>
      <c r="G18" s="111">
        <v>28126</v>
      </c>
      <c r="H18" s="110">
        <v>17500</v>
      </c>
      <c r="I18" s="141">
        <f t="shared" ref="I18:I81" si="2">$H18 * I$15</f>
        <v>4375</v>
      </c>
      <c r="J18" s="141">
        <f t="shared" ref="J18:K49" si="3">$H18 * J$15</f>
        <v>7000</v>
      </c>
      <c r="K18" s="142">
        <f t="shared" si="3"/>
        <v>1312.5</v>
      </c>
      <c r="L18" s="141" t="e">
        <f>VLOOKUP(Sdata[[#This Row],[Empcode]],idata[],2,0)</f>
        <v>#N/A</v>
      </c>
      <c r="M18" s="144">
        <f>IFERROR(VLOOKUP(Sdata[[#This Row],[Empcode]],idata[],2,0), 0)</f>
        <v>0</v>
      </c>
      <c r="N18" s="141" t="e">
        <f>VLOOKUP(Sdata[[#This Row],[Empcode]],idata[],1,0)</f>
        <v>#N/A</v>
      </c>
      <c r="O18" s="144">
        <f>IF(Sdata[[#This Row],[Salary]]&gt;=15000,15%, IF(Sdata[[#This Row],[Salary]]&gt;=10000, 10%, IF(Sdata[[#This Row],[Salary]]&gt;=5000,5%, 2%)))</f>
        <v>0.15</v>
      </c>
      <c r="P18" s="145">
        <f>IF(Sdata[[#This Row],[Salary]]&gt;=15000,15%, IF(Sdata[[#This Row],[Salary]]&gt;=10000, 10%, IF(Sdata[[#This Row],[Salary]]&gt;=5000,5%, 2%)))</f>
        <v>0.15</v>
      </c>
      <c r="Q18" s="145">
        <f>VLOOKUP(Sdata[[#This Row],[Salary]],bdata[],2,1)</f>
        <v>0.15</v>
      </c>
      <c r="R18" s="149">
        <f>(Sdata[[#This Row],[Bonus in %]]*Sdata[[#This Row],[Salary]])</f>
        <v>2625</v>
      </c>
      <c r="S18" s="144">
        <f>SUM(Sdata[[#This Row],[Salary]], Sdata[[#This Row],[Salary]]*Sdata[[#This Row],[Bonus in %]])</f>
        <v>20125</v>
      </c>
      <c r="T18" s="106" t="str">
        <f>_xlfn.CONCAT(Sdata[[#This Row],[First Name]]," ",Sdata[[#This Row],[Last Name]])</f>
        <v>Suman Shinde</v>
      </c>
      <c r="U18" s="106" t="str">
        <f t="shared" si="0"/>
        <v>Suman Shinde</v>
      </c>
      <c r="V18" s="106">
        <f ca="1">DATEDIF(Sdata[[#This Row],[Hiredate]], TODAY(), "Y")</f>
        <v>48</v>
      </c>
      <c r="W18" s="150">
        <f t="shared" ca="1" si="1"/>
        <v>46018</v>
      </c>
    </row>
    <row r="19" spans="1:24" x14ac:dyDescent="0.3">
      <c r="A19" s="130">
        <v>3</v>
      </c>
      <c r="B19" s="108" t="s">
        <v>112</v>
      </c>
      <c r="C19" s="110" t="s">
        <v>113</v>
      </c>
      <c r="D19" s="108" t="s">
        <v>47</v>
      </c>
      <c r="E19" s="108" t="s">
        <v>125</v>
      </c>
      <c r="F19" s="108" t="s">
        <v>489</v>
      </c>
      <c r="G19" s="111">
        <v>36220</v>
      </c>
      <c r="H19" s="110">
        <v>7000</v>
      </c>
      <c r="I19" s="141">
        <f t="shared" si="2"/>
        <v>1750</v>
      </c>
      <c r="J19" s="141">
        <f t="shared" si="3"/>
        <v>2800</v>
      </c>
      <c r="K19" s="142">
        <f t="shared" si="3"/>
        <v>525</v>
      </c>
      <c r="L19" s="141">
        <f>VLOOKUP(Sdata[[#This Row],[Empcode]],idata[],2,0)</f>
        <v>3000</v>
      </c>
      <c r="M19" s="144">
        <f>IFERROR(VLOOKUP(Sdata[[#This Row],[Empcode]],idata[],2,0), 0)</f>
        <v>3000</v>
      </c>
      <c r="N19" s="141">
        <f>VLOOKUP(Sdata[[#This Row],[Empcode]],idata[],1,0)</f>
        <v>3</v>
      </c>
      <c r="O19" s="144">
        <f>IF(Sdata[[#This Row],[Salary]]&gt;=15000,15%, IF(Sdata[[#This Row],[Salary]]&gt;=10000, 10%, IF(Sdata[[#This Row],[Salary]]&gt;=5000,5%, 2%)))</f>
        <v>0.05</v>
      </c>
      <c r="P19" s="145">
        <f>IF(Sdata[[#This Row],[Salary]]&gt;=15000,15%, IF(Sdata[[#This Row],[Salary]]&gt;=10000, 10%, IF(Sdata[[#This Row],[Salary]]&gt;=5000,5%, 2%)))</f>
        <v>0.05</v>
      </c>
      <c r="Q19" s="145">
        <f>VLOOKUP(Sdata[[#This Row],[Salary]],bdata[],2,1)</f>
        <v>0.05</v>
      </c>
      <c r="R19" s="149">
        <f>(Sdata[[#This Row],[Bonus in %]]*Sdata[[#This Row],[Salary]])</f>
        <v>350</v>
      </c>
      <c r="S19" s="144">
        <f>SUM(Sdata[[#This Row],[Salary]], Sdata[[#This Row],[Salary]]*Sdata[[#This Row],[Bonus in %]])</f>
        <v>7350</v>
      </c>
      <c r="T19" s="106" t="str">
        <f>_xlfn.CONCAT(Sdata[[#This Row],[First Name]]," ",Sdata[[#This Row],[Last Name]])</f>
        <v>Kuldeep Sharma</v>
      </c>
      <c r="U19" s="106" t="str">
        <f t="shared" si="0"/>
        <v>Kuldeep Sharma</v>
      </c>
      <c r="V19" s="106">
        <f ca="1">DATEDIF(Sdata[[#This Row],[Hiredate]], TODAY(), "Y")</f>
        <v>26</v>
      </c>
      <c r="W19" s="150">
        <f t="shared" ca="1" si="1"/>
        <v>46018</v>
      </c>
    </row>
    <row r="20" spans="1:24" x14ac:dyDescent="0.3">
      <c r="A20" s="130">
        <v>4</v>
      </c>
      <c r="B20" s="108" t="s">
        <v>7</v>
      </c>
      <c r="C20" s="110" t="s">
        <v>8</v>
      </c>
      <c r="D20" s="108" t="s">
        <v>9</v>
      </c>
      <c r="E20" s="108" t="s">
        <v>58</v>
      </c>
      <c r="F20" s="108" t="s">
        <v>490</v>
      </c>
      <c r="G20" s="111">
        <v>29183</v>
      </c>
      <c r="H20" s="110">
        <v>12250</v>
      </c>
      <c r="I20" s="141">
        <f t="shared" si="2"/>
        <v>3062.5</v>
      </c>
      <c r="J20" s="141">
        <f t="shared" si="3"/>
        <v>4900</v>
      </c>
      <c r="K20" s="142">
        <f t="shared" si="3"/>
        <v>918.75</v>
      </c>
      <c r="L20" s="141" t="e">
        <f>VLOOKUP(Sdata[[#This Row],[Empcode]],idata[],2,0)</f>
        <v>#N/A</v>
      </c>
      <c r="M20" s="144">
        <f>IFERROR(VLOOKUP(Sdata[[#This Row],[Empcode]],idata[],2,0), 0)</f>
        <v>0</v>
      </c>
      <c r="N20" s="141" t="e">
        <f>VLOOKUP(Sdata[[#This Row],[Empcode]],idata[],1,0)</f>
        <v>#N/A</v>
      </c>
      <c r="O20" s="144">
        <f>IF(Sdata[[#This Row],[Salary]]&gt;=15000,15%, IF(Sdata[[#This Row],[Salary]]&gt;=10000, 10%, IF(Sdata[[#This Row],[Salary]]&gt;=5000,5%, 2%)))</f>
        <v>0.1</v>
      </c>
      <c r="P20" s="145">
        <f>IF(Sdata[[#This Row],[Salary]]&gt;=15000,15%, IF(Sdata[[#This Row],[Salary]]&gt;=10000, 10%, IF(Sdata[[#This Row],[Salary]]&gt;=5000,5%, 2%)))</f>
        <v>0.1</v>
      </c>
      <c r="Q20" s="145">
        <f>VLOOKUP(Sdata[[#This Row],[Salary]],bdata[],2,1)</f>
        <v>0.1</v>
      </c>
      <c r="R20" s="149">
        <f>(Sdata[[#This Row],[Bonus in %]]*Sdata[[#This Row],[Salary]])</f>
        <v>1225</v>
      </c>
      <c r="S20" s="144">
        <f>SUM(Sdata[[#This Row],[Salary]], Sdata[[#This Row],[Salary]]*Sdata[[#This Row],[Bonus in %]])</f>
        <v>13475</v>
      </c>
      <c r="T20" s="106" t="str">
        <f>_xlfn.CONCAT(Sdata[[#This Row],[First Name]]," ",Sdata[[#This Row],[Last Name]])</f>
        <v>Beena Mavadia</v>
      </c>
      <c r="U20" s="106" t="str">
        <f t="shared" si="0"/>
        <v>Beena Mavadia</v>
      </c>
      <c r="V20" s="106">
        <f ca="1">DATEDIF(Sdata[[#This Row],[Hiredate]], TODAY(), "Y")</f>
        <v>46</v>
      </c>
      <c r="W20" s="150">
        <f t="shared" ca="1" si="1"/>
        <v>46018</v>
      </c>
    </row>
    <row r="21" spans="1:24" x14ac:dyDescent="0.3">
      <c r="A21" s="130">
        <v>5</v>
      </c>
      <c r="B21" s="108" t="s">
        <v>59</v>
      </c>
      <c r="C21" s="110" t="s">
        <v>60</v>
      </c>
      <c r="D21" s="108" t="s">
        <v>27</v>
      </c>
      <c r="E21" s="108" t="s">
        <v>58</v>
      </c>
      <c r="F21" s="108" t="s">
        <v>491</v>
      </c>
      <c r="G21" s="111">
        <v>32755</v>
      </c>
      <c r="H21" s="110">
        <v>21000</v>
      </c>
      <c r="I21" s="141">
        <f t="shared" si="2"/>
        <v>5250</v>
      </c>
      <c r="J21" s="141">
        <f t="shared" si="3"/>
        <v>8400</v>
      </c>
      <c r="K21" s="142">
        <f t="shared" si="3"/>
        <v>1575</v>
      </c>
      <c r="L21" s="141">
        <f>VLOOKUP(Sdata[[#This Row],[Empcode]],idata[],2,0)</f>
        <v>5000</v>
      </c>
      <c r="M21" s="144">
        <f>IFERROR(VLOOKUP(Sdata[[#This Row],[Empcode]],idata[],2,0), 0)</f>
        <v>5000</v>
      </c>
      <c r="N21" s="141">
        <f>VLOOKUP(Sdata[[#This Row],[Empcode]],idata[],1,0)</f>
        <v>5</v>
      </c>
      <c r="O21" s="144">
        <f>IF(Sdata[[#This Row],[Salary]]&gt;=15000,15%, IF(Sdata[[#This Row],[Salary]]&gt;=10000, 10%, IF(Sdata[[#This Row],[Salary]]&gt;=5000,5%, 2%)))</f>
        <v>0.15</v>
      </c>
      <c r="P21" s="145">
        <f>IF(Sdata[[#This Row],[Salary]]&gt;=15000,15%, IF(Sdata[[#This Row],[Salary]]&gt;=10000, 10%, IF(Sdata[[#This Row],[Salary]]&gt;=5000,5%, 2%)))</f>
        <v>0.15</v>
      </c>
      <c r="Q21" s="145">
        <f>VLOOKUP(Sdata[[#This Row],[Salary]],bdata[],2,1)</f>
        <v>0.15</v>
      </c>
      <c r="R21" s="149">
        <f>(Sdata[[#This Row],[Bonus in %]]*Sdata[[#This Row],[Salary]])</f>
        <v>3150</v>
      </c>
      <c r="S21" s="144">
        <f>SUM(Sdata[[#This Row],[Salary]], Sdata[[#This Row],[Salary]]*Sdata[[#This Row],[Bonus in %]])</f>
        <v>24150</v>
      </c>
      <c r="T21" s="106" t="str">
        <f>_xlfn.CONCAT(Sdata[[#This Row],[First Name]]," ",Sdata[[#This Row],[Last Name]])</f>
        <v>Seema Ranganathan</v>
      </c>
      <c r="U21" s="106" t="str">
        <f t="shared" si="0"/>
        <v>Seema Ranganathan</v>
      </c>
      <c r="V21" s="106">
        <f ca="1">DATEDIF(Sdata[[#This Row],[Hiredate]], TODAY(), "Y")</f>
        <v>36</v>
      </c>
      <c r="W21" s="150">
        <f t="shared" ca="1" si="1"/>
        <v>46018</v>
      </c>
    </row>
    <row r="22" spans="1:24" x14ac:dyDescent="0.3">
      <c r="A22" s="130">
        <v>6</v>
      </c>
      <c r="B22" s="108" t="s">
        <v>159</v>
      </c>
      <c r="C22" s="110" t="s">
        <v>160</v>
      </c>
      <c r="D22" s="108" t="s">
        <v>27</v>
      </c>
      <c r="E22" s="108" t="s">
        <v>58</v>
      </c>
      <c r="F22" s="108" t="s">
        <v>492</v>
      </c>
      <c r="G22" s="111">
        <v>32390</v>
      </c>
      <c r="H22" s="110">
        <v>12425</v>
      </c>
      <c r="I22" s="141">
        <f t="shared" si="2"/>
        <v>3106.25</v>
      </c>
      <c r="J22" s="141">
        <f t="shared" si="3"/>
        <v>4970</v>
      </c>
      <c r="K22" s="142">
        <f t="shared" si="3"/>
        <v>931.875</v>
      </c>
      <c r="L22" s="141" t="e">
        <f>VLOOKUP(Sdata[[#This Row],[Empcode]],idata[],2,0)</f>
        <v>#N/A</v>
      </c>
      <c r="M22" s="144">
        <f>IFERROR(VLOOKUP(Sdata[[#This Row],[Empcode]],idata[],2,0), 0)</f>
        <v>0</v>
      </c>
      <c r="N22" s="141" t="e">
        <f>VLOOKUP(Sdata[[#This Row],[Empcode]],idata[],1,0)</f>
        <v>#N/A</v>
      </c>
      <c r="O22" s="144">
        <f>IF(Sdata[[#This Row],[Salary]]&gt;=15000,15%, IF(Sdata[[#This Row],[Salary]]&gt;=10000, 10%, IF(Sdata[[#This Row],[Salary]]&gt;=5000,5%, 2%)))</f>
        <v>0.1</v>
      </c>
      <c r="P22" s="145">
        <f>IF(Sdata[[#This Row],[Salary]]&gt;=15000,15%, IF(Sdata[[#This Row],[Salary]]&gt;=10000, 10%, IF(Sdata[[#This Row],[Salary]]&gt;=5000,5%, 2%)))</f>
        <v>0.1</v>
      </c>
      <c r="Q22" s="145">
        <f>VLOOKUP(Sdata[[#This Row],[Salary]],bdata[],2,1)</f>
        <v>0.1</v>
      </c>
      <c r="R22" s="149">
        <f>(Sdata[[#This Row],[Bonus in %]]*Sdata[[#This Row],[Salary]])</f>
        <v>1242.5</v>
      </c>
      <c r="S22" s="144">
        <f>SUM(Sdata[[#This Row],[Salary]], Sdata[[#This Row],[Salary]]*Sdata[[#This Row],[Bonus in %]])</f>
        <v>13667.5</v>
      </c>
      <c r="T22" s="106" t="str">
        <f>_xlfn.CONCAT(Sdata[[#This Row],[First Name]]," ",Sdata[[#This Row],[Last Name]])</f>
        <v>Julie D'Souza</v>
      </c>
      <c r="U22" s="106" t="str">
        <f t="shared" si="0"/>
        <v>Julie D'Souza</v>
      </c>
      <c r="V22" s="106">
        <f ca="1">DATEDIF(Sdata[[#This Row],[Hiredate]], TODAY(), "Y")</f>
        <v>37</v>
      </c>
      <c r="W22" s="150">
        <f t="shared" ca="1" si="1"/>
        <v>46018</v>
      </c>
    </row>
    <row r="23" spans="1:24" x14ac:dyDescent="0.3">
      <c r="A23" s="130">
        <v>7</v>
      </c>
      <c r="B23" s="108" t="s">
        <v>34</v>
      </c>
      <c r="C23" s="110" t="s">
        <v>35</v>
      </c>
      <c r="D23" s="108" t="s">
        <v>493</v>
      </c>
      <c r="E23" s="108" t="s">
        <v>161</v>
      </c>
      <c r="F23" s="108" t="s">
        <v>494</v>
      </c>
      <c r="G23" s="111">
        <v>33102</v>
      </c>
      <c r="H23" s="110">
        <v>13825</v>
      </c>
      <c r="I23" s="141">
        <f t="shared" si="2"/>
        <v>3456.25</v>
      </c>
      <c r="J23" s="141">
        <f t="shared" si="3"/>
        <v>5530</v>
      </c>
      <c r="K23" s="142">
        <f t="shared" si="3"/>
        <v>1036.875</v>
      </c>
      <c r="L23" s="141">
        <f>VLOOKUP(Sdata[[#This Row],[Empcode]],idata[],2,0)</f>
        <v>7000</v>
      </c>
      <c r="M23" s="144">
        <f>IFERROR(VLOOKUP(Sdata[[#This Row],[Empcode]],idata[],2,0), 0)</f>
        <v>7000</v>
      </c>
      <c r="N23" s="141">
        <f>VLOOKUP(Sdata[[#This Row],[Empcode]],idata[],1,0)</f>
        <v>7</v>
      </c>
      <c r="O23" s="144">
        <f>IF(Sdata[[#This Row],[Salary]]&gt;=15000,15%, IF(Sdata[[#This Row],[Salary]]&gt;=10000, 10%, IF(Sdata[[#This Row],[Salary]]&gt;=5000,5%, 2%)))</f>
        <v>0.1</v>
      </c>
      <c r="P23" s="145">
        <f>IF(Sdata[[#This Row],[Salary]]&gt;=15000,15%, IF(Sdata[[#This Row],[Salary]]&gt;=10000, 10%, IF(Sdata[[#This Row],[Salary]]&gt;=5000,5%, 2%)))</f>
        <v>0.1</v>
      </c>
      <c r="Q23" s="145">
        <f>VLOOKUP(Sdata[[#This Row],[Salary]],bdata[],2,1)</f>
        <v>0.1</v>
      </c>
      <c r="R23" s="149">
        <f>(Sdata[[#This Row],[Bonus in %]]*Sdata[[#This Row],[Salary]])</f>
        <v>1382.5</v>
      </c>
      <c r="S23" s="144">
        <f>SUM(Sdata[[#This Row],[Salary]], Sdata[[#This Row],[Salary]]*Sdata[[#This Row],[Bonus in %]])</f>
        <v>15207.5</v>
      </c>
      <c r="T23" s="106" t="str">
        <f>_xlfn.CONCAT(Sdata[[#This Row],[First Name]]," ",Sdata[[#This Row],[Last Name]])</f>
        <v>Deepak Jain</v>
      </c>
      <c r="U23" s="106" t="str">
        <f t="shared" si="0"/>
        <v>Deepak Jain</v>
      </c>
      <c r="V23" s="106">
        <f ca="1">DATEDIF(Sdata[[#This Row],[Hiredate]], TODAY(), "Y")</f>
        <v>35</v>
      </c>
      <c r="W23" s="150">
        <f t="shared" ca="1" si="1"/>
        <v>46018</v>
      </c>
    </row>
    <row r="24" spans="1:24" x14ac:dyDescent="0.3">
      <c r="A24" s="130">
        <v>8</v>
      </c>
      <c r="B24" s="108" t="s">
        <v>61</v>
      </c>
      <c r="C24" s="110" t="s">
        <v>62</v>
      </c>
      <c r="D24" s="108" t="s">
        <v>27</v>
      </c>
      <c r="E24" s="108" t="s">
        <v>58</v>
      </c>
      <c r="F24" s="108" t="s">
        <v>495</v>
      </c>
      <c r="G24" s="111">
        <v>32755</v>
      </c>
      <c r="H24" s="110">
        <v>12425</v>
      </c>
      <c r="I24" s="141">
        <f t="shared" si="2"/>
        <v>3106.25</v>
      </c>
      <c r="J24" s="141">
        <f t="shared" si="3"/>
        <v>4970</v>
      </c>
      <c r="K24" s="142">
        <f t="shared" si="3"/>
        <v>931.875</v>
      </c>
      <c r="L24" s="141" t="e">
        <f>VLOOKUP(Sdata[[#This Row],[Empcode]],idata[],2,0)</f>
        <v>#N/A</v>
      </c>
      <c r="M24" s="144">
        <f>IFERROR(VLOOKUP(Sdata[[#This Row],[Empcode]],idata[],2,0), 0)</f>
        <v>0</v>
      </c>
      <c r="N24" s="141" t="e">
        <f>VLOOKUP(Sdata[[#This Row],[Empcode]],idata[],1,0)</f>
        <v>#N/A</v>
      </c>
      <c r="O24" s="144">
        <f>IF(Sdata[[#This Row],[Salary]]&gt;=15000,15%, IF(Sdata[[#This Row],[Salary]]&gt;=10000, 10%, IF(Sdata[[#This Row],[Salary]]&gt;=5000,5%, 2%)))</f>
        <v>0.1</v>
      </c>
      <c r="P24" s="145">
        <f>IF(Sdata[[#This Row],[Salary]]&gt;=15000,15%, IF(Sdata[[#This Row],[Salary]]&gt;=10000, 10%, IF(Sdata[[#This Row],[Salary]]&gt;=5000,5%, 2%)))</f>
        <v>0.1</v>
      </c>
      <c r="Q24" s="145">
        <f>VLOOKUP(Sdata[[#This Row],[Salary]],bdata[],2,1)</f>
        <v>0.1</v>
      </c>
      <c r="R24" s="149">
        <f>(Sdata[[#This Row],[Bonus in %]]*Sdata[[#This Row],[Salary]])</f>
        <v>1242.5</v>
      </c>
      <c r="S24" s="144">
        <f>SUM(Sdata[[#This Row],[Salary]], Sdata[[#This Row],[Salary]]*Sdata[[#This Row],[Bonus in %]])</f>
        <v>13667.5</v>
      </c>
      <c r="T24" s="106" t="str">
        <f>_xlfn.CONCAT(Sdata[[#This Row],[First Name]]," ",Sdata[[#This Row],[Last Name]])</f>
        <v>Neena Mukherjee</v>
      </c>
      <c r="U24" s="106" t="str">
        <f t="shared" si="0"/>
        <v>Neena Mukherjee</v>
      </c>
      <c r="V24" s="106">
        <f ca="1">DATEDIF(Sdata[[#This Row],[Hiredate]], TODAY(), "Y")</f>
        <v>36</v>
      </c>
      <c r="W24" s="150">
        <f t="shared" ca="1" si="1"/>
        <v>46018</v>
      </c>
    </row>
    <row r="25" spans="1:24" x14ac:dyDescent="0.3">
      <c r="A25" s="130">
        <v>9</v>
      </c>
      <c r="B25" s="108" t="s">
        <v>63</v>
      </c>
      <c r="C25" s="110" t="s">
        <v>64</v>
      </c>
      <c r="D25" s="108" t="s">
        <v>24</v>
      </c>
      <c r="E25" s="108" t="s">
        <v>58</v>
      </c>
      <c r="F25" s="108" t="s">
        <v>496</v>
      </c>
      <c r="G25" s="111">
        <v>36506</v>
      </c>
      <c r="H25" s="110">
        <v>14875</v>
      </c>
      <c r="I25" s="141">
        <f t="shared" si="2"/>
        <v>3718.75</v>
      </c>
      <c r="J25" s="141">
        <f t="shared" si="3"/>
        <v>5950</v>
      </c>
      <c r="K25" s="142">
        <f t="shared" si="3"/>
        <v>1115.625</v>
      </c>
      <c r="L25" s="141">
        <f>VLOOKUP(Sdata[[#This Row],[Empcode]],idata[],2,0)</f>
        <v>9000</v>
      </c>
      <c r="M25" s="144">
        <f>IFERROR(VLOOKUP(Sdata[[#This Row],[Empcode]],idata[],2,0), 0)</f>
        <v>9000</v>
      </c>
      <c r="N25" s="141">
        <f>VLOOKUP(Sdata[[#This Row],[Empcode]],idata[],1,0)</f>
        <v>9</v>
      </c>
      <c r="O25" s="144">
        <f>IF(Sdata[[#This Row],[Salary]]&gt;=15000,15%, IF(Sdata[[#This Row],[Salary]]&gt;=10000, 10%, IF(Sdata[[#This Row],[Salary]]&gt;=5000,5%, 2%)))</f>
        <v>0.1</v>
      </c>
      <c r="P25" s="145">
        <f>IF(Sdata[[#This Row],[Salary]]&gt;=15000,15%, IF(Sdata[[#This Row],[Salary]]&gt;=10000, 10%, IF(Sdata[[#This Row],[Salary]]&gt;=5000,5%, 2%)))</f>
        <v>0.1</v>
      </c>
      <c r="Q25" s="145">
        <f>VLOOKUP(Sdata[[#This Row],[Salary]],bdata[],2,1)</f>
        <v>0.1</v>
      </c>
      <c r="R25" s="149">
        <f>(Sdata[[#This Row],[Bonus in %]]*Sdata[[#This Row],[Salary]])</f>
        <v>1487.5</v>
      </c>
      <c r="S25" s="144">
        <f>SUM(Sdata[[#This Row],[Salary]], Sdata[[#This Row],[Salary]]*Sdata[[#This Row],[Bonus in %]])</f>
        <v>16362.5</v>
      </c>
      <c r="T25" s="106" t="str">
        <f>_xlfn.CONCAT(Sdata[[#This Row],[First Name]]," ",Sdata[[#This Row],[Last Name]])</f>
        <v>Pankaj Sutradhar</v>
      </c>
      <c r="U25" s="106" t="str">
        <f t="shared" si="0"/>
        <v>Pankaj Sutradhar</v>
      </c>
      <c r="V25" s="106">
        <f ca="1">DATEDIF(Sdata[[#This Row],[Hiredate]], TODAY(), "Y")</f>
        <v>26</v>
      </c>
      <c r="W25" s="150">
        <f t="shared" ca="1" si="1"/>
        <v>46018</v>
      </c>
    </row>
    <row r="26" spans="1:24" x14ac:dyDescent="0.3">
      <c r="A26" s="130">
        <v>10</v>
      </c>
      <c r="B26" s="108" t="s">
        <v>65</v>
      </c>
      <c r="C26" s="110" t="s">
        <v>66</v>
      </c>
      <c r="D26" s="108" t="s">
        <v>9</v>
      </c>
      <c r="E26" s="108" t="s">
        <v>10</v>
      </c>
      <c r="F26" s="108" t="s">
        <v>497</v>
      </c>
      <c r="G26" s="111">
        <v>28326</v>
      </c>
      <c r="H26" s="110">
        <v>15750</v>
      </c>
      <c r="I26" s="141">
        <f t="shared" si="2"/>
        <v>3937.5</v>
      </c>
      <c r="J26" s="141">
        <f t="shared" si="3"/>
        <v>6300</v>
      </c>
      <c r="K26" s="142">
        <f t="shared" si="3"/>
        <v>1181.25</v>
      </c>
      <c r="L26" s="141" t="e">
        <f>VLOOKUP(Sdata[[#This Row],[Empcode]],idata[],2,0)</f>
        <v>#N/A</v>
      </c>
      <c r="M26" s="144">
        <f>IFERROR(VLOOKUP(Sdata[[#This Row],[Empcode]],idata[],2,0), 0)</f>
        <v>0</v>
      </c>
      <c r="N26" s="141" t="e">
        <f>VLOOKUP(Sdata[[#This Row],[Empcode]],idata[],1,0)</f>
        <v>#N/A</v>
      </c>
      <c r="O26" s="144">
        <f>IF(Sdata[[#This Row],[Salary]]&gt;=15000,15%, IF(Sdata[[#This Row],[Salary]]&gt;=10000, 10%, IF(Sdata[[#This Row],[Salary]]&gt;=5000,5%, 2%)))</f>
        <v>0.15</v>
      </c>
      <c r="P26" s="145">
        <f>IF(Sdata[[#This Row],[Salary]]&gt;=15000,15%, IF(Sdata[[#This Row],[Salary]]&gt;=10000, 10%, IF(Sdata[[#This Row],[Salary]]&gt;=5000,5%, 2%)))</f>
        <v>0.15</v>
      </c>
      <c r="Q26" s="145">
        <f>VLOOKUP(Sdata[[#This Row],[Salary]],bdata[],2,1)</f>
        <v>0.15</v>
      </c>
      <c r="R26" s="149">
        <f>(Sdata[[#This Row],[Bonus in %]]*Sdata[[#This Row],[Salary]])</f>
        <v>2362.5</v>
      </c>
      <c r="S26" s="144">
        <f>SUM(Sdata[[#This Row],[Salary]], Sdata[[#This Row],[Salary]]*Sdata[[#This Row],[Bonus in %]])</f>
        <v>18112.5</v>
      </c>
      <c r="T26" s="106" t="str">
        <f>_xlfn.CONCAT(Sdata[[#This Row],[First Name]]," ",Sdata[[#This Row],[Last Name]])</f>
        <v>Andre Fernendes</v>
      </c>
      <c r="U26" s="106" t="str">
        <f t="shared" si="0"/>
        <v>Andre Fernendes</v>
      </c>
      <c r="V26" s="106">
        <f ca="1">DATEDIF(Sdata[[#This Row],[Hiredate]], TODAY(), "Y")</f>
        <v>48</v>
      </c>
      <c r="W26" s="150">
        <f t="shared" ca="1" si="1"/>
        <v>46018</v>
      </c>
    </row>
    <row r="27" spans="1:24" x14ac:dyDescent="0.3">
      <c r="A27" s="130">
        <v>11</v>
      </c>
      <c r="B27" s="108" t="s">
        <v>11</v>
      </c>
      <c r="C27" s="110" t="s">
        <v>12</v>
      </c>
      <c r="D27" s="108" t="s">
        <v>13</v>
      </c>
      <c r="E27" s="108" t="s">
        <v>161</v>
      </c>
      <c r="F27" s="108" t="s">
        <v>494</v>
      </c>
      <c r="G27" s="111">
        <v>31402</v>
      </c>
      <c r="H27" s="110">
        <v>14875</v>
      </c>
      <c r="I27" s="141">
        <f t="shared" si="2"/>
        <v>3718.75</v>
      </c>
      <c r="J27" s="141">
        <f t="shared" si="3"/>
        <v>5950</v>
      </c>
      <c r="K27" s="142">
        <f t="shared" si="3"/>
        <v>1115.625</v>
      </c>
      <c r="L27" s="141">
        <f>VLOOKUP(Sdata[[#This Row],[Empcode]],idata[],2,0)</f>
        <v>11000</v>
      </c>
      <c r="M27" s="144">
        <f>IFERROR(VLOOKUP(Sdata[[#This Row],[Empcode]],idata[],2,0), 0)</f>
        <v>11000</v>
      </c>
      <c r="N27" s="141">
        <f>VLOOKUP(Sdata[[#This Row],[Empcode]],idata[],1,0)</f>
        <v>11</v>
      </c>
      <c r="O27" s="144">
        <f>IF(Sdata[[#This Row],[Salary]]&gt;=15000,15%, IF(Sdata[[#This Row],[Salary]]&gt;=10000, 10%, IF(Sdata[[#This Row],[Salary]]&gt;=5000,5%, 2%)))</f>
        <v>0.1</v>
      </c>
      <c r="P27" s="145">
        <f>IF(Sdata[[#This Row],[Salary]]&gt;=15000,15%, IF(Sdata[[#This Row],[Salary]]&gt;=10000, 10%, IF(Sdata[[#This Row],[Salary]]&gt;=5000,5%, 2%)))</f>
        <v>0.1</v>
      </c>
      <c r="Q27" s="145">
        <f>VLOOKUP(Sdata[[#This Row],[Salary]],bdata[],2,1)</f>
        <v>0.1</v>
      </c>
      <c r="R27" s="149">
        <f>(Sdata[[#This Row],[Bonus in %]]*Sdata[[#This Row],[Salary]])</f>
        <v>1487.5</v>
      </c>
      <c r="S27" s="144">
        <f>SUM(Sdata[[#This Row],[Salary]], Sdata[[#This Row],[Salary]]*Sdata[[#This Row],[Bonus in %]])</f>
        <v>16362.5</v>
      </c>
      <c r="T27" s="106" t="str">
        <f>_xlfn.CONCAT(Sdata[[#This Row],[First Name]]," ",Sdata[[#This Row],[Last Name]])</f>
        <v>Sujay Madhrani</v>
      </c>
      <c r="U27" s="106" t="str">
        <f t="shared" si="0"/>
        <v>Sujay Madhrani</v>
      </c>
      <c r="V27" s="106">
        <f ca="1">DATEDIF(Sdata[[#This Row],[Hiredate]], TODAY(), "Y")</f>
        <v>40</v>
      </c>
      <c r="W27" s="150">
        <f t="shared" ca="1" si="1"/>
        <v>46018</v>
      </c>
    </row>
    <row r="28" spans="1:24" x14ac:dyDescent="0.3">
      <c r="A28" s="130">
        <v>12</v>
      </c>
      <c r="B28" s="108" t="s">
        <v>162</v>
      </c>
      <c r="C28" s="110" t="s">
        <v>163</v>
      </c>
      <c r="D28" s="108" t="s">
        <v>47</v>
      </c>
      <c r="E28" s="108" t="s">
        <v>58</v>
      </c>
      <c r="F28" s="108" t="s">
        <v>498</v>
      </c>
      <c r="G28" s="111">
        <v>30376</v>
      </c>
      <c r="H28" s="110">
        <v>21000</v>
      </c>
      <c r="I28" s="141">
        <f t="shared" si="2"/>
        <v>5250</v>
      </c>
      <c r="J28" s="141">
        <f t="shared" si="3"/>
        <v>8400</v>
      </c>
      <c r="K28" s="142">
        <f t="shared" si="3"/>
        <v>1575</v>
      </c>
      <c r="L28" s="141" t="e">
        <f>VLOOKUP(Sdata[[#This Row],[Empcode]],idata[],2,0)</f>
        <v>#N/A</v>
      </c>
      <c r="M28" s="144">
        <f>IFERROR(VLOOKUP(Sdata[[#This Row],[Empcode]],idata[],2,0), 0)</f>
        <v>0</v>
      </c>
      <c r="N28" s="141" t="e">
        <f>VLOOKUP(Sdata[[#This Row],[Empcode]],idata[],1,0)</f>
        <v>#N/A</v>
      </c>
      <c r="O28" s="144">
        <f>IF(Sdata[[#This Row],[Salary]]&gt;=15000,15%, IF(Sdata[[#This Row],[Salary]]&gt;=10000, 10%, IF(Sdata[[#This Row],[Salary]]&gt;=5000,5%, 2%)))</f>
        <v>0.15</v>
      </c>
      <c r="P28" s="145">
        <f>IF(Sdata[[#This Row],[Salary]]&gt;=15000,15%, IF(Sdata[[#This Row],[Salary]]&gt;=10000, 10%, IF(Sdata[[#This Row],[Salary]]&gt;=5000,5%, 2%)))</f>
        <v>0.15</v>
      </c>
      <c r="Q28" s="145">
        <f>VLOOKUP(Sdata[[#This Row],[Salary]],bdata[],2,1)</f>
        <v>0.15</v>
      </c>
      <c r="R28" s="149">
        <f>(Sdata[[#This Row],[Bonus in %]]*Sdata[[#This Row],[Salary]])</f>
        <v>3150</v>
      </c>
      <c r="S28" s="144">
        <f>SUM(Sdata[[#This Row],[Salary]], Sdata[[#This Row],[Salary]]*Sdata[[#This Row],[Bonus in %]])</f>
        <v>24150</v>
      </c>
      <c r="T28" s="106" t="str">
        <f>_xlfn.CONCAT(Sdata[[#This Row],[First Name]]," ",Sdata[[#This Row],[Last Name]])</f>
        <v>Shilpa Lele</v>
      </c>
      <c r="U28" s="106" t="str">
        <f t="shared" si="0"/>
        <v>Shilpa Lele</v>
      </c>
      <c r="V28" s="106">
        <f ca="1">DATEDIF(Sdata[[#This Row],[Hiredate]], TODAY(), "Y")</f>
        <v>42</v>
      </c>
      <c r="W28" s="150">
        <f t="shared" ca="1" si="1"/>
        <v>46018</v>
      </c>
    </row>
    <row r="29" spans="1:24" x14ac:dyDescent="0.3">
      <c r="A29" s="130">
        <v>13</v>
      </c>
      <c r="B29" s="108" t="s">
        <v>67</v>
      </c>
      <c r="C29" s="110" t="s">
        <v>68</v>
      </c>
      <c r="D29" s="108" t="s">
        <v>13</v>
      </c>
      <c r="E29" s="108" t="s">
        <v>10</v>
      </c>
      <c r="F29" s="108" t="s">
        <v>499</v>
      </c>
      <c r="G29" s="111">
        <v>31027</v>
      </c>
      <c r="H29" s="110">
        <v>19250</v>
      </c>
      <c r="I29" s="141">
        <f t="shared" si="2"/>
        <v>4812.5</v>
      </c>
      <c r="J29" s="141">
        <f t="shared" si="3"/>
        <v>7700</v>
      </c>
      <c r="K29" s="142">
        <f t="shared" si="3"/>
        <v>1443.75</v>
      </c>
      <c r="L29" s="141">
        <f>VLOOKUP(Sdata[[#This Row],[Empcode]],idata[],2,0)</f>
        <v>13000</v>
      </c>
      <c r="M29" s="144">
        <f>IFERROR(VLOOKUP(Sdata[[#This Row],[Empcode]],idata[],2,0), 0)</f>
        <v>13000</v>
      </c>
      <c r="N29" s="141">
        <f>VLOOKUP(Sdata[[#This Row],[Empcode]],idata[],1,0)</f>
        <v>13</v>
      </c>
      <c r="O29" s="144">
        <f>IF(Sdata[[#This Row],[Salary]]&gt;=15000,15%, IF(Sdata[[#This Row],[Salary]]&gt;=10000, 10%, IF(Sdata[[#This Row],[Salary]]&gt;=5000,5%, 2%)))</f>
        <v>0.15</v>
      </c>
      <c r="P29" s="145">
        <f>IF(Sdata[[#This Row],[Salary]]&gt;=15000,15%, IF(Sdata[[#This Row],[Salary]]&gt;=10000, 10%, IF(Sdata[[#This Row],[Salary]]&gt;=5000,5%, 2%)))</f>
        <v>0.15</v>
      </c>
      <c r="Q29" s="145">
        <f>VLOOKUP(Sdata[[#This Row],[Salary]],bdata[],2,1)</f>
        <v>0.15</v>
      </c>
      <c r="R29" s="149">
        <f>(Sdata[[#This Row],[Bonus in %]]*Sdata[[#This Row],[Salary]])</f>
        <v>2887.5</v>
      </c>
      <c r="S29" s="144">
        <f>SUM(Sdata[[#This Row],[Salary]], Sdata[[#This Row],[Salary]]*Sdata[[#This Row],[Bonus in %]])</f>
        <v>22137.5</v>
      </c>
      <c r="T29" s="106" t="str">
        <f>_xlfn.CONCAT(Sdata[[#This Row],[First Name]]," ",Sdata[[#This Row],[Last Name]])</f>
        <v>Meera Lalwani</v>
      </c>
      <c r="U29" s="106" t="str">
        <f t="shared" si="0"/>
        <v>Meera Lalwani</v>
      </c>
      <c r="V29" s="106">
        <f ca="1">DATEDIF(Sdata[[#This Row],[Hiredate]], TODAY(), "Y")</f>
        <v>41</v>
      </c>
      <c r="W29" s="150">
        <f t="shared" ca="1" si="1"/>
        <v>46018</v>
      </c>
    </row>
    <row r="30" spans="1:24" x14ac:dyDescent="0.3">
      <c r="A30" s="130">
        <v>14</v>
      </c>
      <c r="B30" s="108" t="s">
        <v>14</v>
      </c>
      <c r="C30" s="110" t="s">
        <v>15</v>
      </c>
      <c r="D30" s="108" t="s">
        <v>16</v>
      </c>
      <c r="E30" s="108" t="s">
        <v>125</v>
      </c>
      <c r="F30" s="108" t="s">
        <v>500</v>
      </c>
      <c r="G30" s="111">
        <v>31028</v>
      </c>
      <c r="H30" s="110">
        <v>49000</v>
      </c>
      <c r="I30" s="141">
        <f t="shared" si="2"/>
        <v>12250</v>
      </c>
      <c r="J30" s="141">
        <f t="shared" si="3"/>
        <v>19600</v>
      </c>
      <c r="K30" s="142">
        <f t="shared" si="3"/>
        <v>3675</v>
      </c>
      <c r="L30" s="141" t="e">
        <f>VLOOKUP(Sdata[[#This Row],[Empcode]],idata[],2,0)</f>
        <v>#N/A</v>
      </c>
      <c r="M30" s="144">
        <f>IFERROR(VLOOKUP(Sdata[[#This Row],[Empcode]],idata[],2,0), 0)</f>
        <v>0</v>
      </c>
      <c r="N30" s="141" t="e">
        <f>VLOOKUP(Sdata[[#This Row],[Empcode]],idata[],1,0)</f>
        <v>#N/A</v>
      </c>
      <c r="O30" s="144">
        <f>IF(Sdata[[#This Row],[Salary]]&gt;=15000,15%, IF(Sdata[[#This Row],[Salary]]&gt;=10000, 10%, IF(Sdata[[#This Row],[Salary]]&gt;=5000,5%, 2%)))</f>
        <v>0.15</v>
      </c>
      <c r="P30" s="145">
        <f>IF(Sdata[[#This Row],[Salary]]&gt;=15000,15%, IF(Sdata[[#This Row],[Salary]]&gt;=10000, 10%, IF(Sdata[[#This Row],[Salary]]&gt;=5000,5%, 2%)))</f>
        <v>0.15</v>
      </c>
      <c r="Q30" s="145">
        <f>VLOOKUP(Sdata[[#This Row],[Salary]],bdata[],2,1)</f>
        <v>0.15</v>
      </c>
      <c r="R30" s="149">
        <f>(Sdata[[#This Row],[Bonus in %]]*Sdata[[#This Row],[Salary]])</f>
        <v>7350</v>
      </c>
      <c r="S30" s="144">
        <f>SUM(Sdata[[#This Row],[Salary]], Sdata[[#This Row],[Salary]]*Sdata[[#This Row],[Bonus in %]])</f>
        <v>56350</v>
      </c>
      <c r="T30" s="106" t="str">
        <f>_xlfn.CONCAT(Sdata[[#This Row],[First Name]]," ",Sdata[[#This Row],[Last Name]])</f>
        <v>Sheetal Desai</v>
      </c>
      <c r="U30" s="106" t="str">
        <f t="shared" si="0"/>
        <v>Sheetal Desai</v>
      </c>
      <c r="V30" s="106">
        <f ca="1">DATEDIF(Sdata[[#This Row],[Hiredate]], TODAY(), "Y")</f>
        <v>41</v>
      </c>
      <c r="W30" s="150">
        <f t="shared" ca="1" si="1"/>
        <v>46018</v>
      </c>
    </row>
    <row r="31" spans="1:24" x14ac:dyDescent="0.3">
      <c r="A31" s="130">
        <v>15</v>
      </c>
      <c r="B31" s="108" t="s">
        <v>126</v>
      </c>
      <c r="C31" s="110" t="s">
        <v>127</v>
      </c>
      <c r="D31" s="108" t="s">
        <v>493</v>
      </c>
      <c r="E31" s="108" t="s">
        <v>58</v>
      </c>
      <c r="F31" s="108" t="s">
        <v>498</v>
      </c>
      <c r="G31" s="111">
        <v>31029</v>
      </c>
      <c r="H31" s="110">
        <v>14875</v>
      </c>
      <c r="I31" s="141">
        <f t="shared" si="2"/>
        <v>3718.75</v>
      </c>
      <c r="J31" s="141">
        <f t="shared" si="3"/>
        <v>5950</v>
      </c>
      <c r="K31" s="142">
        <f t="shared" si="3"/>
        <v>1115.625</v>
      </c>
      <c r="L31" s="141">
        <f>VLOOKUP(Sdata[[#This Row],[Empcode]],idata[],2,0)</f>
        <v>15000</v>
      </c>
      <c r="M31" s="144">
        <f>IFERROR(VLOOKUP(Sdata[[#This Row],[Empcode]],idata[],2,0), 0)</f>
        <v>15000</v>
      </c>
      <c r="N31" s="141">
        <f>VLOOKUP(Sdata[[#This Row],[Empcode]],idata[],1,0)</f>
        <v>15</v>
      </c>
      <c r="O31" s="144">
        <f>IF(Sdata[[#This Row],[Salary]]&gt;=15000,15%, IF(Sdata[[#This Row],[Salary]]&gt;=10000, 10%, IF(Sdata[[#This Row],[Salary]]&gt;=5000,5%, 2%)))</f>
        <v>0.1</v>
      </c>
      <c r="P31" s="145">
        <f>IF(Sdata[[#This Row],[Salary]]&gt;=15000,15%, IF(Sdata[[#This Row],[Salary]]&gt;=10000, 10%, IF(Sdata[[#This Row],[Salary]]&gt;=5000,5%, 2%)))</f>
        <v>0.1</v>
      </c>
      <c r="Q31" s="145">
        <f>VLOOKUP(Sdata[[#This Row],[Salary]],bdata[],2,1)</f>
        <v>0.1</v>
      </c>
      <c r="R31" s="149">
        <f>(Sdata[[#This Row],[Bonus in %]]*Sdata[[#This Row],[Salary]])</f>
        <v>1487.5</v>
      </c>
      <c r="S31" s="144">
        <f>SUM(Sdata[[#This Row],[Salary]], Sdata[[#This Row],[Salary]]*Sdata[[#This Row],[Bonus in %]])</f>
        <v>16362.5</v>
      </c>
      <c r="T31" s="106" t="str">
        <f>_xlfn.CONCAT(Sdata[[#This Row],[First Name]]," ",Sdata[[#This Row],[Last Name]])</f>
        <v>K. Sita Narayanan</v>
      </c>
      <c r="U31" s="106" t="str">
        <f t="shared" si="0"/>
        <v>K. Sita Narayanan</v>
      </c>
      <c r="V31" s="106">
        <f ca="1">DATEDIF(Sdata[[#This Row],[Hiredate]], TODAY(), "Y")</f>
        <v>41</v>
      </c>
      <c r="W31" s="150">
        <f t="shared" ca="1" si="1"/>
        <v>46018</v>
      </c>
    </row>
    <row r="32" spans="1:24" x14ac:dyDescent="0.3">
      <c r="A32" s="130">
        <v>16</v>
      </c>
      <c r="B32" s="108" t="s">
        <v>69</v>
      </c>
      <c r="C32" s="110" t="s">
        <v>70</v>
      </c>
      <c r="D32" s="108" t="s">
        <v>493</v>
      </c>
      <c r="E32" s="108" t="s">
        <v>58</v>
      </c>
      <c r="F32" s="108" t="s">
        <v>501</v>
      </c>
      <c r="G32" s="111">
        <v>31030</v>
      </c>
      <c r="H32" s="110">
        <v>14875</v>
      </c>
      <c r="I32" s="141">
        <f t="shared" si="2"/>
        <v>3718.75</v>
      </c>
      <c r="J32" s="141">
        <f t="shared" si="3"/>
        <v>5950</v>
      </c>
      <c r="K32" s="142">
        <f t="shared" si="3"/>
        <v>1115.625</v>
      </c>
      <c r="L32" s="141" t="e">
        <f>VLOOKUP(Sdata[[#This Row],[Empcode]],idata[],2,0)</f>
        <v>#N/A</v>
      </c>
      <c r="M32" s="144">
        <f>IFERROR(VLOOKUP(Sdata[[#This Row],[Empcode]],idata[],2,0), 0)</f>
        <v>0</v>
      </c>
      <c r="N32" s="141" t="e">
        <f>VLOOKUP(Sdata[[#This Row],[Empcode]],idata[],1,0)</f>
        <v>#N/A</v>
      </c>
      <c r="O32" s="144">
        <f>IF(Sdata[[#This Row],[Salary]]&gt;=15000,15%, IF(Sdata[[#This Row],[Salary]]&gt;=10000, 10%, IF(Sdata[[#This Row],[Salary]]&gt;=5000,5%, 2%)))</f>
        <v>0.1</v>
      </c>
      <c r="P32" s="145">
        <f>IF(Sdata[[#This Row],[Salary]]&gt;=15000,15%, IF(Sdata[[#This Row],[Salary]]&gt;=10000, 10%, IF(Sdata[[#This Row],[Salary]]&gt;=5000,5%, 2%)))</f>
        <v>0.1</v>
      </c>
      <c r="Q32" s="145">
        <f>VLOOKUP(Sdata[[#This Row],[Salary]],bdata[],2,1)</f>
        <v>0.1</v>
      </c>
      <c r="R32" s="149">
        <f>(Sdata[[#This Row],[Bonus in %]]*Sdata[[#This Row],[Salary]])</f>
        <v>1487.5</v>
      </c>
      <c r="S32" s="144">
        <f>SUM(Sdata[[#This Row],[Salary]], Sdata[[#This Row],[Salary]]*Sdata[[#This Row],[Bonus in %]])</f>
        <v>16362.5</v>
      </c>
      <c r="T32" s="106" t="str">
        <f>_xlfn.CONCAT(Sdata[[#This Row],[First Name]]," ",Sdata[[#This Row],[Last Name]])</f>
        <v>Priya Shirodkar</v>
      </c>
      <c r="U32" s="106" t="str">
        <f t="shared" si="0"/>
        <v>Priya Shirodkar</v>
      </c>
      <c r="V32" s="106">
        <f ca="1">DATEDIF(Sdata[[#This Row],[Hiredate]], TODAY(), "Y")</f>
        <v>41</v>
      </c>
      <c r="W32" s="150">
        <f t="shared" ca="1" si="1"/>
        <v>46018</v>
      </c>
    </row>
    <row r="33" spans="1:23" x14ac:dyDescent="0.3">
      <c r="A33" s="130">
        <v>17</v>
      </c>
      <c r="B33" s="108" t="s">
        <v>71</v>
      </c>
      <c r="C33" s="110" t="s">
        <v>72</v>
      </c>
      <c r="D33" s="108" t="s">
        <v>47</v>
      </c>
      <c r="E33" s="108" t="s">
        <v>10</v>
      </c>
      <c r="F33" s="108" t="s">
        <v>488</v>
      </c>
      <c r="G33" s="111">
        <v>30376</v>
      </c>
      <c r="H33" s="110">
        <v>15750</v>
      </c>
      <c r="I33" s="141">
        <f t="shared" si="2"/>
        <v>3937.5</v>
      </c>
      <c r="J33" s="141">
        <f t="shared" si="3"/>
        <v>6300</v>
      </c>
      <c r="K33" s="142">
        <f t="shared" si="3"/>
        <v>1181.25</v>
      </c>
      <c r="L33" s="141">
        <f>VLOOKUP(Sdata[[#This Row],[Empcode]],idata[],2,0)</f>
        <v>17000</v>
      </c>
      <c r="M33" s="144">
        <f>IFERROR(VLOOKUP(Sdata[[#This Row],[Empcode]],idata[],2,0), 0)</f>
        <v>17000</v>
      </c>
      <c r="N33" s="141">
        <f>VLOOKUP(Sdata[[#This Row],[Empcode]],idata[],1,0)</f>
        <v>17</v>
      </c>
      <c r="O33" s="144">
        <f>IF(Sdata[[#This Row],[Salary]]&gt;=15000,15%, IF(Sdata[[#This Row],[Salary]]&gt;=10000, 10%, IF(Sdata[[#This Row],[Salary]]&gt;=5000,5%, 2%)))</f>
        <v>0.15</v>
      </c>
      <c r="P33" s="145">
        <f>IF(Sdata[[#This Row],[Salary]]&gt;=15000,15%, IF(Sdata[[#This Row],[Salary]]&gt;=10000, 10%, IF(Sdata[[#This Row],[Salary]]&gt;=5000,5%, 2%)))</f>
        <v>0.15</v>
      </c>
      <c r="Q33" s="145">
        <f>VLOOKUP(Sdata[[#This Row],[Salary]],bdata[],2,1)</f>
        <v>0.15</v>
      </c>
      <c r="R33" s="149">
        <f>(Sdata[[#This Row],[Bonus in %]]*Sdata[[#This Row],[Salary]])</f>
        <v>2362.5</v>
      </c>
      <c r="S33" s="144">
        <f>SUM(Sdata[[#This Row],[Salary]], Sdata[[#This Row],[Salary]]*Sdata[[#This Row],[Bonus in %]])</f>
        <v>18112.5</v>
      </c>
      <c r="T33" s="106" t="str">
        <f>_xlfn.CONCAT(Sdata[[#This Row],[First Name]]," ",Sdata[[#This Row],[Last Name]])</f>
        <v>Aalok Trivedi</v>
      </c>
      <c r="U33" s="106" t="str">
        <f t="shared" si="0"/>
        <v>Aalok Trivedi</v>
      </c>
      <c r="V33" s="106">
        <f ca="1">DATEDIF(Sdata[[#This Row],[Hiredate]], TODAY(), "Y")</f>
        <v>42</v>
      </c>
      <c r="W33" s="150">
        <f t="shared" ca="1" si="1"/>
        <v>46018</v>
      </c>
    </row>
    <row r="34" spans="1:23" x14ac:dyDescent="0.3">
      <c r="A34" s="130">
        <v>18</v>
      </c>
      <c r="B34" s="108" t="s">
        <v>17</v>
      </c>
      <c r="C34" s="110" t="s">
        <v>18</v>
      </c>
      <c r="D34" s="108" t="s">
        <v>47</v>
      </c>
      <c r="E34" s="108" t="s">
        <v>161</v>
      </c>
      <c r="F34" s="108" t="s">
        <v>502</v>
      </c>
      <c r="G34" s="111">
        <v>30376</v>
      </c>
      <c r="H34" s="110">
        <v>15750</v>
      </c>
      <c r="I34" s="141">
        <f t="shared" si="2"/>
        <v>3937.5</v>
      </c>
      <c r="J34" s="141">
        <f t="shared" si="3"/>
        <v>6300</v>
      </c>
      <c r="K34" s="142">
        <f t="shared" si="3"/>
        <v>1181.25</v>
      </c>
      <c r="L34" s="141" t="e">
        <f>VLOOKUP(Sdata[[#This Row],[Empcode]],idata[],2,0)</f>
        <v>#N/A</v>
      </c>
      <c r="M34" s="144">
        <f>IFERROR(VLOOKUP(Sdata[[#This Row],[Empcode]],idata[],2,0), 0)</f>
        <v>0</v>
      </c>
      <c r="N34" s="141" t="e">
        <f>VLOOKUP(Sdata[[#This Row],[Empcode]],idata[],1,0)</f>
        <v>#N/A</v>
      </c>
      <c r="O34" s="144">
        <f>IF(Sdata[[#This Row],[Salary]]&gt;=15000,15%, IF(Sdata[[#This Row],[Salary]]&gt;=10000, 10%, IF(Sdata[[#This Row],[Salary]]&gt;=5000,5%, 2%)))</f>
        <v>0.15</v>
      </c>
      <c r="P34" s="145">
        <f>IF(Sdata[[#This Row],[Salary]]&gt;=15000,15%, IF(Sdata[[#This Row],[Salary]]&gt;=10000, 10%, IF(Sdata[[#This Row],[Salary]]&gt;=5000,5%, 2%)))</f>
        <v>0.15</v>
      </c>
      <c r="Q34" s="145">
        <f>VLOOKUP(Sdata[[#This Row],[Salary]],bdata[],2,1)</f>
        <v>0.15</v>
      </c>
      <c r="R34" s="149">
        <f>(Sdata[[#This Row],[Bonus in %]]*Sdata[[#This Row],[Salary]])</f>
        <v>2362.5</v>
      </c>
      <c r="S34" s="144">
        <f>SUM(Sdata[[#This Row],[Salary]], Sdata[[#This Row],[Salary]]*Sdata[[#This Row],[Bonus in %]])</f>
        <v>18112.5</v>
      </c>
      <c r="T34" s="106" t="str">
        <f>_xlfn.CONCAT(Sdata[[#This Row],[First Name]]," ",Sdata[[#This Row],[Last Name]])</f>
        <v>Aakash Dixit</v>
      </c>
      <c r="U34" s="106" t="str">
        <f t="shared" si="0"/>
        <v>Aakash Dixit</v>
      </c>
      <c r="V34" s="106">
        <f ca="1">DATEDIF(Sdata[[#This Row],[Hiredate]], TODAY(), "Y")</f>
        <v>42</v>
      </c>
      <c r="W34" s="150">
        <f t="shared" ca="1" si="1"/>
        <v>46018</v>
      </c>
    </row>
    <row r="35" spans="1:23" x14ac:dyDescent="0.3">
      <c r="A35" s="130">
        <v>19</v>
      </c>
      <c r="B35" s="108" t="s">
        <v>164</v>
      </c>
      <c r="C35" s="110" t="s">
        <v>165</v>
      </c>
      <c r="D35" s="108" t="s">
        <v>9</v>
      </c>
      <c r="E35" s="108" t="s">
        <v>58</v>
      </c>
      <c r="F35" s="108" t="s">
        <v>492</v>
      </c>
      <c r="G35" s="111">
        <v>31637</v>
      </c>
      <c r="H35" s="110">
        <v>10500</v>
      </c>
      <c r="I35" s="141">
        <f t="shared" si="2"/>
        <v>2625</v>
      </c>
      <c r="J35" s="141">
        <f t="shared" si="3"/>
        <v>4200</v>
      </c>
      <c r="K35" s="142">
        <f t="shared" si="3"/>
        <v>787.5</v>
      </c>
      <c r="L35" s="141">
        <f>VLOOKUP(Sdata[[#This Row],[Empcode]],idata[],2,0)</f>
        <v>19000</v>
      </c>
      <c r="M35" s="144">
        <f>IFERROR(VLOOKUP(Sdata[[#This Row],[Empcode]],idata[],2,0), 0)</f>
        <v>19000</v>
      </c>
      <c r="N35" s="141">
        <f>VLOOKUP(Sdata[[#This Row],[Empcode]],idata[],1,0)</f>
        <v>19</v>
      </c>
      <c r="O35" s="144">
        <f>IF(Sdata[[#This Row],[Salary]]&gt;=15000,15%, IF(Sdata[[#This Row],[Salary]]&gt;=10000, 10%, IF(Sdata[[#This Row],[Salary]]&gt;=5000,5%, 2%)))</f>
        <v>0.1</v>
      </c>
      <c r="P35" s="145">
        <f>IF(Sdata[[#This Row],[Salary]]&gt;=15000,15%, IF(Sdata[[#This Row],[Salary]]&gt;=10000, 10%, IF(Sdata[[#This Row],[Salary]]&gt;=5000,5%, 2%)))</f>
        <v>0.1</v>
      </c>
      <c r="Q35" s="145">
        <f>VLOOKUP(Sdata[[#This Row],[Salary]],bdata[],2,1)</f>
        <v>0.1</v>
      </c>
      <c r="R35" s="149">
        <f>(Sdata[[#This Row],[Bonus in %]]*Sdata[[#This Row],[Salary]])</f>
        <v>1050</v>
      </c>
      <c r="S35" s="144">
        <f>SUM(Sdata[[#This Row],[Salary]], Sdata[[#This Row],[Salary]]*Sdata[[#This Row],[Bonus in %]])</f>
        <v>11550</v>
      </c>
      <c r="T35" s="106" t="str">
        <f>_xlfn.CONCAT(Sdata[[#This Row],[First Name]]," ",Sdata[[#This Row],[Last Name]])</f>
        <v>Parvati Khanna</v>
      </c>
      <c r="U35" s="106" t="str">
        <f t="shared" si="0"/>
        <v>Parvati Khanna</v>
      </c>
      <c r="V35" s="106">
        <f ca="1">DATEDIF(Sdata[[#This Row],[Hiredate]], TODAY(), "Y")</f>
        <v>39</v>
      </c>
      <c r="W35" s="150">
        <f t="shared" ca="1" si="1"/>
        <v>46018</v>
      </c>
    </row>
    <row r="36" spans="1:23" x14ac:dyDescent="0.3">
      <c r="A36" s="130">
        <v>20</v>
      </c>
      <c r="B36" s="108" t="s">
        <v>73</v>
      </c>
      <c r="C36" s="110" t="s">
        <v>74</v>
      </c>
      <c r="D36" s="108" t="s">
        <v>9</v>
      </c>
      <c r="E36" s="108" t="s">
        <v>58</v>
      </c>
      <c r="F36" s="108" t="s">
        <v>501</v>
      </c>
      <c r="G36" s="111">
        <v>36316</v>
      </c>
      <c r="H36" s="110">
        <v>5950</v>
      </c>
      <c r="I36" s="141">
        <f t="shared" si="2"/>
        <v>1487.5</v>
      </c>
      <c r="J36" s="141">
        <f t="shared" si="3"/>
        <v>2380</v>
      </c>
      <c r="K36" s="142">
        <f t="shared" si="3"/>
        <v>446.25</v>
      </c>
      <c r="L36" s="141" t="e">
        <f>VLOOKUP(Sdata[[#This Row],[Empcode]],idata[],2,0)</f>
        <v>#N/A</v>
      </c>
      <c r="M36" s="144">
        <f>IFERROR(VLOOKUP(Sdata[[#This Row],[Empcode]],idata[],2,0), 0)</f>
        <v>0</v>
      </c>
      <c r="N36" s="141" t="e">
        <f>VLOOKUP(Sdata[[#This Row],[Empcode]],idata[],1,0)</f>
        <v>#N/A</v>
      </c>
      <c r="O36" s="144">
        <f>IF(Sdata[[#This Row],[Salary]]&gt;=15000,15%, IF(Sdata[[#This Row],[Salary]]&gt;=10000, 10%, IF(Sdata[[#This Row],[Salary]]&gt;=5000,5%, 2%)))</f>
        <v>0.05</v>
      </c>
      <c r="P36" s="145">
        <f>IF(Sdata[[#This Row],[Salary]]&gt;=15000,15%, IF(Sdata[[#This Row],[Salary]]&gt;=10000, 10%, IF(Sdata[[#This Row],[Salary]]&gt;=5000,5%, 2%)))</f>
        <v>0.05</v>
      </c>
      <c r="Q36" s="145">
        <f>VLOOKUP(Sdata[[#This Row],[Salary]],bdata[],2,1)</f>
        <v>0.05</v>
      </c>
      <c r="R36" s="149">
        <f>(Sdata[[#This Row],[Bonus in %]]*Sdata[[#This Row],[Salary]])</f>
        <v>297.5</v>
      </c>
      <c r="S36" s="144">
        <f>SUM(Sdata[[#This Row],[Salary]], Sdata[[#This Row],[Salary]]*Sdata[[#This Row],[Bonus in %]])</f>
        <v>6247.5</v>
      </c>
      <c r="T36" s="106" t="str">
        <f>_xlfn.CONCAT(Sdata[[#This Row],[First Name]]," ",Sdata[[#This Row],[Last Name]])</f>
        <v>Farhan Sadiq</v>
      </c>
      <c r="U36" s="106" t="str">
        <f t="shared" si="0"/>
        <v>Farhan Sadiq</v>
      </c>
      <c r="V36" s="106">
        <f ca="1">DATEDIF(Sdata[[#This Row],[Hiredate]], TODAY(), "Y")</f>
        <v>26</v>
      </c>
      <c r="W36" s="150">
        <f t="shared" ca="1" si="1"/>
        <v>46018</v>
      </c>
    </row>
    <row r="37" spans="1:23" x14ac:dyDescent="0.3">
      <c r="A37" s="130">
        <v>21</v>
      </c>
      <c r="B37" s="108" t="s">
        <v>75</v>
      </c>
      <c r="C37" s="110" t="s">
        <v>76</v>
      </c>
      <c r="D37" s="108" t="s">
        <v>9</v>
      </c>
      <c r="E37" s="108" t="s">
        <v>10</v>
      </c>
      <c r="F37" s="108" t="s">
        <v>503</v>
      </c>
      <c r="G37" s="111">
        <v>36317</v>
      </c>
      <c r="H37" s="110">
        <v>7875</v>
      </c>
      <c r="I37" s="141">
        <f t="shared" si="2"/>
        <v>1968.75</v>
      </c>
      <c r="J37" s="141">
        <f t="shared" si="3"/>
        <v>3150</v>
      </c>
      <c r="K37" s="142">
        <f t="shared" si="3"/>
        <v>590.625</v>
      </c>
      <c r="L37" s="141">
        <f>VLOOKUP(Sdata[[#This Row],[Empcode]],idata[],2,0)</f>
        <v>21000</v>
      </c>
      <c r="M37" s="144">
        <f>IFERROR(VLOOKUP(Sdata[[#This Row],[Empcode]],idata[],2,0), 0)</f>
        <v>21000</v>
      </c>
      <c r="N37" s="141">
        <f>VLOOKUP(Sdata[[#This Row],[Empcode]],idata[],1,0)</f>
        <v>21</v>
      </c>
      <c r="O37" s="144">
        <f>IF(Sdata[[#This Row],[Salary]]&gt;=15000,15%, IF(Sdata[[#This Row],[Salary]]&gt;=10000, 10%, IF(Sdata[[#This Row],[Salary]]&gt;=5000,5%, 2%)))</f>
        <v>0.05</v>
      </c>
      <c r="P37" s="145">
        <f>IF(Sdata[[#This Row],[Salary]]&gt;=15000,15%, IF(Sdata[[#This Row],[Salary]]&gt;=10000, 10%, IF(Sdata[[#This Row],[Salary]]&gt;=5000,5%, 2%)))</f>
        <v>0.05</v>
      </c>
      <c r="Q37" s="145">
        <f>VLOOKUP(Sdata[[#This Row],[Salary]],bdata[],2,1)</f>
        <v>0.05</v>
      </c>
      <c r="R37" s="149">
        <f>(Sdata[[#This Row],[Bonus in %]]*Sdata[[#This Row],[Salary]])</f>
        <v>393.75</v>
      </c>
      <c r="S37" s="144">
        <f>SUM(Sdata[[#This Row],[Salary]], Sdata[[#This Row],[Salary]]*Sdata[[#This Row],[Bonus in %]])</f>
        <v>8268.75</v>
      </c>
      <c r="T37" s="106" t="str">
        <f>_xlfn.CONCAT(Sdata[[#This Row],[First Name]]," ",Sdata[[#This Row],[Last Name]])</f>
        <v>Satinder Kaur Sasan</v>
      </c>
      <c r="U37" s="106" t="str">
        <f t="shared" si="0"/>
        <v>Satinder Kaur Sasan</v>
      </c>
      <c r="V37" s="106">
        <f ca="1">DATEDIF(Sdata[[#This Row],[Hiredate]], TODAY(), "Y")</f>
        <v>26</v>
      </c>
      <c r="W37" s="150">
        <f t="shared" ca="1" si="1"/>
        <v>46018</v>
      </c>
    </row>
    <row r="38" spans="1:23" x14ac:dyDescent="0.3">
      <c r="A38" s="130">
        <v>22</v>
      </c>
      <c r="B38" s="108" t="s">
        <v>20</v>
      </c>
      <c r="C38" s="110" t="s">
        <v>21</v>
      </c>
      <c r="D38" s="108" t="s">
        <v>9</v>
      </c>
      <c r="E38" s="108" t="s">
        <v>161</v>
      </c>
      <c r="F38" s="108" t="s">
        <v>502</v>
      </c>
      <c r="G38" s="111">
        <v>36318</v>
      </c>
      <c r="H38" s="110">
        <v>7875</v>
      </c>
      <c r="I38" s="141">
        <f t="shared" si="2"/>
        <v>1968.75</v>
      </c>
      <c r="J38" s="141">
        <f t="shared" si="3"/>
        <v>3150</v>
      </c>
      <c r="K38" s="142">
        <f t="shared" si="3"/>
        <v>590.625</v>
      </c>
      <c r="L38" s="141" t="e">
        <f>VLOOKUP(Sdata[[#This Row],[Empcode]],idata[],2,0)</f>
        <v>#N/A</v>
      </c>
      <c r="M38" s="144">
        <f>IFERROR(VLOOKUP(Sdata[[#This Row],[Empcode]],idata[],2,0), 0)</f>
        <v>0</v>
      </c>
      <c r="N38" s="141" t="e">
        <f>VLOOKUP(Sdata[[#This Row],[Empcode]],idata[],1,0)</f>
        <v>#N/A</v>
      </c>
      <c r="O38" s="144">
        <f>IF(Sdata[[#This Row],[Salary]]&gt;=15000,15%, IF(Sdata[[#This Row],[Salary]]&gt;=10000, 10%, IF(Sdata[[#This Row],[Salary]]&gt;=5000,5%, 2%)))</f>
        <v>0.05</v>
      </c>
      <c r="P38" s="145">
        <f>IF(Sdata[[#This Row],[Salary]]&gt;=15000,15%, IF(Sdata[[#This Row],[Salary]]&gt;=10000, 10%, IF(Sdata[[#This Row],[Salary]]&gt;=5000,5%, 2%)))</f>
        <v>0.05</v>
      </c>
      <c r="Q38" s="145">
        <f>VLOOKUP(Sdata[[#This Row],[Salary]],bdata[],2,1)</f>
        <v>0.05</v>
      </c>
      <c r="R38" s="149">
        <f>(Sdata[[#This Row],[Bonus in %]]*Sdata[[#This Row],[Salary]])</f>
        <v>393.75</v>
      </c>
      <c r="S38" s="144">
        <f>SUM(Sdata[[#This Row],[Salary]], Sdata[[#This Row],[Salary]]*Sdata[[#This Row],[Bonus in %]])</f>
        <v>8268.75</v>
      </c>
      <c r="T38" s="106" t="str">
        <f>_xlfn.CONCAT(Sdata[[#This Row],[First Name]]," ",Sdata[[#This Row],[Last Name]])</f>
        <v>Suchita Panchal</v>
      </c>
      <c r="U38" s="106" t="str">
        <f t="shared" si="0"/>
        <v>Suchita Panchal</v>
      </c>
      <c r="V38" s="106">
        <f ca="1">DATEDIF(Sdata[[#This Row],[Hiredate]], TODAY(), "Y")</f>
        <v>26</v>
      </c>
      <c r="W38" s="150">
        <f t="shared" ca="1" si="1"/>
        <v>46018</v>
      </c>
    </row>
    <row r="39" spans="1:23" x14ac:dyDescent="0.3">
      <c r="A39" s="130">
        <v>23</v>
      </c>
      <c r="B39" s="108" t="s">
        <v>166</v>
      </c>
      <c r="C39" s="110" t="s">
        <v>99</v>
      </c>
      <c r="D39" s="108" t="s">
        <v>9</v>
      </c>
      <c r="E39" s="108" t="s">
        <v>161</v>
      </c>
      <c r="F39" s="108" t="s">
        <v>494</v>
      </c>
      <c r="G39" s="111">
        <v>36319</v>
      </c>
      <c r="H39" s="110">
        <v>7875</v>
      </c>
      <c r="I39" s="141">
        <f t="shared" si="2"/>
        <v>1968.75</v>
      </c>
      <c r="J39" s="141">
        <f t="shared" si="3"/>
        <v>3150</v>
      </c>
      <c r="K39" s="142">
        <f t="shared" si="3"/>
        <v>590.625</v>
      </c>
      <c r="L39" s="141">
        <f>VLOOKUP(Sdata[[#This Row],[Empcode]],idata[],2,0)</f>
        <v>23000</v>
      </c>
      <c r="M39" s="144">
        <f>IFERROR(VLOOKUP(Sdata[[#This Row],[Empcode]],idata[],2,0), 0)</f>
        <v>23000</v>
      </c>
      <c r="N39" s="141">
        <f>VLOOKUP(Sdata[[#This Row],[Empcode]],idata[],1,0)</f>
        <v>23</v>
      </c>
      <c r="O39" s="144">
        <f>IF(Sdata[[#This Row],[Salary]]&gt;=15000,15%, IF(Sdata[[#This Row],[Salary]]&gt;=10000, 10%, IF(Sdata[[#This Row],[Salary]]&gt;=5000,5%, 2%)))</f>
        <v>0.05</v>
      </c>
      <c r="P39" s="145">
        <f>IF(Sdata[[#This Row],[Salary]]&gt;=15000,15%, IF(Sdata[[#This Row],[Salary]]&gt;=10000, 10%, IF(Sdata[[#This Row],[Salary]]&gt;=5000,5%, 2%)))</f>
        <v>0.05</v>
      </c>
      <c r="Q39" s="145">
        <f>VLOOKUP(Sdata[[#This Row],[Salary]],bdata[],2,1)</f>
        <v>0.05</v>
      </c>
      <c r="R39" s="149">
        <f>(Sdata[[#This Row],[Bonus in %]]*Sdata[[#This Row],[Salary]])</f>
        <v>393.75</v>
      </c>
      <c r="S39" s="144">
        <f>SUM(Sdata[[#This Row],[Salary]], Sdata[[#This Row],[Salary]]*Sdata[[#This Row],[Bonus in %]])</f>
        <v>8268.75</v>
      </c>
      <c r="T39" s="106" t="str">
        <f>_xlfn.CONCAT(Sdata[[#This Row],[First Name]]," ",Sdata[[#This Row],[Last Name]])</f>
        <v>Shazia Sheikh</v>
      </c>
      <c r="U39" s="106" t="str">
        <f t="shared" si="0"/>
        <v>Shazia Sheikh</v>
      </c>
      <c r="V39" s="106">
        <f ca="1">DATEDIF(Sdata[[#This Row],[Hiredate]], TODAY(), "Y")</f>
        <v>26</v>
      </c>
      <c r="W39" s="150">
        <f t="shared" ca="1" si="1"/>
        <v>46018</v>
      </c>
    </row>
    <row r="40" spans="1:23" x14ac:dyDescent="0.3">
      <c r="A40" s="130">
        <v>24</v>
      </c>
      <c r="B40" s="108" t="s">
        <v>30</v>
      </c>
      <c r="C40" s="110" t="s">
        <v>167</v>
      </c>
      <c r="D40" s="108" t="s">
        <v>24</v>
      </c>
      <c r="E40" s="108" t="s">
        <v>161</v>
      </c>
      <c r="F40" s="108" t="s">
        <v>502</v>
      </c>
      <c r="G40" s="111">
        <v>29362</v>
      </c>
      <c r="H40" s="110">
        <v>14875</v>
      </c>
      <c r="I40" s="141">
        <f t="shared" si="2"/>
        <v>3718.75</v>
      </c>
      <c r="J40" s="141">
        <f t="shared" si="3"/>
        <v>5950</v>
      </c>
      <c r="K40" s="142">
        <f t="shared" si="3"/>
        <v>1115.625</v>
      </c>
      <c r="L40" s="141" t="e">
        <f>VLOOKUP(Sdata[[#This Row],[Empcode]],idata[],2,0)</f>
        <v>#N/A</v>
      </c>
      <c r="M40" s="144">
        <f>IFERROR(VLOOKUP(Sdata[[#This Row],[Empcode]],idata[],2,0), 0)</f>
        <v>0</v>
      </c>
      <c r="N40" s="141" t="e">
        <f>VLOOKUP(Sdata[[#This Row],[Empcode]],idata[],1,0)</f>
        <v>#N/A</v>
      </c>
      <c r="O40" s="144">
        <f>IF(Sdata[[#This Row],[Salary]]&gt;=15000,15%, IF(Sdata[[#This Row],[Salary]]&gt;=10000, 10%, IF(Sdata[[#This Row],[Salary]]&gt;=5000,5%, 2%)))</f>
        <v>0.1</v>
      </c>
      <c r="P40" s="145">
        <f>IF(Sdata[[#This Row],[Salary]]&gt;=15000,15%, IF(Sdata[[#This Row],[Salary]]&gt;=10000, 10%, IF(Sdata[[#This Row],[Salary]]&gt;=5000,5%, 2%)))</f>
        <v>0.1</v>
      </c>
      <c r="Q40" s="145">
        <f>VLOOKUP(Sdata[[#This Row],[Salary]],bdata[],2,1)</f>
        <v>0.1</v>
      </c>
      <c r="R40" s="149">
        <f>(Sdata[[#This Row],[Bonus in %]]*Sdata[[#This Row],[Salary]])</f>
        <v>1487.5</v>
      </c>
      <c r="S40" s="144">
        <f>SUM(Sdata[[#This Row],[Salary]], Sdata[[#This Row],[Salary]]*Sdata[[#This Row],[Bonus in %]])</f>
        <v>16362.5</v>
      </c>
      <c r="T40" s="106" t="str">
        <f>_xlfn.CONCAT(Sdata[[#This Row],[First Name]]," ",Sdata[[#This Row],[Last Name]])</f>
        <v>Pooja Nimkar</v>
      </c>
      <c r="U40" s="106" t="str">
        <f t="shared" si="0"/>
        <v>Pooja Nimkar</v>
      </c>
      <c r="V40" s="106">
        <f ca="1">DATEDIF(Sdata[[#This Row],[Hiredate]], TODAY(), "Y")</f>
        <v>45</v>
      </c>
      <c r="W40" s="150">
        <f t="shared" ca="1" si="1"/>
        <v>46018</v>
      </c>
    </row>
    <row r="41" spans="1:23" x14ac:dyDescent="0.3">
      <c r="A41" s="130">
        <v>25</v>
      </c>
      <c r="B41" s="108" t="s">
        <v>168</v>
      </c>
      <c r="C41" s="110" t="s">
        <v>169</v>
      </c>
      <c r="D41" s="108" t="s">
        <v>27</v>
      </c>
      <c r="E41" s="108" t="s">
        <v>125</v>
      </c>
      <c r="F41" s="108" t="s">
        <v>504</v>
      </c>
      <c r="G41" s="111">
        <v>36274</v>
      </c>
      <c r="H41" s="110">
        <v>7875</v>
      </c>
      <c r="I41" s="141">
        <f t="shared" si="2"/>
        <v>1968.75</v>
      </c>
      <c r="J41" s="141">
        <f t="shared" si="3"/>
        <v>3150</v>
      </c>
      <c r="K41" s="142">
        <f t="shared" si="3"/>
        <v>590.625</v>
      </c>
      <c r="L41" s="141">
        <f>VLOOKUP(Sdata[[#This Row],[Empcode]],idata[],2,0)</f>
        <v>25000</v>
      </c>
      <c r="M41" s="144">
        <f>IFERROR(VLOOKUP(Sdata[[#This Row],[Empcode]],idata[],2,0), 0)</f>
        <v>25000</v>
      </c>
      <c r="N41" s="141">
        <f>VLOOKUP(Sdata[[#This Row],[Empcode]],idata[],1,0)</f>
        <v>25</v>
      </c>
      <c r="O41" s="144">
        <f>IF(Sdata[[#This Row],[Salary]]&gt;=15000,15%, IF(Sdata[[#This Row],[Salary]]&gt;=10000, 10%, IF(Sdata[[#This Row],[Salary]]&gt;=5000,5%, 2%)))</f>
        <v>0.05</v>
      </c>
      <c r="P41" s="145">
        <f>IF(Sdata[[#This Row],[Salary]]&gt;=15000,15%, IF(Sdata[[#This Row],[Salary]]&gt;=10000, 10%, IF(Sdata[[#This Row],[Salary]]&gt;=5000,5%, 2%)))</f>
        <v>0.05</v>
      </c>
      <c r="Q41" s="145">
        <f>VLOOKUP(Sdata[[#This Row],[Salary]],bdata[],2,1)</f>
        <v>0.05</v>
      </c>
      <c r="R41" s="149">
        <f>(Sdata[[#This Row],[Bonus in %]]*Sdata[[#This Row],[Salary]])</f>
        <v>393.75</v>
      </c>
      <c r="S41" s="144">
        <f>SUM(Sdata[[#This Row],[Salary]], Sdata[[#This Row],[Salary]]*Sdata[[#This Row],[Bonus in %]])</f>
        <v>8268.75</v>
      </c>
      <c r="T41" s="106" t="str">
        <f>_xlfn.CONCAT(Sdata[[#This Row],[First Name]]," ",Sdata[[#This Row],[Last Name]])</f>
        <v>Jasbinder Khurana</v>
      </c>
      <c r="U41" s="106" t="str">
        <f t="shared" si="0"/>
        <v>Jasbinder Khurana</v>
      </c>
      <c r="V41" s="106">
        <f ca="1">DATEDIF(Sdata[[#This Row],[Hiredate]], TODAY(), "Y")</f>
        <v>26</v>
      </c>
      <c r="W41" s="150">
        <f t="shared" ca="1" si="1"/>
        <v>46018</v>
      </c>
    </row>
    <row r="42" spans="1:23" x14ac:dyDescent="0.3">
      <c r="A42" s="130">
        <v>26</v>
      </c>
      <c r="B42" s="108" t="s">
        <v>128</v>
      </c>
      <c r="C42" s="110" t="s">
        <v>129</v>
      </c>
      <c r="D42" s="108" t="s">
        <v>24</v>
      </c>
      <c r="E42" s="108" t="s">
        <v>10</v>
      </c>
      <c r="F42" s="108" t="s">
        <v>488</v>
      </c>
      <c r="G42" s="111">
        <v>30225</v>
      </c>
      <c r="H42" s="110">
        <v>19250</v>
      </c>
      <c r="I42" s="141">
        <f t="shared" si="2"/>
        <v>4812.5</v>
      </c>
      <c r="J42" s="141">
        <f t="shared" si="3"/>
        <v>7700</v>
      </c>
      <c r="K42" s="142">
        <f t="shared" si="3"/>
        <v>1443.75</v>
      </c>
      <c r="L42" s="141" t="e">
        <f>VLOOKUP(Sdata[[#This Row],[Empcode]],idata[],2,0)</f>
        <v>#N/A</v>
      </c>
      <c r="M42" s="144">
        <f>IFERROR(VLOOKUP(Sdata[[#This Row],[Empcode]],idata[],2,0), 0)</f>
        <v>0</v>
      </c>
      <c r="N42" s="141" t="e">
        <f>VLOOKUP(Sdata[[#This Row],[Empcode]],idata[],1,0)</f>
        <v>#N/A</v>
      </c>
      <c r="O42" s="144">
        <f>IF(Sdata[[#This Row],[Salary]]&gt;=15000,15%, IF(Sdata[[#This Row],[Salary]]&gt;=10000, 10%, IF(Sdata[[#This Row],[Salary]]&gt;=5000,5%, 2%)))</f>
        <v>0.15</v>
      </c>
      <c r="P42" s="145">
        <f>IF(Sdata[[#This Row],[Salary]]&gt;=15000,15%, IF(Sdata[[#This Row],[Salary]]&gt;=10000, 10%, IF(Sdata[[#This Row],[Salary]]&gt;=5000,5%, 2%)))</f>
        <v>0.15</v>
      </c>
      <c r="Q42" s="145">
        <f>VLOOKUP(Sdata[[#This Row],[Salary]],bdata[],2,1)</f>
        <v>0.15</v>
      </c>
      <c r="R42" s="149">
        <f>(Sdata[[#This Row],[Bonus in %]]*Sdata[[#This Row],[Salary]])</f>
        <v>2887.5</v>
      </c>
      <c r="S42" s="144">
        <f>SUM(Sdata[[#This Row],[Salary]], Sdata[[#This Row],[Salary]]*Sdata[[#This Row],[Bonus in %]])</f>
        <v>22137.5</v>
      </c>
      <c r="T42" s="106" t="str">
        <f>_xlfn.CONCAT(Sdata[[#This Row],[First Name]]," ",Sdata[[#This Row],[Last Name]])</f>
        <v>Bharat Shetty</v>
      </c>
      <c r="U42" s="106" t="str">
        <f t="shared" si="0"/>
        <v>Bharat Shetty</v>
      </c>
      <c r="V42" s="106">
        <f ca="1">DATEDIF(Sdata[[#This Row],[Hiredate]], TODAY(), "Y")</f>
        <v>43</v>
      </c>
      <c r="W42" s="150">
        <f t="shared" ca="1" si="1"/>
        <v>46018</v>
      </c>
    </row>
    <row r="43" spans="1:23" x14ac:dyDescent="0.3">
      <c r="A43" s="130">
        <v>27</v>
      </c>
      <c r="B43" s="108" t="s">
        <v>22</v>
      </c>
      <c r="C43" s="110" t="s">
        <v>23</v>
      </c>
      <c r="D43" s="108" t="s">
        <v>24</v>
      </c>
      <c r="E43" s="108" t="s">
        <v>125</v>
      </c>
      <c r="F43" s="108" t="s">
        <v>505</v>
      </c>
      <c r="G43" s="111">
        <v>33787</v>
      </c>
      <c r="H43" s="110">
        <v>13125</v>
      </c>
      <c r="I43" s="141">
        <f t="shared" si="2"/>
        <v>3281.25</v>
      </c>
      <c r="J43" s="141">
        <f t="shared" si="3"/>
        <v>5250</v>
      </c>
      <c r="K43" s="142">
        <f t="shared" si="3"/>
        <v>984.375</v>
      </c>
      <c r="L43" s="141">
        <f>VLOOKUP(Sdata[[#This Row],[Empcode]],idata[],2,0)</f>
        <v>27000</v>
      </c>
      <c r="M43" s="144">
        <f>IFERROR(VLOOKUP(Sdata[[#This Row],[Empcode]],idata[],2,0), 0)</f>
        <v>27000</v>
      </c>
      <c r="N43" s="141">
        <f>VLOOKUP(Sdata[[#This Row],[Empcode]],idata[],1,0)</f>
        <v>27</v>
      </c>
      <c r="O43" s="144">
        <f>IF(Sdata[[#This Row],[Salary]]&gt;=15000,15%, IF(Sdata[[#This Row],[Salary]]&gt;=10000, 10%, IF(Sdata[[#This Row],[Salary]]&gt;=5000,5%, 2%)))</f>
        <v>0.1</v>
      </c>
      <c r="P43" s="145">
        <f>IF(Sdata[[#This Row],[Salary]]&gt;=15000,15%, IF(Sdata[[#This Row],[Salary]]&gt;=10000, 10%, IF(Sdata[[#This Row],[Salary]]&gt;=5000,5%, 2%)))</f>
        <v>0.1</v>
      </c>
      <c r="Q43" s="145">
        <f>VLOOKUP(Sdata[[#This Row],[Salary]],bdata[],2,1)</f>
        <v>0.1</v>
      </c>
      <c r="R43" s="149">
        <f>(Sdata[[#This Row],[Bonus in %]]*Sdata[[#This Row],[Salary]])</f>
        <v>1312.5</v>
      </c>
      <c r="S43" s="144">
        <f>SUM(Sdata[[#This Row],[Salary]], Sdata[[#This Row],[Salary]]*Sdata[[#This Row],[Bonus in %]])</f>
        <v>14437.5</v>
      </c>
      <c r="T43" s="106" t="str">
        <f>_xlfn.CONCAT(Sdata[[#This Row],[First Name]]," ",Sdata[[#This Row],[Last Name]])</f>
        <v>Rishi Malik</v>
      </c>
      <c r="U43" s="106" t="str">
        <f t="shared" si="0"/>
        <v>Rishi Malik</v>
      </c>
      <c r="V43" s="106">
        <f ca="1">DATEDIF(Sdata[[#This Row],[Hiredate]], TODAY(), "Y")</f>
        <v>33</v>
      </c>
      <c r="W43" s="150">
        <f t="shared" ca="1" si="1"/>
        <v>46018</v>
      </c>
    </row>
    <row r="44" spans="1:23" x14ac:dyDescent="0.3">
      <c r="A44" s="130">
        <v>28</v>
      </c>
      <c r="B44" s="108" t="s">
        <v>130</v>
      </c>
      <c r="C44" s="110" t="s">
        <v>131</v>
      </c>
      <c r="D44" s="108" t="s">
        <v>27</v>
      </c>
      <c r="E44" s="108" t="s">
        <v>161</v>
      </c>
      <c r="F44" s="108" t="s">
        <v>506</v>
      </c>
      <c r="G44" s="111">
        <v>34777</v>
      </c>
      <c r="H44" s="110">
        <v>10500</v>
      </c>
      <c r="I44" s="141">
        <f t="shared" si="2"/>
        <v>2625</v>
      </c>
      <c r="J44" s="141">
        <f t="shared" si="3"/>
        <v>4200</v>
      </c>
      <c r="K44" s="142">
        <f t="shared" si="3"/>
        <v>787.5</v>
      </c>
      <c r="L44" s="141" t="e">
        <f>VLOOKUP(Sdata[[#This Row],[Empcode]],idata[],2,0)</f>
        <v>#N/A</v>
      </c>
      <c r="M44" s="144">
        <f>IFERROR(VLOOKUP(Sdata[[#This Row],[Empcode]],idata[],2,0), 0)</f>
        <v>0</v>
      </c>
      <c r="N44" s="141" t="e">
        <f>VLOOKUP(Sdata[[#This Row],[Empcode]],idata[],1,0)</f>
        <v>#N/A</v>
      </c>
      <c r="O44" s="144">
        <f>IF(Sdata[[#This Row],[Salary]]&gt;=15000,15%, IF(Sdata[[#This Row],[Salary]]&gt;=10000, 10%, IF(Sdata[[#This Row],[Salary]]&gt;=5000,5%, 2%)))</f>
        <v>0.1</v>
      </c>
      <c r="P44" s="145">
        <f>IF(Sdata[[#This Row],[Salary]]&gt;=15000,15%, IF(Sdata[[#This Row],[Salary]]&gt;=10000, 10%, IF(Sdata[[#This Row],[Salary]]&gt;=5000,5%, 2%)))</f>
        <v>0.1</v>
      </c>
      <c r="Q44" s="145">
        <f>VLOOKUP(Sdata[[#This Row],[Salary]],bdata[],2,1)</f>
        <v>0.1</v>
      </c>
      <c r="R44" s="149">
        <f>(Sdata[[#This Row],[Bonus in %]]*Sdata[[#This Row],[Salary]])</f>
        <v>1050</v>
      </c>
      <c r="S44" s="144">
        <f>SUM(Sdata[[#This Row],[Salary]], Sdata[[#This Row],[Salary]]*Sdata[[#This Row],[Bonus in %]])</f>
        <v>11550</v>
      </c>
      <c r="T44" s="106" t="str">
        <f>_xlfn.CONCAT(Sdata[[#This Row],[First Name]]," ",Sdata[[#This Row],[Last Name]])</f>
        <v>Mala Bhaduri</v>
      </c>
      <c r="U44" s="106" t="str">
        <f t="shared" si="0"/>
        <v>Mala Bhaduri</v>
      </c>
      <c r="V44" s="106">
        <f ca="1">DATEDIF(Sdata[[#This Row],[Hiredate]], TODAY(), "Y")</f>
        <v>30</v>
      </c>
      <c r="W44" s="150">
        <f t="shared" ca="1" si="1"/>
        <v>46018</v>
      </c>
    </row>
    <row r="45" spans="1:23" x14ac:dyDescent="0.3">
      <c r="A45" s="130">
        <v>29</v>
      </c>
      <c r="B45" s="108" t="s">
        <v>170</v>
      </c>
      <c r="C45" s="110" t="s">
        <v>171</v>
      </c>
      <c r="D45" s="108" t="s">
        <v>47</v>
      </c>
      <c r="E45" s="108" t="s">
        <v>58</v>
      </c>
      <c r="F45" s="108" t="s">
        <v>501</v>
      </c>
      <c r="G45" s="111">
        <v>35189</v>
      </c>
      <c r="H45" s="110">
        <v>9625</v>
      </c>
      <c r="I45" s="141">
        <f t="shared" si="2"/>
        <v>2406.25</v>
      </c>
      <c r="J45" s="141">
        <f t="shared" si="3"/>
        <v>3850</v>
      </c>
      <c r="K45" s="142">
        <f t="shared" si="3"/>
        <v>721.875</v>
      </c>
      <c r="L45" s="141">
        <f>VLOOKUP(Sdata[[#This Row],[Empcode]],idata[],2,0)</f>
        <v>29000</v>
      </c>
      <c r="M45" s="144">
        <f>IFERROR(VLOOKUP(Sdata[[#This Row],[Empcode]],idata[],2,0), 0)</f>
        <v>29000</v>
      </c>
      <c r="N45" s="141">
        <f>VLOOKUP(Sdata[[#This Row],[Empcode]],idata[],1,0)</f>
        <v>29</v>
      </c>
      <c r="O45" s="144">
        <f>IF(Sdata[[#This Row],[Salary]]&gt;=15000,15%, IF(Sdata[[#This Row],[Salary]]&gt;=10000, 10%, IF(Sdata[[#This Row],[Salary]]&gt;=5000,5%, 2%)))</f>
        <v>0.05</v>
      </c>
      <c r="P45" s="145">
        <f>IF(Sdata[[#This Row],[Salary]]&gt;=15000,15%, IF(Sdata[[#This Row],[Salary]]&gt;=10000, 10%, IF(Sdata[[#This Row],[Salary]]&gt;=5000,5%, 2%)))</f>
        <v>0.05</v>
      </c>
      <c r="Q45" s="145">
        <f>VLOOKUP(Sdata[[#This Row],[Salary]],bdata[],2,1)</f>
        <v>0.05</v>
      </c>
      <c r="R45" s="149">
        <f>(Sdata[[#This Row],[Bonus in %]]*Sdata[[#This Row],[Salary]])</f>
        <v>481.25</v>
      </c>
      <c r="S45" s="144">
        <f>SUM(Sdata[[#This Row],[Salary]], Sdata[[#This Row],[Salary]]*Sdata[[#This Row],[Bonus in %]])</f>
        <v>10106.25</v>
      </c>
      <c r="T45" s="106" t="str">
        <f>_xlfn.CONCAT(Sdata[[#This Row],[First Name]]," ",Sdata[[#This Row],[Last Name]])</f>
        <v>Hajra Hoonjan</v>
      </c>
      <c r="U45" s="106" t="str">
        <f t="shared" si="0"/>
        <v>Hajra Hoonjan</v>
      </c>
      <c r="V45" s="106">
        <f ca="1">DATEDIF(Sdata[[#This Row],[Hiredate]], TODAY(), "Y")</f>
        <v>29</v>
      </c>
      <c r="W45" s="150">
        <f t="shared" ca="1" si="1"/>
        <v>46018</v>
      </c>
    </row>
    <row r="46" spans="1:23" x14ac:dyDescent="0.3">
      <c r="A46" s="130">
        <v>30</v>
      </c>
      <c r="B46" s="108" t="s">
        <v>77</v>
      </c>
      <c r="C46" s="110" t="s">
        <v>78</v>
      </c>
      <c r="D46" s="108" t="s">
        <v>493</v>
      </c>
      <c r="E46" s="108" t="s">
        <v>10</v>
      </c>
      <c r="F46" s="108" t="s">
        <v>503</v>
      </c>
      <c r="G46" s="111">
        <v>32435</v>
      </c>
      <c r="H46" s="110">
        <v>14175</v>
      </c>
      <c r="I46" s="141">
        <f t="shared" si="2"/>
        <v>3543.75</v>
      </c>
      <c r="J46" s="141">
        <f t="shared" si="3"/>
        <v>5670</v>
      </c>
      <c r="K46" s="142">
        <f t="shared" si="3"/>
        <v>1063.125</v>
      </c>
      <c r="L46" s="141" t="e">
        <f>VLOOKUP(Sdata[[#This Row],[Empcode]],idata[],2,0)</f>
        <v>#N/A</v>
      </c>
      <c r="M46" s="144">
        <f>IFERROR(VLOOKUP(Sdata[[#This Row],[Empcode]],idata[],2,0), 0)</f>
        <v>0</v>
      </c>
      <c r="N46" s="141" t="e">
        <f>VLOOKUP(Sdata[[#This Row],[Empcode]],idata[],1,0)</f>
        <v>#N/A</v>
      </c>
      <c r="O46" s="144">
        <f>IF(Sdata[[#This Row],[Salary]]&gt;=15000,15%, IF(Sdata[[#This Row],[Salary]]&gt;=10000, 10%, IF(Sdata[[#This Row],[Salary]]&gt;=5000,5%, 2%)))</f>
        <v>0.1</v>
      </c>
      <c r="P46" s="145">
        <f>IF(Sdata[[#This Row],[Salary]]&gt;=15000,15%, IF(Sdata[[#This Row],[Salary]]&gt;=10000, 10%, IF(Sdata[[#This Row],[Salary]]&gt;=5000,5%, 2%)))</f>
        <v>0.1</v>
      </c>
      <c r="Q46" s="145">
        <f>VLOOKUP(Sdata[[#This Row],[Salary]],bdata[],2,1)</f>
        <v>0.1</v>
      </c>
      <c r="R46" s="149">
        <f>(Sdata[[#This Row],[Bonus in %]]*Sdata[[#This Row],[Salary]])</f>
        <v>1417.5</v>
      </c>
      <c r="S46" s="144">
        <f>SUM(Sdata[[#This Row],[Salary]], Sdata[[#This Row],[Salary]]*Sdata[[#This Row],[Bonus in %]])</f>
        <v>15592.5</v>
      </c>
      <c r="T46" s="106" t="str">
        <f>_xlfn.CONCAT(Sdata[[#This Row],[First Name]]," ",Sdata[[#This Row],[Last Name]])</f>
        <v>Aalam Qureshi</v>
      </c>
      <c r="U46" s="106" t="str">
        <f t="shared" si="0"/>
        <v>Aalam Qureshi</v>
      </c>
      <c r="V46" s="106">
        <f ca="1">DATEDIF(Sdata[[#This Row],[Hiredate]], TODAY(), "Y")</f>
        <v>37</v>
      </c>
      <c r="W46" s="150">
        <f t="shared" ca="1" si="1"/>
        <v>46018</v>
      </c>
    </row>
    <row r="47" spans="1:23" x14ac:dyDescent="0.3">
      <c r="A47" s="130">
        <v>31</v>
      </c>
      <c r="B47" s="108" t="s">
        <v>25</v>
      </c>
      <c r="C47" s="110" t="s">
        <v>26</v>
      </c>
      <c r="D47" s="108" t="s">
        <v>27</v>
      </c>
      <c r="E47" s="108" t="s">
        <v>58</v>
      </c>
      <c r="F47" s="108" t="s">
        <v>495</v>
      </c>
      <c r="G47" s="111">
        <v>30225</v>
      </c>
      <c r="H47" s="110">
        <v>15750</v>
      </c>
      <c r="I47" s="141">
        <f t="shared" si="2"/>
        <v>3937.5</v>
      </c>
      <c r="J47" s="141">
        <f t="shared" si="3"/>
        <v>6300</v>
      </c>
      <c r="K47" s="142">
        <f t="shared" si="3"/>
        <v>1181.25</v>
      </c>
      <c r="L47" s="141">
        <f>VLOOKUP(Sdata[[#This Row],[Empcode]],idata[],2,0)</f>
        <v>31000</v>
      </c>
      <c r="M47" s="144">
        <f>IFERROR(VLOOKUP(Sdata[[#This Row],[Empcode]],idata[],2,0), 0)</f>
        <v>31000</v>
      </c>
      <c r="N47" s="141">
        <f>VLOOKUP(Sdata[[#This Row],[Empcode]],idata[],1,0)</f>
        <v>31</v>
      </c>
      <c r="O47" s="144">
        <f>IF(Sdata[[#This Row],[Salary]]&gt;=15000,15%, IF(Sdata[[#This Row],[Salary]]&gt;=10000, 10%, IF(Sdata[[#This Row],[Salary]]&gt;=5000,5%, 2%)))</f>
        <v>0.15</v>
      </c>
      <c r="P47" s="145">
        <f>IF(Sdata[[#This Row],[Salary]]&gt;=15000,15%, IF(Sdata[[#This Row],[Salary]]&gt;=10000, 10%, IF(Sdata[[#This Row],[Salary]]&gt;=5000,5%, 2%)))</f>
        <v>0.15</v>
      </c>
      <c r="Q47" s="145">
        <f>VLOOKUP(Sdata[[#This Row],[Salary]],bdata[],2,1)</f>
        <v>0.15</v>
      </c>
      <c r="R47" s="149">
        <f>(Sdata[[#This Row],[Bonus in %]]*Sdata[[#This Row],[Salary]])</f>
        <v>2362.5</v>
      </c>
      <c r="S47" s="144">
        <f>SUM(Sdata[[#This Row],[Salary]], Sdata[[#This Row],[Salary]]*Sdata[[#This Row],[Bonus in %]])</f>
        <v>18112.5</v>
      </c>
      <c r="T47" s="106" t="str">
        <f>_xlfn.CONCAT(Sdata[[#This Row],[First Name]]," ",Sdata[[#This Row],[Last Name]])</f>
        <v>Giriraj Gupta</v>
      </c>
      <c r="U47" s="106" t="str">
        <f t="shared" si="0"/>
        <v>Giriraj Gupta</v>
      </c>
      <c r="V47" s="106">
        <f ca="1">DATEDIF(Sdata[[#This Row],[Hiredate]], TODAY(), "Y")</f>
        <v>43</v>
      </c>
      <c r="W47" s="150">
        <f t="shared" ca="1" si="1"/>
        <v>46018</v>
      </c>
    </row>
    <row r="48" spans="1:23" x14ac:dyDescent="0.3">
      <c r="A48" s="130">
        <v>32</v>
      </c>
      <c r="B48" s="108" t="s">
        <v>28</v>
      </c>
      <c r="C48" s="110" t="s">
        <v>29</v>
      </c>
      <c r="D48" s="108" t="s">
        <v>19</v>
      </c>
      <c r="E48" s="108" t="s">
        <v>125</v>
      </c>
      <c r="F48" s="108" t="s">
        <v>504</v>
      </c>
      <c r="G48" s="111">
        <v>30225</v>
      </c>
      <c r="H48" s="110">
        <v>15750</v>
      </c>
      <c r="I48" s="141">
        <f t="shared" si="2"/>
        <v>3937.5</v>
      </c>
      <c r="J48" s="141">
        <f t="shared" si="3"/>
        <v>6300</v>
      </c>
      <c r="K48" s="142">
        <f t="shared" si="3"/>
        <v>1181.25</v>
      </c>
      <c r="L48" s="141" t="e">
        <f>VLOOKUP(Sdata[[#This Row],[Empcode]],idata[],2,0)</f>
        <v>#N/A</v>
      </c>
      <c r="M48" s="144">
        <f>IFERROR(VLOOKUP(Sdata[[#This Row],[Empcode]],idata[],2,0), 0)</f>
        <v>0</v>
      </c>
      <c r="N48" s="141" t="e">
        <f>VLOOKUP(Sdata[[#This Row],[Empcode]],idata[],1,0)</f>
        <v>#N/A</v>
      </c>
      <c r="O48" s="144">
        <f>IF(Sdata[[#This Row],[Salary]]&gt;=15000,15%, IF(Sdata[[#This Row],[Salary]]&gt;=10000, 10%, IF(Sdata[[#This Row],[Salary]]&gt;=5000,5%, 2%)))</f>
        <v>0.15</v>
      </c>
      <c r="P48" s="145">
        <f>IF(Sdata[[#This Row],[Salary]]&gt;=15000,15%, IF(Sdata[[#This Row],[Salary]]&gt;=10000, 10%, IF(Sdata[[#This Row],[Salary]]&gt;=5000,5%, 2%)))</f>
        <v>0.15</v>
      </c>
      <c r="Q48" s="145">
        <f>VLOOKUP(Sdata[[#This Row],[Salary]],bdata[],2,1)</f>
        <v>0.15</v>
      </c>
      <c r="R48" s="149">
        <f>(Sdata[[#This Row],[Bonus in %]]*Sdata[[#This Row],[Salary]])</f>
        <v>2362.5</v>
      </c>
      <c r="S48" s="144">
        <f>SUM(Sdata[[#This Row],[Salary]], Sdata[[#This Row],[Salary]]*Sdata[[#This Row],[Bonus in %]])</f>
        <v>18112.5</v>
      </c>
      <c r="T48" s="106" t="str">
        <f>_xlfn.CONCAT(Sdata[[#This Row],[First Name]]," ",Sdata[[#This Row],[Last Name]])</f>
        <v>Ankur Joshi</v>
      </c>
      <c r="U48" s="106" t="str">
        <f t="shared" si="0"/>
        <v>Ankur Joshi</v>
      </c>
      <c r="V48" s="106">
        <f ca="1">DATEDIF(Sdata[[#This Row],[Hiredate]], TODAY(), "Y")</f>
        <v>43</v>
      </c>
      <c r="W48" s="150">
        <f t="shared" ca="1" si="1"/>
        <v>46018</v>
      </c>
    </row>
    <row r="49" spans="1:23" x14ac:dyDescent="0.3">
      <c r="A49" s="130">
        <v>33</v>
      </c>
      <c r="B49" s="108" t="s">
        <v>132</v>
      </c>
      <c r="C49" s="110" t="s">
        <v>133</v>
      </c>
      <c r="D49" s="108" t="s">
        <v>19</v>
      </c>
      <c r="E49" s="108" t="s">
        <v>58</v>
      </c>
      <c r="F49" s="108" t="s">
        <v>496</v>
      </c>
      <c r="G49" s="111">
        <v>35618</v>
      </c>
      <c r="H49" s="110">
        <v>7000</v>
      </c>
      <c r="I49" s="141">
        <f t="shared" si="2"/>
        <v>1750</v>
      </c>
      <c r="J49" s="141">
        <f t="shared" si="3"/>
        <v>2800</v>
      </c>
      <c r="K49" s="142">
        <f t="shared" si="3"/>
        <v>525</v>
      </c>
      <c r="L49" s="141">
        <f>VLOOKUP(Sdata[[#This Row],[Empcode]],idata[],2,0)</f>
        <v>33000</v>
      </c>
      <c r="M49" s="144">
        <f>IFERROR(VLOOKUP(Sdata[[#This Row],[Empcode]],idata[],2,0), 0)</f>
        <v>33000</v>
      </c>
      <c r="N49" s="141">
        <f>VLOOKUP(Sdata[[#This Row],[Empcode]],idata[],1,0)</f>
        <v>33</v>
      </c>
      <c r="O49" s="144">
        <f>IF(Sdata[[#This Row],[Salary]]&gt;=15000,15%, IF(Sdata[[#This Row],[Salary]]&gt;=10000, 10%, IF(Sdata[[#This Row],[Salary]]&gt;=5000,5%, 2%)))</f>
        <v>0.05</v>
      </c>
      <c r="P49" s="145">
        <f>IF(Sdata[[#This Row],[Salary]]&gt;=15000,15%, IF(Sdata[[#This Row],[Salary]]&gt;=10000, 10%, IF(Sdata[[#This Row],[Salary]]&gt;=5000,5%, 2%)))</f>
        <v>0.05</v>
      </c>
      <c r="Q49" s="145">
        <f>VLOOKUP(Sdata[[#This Row],[Salary]],bdata[],2,1)</f>
        <v>0.05</v>
      </c>
      <c r="R49" s="149">
        <f>(Sdata[[#This Row],[Bonus in %]]*Sdata[[#This Row],[Salary]])</f>
        <v>350</v>
      </c>
      <c r="S49" s="144">
        <f>SUM(Sdata[[#This Row],[Salary]], Sdata[[#This Row],[Salary]]*Sdata[[#This Row],[Bonus in %]])</f>
        <v>7350</v>
      </c>
      <c r="T49" s="106" t="str">
        <f>_xlfn.CONCAT(Sdata[[#This Row],[First Name]]," ",Sdata[[#This Row],[Last Name]])</f>
        <v>Tapan Ghoshal</v>
      </c>
      <c r="U49" s="106" t="str">
        <f t="shared" ref="U49:U80" si="4">B49&amp;" "&amp;C49</f>
        <v>Tapan Ghoshal</v>
      </c>
      <c r="V49" s="106">
        <f ca="1">DATEDIF(Sdata[[#This Row],[Hiredate]], TODAY(), "Y")</f>
        <v>28</v>
      </c>
      <c r="W49" s="150">
        <f t="shared" ref="W49:W80" ca="1" si="5">TODAY()</f>
        <v>46018</v>
      </c>
    </row>
    <row r="50" spans="1:23" x14ac:dyDescent="0.3">
      <c r="A50" s="130">
        <v>34</v>
      </c>
      <c r="B50" s="108" t="s">
        <v>79</v>
      </c>
      <c r="C50" s="110" t="s">
        <v>80</v>
      </c>
      <c r="D50" s="108" t="s">
        <v>19</v>
      </c>
      <c r="E50" s="108" t="s">
        <v>58</v>
      </c>
      <c r="F50" s="108" t="s">
        <v>507</v>
      </c>
      <c r="G50" s="111">
        <v>33510</v>
      </c>
      <c r="H50" s="110">
        <v>8750</v>
      </c>
      <c r="I50" s="141">
        <f t="shared" si="2"/>
        <v>2187.5</v>
      </c>
      <c r="J50" s="141">
        <f t="shared" ref="J50:K81" si="6">$H50 * J$15</f>
        <v>3500</v>
      </c>
      <c r="K50" s="142">
        <f t="shared" si="6"/>
        <v>656.25</v>
      </c>
      <c r="L50" s="141" t="e">
        <f>VLOOKUP(Sdata[[#This Row],[Empcode]],idata[],2,0)</f>
        <v>#N/A</v>
      </c>
      <c r="M50" s="144">
        <f>IFERROR(VLOOKUP(Sdata[[#This Row],[Empcode]],idata[],2,0), 0)</f>
        <v>0</v>
      </c>
      <c r="N50" s="141" t="e">
        <f>VLOOKUP(Sdata[[#This Row],[Empcode]],idata[],1,0)</f>
        <v>#N/A</v>
      </c>
      <c r="O50" s="144">
        <f>IF(Sdata[[#This Row],[Salary]]&gt;=15000,15%, IF(Sdata[[#This Row],[Salary]]&gt;=10000, 10%, IF(Sdata[[#This Row],[Salary]]&gt;=5000,5%, 2%)))</f>
        <v>0.05</v>
      </c>
      <c r="P50" s="145">
        <f>IF(Sdata[[#This Row],[Salary]]&gt;=15000,15%, IF(Sdata[[#This Row],[Salary]]&gt;=10000, 10%, IF(Sdata[[#This Row],[Salary]]&gt;=5000,5%, 2%)))</f>
        <v>0.05</v>
      </c>
      <c r="Q50" s="145">
        <f>VLOOKUP(Sdata[[#This Row],[Salary]],bdata[],2,1)</f>
        <v>0.05</v>
      </c>
      <c r="R50" s="149">
        <f>(Sdata[[#This Row],[Bonus in %]]*Sdata[[#This Row],[Salary]])</f>
        <v>437.5</v>
      </c>
      <c r="S50" s="144">
        <f>SUM(Sdata[[#This Row],[Salary]], Sdata[[#This Row],[Salary]]*Sdata[[#This Row],[Bonus in %]])</f>
        <v>9187.5</v>
      </c>
      <c r="T50" s="106" t="str">
        <f>_xlfn.CONCAT(Sdata[[#This Row],[First Name]]," ",Sdata[[#This Row],[Last Name]])</f>
        <v>Zarina Vora</v>
      </c>
      <c r="U50" s="106" t="str">
        <f t="shared" si="4"/>
        <v>Zarina Vora</v>
      </c>
      <c r="V50" s="106">
        <f ca="1">DATEDIF(Sdata[[#This Row],[Hiredate]], TODAY(), "Y")</f>
        <v>34</v>
      </c>
      <c r="W50" s="150">
        <f t="shared" ca="1" si="5"/>
        <v>46018</v>
      </c>
    </row>
    <row r="51" spans="1:23" x14ac:dyDescent="0.3">
      <c r="A51" s="130">
        <v>35</v>
      </c>
      <c r="B51" s="108" t="s">
        <v>81</v>
      </c>
      <c r="C51" s="110" t="s">
        <v>29</v>
      </c>
      <c r="D51" s="108" t="s">
        <v>9</v>
      </c>
      <c r="E51" s="108" t="s">
        <v>125</v>
      </c>
      <c r="F51" s="108" t="s">
        <v>504</v>
      </c>
      <c r="G51" s="111">
        <v>33729</v>
      </c>
      <c r="H51" s="110">
        <v>9275</v>
      </c>
      <c r="I51" s="141">
        <f t="shared" si="2"/>
        <v>2318.75</v>
      </c>
      <c r="J51" s="141">
        <f t="shared" si="6"/>
        <v>3710</v>
      </c>
      <c r="K51" s="142">
        <f t="shared" si="6"/>
        <v>695.625</v>
      </c>
      <c r="L51" s="141">
        <f>VLOOKUP(Sdata[[#This Row],[Empcode]],idata[],2,0)</f>
        <v>35000</v>
      </c>
      <c r="M51" s="144">
        <f>IFERROR(VLOOKUP(Sdata[[#This Row],[Empcode]],idata[],2,0), 0)</f>
        <v>35000</v>
      </c>
      <c r="N51" s="141">
        <f>VLOOKUP(Sdata[[#This Row],[Empcode]],idata[],1,0)</f>
        <v>35</v>
      </c>
      <c r="O51" s="144">
        <f>IF(Sdata[[#This Row],[Salary]]&gt;=15000,15%, IF(Sdata[[#This Row],[Salary]]&gt;=10000, 10%, IF(Sdata[[#This Row],[Salary]]&gt;=5000,5%, 2%)))</f>
        <v>0.05</v>
      </c>
      <c r="P51" s="145">
        <f>IF(Sdata[[#This Row],[Salary]]&gt;=15000,15%, IF(Sdata[[#This Row],[Salary]]&gt;=10000, 10%, IF(Sdata[[#This Row],[Salary]]&gt;=5000,5%, 2%)))</f>
        <v>0.05</v>
      </c>
      <c r="Q51" s="145">
        <f>VLOOKUP(Sdata[[#This Row],[Salary]],bdata[],2,1)</f>
        <v>0.05</v>
      </c>
      <c r="R51" s="149">
        <f>(Sdata[[#This Row],[Bonus in %]]*Sdata[[#This Row],[Salary]])</f>
        <v>463.75</v>
      </c>
      <c r="S51" s="144">
        <f>SUM(Sdata[[#This Row],[Salary]], Sdata[[#This Row],[Salary]]*Sdata[[#This Row],[Bonus in %]])</f>
        <v>9738.75</v>
      </c>
      <c r="T51" s="106" t="str">
        <f>_xlfn.CONCAT(Sdata[[#This Row],[First Name]]," ",Sdata[[#This Row],[Last Name]])</f>
        <v>Arun Joshi</v>
      </c>
      <c r="U51" s="106" t="str">
        <f t="shared" si="4"/>
        <v>Arun Joshi</v>
      </c>
      <c r="V51" s="106">
        <f ca="1">DATEDIF(Sdata[[#This Row],[Hiredate]], TODAY(), "Y")</f>
        <v>33</v>
      </c>
      <c r="W51" s="150">
        <f t="shared" ca="1" si="5"/>
        <v>46018</v>
      </c>
    </row>
    <row r="52" spans="1:23" x14ac:dyDescent="0.3">
      <c r="A52" s="130">
        <v>36</v>
      </c>
      <c r="B52" s="108" t="s">
        <v>30</v>
      </c>
      <c r="C52" s="110" t="s">
        <v>134</v>
      </c>
      <c r="D52" s="108" t="s">
        <v>493</v>
      </c>
      <c r="E52" s="108" t="s">
        <v>161</v>
      </c>
      <c r="F52" s="108" t="s">
        <v>508</v>
      </c>
      <c r="G52" s="111">
        <v>34580</v>
      </c>
      <c r="H52" s="110">
        <v>11725</v>
      </c>
      <c r="I52" s="141">
        <f t="shared" si="2"/>
        <v>2931.25</v>
      </c>
      <c r="J52" s="141">
        <f t="shared" si="6"/>
        <v>4690</v>
      </c>
      <c r="K52" s="142">
        <f t="shared" si="6"/>
        <v>879.375</v>
      </c>
      <c r="L52" s="141" t="e">
        <f>VLOOKUP(Sdata[[#This Row],[Empcode]],idata[],2,0)</f>
        <v>#N/A</v>
      </c>
      <c r="M52" s="144">
        <f>IFERROR(VLOOKUP(Sdata[[#This Row],[Empcode]],idata[],2,0), 0)</f>
        <v>0</v>
      </c>
      <c r="N52" s="141" t="e">
        <f>VLOOKUP(Sdata[[#This Row],[Empcode]],idata[],1,0)</f>
        <v>#N/A</v>
      </c>
      <c r="O52" s="144">
        <f>IF(Sdata[[#This Row],[Salary]]&gt;=15000,15%, IF(Sdata[[#This Row],[Salary]]&gt;=10000, 10%, IF(Sdata[[#This Row],[Salary]]&gt;=5000,5%, 2%)))</f>
        <v>0.1</v>
      </c>
      <c r="P52" s="145">
        <f>IF(Sdata[[#This Row],[Salary]]&gt;=15000,15%, IF(Sdata[[#This Row],[Salary]]&gt;=10000, 10%, IF(Sdata[[#This Row],[Salary]]&gt;=5000,5%, 2%)))</f>
        <v>0.1</v>
      </c>
      <c r="Q52" s="145">
        <f>VLOOKUP(Sdata[[#This Row],[Salary]],bdata[],2,1)</f>
        <v>0.1</v>
      </c>
      <c r="R52" s="149">
        <f>(Sdata[[#This Row],[Bonus in %]]*Sdata[[#This Row],[Salary]])</f>
        <v>1172.5</v>
      </c>
      <c r="S52" s="144">
        <f>SUM(Sdata[[#This Row],[Salary]], Sdata[[#This Row],[Salary]]*Sdata[[#This Row],[Bonus in %]])</f>
        <v>12897.5</v>
      </c>
      <c r="T52" s="106" t="str">
        <f>_xlfn.CONCAT(Sdata[[#This Row],[First Name]]," ",Sdata[[#This Row],[Last Name]])</f>
        <v>Pooja Khetan</v>
      </c>
      <c r="U52" s="106" t="str">
        <f t="shared" si="4"/>
        <v>Pooja Khetan</v>
      </c>
      <c r="V52" s="106">
        <f ca="1">DATEDIF(Sdata[[#This Row],[Hiredate]], TODAY(), "Y")</f>
        <v>31</v>
      </c>
      <c r="W52" s="150">
        <f t="shared" ca="1" si="5"/>
        <v>46018</v>
      </c>
    </row>
    <row r="53" spans="1:23" x14ac:dyDescent="0.3">
      <c r="A53" s="130">
        <v>37</v>
      </c>
      <c r="B53" s="108" t="s">
        <v>162</v>
      </c>
      <c r="C53" s="110" t="s">
        <v>172</v>
      </c>
      <c r="D53" s="108" t="s">
        <v>13</v>
      </c>
      <c r="E53" s="108" t="s">
        <v>125</v>
      </c>
      <c r="F53" s="108" t="s">
        <v>509</v>
      </c>
      <c r="G53" s="111">
        <v>30225</v>
      </c>
      <c r="H53" s="110">
        <v>24500</v>
      </c>
      <c r="I53" s="141">
        <f t="shared" si="2"/>
        <v>6125</v>
      </c>
      <c r="J53" s="141">
        <f t="shared" si="6"/>
        <v>9800</v>
      </c>
      <c r="K53" s="142">
        <f t="shared" si="6"/>
        <v>1837.5</v>
      </c>
      <c r="L53" s="141">
        <f>VLOOKUP(Sdata[[#This Row],[Empcode]],idata[],2,0)</f>
        <v>37000</v>
      </c>
      <c r="M53" s="144">
        <f>IFERROR(VLOOKUP(Sdata[[#This Row],[Empcode]],idata[],2,0), 0)</f>
        <v>37000</v>
      </c>
      <c r="N53" s="141">
        <f>VLOOKUP(Sdata[[#This Row],[Empcode]],idata[],1,0)</f>
        <v>37</v>
      </c>
      <c r="O53" s="144">
        <f>IF(Sdata[[#This Row],[Salary]]&gt;=15000,15%, IF(Sdata[[#This Row],[Salary]]&gt;=10000, 10%, IF(Sdata[[#This Row],[Salary]]&gt;=5000,5%, 2%)))</f>
        <v>0.15</v>
      </c>
      <c r="P53" s="145">
        <f>IF(Sdata[[#This Row],[Salary]]&gt;=15000,15%, IF(Sdata[[#This Row],[Salary]]&gt;=10000, 10%, IF(Sdata[[#This Row],[Salary]]&gt;=5000,5%, 2%)))</f>
        <v>0.15</v>
      </c>
      <c r="Q53" s="145">
        <f>VLOOKUP(Sdata[[#This Row],[Salary]],bdata[],2,1)</f>
        <v>0.15</v>
      </c>
      <c r="R53" s="149">
        <f>(Sdata[[#This Row],[Bonus in %]]*Sdata[[#This Row],[Salary]])</f>
        <v>3675</v>
      </c>
      <c r="S53" s="144">
        <f>SUM(Sdata[[#This Row],[Salary]], Sdata[[#This Row],[Salary]]*Sdata[[#This Row],[Bonus in %]])</f>
        <v>28175</v>
      </c>
      <c r="T53" s="106" t="str">
        <f>_xlfn.CONCAT(Sdata[[#This Row],[First Name]]," ",Sdata[[#This Row],[Last Name]])</f>
        <v>Shilpa Parikh</v>
      </c>
      <c r="U53" s="106" t="str">
        <f t="shared" si="4"/>
        <v>Shilpa Parikh</v>
      </c>
      <c r="V53" s="106">
        <f ca="1">DATEDIF(Sdata[[#This Row],[Hiredate]], TODAY(), "Y")</f>
        <v>43</v>
      </c>
      <c r="W53" s="150">
        <f t="shared" ca="1" si="5"/>
        <v>46018</v>
      </c>
    </row>
    <row r="54" spans="1:23" x14ac:dyDescent="0.3">
      <c r="A54" s="130">
        <v>38</v>
      </c>
      <c r="B54" s="108" t="s">
        <v>135</v>
      </c>
      <c r="C54" s="110" t="s">
        <v>136</v>
      </c>
      <c r="D54" s="108" t="s">
        <v>13</v>
      </c>
      <c r="E54" s="108" t="s">
        <v>58</v>
      </c>
      <c r="F54" s="108" t="s">
        <v>510</v>
      </c>
      <c r="G54" s="111">
        <v>30225</v>
      </c>
      <c r="H54" s="110">
        <v>24500</v>
      </c>
      <c r="I54" s="141">
        <f t="shared" si="2"/>
        <v>6125</v>
      </c>
      <c r="J54" s="141">
        <f t="shared" si="6"/>
        <v>9800</v>
      </c>
      <c r="K54" s="142">
        <f t="shared" si="6"/>
        <v>1837.5</v>
      </c>
      <c r="L54" s="141" t="e">
        <f>VLOOKUP(Sdata[[#This Row],[Empcode]],idata[],2,0)</f>
        <v>#N/A</v>
      </c>
      <c r="M54" s="144">
        <f>IFERROR(VLOOKUP(Sdata[[#This Row],[Empcode]],idata[],2,0), 0)</f>
        <v>0</v>
      </c>
      <c r="N54" s="141" t="e">
        <f>VLOOKUP(Sdata[[#This Row],[Empcode]],idata[],1,0)</f>
        <v>#N/A</v>
      </c>
      <c r="O54" s="144">
        <f>IF(Sdata[[#This Row],[Salary]]&gt;=15000,15%, IF(Sdata[[#This Row],[Salary]]&gt;=10000, 10%, IF(Sdata[[#This Row],[Salary]]&gt;=5000,5%, 2%)))</f>
        <v>0.15</v>
      </c>
      <c r="P54" s="145">
        <f>IF(Sdata[[#This Row],[Salary]]&gt;=15000,15%, IF(Sdata[[#This Row],[Salary]]&gt;=10000, 10%, IF(Sdata[[#This Row],[Salary]]&gt;=5000,5%, 2%)))</f>
        <v>0.15</v>
      </c>
      <c r="Q54" s="145">
        <f>VLOOKUP(Sdata[[#This Row],[Salary]],bdata[],2,1)</f>
        <v>0.15</v>
      </c>
      <c r="R54" s="149">
        <f>(Sdata[[#This Row],[Bonus in %]]*Sdata[[#This Row],[Salary]])</f>
        <v>3675</v>
      </c>
      <c r="S54" s="144">
        <f>SUM(Sdata[[#This Row],[Salary]], Sdata[[#This Row],[Salary]]*Sdata[[#This Row],[Bonus in %]])</f>
        <v>28175</v>
      </c>
      <c r="T54" s="106" t="str">
        <f>_xlfn.CONCAT(Sdata[[#This Row],[First Name]]," ",Sdata[[#This Row],[Last Name]])</f>
        <v>Chitra Pednekar</v>
      </c>
      <c r="U54" s="106" t="str">
        <f t="shared" si="4"/>
        <v>Chitra Pednekar</v>
      </c>
      <c r="V54" s="106">
        <f ca="1">DATEDIF(Sdata[[#This Row],[Hiredate]], TODAY(), "Y")</f>
        <v>43</v>
      </c>
      <c r="W54" s="150">
        <f t="shared" ca="1" si="5"/>
        <v>46018</v>
      </c>
    </row>
    <row r="55" spans="1:23" x14ac:dyDescent="0.3">
      <c r="A55" s="130">
        <v>39</v>
      </c>
      <c r="B55" s="108" t="s">
        <v>14</v>
      </c>
      <c r="C55" s="110" t="s">
        <v>82</v>
      </c>
      <c r="D55" s="108" t="s">
        <v>13</v>
      </c>
      <c r="E55" s="108" t="s">
        <v>58</v>
      </c>
      <c r="F55" s="108" t="s">
        <v>511</v>
      </c>
      <c r="G55" s="111">
        <v>30225</v>
      </c>
      <c r="H55" s="110">
        <v>24500</v>
      </c>
      <c r="I55" s="141">
        <f t="shared" si="2"/>
        <v>6125</v>
      </c>
      <c r="J55" s="141">
        <f t="shared" si="6"/>
        <v>9800</v>
      </c>
      <c r="K55" s="142">
        <f t="shared" si="6"/>
        <v>1837.5</v>
      </c>
      <c r="L55" s="141">
        <f>VLOOKUP(Sdata[[#This Row],[Empcode]],idata[],2,0)</f>
        <v>39000</v>
      </c>
      <c r="M55" s="144">
        <f>IFERROR(VLOOKUP(Sdata[[#This Row],[Empcode]],idata[],2,0), 0)</f>
        <v>39000</v>
      </c>
      <c r="N55" s="141">
        <f>VLOOKUP(Sdata[[#This Row],[Empcode]],idata[],1,0)</f>
        <v>39</v>
      </c>
      <c r="O55" s="144">
        <f>IF(Sdata[[#This Row],[Salary]]&gt;=15000,15%, IF(Sdata[[#This Row],[Salary]]&gt;=10000, 10%, IF(Sdata[[#This Row],[Salary]]&gt;=5000,5%, 2%)))</f>
        <v>0.15</v>
      </c>
      <c r="P55" s="145">
        <f>IF(Sdata[[#This Row],[Salary]]&gt;=15000,15%, IF(Sdata[[#This Row],[Salary]]&gt;=10000, 10%, IF(Sdata[[#This Row],[Salary]]&gt;=5000,5%, 2%)))</f>
        <v>0.15</v>
      </c>
      <c r="Q55" s="145">
        <f>VLOOKUP(Sdata[[#This Row],[Salary]],bdata[],2,1)</f>
        <v>0.15</v>
      </c>
      <c r="R55" s="149">
        <f>(Sdata[[#This Row],[Bonus in %]]*Sdata[[#This Row],[Salary]])</f>
        <v>3675</v>
      </c>
      <c r="S55" s="144">
        <f>SUM(Sdata[[#This Row],[Salary]], Sdata[[#This Row],[Salary]]*Sdata[[#This Row],[Bonus in %]])</f>
        <v>28175</v>
      </c>
      <c r="T55" s="106" t="str">
        <f>_xlfn.CONCAT(Sdata[[#This Row],[First Name]]," ",Sdata[[#This Row],[Last Name]])</f>
        <v>Sheetal Dodhia</v>
      </c>
      <c r="U55" s="106" t="str">
        <f t="shared" si="4"/>
        <v>Sheetal Dodhia</v>
      </c>
      <c r="V55" s="106">
        <f ca="1">DATEDIF(Sdata[[#This Row],[Hiredate]], TODAY(), "Y")</f>
        <v>43</v>
      </c>
      <c r="W55" s="150">
        <f t="shared" ca="1" si="5"/>
        <v>46018</v>
      </c>
    </row>
    <row r="56" spans="1:23" x14ac:dyDescent="0.3">
      <c r="A56" s="130">
        <v>40</v>
      </c>
      <c r="B56" s="108" t="s">
        <v>83</v>
      </c>
      <c r="C56" s="110" t="s">
        <v>84</v>
      </c>
      <c r="D56" s="108" t="s">
        <v>24</v>
      </c>
      <c r="E56" s="108" t="s">
        <v>125</v>
      </c>
      <c r="F56" s="108" t="s">
        <v>504</v>
      </c>
      <c r="G56" s="111">
        <v>33510</v>
      </c>
      <c r="H56" s="110">
        <v>10500</v>
      </c>
      <c r="I56" s="141">
        <f t="shared" si="2"/>
        <v>2625</v>
      </c>
      <c r="J56" s="141">
        <f t="shared" si="6"/>
        <v>4200</v>
      </c>
      <c r="K56" s="142">
        <f t="shared" si="6"/>
        <v>787.5</v>
      </c>
      <c r="L56" s="141" t="e">
        <f>VLOOKUP(Sdata[[#This Row],[Empcode]],idata[],2,0)</f>
        <v>#N/A</v>
      </c>
      <c r="M56" s="144">
        <f>IFERROR(VLOOKUP(Sdata[[#This Row],[Empcode]],idata[],2,0), 0)</f>
        <v>0</v>
      </c>
      <c r="N56" s="141" t="e">
        <f>VLOOKUP(Sdata[[#This Row],[Empcode]],idata[],1,0)</f>
        <v>#N/A</v>
      </c>
      <c r="O56" s="144">
        <f>IF(Sdata[[#This Row],[Salary]]&gt;=15000,15%, IF(Sdata[[#This Row],[Salary]]&gt;=10000, 10%, IF(Sdata[[#This Row],[Salary]]&gt;=5000,5%, 2%)))</f>
        <v>0.1</v>
      </c>
      <c r="P56" s="145">
        <f>IF(Sdata[[#This Row],[Salary]]&gt;=15000,15%, IF(Sdata[[#This Row],[Salary]]&gt;=10000, 10%, IF(Sdata[[#This Row],[Salary]]&gt;=5000,5%, 2%)))</f>
        <v>0.1</v>
      </c>
      <c r="Q56" s="145">
        <f>VLOOKUP(Sdata[[#This Row],[Salary]],bdata[],2,1)</f>
        <v>0.1</v>
      </c>
      <c r="R56" s="149">
        <f>(Sdata[[#This Row],[Bonus in %]]*Sdata[[#This Row],[Salary]])</f>
        <v>1050</v>
      </c>
      <c r="S56" s="144">
        <f>SUM(Sdata[[#This Row],[Salary]], Sdata[[#This Row],[Salary]]*Sdata[[#This Row],[Bonus in %]])</f>
        <v>11550</v>
      </c>
      <c r="T56" s="106" t="str">
        <f>_xlfn.CONCAT(Sdata[[#This Row],[First Name]]," ",Sdata[[#This Row],[Last Name]])</f>
        <v>Richa Raje</v>
      </c>
      <c r="U56" s="106" t="str">
        <f t="shared" si="4"/>
        <v>Richa Raje</v>
      </c>
      <c r="V56" s="106">
        <f ca="1">DATEDIF(Sdata[[#This Row],[Hiredate]], TODAY(), "Y")</f>
        <v>34</v>
      </c>
      <c r="W56" s="150">
        <f t="shared" ca="1" si="5"/>
        <v>46018</v>
      </c>
    </row>
    <row r="57" spans="1:23" x14ac:dyDescent="0.3">
      <c r="A57" s="130">
        <v>41</v>
      </c>
      <c r="B57" s="108" t="s">
        <v>137</v>
      </c>
      <c r="C57" s="110" t="s">
        <v>138</v>
      </c>
      <c r="D57" s="108" t="s">
        <v>47</v>
      </c>
      <c r="E57" s="108" t="s">
        <v>10</v>
      </c>
      <c r="F57" s="108" t="s">
        <v>497</v>
      </c>
      <c r="G57" s="111">
        <v>35595</v>
      </c>
      <c r="H57" s="110">
        <v>7875</v>
      </c>
      <c r="I57" s="141">
        <f t="shared" si="2"/>
        <v>1968.75</v>
      </c>
      <c r="J57" s="141">
        <f t="shared" si="6"/>
        <v>3150</v>
      </c>
      <c r="K57" s="142">
        <f t="shared" si="6"/>
        <v>590.625</v>
      </c>
      <c r="L57" s="141">
        <f>VLOOKUP(Sdata[[#This Row],[Empcode]],idata[],2,0)</f>
        <v>41000</v>
      </c>
      <c r="M57" s="144">
        <f>IFERROR(VLOOKUP(Sdata[[#This Row],[Empcode]],idata[],2,0), 0)</f>
        <v>41000</v>
      </c>
      <c r="N57" s="141">
        <f>VLOOKUP(Sdata[[#This Row],[Empcode]],idata[],1,0)</f>
        <v>41</v>
      </c>
      <c r="O57" s="144">
        <f>IF(Sdata[[#This Row],[Salary]]&gt;=15000,15%, IF(Sdata[[#This Row],[Salary]]&gt;=10000, 10%, IF(Sdata[[#This Row],[Salary]]&gt;=5000,5%, 2%)))</f>
        <v>0.05</v>
      </c>
      <c r="P57" s="145">
        <f>IF(Sdata[[#This Row],[Salary]]&gt;=15000,15%, IF(Sdata[[#This Row],[Salary]]&gt;=10000, 10%, IF(Sdata[[#This Row],[Salary]]&gt;=5000,5%, 2%)))</f>
        <v>0.05</v>
      </c>
      <c r="Q57" s="145">
        <f>VLOOKUP(Sdata[[#This Row],[Salary]],bdata[],2,1)</f>
        <v>0.05</v>
      </c>
      <c r="R57" s="149">
        <f>(Sdata[[#This Row],[Bonus in %]]*Sdata[[#This Row],[Salary]])</f>
        <v>393.75</v>
      </c>
      <c r="S57" s="144">
        <f>SUM(Sdata[[#This Row],[Salary]], Sdata[[#This Row],[Salary]]*Sdata[[#This Row],[Bonus in %]])</f>
        <v>8268.75</v>
      </c>
      <c r="T57" s="106" t="str">
        <f>_xlfn.CONCAT(Sdata[[#This Row],[First Name]]," ",Sdata[[#This Row],[Last Name]])</f>
        <v>Kirtikar Sardesai</v>
      </c>
      <c r="U57" s="106" t="str">
        <f t="shared" si="4"/>
        <v>Kirtikar Sardesai</v>
      </c>
      <c r="V57" s="106">
        <f ca="1">DATEDIF(Sdata[[#This Row],[Hiredate]], TODAY(), "Y")</f>
        <v>28</v>
      </c>
      <c r="W57" s="150">
        <f t="shared" ca="1" si="5"/>
        <v>46018</v>
      </c>
    </row>
    <row r="58" spans="1:23" x14ac:dyDescent="0.3">
      <c r="A58" s="130">
        <v>42</v>
      </c>
      <c r="B58" s="108" t="s">
        <v>30</v>
      </c>
      <c r="C58" s="110" t="s">
        <v>31</v>
      </c>
      <c r="D58" s="108" t="s">
        <v>27</v>
      </c>
      <c r="E58" s="108" t="s">
        <v>10</v>
      </c>
      <c r="F58" s="108" t="s">
        <v>499</v>
      </c>
      <c r="G58" s="111">
        <v>33510</v>
      </c>
      <c r="H58" s="110">
        <v>13300</v>
      </c>
      <c r="I58" s="141">
        <f t="shared" si="2"/>
        <v>3325</v>
      </c>
      <c r="J58" s="141">
        <f t="shared" si="6"/>
        <v>5320</v>
      </c>
      <c r="K58" s="142">
        <f t="shared" si="6"/>
        <v>997.5</v>
      </c>
      <c r="L58" s="141" t="e">
        <f>VLOOKUP(Sdata[[#This Row],[Empcode]],idata[],2,0)</f>
        <v>#N/A</v>
      </c>
      <c r="M58" s="144">
        <f>IFERROR(VLOOKUP(Sdata[[#This Row],[Empcode]],idata[],2,0), 0)</f>
        <v>0</v>
      </c>
      <c r="N58" s="141" t="e">
        <f>VLOOKUP(Sdata[[#This Row],[Empcode]],idata[],1,0)</f>
        <v>#N/A</v>
      </c>
      <c r="O58" s="144">
        <f>IF(Sdata[[#This Row],[Salary]]&gt;=15000,15%, IF(Sdata[[#This Row],[Salary]]&gt;=10000, 10%, IF(Sdata[[#This Row],[Salary]]&gt;=5000,5%, 2%)))</f>
        <v>0.1</v>
      </c>
      <c r="P58" s="145">
        <f>IF(Sdata[[#This Row],[Salary]]&gt;=15000,15%, IF(Sdata[[#This Row],[Salary]]&gt;=10000, 10%, IF(Sdata[[#This Row],[Salary]]&gt;=5000,5%, 2%)))</f>
        <v>0.1</v>
      </c>
      <c r="Q58" s="145">
        <f>VLOOKUP(Sdata[[#This Row],[Salary]],bdata[],2,1)</f>
        <v>0.1</v>
      </c>
      <c r="R58" s="149">
        <f>(Sdata[[#This Row],[Bonus in %]]*Sdata[[#This Row],[Salary]])</f>
        <v>1330</v>
      </c>
      <c r="S58" s="144">
        <f>SUM(Sdata[[#This Row],[Salary]], Sdata[[#This Row],[Salary]]*Sdata[[#This Row],[Bonus in %]])</f>
        <v>14630</v>
      </c>
      <c r="T58" s="106" t="str">
        <f>_xlfn.CONCAT(Sdata[[#This Row],[First Name]]," ",Sdata[[#This Row],[Last Name]])</f>
        <v>Pooja Gokhale</v>
      </c>
      <c r="U58" s="106" t="str">
        <f t="shared" si="4"/>
        <v>Pooja Gokhale</v>
      </c>
      <c r="V58" s="106">
        <f ca="1">DATEDIF(Sdata[[#This Row],[Hiredate]], TODAY(), "Y")</f>
        <v>34</v>
      </c>
      <c r="W58" s="150">
        <f t="shared" ca="1" si="5"/>
        <v>46018</v>
      </c>
    </row>
    <row r="59" spans="1:23" x14ac:dyDescent="0.3">
      <c r="A59" s="130">
        <v>43</v>
      </c>
      <c r="B59" s="108" t="s">
        <v>32</v>
      </c>
      <c r="C59" s="110" t="s">
        <v>33</v>
      </c>
      <c r="D59" s="108" t="s">
        <v>493</v>
      </c>
      <c r="E59" s="108" t="s">
        <v>161</v>
      </c>
      <c r="F59" s="108" t="s">
        <v>506</v>
      </c>
      <c r="G59" s="111">
        <v>32435</v>
      </c>
      <c r="H59" s="110">
        <v>15750</v>
      </c>
      <c r="I59" s="141">
        <f t="shared" si="2"/>
        <v>3937.5</v>
      </c>
      <c r="J59" s="141">
        <f t="shared" si="6"/>
        <v>6300</v>
      </c>
      <c r="K59" s="142">
        <f t="shared" si="6"/>
        <v>1181.25</v>
      </c>
      <c r="L59" s="141">
        <f>VLOOKUP(Sdata[[#This Row],[Empcode]],idata[],2,0)</f>
        <v>43000</v>
      </c>
      <c r="M59" s="144">
        <f>IFERROR(VLOOKUP(Sdata[[#This Row],[Empcode]],idata[],2,0), 0)</f>
        <v>43000</v>
      </c>
      <c r="N59" s="141">
        <f>VLOOKUP(Sdata[[#This Row],[Empcode]],idata[],1,0)</f>
        <v>43</v>
      </c>
      <c r="O59" s="144">
        <f>IF(Sdata[[#This Row],[Salary]]&gt;=15000,15%, IF(Sdata[[#This Row],[Salary]]&gt;=10000, 10%, IF(Sdata[[#This Row],[Salary]]&gt;=5000,5%, 2%)))</f>
        <v>0.15</v>
      </c>
      <c r="P59" s="145">
        <f>IF(Sdata[[#This Row],[Salary]]&gt;=15000,15%, IF(Sdata[[#This Row],[Salary]]&gt;=10000, 10%, IF(Sdata[[#This Row],[Salary]]&gt;=5000,5%, 2%)))</f>
        <v>0.15</v>
      </c>
      <c r="Q59" s="145">
        <f>VLOOKUP(Sdata[[#This Row],[Salary]],bdata[],2,1)</f>
        <v>0.15</v>
      </c>
      <c r="R59" s="149">
        <f>(Sdata[[#This Row],[Bonus in %]]*Sdata[[#This Row],[Salary]])</f>
        <v>2362.5</v>
      </c>
      <c r="S59" s="144">
        <f>SUM(Sdata[[#This Row],[Salary]], Sdata[[#This Row],[Salary]]*Sdata[[#This Row],[Bonus in %]])</f>
        <v>18112.5</v>
      </c>
      <c r="T59" s="106" t="str">
        <f>_xlfn.CONCAT(Sdata[[#This Row],[First Name]]," ",Sdata[[#This Row],[Last Name]])</f>
        <v>Piyush Surti</v>
      </c>
      <c r="U59" s="106" t="str">
        <f t="shared" si="4"/>
        <v>Piyush Surti</v>
      </c>
      <c r="V59" s="106">
        <f ca="1">DATEDIF(Sdata[[#This Row],[Hiredate]], TODAY(), "Y")</f>
        <v>37</v>
      </c>
      <c r="W59" s="150">
        <f t="shared" ca="1" si="5"/>
        <v>46018</v>
      </c>
    </row>
    <row r="60" spans="1:23" x14ac:dyDescent="0.3">
      <c r="A60" s="130">
        <v>44</v>
      </c>
      <c r="B60" s="108" t="s">
        <v>173</v>
      </c>
      <c r="C60" s="110" t="s">
        <v>174</v>
      </c>
      <c r="D60" s="108" t="s">
        <v>493</v>
      </c>
      <c r="E60" s="108" t="s">
        <v>10</v>
      </c>
      <c r="F60" s="108" t="s">
        <v>488</v>
      </c>
      <c r="G60" s="111">
        <v>33194</v>
      </c>
      <c r="H60" s="110">
        <v>13825</v>
      </c>
      <c r="I60" s="141">
        <f t="shared" si="2"/>
        <v>3456.25</v>
      </c>
      <c r="J60" s="141">
        <f t="shared" si="6"/>
        <v>5530</v>
      </c>
      <c r="K60" s="142">
        <f t="shared" si="6"/>
        <v>1036.875</v>
      </c>
      <c r="L60" s="141" t="e">
        <f>VLOOKUP(Sdata[[#This Row],[Empcode]],idata[],2,0)</f>
        <v>#N/A</v>
      </c>
      <c r="M60" s="144">
        <f>IFERROR(VLOOKUP(Sdata[[#This Row],[Empcode]],idata[],2,0), 0)</f>
        <v>0</v>
      </c>
      <c r="N60" s="141" t="e">
        <f>VLOOKUP(Sdata[[#This Row],[Empcode]],idata[],1,0)</f>
        <v>#N/A</v>
      </c>
      <c r="O60" s="144">
        <f>IF(Sdata[[#This Row],[Salary]]&gt;=15000,15%, IF(Sdata[[#This Row],[Salary]]&gt;=10000, 10%, IF(Sdata[[#This Row],[Salary]]&gt;=5000,5%, 2%)))</f>
        <v>0.1</v>
      </c>
      <c r="P60" s="145">
        <f>IF(Sdata[[#This Row],[Salary]]&gt;=15000,15%, IF(Sdata[[#This Row],[Salary]]&gt;=10000, 10%, IF(Sdata[[#This Row],[Salary]]&gt;=5000,5%, 2%)))</f>
        <v>0.1</v>
      </c>
      <c r="Q60" s="145">
        <f>VLOOKUP(Sdata[[#This Row],[Salary]],bdata[],2,1)</f>
        <v>0.1</v>
      </c>
      <c r="R60" s="149">
        <f>(Sdata[[#This Row],[Bonus in %]]*Sdata[[#This Row],[Salary]])</f>
        <v>1382.5</v>
      </c>
      <c r="S60" s="144">
        <f>SUM(Sdata[[#This Row],[Salary]], Sdata[[#This Row],[Salary]]*Sdata[[#This Row],[Bonus in %]])</f>
        <v>15207.5</v>
      </c>
      <c r="T60" s="106" t="str">
        <f>_xlfn.CONCAT(Sdata[[#This Row],[First Name]]," ",Sdata[[#This Row],[Last Name]])</f>
        <v>Shaheen Khan</v>
      </c>
      <c r="U60" s="106" t="str">
        <f t="shared" si="4"/>
        <v>Shaheen Khan</v>
      </c>
      <c r="V60" s="106">
        <f ca="1">DATEDIF(Sdata[[#This Row],[Hiredate]], TODAY(), "Y")</f>
        <v>35</v>
      </c>
      <c r="W60" s="150">
        <f t="shared" ca="1" si="5"/>
        <v>46018</v>
      </c>
    </row>
    <row r="61" spans="1:23" x14ac:dyDescent="0.3">
      <c r="A61" s="130">
        <v>45</v>
      </c>
      <c r="B61" s="108" t="s">
        <v>85</v>
      </c>
      <c r="C61" s="110" t="s">
        <v>86</v>
      </c>
      <c r="D61" s="108" t="s">
        <v>27</v>
      </c>
      <c r="E61" s="108" t="s">
        <v>58</v>
      </c>
      <c r="F61" s="108" t="s">
        <v>487</v>
      </c>
      <c r="G61" s="111">
        <v>35618</v>
      </c>
      <c r="H61" s="110">
        <v>11375</v>
      </c>
      <c r="I61" s="141">
        <f t="shared" si="2"/>
        <v>2843.75</v>
      </c>
      <c r="J61" s="141">
        <f t="shared" si="6"/>
        <v>4550</v>
      </c>
      <c r="K61" s="142">
        <f t="shared" si="6"/>
        <v>853.125</v>
      </c>
      <c r="L61" s="141">
        <f>VLOOKUP(Sdata[[#This Row],[Empcode]],idata[],2,0)</f>
        <v>45000</v>
      </c>
      <c r="M61" s="144">
        <f>IFERROR(VLOOKUP(Sdata[[#This Row],[Empcode]],idata[],2,0), 0)</f>
        <v>45000</v>
      </c>
      <c r="N61" s="141">
        <f>VLOOKUP(Sdata[[#This Row],[Empcode]],idata[],1,0)</f>
        <v>45</v>
      </c>
      <c r="O61" s="144">
        <f>IF(Sdata[[#This Row],[Salary]]&gt;=15000,15%, IF(Sdata[[#This Row],[Salary]]&gt;=10000, 10%, IF(Sdata[[#This Row],[Salary]]&gt;=5000,5%, 2%)))</f>
        <v>0.1</v>
      </c>
      <c r="P61" s="145">
        <f>IF(Sdata[[#This Row],[Salary]]&gt;=15000,15%, IF(Sdata[[#This Row],[Salary]]&gt;=10000, 10%, IF(Sdata[[#This Row],[Salary]]&gt;=5000,5%, 2%)))</f>
        <v>0.1</v>
      </c>
      <c r="Q61" s="145">
        <f>VLOOKUP(Sdata[[#This Row],[Salary]],bdata[],2,1)</f>
        <v>0.1</v>
      </c>
      <c r="R61" s="149">
        <f>(Sdata[[#This Row],[Bonus in %]]*Sdata[[#This Row],[Salary]])</f>
        <v>1137.5</v>
      </c>
      <c r="S61" s="144">
        <f>SUM(Sdata[[#This Row],[Salary]], Sdata[[#This Row],[Salary]]*Sdata[[#This Row],[Bonus in %]])</f>
        <v>12512.5</v>
      </c>
      <c r="T61" s="106" t="str">
        <f>_xlfn.CONCAT(Sdata[[#This Row],[First Name]]," ",Sdata[[#This Row],[Last Name]])</f>
        <v>Kinnari Mehta</v>
      </c>
      <c r="U61" s="106" t="str">
        <f t="shared" si="4"/>
        <v>Kinnari Mehta</v>
      </c>
      <c r="V61" s="106">
        <f ca="1">DATEDIF(Sdata[[#This Row],[Hiredate]], TODAY(), "Y")</f>
        <v>28</v>
      </c>
      <c r="W61" s="150">
        <f t="shared" ca="1" si="5"/>
        <v>46018</v>
      </c>
    </row>
    <row r="62" spans="1:23" x14ac:dyDescent="0.3">
      <c r="A62" s="130">
        <v>46</v>
      </c>
      <c r="B62" s="108" t="s">
        <v>87</v>
      </c>
      <c r="C62" s="110" t="s">
        <v>88</v>
      </c>
      <c r="D62" s="108" t="s">
        <v>24</v>
      </c>
      <c r="E62" s="108" t="s">
        <v>58</v>
      </c>
      <c r="F62" s="108" t="s">
        <v>507</v>
      </c>
      <c r="G62" s="111">
        <v>33510</v>
      </c>
      <c r="H62" s="110">
        <v>15750</v>
      </c>
      <c r="I62" s="141">
        <f t="shared" si="2"/>
        <v>3937.5</v>
      </c>
      <c r="J62" s="141">
        <f t="shared" si="6"/>
        <v>6300</v>
      </c>
      <c r="K62" s="142">
        <f t="shared" si="6"/>
        <v>1181.25</v>
      </c>
      <c r="L62" s="141" t="e">
        <f>VLOOKUP(Sdata[[#This Row],[Empcode]],idata[],2,0)</f>
        <v>#N/A</v>
      </c>
      <c r="M62" s="144">
        <f>IFERROR(VLOOKUP(Sdata[[#This Row],[Empcode]],idata[],2,0), 0)</f>
        <v>0</v>
      </c>
      <c r="N62" s="141" t="e">
        <f>VLOOKUP(Sdata[[#This Row],[Empcode]],idata[],1,0)</f>
        <v>#N/A</v>
      </c>
      <c r="O62" s="144">
        <f>IF(Sdata[[#This Row],[Salary]]&gt;=15000,15%, IF(Sdata[[#This Row],[Salary]]&gt;=10000, 10%, IF(Sdata[[#This Row],[Salary]]&gt;=5000,5%, 2%)))</f>
        <v>0.15</v>
      </c>
      <c r="P62" s="145">
        <f>IF(Sdata[[#This Row],[Salary]]&gt;=15000,15%, IF(Sdata[[#This Row],[Salary]]&gt;=10000, 10%, IF(Sdata[[#This Row],[Salary]]&gt;=5000,5%, 2%)))</f>
        <v>0.15</v>
      </c>
      <c r="Q62" s="145">
        <f>VLOOKUP(Sdata[[#This Row],[Salary]],bdata[],2,1)</f>
        <v>0.15</v>
      </c>
      <c r="R62" s="149">
        <f>(Sdata[[#This Row],[Bonus in %]]*Sdata[[#This Row],[Salary]])</f>
        <v>2362.5</v>
      </c>
      <c r="S62" s="144">
        <f>SUM(Sdata[[#This Row],[Salary]], Sdata[[#This Row],[Salary]]*Sdata[[#This Row],[Bonus in %]])</f>
        <v>18112.5</v>
      </c>
      <c r="T62" s="106" t="str">
        <f>_xlfn.CONCAT(Sdata[[#This Row],[First Name]]," ",Sdata[[#This Row],[Last Name]])</f>
        <v>Jeena Baig</v>
      </c>
      <c r="U62" s="106" t="str">
        <f t="shared" si="4"/>
        <v>Jeena Baig</v>
      </c>
      <c r="V62" s="106">
        <f ca="1">DATEDIF(Sdata[[#This Row],[Hiredate]], TODAY(), "Y")</f>
        <v>34</v>
      </c>
      <c r="W62" s="150">
        <f t="shared" ca="1" si="5"/>
        <v>46018</v>
      </c>
    </row>
    <row r="63" spans="1:23" x14ac:dyDescent="0.3">
      <c r="A63" s="130">
        <v>47</v>
      </c>
      <c r="B63" s="108" t="s">
        <v>89</v>
      </c>
      <c r="C63" s="110" t="s">
        <v>29</v>
      </c>
      <c r="D63" s="108" t="s">
        <v>47</v>
      </c>
      <c r="E63" s="108" t="s">
        <v>58</v>
      </c>
      <c r="F63" s="108" t="s">
        <v>491</v>
      </c>
      <c r="G63" s="111">
        <v>32180</v>
      </c>
      <c r="H63" s="110">
        <v>15750</v>
      </c>
      <c r="I63" s="141">
        <f t="shared" si="2"/>
        <v>3937.5</v>
      </c>
      <c r="J63" s="141">
        <f t="shared" si="6"/>
        <v>6300</v>
      </c>
      <c r="K63" s="142">
        <f t="shared" si="6"/>
        <v>1181.25</v>
      </c>
      <c r="L63" s="141">
        <f>VLOOKUP(Sdata[[#This Row],[Empcode]],idata[],2,0)</f>
        <v>47000</v>
      </c>
      <c r="M63" s="144">
        <f>IFERROR(VLOOKUP(Sdata[[#This Row],[Empcode]],idata[],2,0), 0)</f>
        <v>47000</v>
      </c>
      <c r="N63" s="141">
        <f>VLOOKUP(Sdata[[#This Row],[Empcode]],idata[],1,0)</f>
        <v>47</v>
      </c>
      <c r="O63" s="144">
        <f>IF(Sdata[[#This Row],[Salary]]&gt;=15000,15%, IF(Sdata[[#This Row],[Salary]]&gt;=10000, 10%, IF(Sdata[[#This Row],[Salary]]&gt;=5000,5%, 2%)))</f>
        <v>0.15</v>
      </c>
      <c r="P63" s="145">
        <f>IF(Sdata[[#This Row],[Salary]]&gt;=15000,15%, IF(Sdata[[#This Row],[Salary]]&gt;=10000, 10%, IF(Sdata[[#This Row],[Salary]]&gt;=5000,5%, 2%)))</f>
        <v>0.15</v>
      </c>
      <c r="Q63" s="145">
        <f>VLOOKUP(Sdata[[#This Row],[Salary]],bdata[],2,1)</f>
        <v>0.15</v>
      </c>
      <c r="R63" s="149">
        <f>(Sdata[[#This Row],[Bonus in %]]*Sdata[[#This Row],[Salary]])</f>
        <v>2362.5</v>
      </c>
      <c r="S63" s="144">
        <f>SUM(Sdata[[#This Row],[Salary]], Sdata[[#This Row],[Salary]]*Sdata[[#This Row],[Bonus in %]])</f>
        <v>18112.5</v>
      </c>
      <c r="T63" s="106" t="str">
        <f>_xlfn.CONCAT(Sdata[[#This Row],[First Name]]," ",Sdata[[#This Row],[Last Name]])</f>
        <v>Vicky Joshi</v>
      </c>
      <c r="U63" s="106" t="str">
        <f t="shared" si="4"/>
        <v>Vicky Joshi</v>
      </c>
      <c r="V63" s="106">
        <f ca="1">DATEDIF(Sdata[[#This Row],[Hiredate]], TODAY(), "Y")</f>
        <v>37</v>
      </c>
      <c r="W63" s="150">
        <f t="shared" ca="1" si="5"/>
        <v>46018</v>
      </c>
    </row>
    <row r="64" spans="1:23" x14ac:dyDescent="0.3">
      <c r="A64" s="130">
        <v>48</v>
      </c>
      <c r="B64" s="108" t="s">
        <v>175</v>
      </c>
      <c r="C64" s="110" t="s">
        <v>29</v>
      </c>
      <c r="D64" s="108" t="s">
        <v>19</v>
      </c>
      <c r="E64" s="108" t="s">
        <v>161</v>
      </c>
      <c r="F64" s="108" t="s">
        <v>512</v>
      </c>
      <c r="G64" s="111">
        <v>32435</v>
      </c>
      <c r="H64" s="110">
        <v>15750</v>
      </c>
      <c r="I64" s="141">
        <f t="shared" si="2"/>
        <v>3937.5</v>
      </c>
      <c r="J64" s="141">
        <f t="shared" si="6"/>
        <v>6300</v>
      </c>
      <c r="K64" s="142">
        <f t="shared" si="6"/>
        <v>1181.25</v>
      </c>
      <c r="L64" s="141" t="e">
        <f>VLOOKUP(Sdata[[#This Row],[Empcode]],idata[],2,0)</f>
        <v>#N/A</v>
      </c>
      <c r="M64" s="144">
        <f>IFERROR(VLOOKUP(Sdata[[#This Row],[Empcode]],idata[],2,0), 0)</f>
        <v>0</v>
      </c>
      <c r="N64" s="141" t="e">
        <f>VLOOKUP(Sdata[[#This Row],[Empcode]],idata[],1,0)</f>
        <v>#N/A</v>
      </c>
      <c r="O64" s="144">
        <f>IF(Sdata[[#This Row],[Salary]]&gt;=15000,15%, IF(Sdata[[#This Row],[Salary]]&gt;=10000, 10%, IF(Sdata[[#This Row],[Salary]]&gt;=5000,5%, 2%)))</f>
        <v>0.15</v>
      </c>
      <c r="P64" s="145">
        <f>IF(Sdata[[#This Row],[Salary]]&gt;=15000,15%, IF(Sdata[[#This Row],[Salary]]&gt;=10000, 10%, IF(Sdata[[#This Row],[Salary]]&gt;=5000,5%, 2%)))</f>
        <v>0.15</v>
      </c>
      <c r="Q64" s="145">
        <f>VLOOKUP(Sdata[[#This Row],[Salary]],bdata[],2,1)</f>
        <v>0.15</v>
      </c>
      <c r="R64" s="149">
        <f>(Sdata[[#This Row],[Bonus in %]]*Sdata[[#This Row],[Salary]])</f>
        <v>2362.5</v>
      </c>
      <c r="S64" s="144">
        <f>SUM(Sdata[[#This Row],[Salary]], Sdata[[#This Row],[Salary]]*Sdata[[#This Row],[Bonus in %]])</f>
        <v>18112.5</v>
      </c>
      <c r="T64" s="106" t="str">
        <f>_xlfn.CONCAT(Sdata[[#This Row],[First Name]]," ",Sdata[[#This Row],[Last Name]])</f>
        <v>Neha Joshi</v>
      </c>
      <c r="U64" s="106" t="str">
        <f t="shared" si="4"/>
        <v>Neha Joshi</v>
      </c>
      <c r="V64" s="106">
        <f ca="1">DATEDIF(Sdata[[#This Row],[Hiredate]], TODAY(), "Y")</f>
        <v>37</v>
      </c>
      <c r="W64" s="150">
        <f t="shared" ca="1" si="5"/>
        <v>46018</v>
      </c>
    </row>
    <row r="65" spans="1:23" x14ac:dyDescent="0.3">
      <c r="A65" s="130">
        <v>49</v>
      </c>
      <c r="B65" s="108" t="s">
        <v>139</v>
      </c>
      <c r="C65" s="110" t="s">
        <v>140</v>
      </c>
      <c r="D65" s="108" t="s">
        <v>19</v>
      </c>
      <c r="E65" s="108" t="s">
        <v>125</v>
      </c>
      <c r="F65" s="108" t="s">
        <v>500</v>
      </c>
      <c r="G65" s="111">
        <v>32435</v>
      </c>
      <c r="H65" s="110">
        <v>15750</v>
      </c>
      <c r="I65" s="141">
        <f t="shared" si="2"/>
        <v>3937.5</v>
      </c>
      <c r="J65" s="141">
        <f t="shared" si="6"/>
        <v>6300</v>
      </c>
      <c r="K65" s="142">
        <f t="shared" si="6"/>
        <v>1181.25</v>
      </c>
      <c r="L65" s="141" t="e">
        <f>VLOOKUP(Sdata[[#This Row],[Empcode]],idata[],2,0)</f>
        <v>#N/A</v>
      </c>
      <c r="M65" s="144">
        <f>IFERROR(VLOOKUP(Sdata[[#This Row],[Empcode]],idata[],2,0), 0)</f>
        <v>0</v>
      </c>
      <c r="N65" s="141" t="e">
        <f>VLOOKUP(Sdata[[#This Row],[Empcode]],idata[],1,0)</f>
        <v>#N/A</v>
      </c>
      <c r="O65" s="144">
        <f>IF(Sdata[[#This Row],[Salary]]&gt;=15000,15%, IF(Sdata[[#This Row],[Salary]]&gt;=10000, 10%, IF(Sdata[[#This Row],[Salary]]&gt;=5000,5%, 2%)))</f>
        <v>0.15</v>
      </c>
      <c r="P65" s="145">
        <f>IF(Sdata[[#This Row],[Salary]]&gt;=15000,15%, IF(Sdata[[#This Row],[Salary]]&gt;=10000, 10%, IF(Sdata[[#This Row],[Salary]]&gt;=5000,5%, 2%)))</f>
        <v>0.15</v>
      </c>
      <c r="Q65" s="145">
        <f>VLOOKUP(Sdata[[#This Row],[Salary]],bdata[],2,1)</f>
        <v>0.15</v>
      </c>
      <c r="R65" s="149">
        <f>(Sdata[[#This Row],[Bonus in %]]*Sdata[[#This Row],[Salary]])</f>
        <v>2362.5</v>
      </c>
      <c r="S65" s="144">
        <f>SUM(Sdata[[#This Row],[Salary]], Sdata[[#This Row],[Salary]]*Sdata[[#This Row],[Bonus in %]])</f>
        <v>18112.5</v>
      </c>
      <c r="T65" s="106" t="str">
        <f>_xlfn.CONCAT(Sdata[[#This Row],[First Name]]," ",Sdata[[#This Row],[Last Name]])</f>
        <v>Rakesh Kumar</v>
      </c>
      <c r="U65" s="106" t="str">
        <f t="shared" si="4"/>
        <v>Rakesh Kumar</v>
      </c>
      <c r="V65" s="106">
        <f ca="1">DATEDIF(Sdata[[#This Row],[Hiredate]], TODAY(), "Y")</f>
        <v>37</v>
      </c>
      <c r="W65" s="150">
        <f t="shared" ca="1" si="5"/>
        <v>46018</v>
      </c>
    </row>
    <row r="66" spans="1:23" x14ac:dyDescent="0.3">
      <c r="A66" s="130">
        <v>50</v>
      </c>
      <c r="B66" s="108" t="s">
        <v>176</v>
      </c>
      <c r="C66" s="110" t="s">
        <v>88</v>
      </c>
      <c r="D66" s="108" t="s">
        <v>493</v>
      </c>
      <c r="E66" s="108" t="s">
        <v>161</v>
      </c>
      <c r="F66" s="108" t="s">
        <v>512</v>
      </c>
      <c r="G66" s="111">
        <v>32435</v>
      </c>
      <c r="H66" s="110">
        <v>15750</v>
      </c>
      <c r="I66" s="141">
        <f t="shared" si="2"/>
        <v>3937.5</v>
      </c>
      <c r="J66" s="141">
        <f t="shared" si="6"/>
        <v>6300</v>
      </c>
      <c r="K66" s="142">
        <f t="shared" si="6"/>
        <v>1181.25</v>
      </c>
      <c r="L66" s="141" t="e">
        <f>VLOOKUP(Sdata[[#This Row],[Empcode]],idata[],2,0)</f>
        <v>#N/A</v>
      </c>
      <c r="M66" s="144">
        <f>IFERROR(VLOOKUP(Sdata[[#This Row],[Empcode]],idata[],2,0), 0)</f>
        <v>0</v>
      </c>
      <c r="N66" s="141" t="e">
        <f>VLOOKUP(Sdata[[#This Row],[Empcode]],idata[],1,0)</f>
        <v>#N/A</v>
      </c>
      <c r="O66" s="144">
        <f>IF(Sdata[[#This Row],[Salary]]&gt;=15000,15%, IF(Sdata[[#This Row],[Salary]]&gt;=10000, 10%, IF(Sdata[[#This Row],[Salary]]&gt;=5000,5%, 2%)))</f>
        <v>0.15</v>
      </c>
      <c r="P66" s="145">
        <f>IF(Sdata[[#This Row],[Salary]]&gt;=15000,15%, IF(Sdata[[#This Row],[Salary]]&gt;=10000, 10%, IF(Sdata[[#This Row],[Salary]]&gt;=5000,5%, 2%)))</f>
        <v>0.15</v>
      </c>
      <c r="Q66" s="145">
        <f>VLOOKUP(Sdata[[#This Row],[Salary]],bdata[],2,1)</f>
        <v>0.15</v>
      </c>
      <c r="R66" s="149">
        <f>(Sdata[[#This Row],[Bonus in %]]*Sdata[[#This Row],[Salary]])</f>
        <v>2362.5</v>
      </c>
      <c r="S66" s="144">
        <f>SUM(Sdata[[#This Row],[Salary]], Sdata[[#This Row],[Salary]]*Sdata[[#This Row],[Bonus in %]])</f>
        <v>18112.5</v>
      </c>
      <c r="T66" s="106" t="str">
        <f>_xlfn.CONCAT(Sdata[[#This Row],[First Name]]," ",Sdata[[#This Row],[Last Name]])</f>
        <v>Ruheal Baig</v>
      </c>
      <c r="U66" s="106" t="str">
        <f t="shared" si="4"/>
        <v>Ruheal Baig</v>
      </c>
      <c r="V66" s="106">
        <f ca="1">DATEDIF(Sdata[[#This Row],[Hiredate]], TODAY(), "Y")</f>
        <v>37</v>
      </c>
      <c r="W66" s="150">
        <f t="shared" ca="1" si="5"/>
        <v>46018</v>
      </c>
    </row>
    <row r="67" spans="1:23" x14ac:dyDescent="0.3">
      <c r="A67" s="130">
        <v>51</v>
      </c>
      <c r="B67" s="108" t="s">
        <v>90</v>
      </c>
      <c r="C67" s="110" t="s">
        <v>91</v>
      </c>
      <c r="D67" s="108" t="s">
        <v>24</v>
      </c>
      <c r="E67" s="108" t="s">
        <v>58</v>
      </c>
      <c r="F67" s="108" t="s">
        <v>498</v>
      </c>
      <c r="G67" s="111">
        <v>32436</v>
      </c>
      <c r="H67" s="110">
        <v>15750</v>
      </c>
      <c r="I67" s="141">
        <f t="shared" si="2"/>
        <v>3937.5</v>
      </c>
      <c r="J67" s="141">
        <f t="shared" si="6"/>
        <v>6300</v>
      </c>
      <c r="K67" s="142">
        <f t="shared" si="6"/>
        <v>1181.25</v>
      </c>
      <c r="L67" s="141" t="e">
        <f>VLOOKUP(Sdata[[#This Row],[Empcode]],idata[],2,0)</f>
        <v>#N/A</v>
      </c>
      <c r="M67" s="144">
        <f>IFERROR(VLOOKUP(Sdata[[#This Row],[Empcode]],idata[],2,0), 0)</f>
        <v>0</v>
      </c>
      <c r="N67" s="141" t="e">
        <f>VLOOKUP(Sdata[[#This Row],[Empcode]],idata[],1,0)</f>
        <v>#N/A</v>
      </c>
      <c r="O67" s="144">
        <f>IF(Sdata[[#This Row],[Salary]]&gt;=15000,15%, IF(Sdata[[#This Row],[Salary]]&gt;=10000, 10%, IF(Sdata[[#This Row],[Salary]]&gt;=5000,5%, 2%)))</f>
        <v>0.15</v>
      </c>
      <c r="P67" s="145">
        <f>IF(Sdata[[#This Row],[Salary]]&gt;=15000,15%, IF(Sdata[[#This Row],[Salary]]&gt;=10000, 10%, IF(Sdata[[#This Row],[Salary]]&gt;=5000,5%, 2%)))</f>
        <v>0.15</v>
      </c>
      <c r="Q67" s="145">
        <f>VLOOKUP(Sdata[[#This Row],[Salary]],bdata[],2,1)</f>
        <v>0.15</v>
      </c>
      <c r="R67" s="149">
        <f>(Sdata[[#This Row],[Bonus in %]]*Sdata[[#This Row],[Salary]])</f>
        <v>2362.5</v>
      </c>
      <c r="S67" s="144">
        <f>SUM(Sdata[[#This Row],[Salary]], Sdata[[#This Row],[Salary]]*Sdata[[#This Row],[Bonus in %]])</f>
        <v>18112.5</v>
      </c>
      <c r="T67" s="106" t="str">
        <f>_xlfn.CONCAT(Sdata[[#This Row],[First Name]]," ",Sdata[[#This Row],[Last Name]])</f>
        <v>Mario Fernandes</v>
      </c>
      <c r="U67" s="106" t="str">
        <f t="shared" si="4"/>
        <v>Mario Fernandes</v>
      </c>
      <c r="V67" s="106">
        <f ca="1">DATEDIF(Sdata[[#This Row],[Hiredate]], TODAY(), "Y")</f>
        <v>37</v>
      </c>
      <c r="W67" s="150">
        <f t="shared" ca="1" si="5"/>
        <v>46018</v>
      </c>
    </row>
    <row r="68" spans="1:23" x14ac:dyDescent="0.3">
      <c r="A68" s="130">
        <v>52</v>
      </c>
      <c r="B68" s="108" t="s">
        <v>92</v>
      </c>
      <c r="C68" s="110" t="s">
        <v>93</v>
      </c>
      <c r="D68" s="108" t="s">
        <v>19</v>
      </c>
      <c r="E68" s="108" t="s">
        <v>58</v>
      </c>
      <c r="F68" s="108" t="s">
        <v>507</v>
      </c>
      <c r="G68" s="111">
        <v>32437</v>
      </c>
      <c r="H68" s="110">
        <v>19250</v>
      </c>
      <c r="I68" s="141">
        <f t="shared" si="2"/>
        <v>4812.5</v>
      </c>
      <c r="J68" s="141">
        <f t="shared" si="6"/>
        <v>7700</v>
      </c>
      <c r="K68" s="142">
        <f t="shared" si="6"/>
        <v>1443.75</v>
      </c>
      <c r="L68" s="141" t="e">
        <f>VLOOKUP(Sdata[[#This Row],[Empcode]],idata[],2,0)</f>
        <v>#N/A</v>
      </c>
      <c r="M68" s="144">
        <f>IFERROR(VLOOKUP(Sdata[[#This Row],[Empcode]],idata[],2,0), 0)</f>
        <v>0</v>
      </c>
      <c r="N68" s="141" t="e">
        <f>VLOOKUP(Sdata[[#This Row],[Empcode]],idata[],1,0)</f>
        <v>#N/A</v>
      </c>
      <c r="O68" s="144">
        <f>IF(Sdata[[#This Row],[Salary]]&gt;=15000,15%, IF(Sdata[[#This Row],[Salary]]&gt;=10000, 10%, IF(Sdata[[#This Row],[Salary]]&gt;=5000,5%, 2%)))</f>
        <v>0.15</v>
      </c>
      <c r="P68" s="145">
        <f>IF(Sdata[[#This Row],[Salary]]&gt;=15000,15%, IF(Sdata[[#This Row],[Salary]]&gt;=10000, 10%, IF(Sdata[[#This Row],[Salary]]&gt;=5000,5%, 2%)))</f>
        <v>0.15</v>
      </c>
      <c r="Q68" s="145">
        <f>VLOOKUP(Sdata[[#This Row],[Salary]],bdata[],2,1)</f>
        <v>0.15</v>
      </c>
      <c r="R68" s="149">
        <f>(Sdata[[#This Row],[Bonus in %]]*Sdata[[#This Row],[Salary]])</f>
        <v>2887.5</v>
      </c>
      <c r="S68" s="144">
        <f>SUM(Sdata[[#This Row],[Salary]], Sdata[[#This Row],[Salary]]*Sdata[[#This Row],[Bonus in %]])</f>
        <v>22137.5</v>
      </c>
      <c r="T68" s="106" t="str">
        <f>_xlfn.CONCAT(Sdata[[#This Row],[First Name]]," ",Sdata[[#This Row],[Last Name]])</f>
        <v>Heena Godbole</v>
      </c>
      <c r="U68" s="106" t="str">
        <f t="shared" si="4"/>
        <v>Heena Godbole</v>
      </c>
      <c r="V68" s="106">
        <f ca="1">DATEDIF(Sdata[[#This Row],[Hiredate]], TODAY(), "Y")</f>
        <v>37</v>
      </c>
      <c r="W68" s="150">
        <f t="shared" ca="1" si="5"/>
        <v>46018</v>
      </c>
    </row>
    <row r="69" spans="1:23" x14ac:dyDescent="0.3">
      <c r="A69" s="130">
        <v>53</v>
      </c>
      <c r="B69" s="108" t="s">
        <v>177</v>
      </c>
      <c r="C69" s="110" t="s">
        <v>178</v>
      </c>
      <c r="D69" s="108" t="s">
        <v>19</v>
      </c>
      <c r="E69" s="108" t="s">
        <v>161</v>
      </c>
      <c r="F69" s="108" t="s">
        <v>513</v>
      </c>
      <c r="G69" s="111">
        <v>35034</v>
      </c>
      <c r="H69" s="110">
        <v>15750</v>
      </c>
      <c r="I69" s="141">
        <f t="shared" si="2"/>
        <v>3937.5</v>
      </c>
      <c r="J69" s="141">
        <f t="shared" si="6"/>
        <v>6300</v>
      </c>
      <c r="K69" s="142">
        <f t="shared" si="6"/>
        <v>1181.25</v>
      </c>
      <c r="L69" s="141" t="e">
        <f>VLOOKUP(Sdata[[#This Row],[Empcode]],idata[],2,0)</f>
        <v>#N/A</v>
      </c>
      <c r="M69" s="144">
        <f>IFERROR(VLOOKUP(Sdata[[#This Row],[Empcode]],idata[],2,0), 0)</f>
        <v>0</v>
      </c>
      <c r="N69" s="141" t="e">
        <f>VLOOKUP(Sdata[[#This Row],[Empcode]],idata[],1,0)</f>
        <v>#N/A</v>
      </c>
      <c r="O69" s="144">
        <f>IF(Sdata[[#This Row],[Salary]]&gt;=15000,15%, IF(Sdata[[#This Row],[Salary]]&gt;=10000, 10%, IF(Sdata[[#This Row],[Salary]]&gt;=5000,5%, 2%)))</f>
        <v>0.15</v>
      </c>
      <c r="P69" s="145">
        <f>IF(Sdata[[#This Row],[Salary]]&gt;=15000,15%, IF(Sdata[[#This Row],[Salary]]&gt;=10000, 10%, IF(Sdata[[#This Row],[Salary]]&gt;=5000,5%, 2%)))</f>
        <v>0.15</v>
      </c>
      <c r="Q69" s="145">
        <f>VLOOKUP(Sdata[[#This Row],[Salary]],bdata[],2,1)</f>
        <v>0.15</v>
      </c>
      <c r="R69" s="149">
        <f>(Sdata[[#This Row],[Bonus in %]]*Sdata[[#This Row],[Salary]])</f>
        <v>2362.5</v>
      </c>
      <c r="S69" s="144">
        <f>SUM(Sdata[[#This Row],[Salary]], Sdata[[#This Row],[Salary]]*Sdata[[#This Row],[Bonus in %]])</f>
        <v>18112.5</v>
      </c>
      <c r="T69" s="106" t="str">
        <f>_xlfn.CONCAT(Sdata[[#This Row],[First Name]]," ",Sdata[[#This Row],[Last Name]])</f>
        <v>Mehul Sheth</v>
      </c>
      <c r="U69" s="106" t="str">
        <f t="shared" si="4"/>
        <v>Mehul Sheth</v>
      </c>
      <c r="V69" s="106">
        <f ca="1">DATEDIF(Sdata[[#This Row],[Hiredate]], TODAY(), "Y")</f>
        <v>30</v>
      </c>
      <c r="W69" s="150">
        <f t="shared" ca="1" si="5"/>
        <v>46018</v>
      </c>
    </row>
    <row r="70" spans="1:23" x14ac:dyDescent="0.3">
      <c r="A70" s="130">
        <v>54</v>
      </c>
      <c r="B70" s="108" t="s">
        <v>36</v>
      </c>
      <c r="C70" s="110" t="s">
        <v>37</v>
      </c>
      <c r="D70" s="108" t="s">
        <v>19</v>
      </c>
      <c r="E70" s="108" t="s">
        <v>10</v>
      </c>
      <c r="F70" s="108" t="s">
        <v>514</v>
      </c>
      <c r="G70" s="111">
        <v>34761</v>
      </c>
      <c r="H70" s="110">
        <v>15750</v>
      </c>
      <c r="I70" s="141">
        <f t="shared" si="2"/>
        <v>3937.5</v>
      </c>
      <c r="J70" s="141">
        <f t="shared" si="6"/>
        <v>6300</v>
      </c>
      <c r="K70" s="142">
        <f t="shared" si="6"/>
        <v>1181.25</v>
      </c>
      <c r="L70" s="141" t="e">
        <f>VLOOKUP(Sdata[[#This Row],[Empcode]],idata[],2,0)</f>
        <v>#N/A</v>
      </c>
      <c r="M70" s="144">
        <f>IFERROR(VLOOKUP(Sdata[[#This Row],[Empcode]],idata[],2,0), 0)</f>
        <v>0</v>
      </c>
      <c r="N70" s="141" t="e">
        <f>VLOOKUP(Sdata[[#This Row],[Empcode]],idata[],1,0)</f>
        <v>#N/A</v>
      </c>
      <c r="O70" s="144">
        <f>IF(Sdata[[#This Row],[Salary]]&gt;=15000,15%, IF(Sdata[[#This Row],[Salary]]&gt;=10000, 10%, IF(Sdata[[#This Row],[Salary]]&gt;=5000,5%, 2%)))</f>
        <v>0.15</v>
      </c>
      <c r="P70" s="145">
        <f>IF(Sdata[[#This Row],[Salary]]&gt;=15000,15%, IF(Sdata[[#This Row],[Salary]]&gt;=10000, 10%, IF(Sdata[[#This Row],[Salary]]&gt;=5000,5%, 2%)))</f>
        <v>0.15</v>
      </c>
      <c r="Q70" s="145">
        <f>VLOOKUP(Sdata[[#This Row],[Salary]],bdata[],2,1)</f>
        <v>0.15</v>
      </c>
      <c r="R70" s="149">
        <f>(Sdata[[#This Row],[Bonus in %]]*Sdata[[#This Row],[Salary]])</f>
        <v>2362.5</v>
      </c>
      <c r="S70" s="144">
        <f>SUM(Sdata[[#This Row],[Salary]], Sdata[[#This Row],[Salary]]*Sdata[[#This Row],[Bonus in %]])</f>
        <v>18112.5</v>
      </c>
      <c r="T70" s="106" t="str">
        <f>_xlfn.CONCAT(Sdata[[#This Row],[First Name]]," ",Sdata[[#This Row],[Last Name]])</f>
        <v>Vishal Virsinghani</v>
      </c>
      <c r="U70" s="106" t="str">
        <f t="shared" si="4"/>
        <v>Vishal Virsinghani</v>
      </c>
      <c r="V70" s="106">
        <f ca="1">DATEDIF(Sdata[[#This Row],[Hiredate]], TODAY(), "Y")</f>
        <v>30</v>
      </c>
      <c r="W70" s="150">
        <f t="shared" ca="1" si="5"/>
        <v>46018</v>
      </c>
    </row>
    <row r="71" spans="1:23" x14ac:dyDescent="0.3">
      <c r="A71" s="130">
        <v>55</v>
      </c>
      <c r="B71" s="108" t="s">
        <v>38</v>
      </c>
      <c r="C71" s="110" t="s">
        <v>39</v>
      </c>
      <c r="D71" s="108" t="s">
        <v>19</v>
      </c>
      <c r="E71" s="108" t="s">
        <v>10</v>
      </c>
      <c r="F71" s="108" t="s">
        <v>515</v>
      </c>
      <c r="G71" s="111">
        <v>31717</v>
      </c>
      <c r="H71" s="110">
        <v>15750</v>
      </c>
      <c r="I71" s="141">
        <f t="shared" si="2"/>
        <v>3937.5</v>
      </c>
      <c r="J71" s="141">
        <f t="shared" si="6"/>
        <v>6300</v>
      </c>
      <c r="K71" s="142">
        <f t="shared" si="6"/>
        <v>1181.25</v>
      </c>
      <c r="L71" s="141" t="e">
        <f>VLOOKUP(Sdata[[#This Row],[Empcode]],idata[],2,0)</f>
        <v>#N/A</v>
      </c>
      <c r="M71" s="144">
        <f>IFERROR(VLOOKUP(Sdata[[#This Row],[Empcode]],idata[],2,0), 0)</f>
        <v>0</v>
      </c>
      <c r="N71" s="141" t="e">
        <f>VLOOKUP(Sdata[[#This Row],[Empcode]],idata[],1,0)</f>
        <v>#N/A</v>
      </c>
      <c r="O71" s="144">
        <f>IF(Sdata[[#This Row],[Salary]]&gt;=15000,15%, IF(Sdata[[#This Row],[Salary]]&gt;=10000, 10%, IF(Sdata[[#This Row],[Salary]]&gt;=5000,5%, 2%)))</f>
        <v>0.15</v>
      </c>
      <c r="P71" s="145">
        <f>IF(Sdata[[#This Row],[Salary]]&gt;=15000,15%, IF(Sdata[[#This Row],[Salary]]&gt;=10000, 10%, IF(Sdata[[#This Row],[Salary]]&gt;=5000,5%, 2%)))</f>
        <v>0.15</v>
      </c>
      <c r="Q71" s="145">
        <f>VLOOKUP(Sdata[[#This Row],[Salary]],bdata[],2,1)</f>
        <v>0.15</v>
      </c>
      <c r="R71" s="149">
        <f>(Sdata[[#This Row],[Bonus in %]]*Sdata[[#This Row],[Salary]])</f>
        <v>2362.5</v>
      </c>
      <c r="S71" s="144">
        <f>SUM(Sdata[[#This Row],[Salary]], Sdata[[#This Row],[Salary]]*Sdata[[#This Row],[Bonus in %]])</f>
        <v>18112.5</v>
      </c>
      <c r="T71" s="106" t="str">
        <f>_xlfn.CONCAT(Sdata[[#This Row],[First Name]]," ",Sdata[[#This Row],[Last Name]])</f>
        <v>Lalita Rao</v>
      </c>
      <c r="U71" s="106" t="str">
        <f t="shared" si="4"/>
        <v>Lalita Rao</v>
      </c>
      <c r="V71" s="106">
        <f ca="1">DATEDIF(Sdata[[#This Row],[Hiredate]], TODAY(), "Y")</f>
        <v>39</v>
      </c>
      <c r="W71" s="150">
        <f t="shared" ca="1" si="5"/>
        <v>46018</v>
      </c>
    </row>
    <row r="72" spans="1:23" x14ac:dyDescent="0.3">
      <c r="A72" s="130">
        <v>56</v>
      </c>
      <c r="B72" s="108" t="s">
        <v>179</v>
      </c>
      <c r="C72" s="110" t="s">
        <v>180</v>
      </c>
      <c r="D72" s="108" t="s">
        <v>24</v>
      </c>
      <c r="E72" s="108" t="s">
        <v>161</v>
      </c>
      <c r="F72" s="108" t="s">
        <v>513</v>
      </c>
      <c r="G72" s="111">
        <v>33878</v>
      </c>
      <c r="H72" s="110">
        <v>14875</v>
      </c>
      <c r="I72" s="141">
        <f t="shared" si="2"/>
        <v>3718.75</v>
      </c>
      <c r="J72" s="141">
        <f t="shared" si="6"/>
        <v>5950</v>
      </c>
      <c r="K72" s="142">
        <f t="shared" si="6"/>
        <v>1115.625</v>
      </c>
      <c r="L72" s="141" t="e">
        <f>VLOOKUP(Sdata[[#This Row],[Empcode]],idata[],2,0)</f>
        <v>#N/A</v>
      </c>
      <c r="M72" s="144">
        <f>IFERROR(VLOOKUP(Sdata[[#This Row],[Empcode]],idata[],2,0), 0)</f>
        <v>0</v>
      </c>
      <c r="N72" s="141" t="e">
        <f>VLOOKUP(Sdata[[#This Row],[Empcode]],idata[],1,0)</f>
        <v>#N/A</v>
      </c>
      <c r="O72" s="144">
        <f>IF(Sdata[[#This Row],[Salary]]&gt;=15000,15%, IF(Sdata[[#This Row],[Salary]]&gt;=10000, 10%, IF(Sdata[[#This Row],[Salary]]&gt;=5000,5%, 2%)))</f>
        <v>0.1</v>
      </c>
      <c r="P72" s="145">
        <f>IF(Sdata[[#This Row],[Salary]]&gt;=15000,15%, IF(Sdata[[#This Row],[Salary]]&gt;=10000, 10%, IF(Sdata[[#This Row],[Salary]]&gt;=5000,5%, 2%)))</f>
        <v>0.1</v>
      </c>
      <c r="Q72" s="145">
        <f>VLOOKUP(Sdata[[#This Row],[Salary]],bdata[],2,1)</f>
        <v>0.1</v>
      </c>
      <c r="R72" s="149">
        <f>(Sdata[[#This Row],[Bonus in %]]*Sdata[[#This Row],[Salary]])</f>
        <v>1487.5</v>
      </c>
      <c r="S72" s="144">
        <f>SUM(Sdata[[#This Row],[Salary]], Sdata[[#This Row],[Salary]]*Sdata[[#This Row],[Bonus in %]])</f>
        <v>16362.5</v>
      </c>
      <c r="T72" s="106" t="str">
        <f>_xlfn.CONCAT(Sdata[[#This Row],[First Name]]," ",Sdata[[#This Row],[Last Name]])</f>
        <v>Kajal Joglekar</v>
      </c>
      <c r="U72" s="106" t="str">
        <f t="shared" si="4"/>
        <v>Kajal Joglekar</v>
      </c>
      <c r="V72" s="106">
        <f ca="1">DATEDIF(Sdata[[#This Row],[Hiredate]], TODAY(), "Y")</f>
        <v>33</v>
      </c>
      <c r="W72" s="150">
        <f t="shared" ca="1" si="5"/>
        <v>46018</v>
      </c>
    </row>
    <row r="73" spans="1:23" x14ac:dyDescent="0.3">
      <c r="A73" s="130">
        <v>57</v>
      </c>
      <c r="B73" s="108" t="s">
        <v>141</v>
      </c>
      <c r="C73" s="110" t="s">
        <v>33</v>
      </c>
      <c r="D73" s="108" t="s">
        <v>24</v>
      </c>
      <c r="E73" s="108" t="s">
        <v>125</v>
      </c>
      <c r="F73" s="108" t="s">
        <v>516</v>
      </c>
      <c r="G73" s="111">
        <v>34098</v>
      </c>
      <c r="H73" s="110">
        <v>14875</v>
      </c>
      <c r="I73" s="141">
        <f t="shared" si="2"/>
        <v>3718.75</v>
      </c>
      <c r="J73" s="141">
        <f t="shared" si="6"/>
        <v>5950</v>
      </c>
      <c r="K73" s="142">
        <f t="shared" si="6"/>
        <v>1115.625</v>
      </c>
      <c r="L73" s="141" t="e">
        <f>VLOOKUP(Sdata[[#This Row],[Empcode]],idata[],2,0)</f>
        <v>#N/A</v>
      </c>
      <c r="M73" s="144">
        <f>IFERROR(VLOOKUP(Sdata[[#This Row],[Empcode]],idata[],2,0), 0)</f>
        <v>0</v>
      </c>
      <c r="N73" s="141" t="e">
        <f>VLOOKUP(Sdata[[#This Row],[Empcode]],idata[],1,0)</f>
        <v>#N/A</v>
      </c>
      <c r="O73" s="144">
        <f>IF(Sdata[[#This Row],[Salary]]&gt;=15000,15%, IF(Sdata[[#This Row],[Salary]]&gt;=10000, 10%, IF(Sdata[[#This Row],[Salary]]&gt;=5000,5%, 2%)))</f>
        <v>0.1</v>
      </c>
      <c r="P73" s="145">
        <f>IF(Sdata[[#This Row],[Salary]]&gt;=15000,15%, IF(Sdata[[#This Row],[Salary]]&gt;=10000, 10%, IF(Sdata[[#This Row],[Salary]]&gt;=5000,5%, 2%)))</f>
        <v>0.1</v>
      </c>
      <c r="Q73" s="145">
        <f>VLOOKUP(Sdata[[#This Row],[Salary]],bdata[],2,1)</f>
        <v>0.1</v>
      </c>
      <c r="R73" s="149">
        <f>(Sdata[[#This Row],[Bonus in %]]*Sdata[[#This Row],[Salary]])</f>
        <v>1487.5</v>
      </c>
      <c r="S73" s="144">
        <f>SUM(Sdata[[#This Row],[Salary]], Sdata[[#This Row],[Salary]]*Sdata[[#This Row],[Bonus in %]])</f>
        <v>16362.5</v>
      </c>
      <c r="T73" s="106" t="str">
        <f>_xlfn.CONCAT(Sdata[[#This Row],[First Name]]," ",Sdata[[#This Row],[Last Name]])</f>
        <v>Katti Surti</v>
      </c>
      <c r="U73" s="106" t="str">
        <f t="shared" si="4"/>
        <v>Katti Surti</v>
      </c>
      <c r="V73" s="106">
        <f ca="1">DATEDIF(Sdata[[#This Row],[Hiredate]], TODAY(), "Y")</f>
        <v>32</v>
      </c>
      <c r="W73" s="150">
        <f t="shared" ca="1" si="5"/>
        <v>46018</v>
      </c>
    </row>
    <row r="74" spans="1:23" x14ac:dyDescent="0.3">
      <c r="A74" s="130">
        <v>58</v>
      </c>
      <c r="B74" s="108" t="s">
        <v>94</v>
      </c>
      <c r="C74" s="110" t="s">
        <v>21</v>
      </c>
      <c r="D74" s="108" t="s">
        <v>9</v>
      </c>
      <c r="E74" s="108" t="s">
        <v>58</v>
      </c>
      <c r="F74" s="108" t="s">
        <v>495</v>
      </c>
      <c r="G74" s="111">
        <v>33182</v>
      </c>
      <c r="H74" s="110">
        <v>17500</v>
      </c>
      <c r="I74" s="141">
        <f t="shared" si="2"/>
        <v>4375</v>
      </c>
      <c r="J74" s="141">
        <f t="shared" si="6"/>
        <v>7000</v>
      </c>
      <c r="K74" s="142">
        <f t="shared" si="6"/>
        <v>1312.5</v>
      </c>
      <c r="L74" s="141" t="e">
        <f>VLOOKUP(Sdata[[#This Row],[Empcode]],idata[],2,0)</f>
        <v>#N/A</v>
      </c>
      <c r="M74" s="144">
        <f>IFERROR(VLOOKUP(Sdata[[#This Row],[Empcode]],idata[],2,0), 0)</f>
        <v>0</v>
      </c>
      <c r="N74" s="141" t="e">
        <f>VLOOKUP(Sdata[[#This Row],[Empcode]],idata[],1,0)</f>
        <v>#N/A</v>
      </c>
      <c r="O74" s="144">
        <f>IF(Sdata[[#This Row],[Salary]]&gt;=15000,15%, IF(Sdata[[#This Row],[Salary]]&gt;=10000, 10%, IF(Sdata[[#This Row],[Salary]]&gt;=5000,5%, 2%)))</f>
        <v>0.15</v>
      </c>
      <c r="P74" s="145">
        <f>IF(Sdata[[#This Row],[Salary]]&gt;=15000,15%, IF(Sdata[[#This Row],[Salary]]&gt;=10000, 10%, IF(Sdata[[#This Row],[Salary]]&gt;=5000,5%, 2%)))</f>
        <v>0.15</v>
      </c>
      <c r="Q74" s="145">
        <f>VLOOKUP(Sdata[[#This Row],[Salary]],bdata[],2,1)</f>
        <v>0.15</v>
      </c>
      <c r="R74" s="149">
        <f>(Sdata[[#This Row],[Bonus in %]]*Sdata[[#This Row],[Salary]])</f>
        <v>2625</v>
      </c>
      <c r="S74" s="144">
        <f>SUM(Sdata[[#This Row],[Salary]], Sdata[[#This Row],[Salary]]*Sdata[[#This Row],[Bonus in %]])</f>
        <v>20125</v>
      </c>
      <c r="T74" s="106" t="str">
        <f>_xlfn.CONCAT(Sdata[[#This Row],[First Name]]," ",Sdata[[#This Row],[Last Name]])</f>
        <v>Maya Panchal</v>
      </c>
      <c r="U74" s="106" t="str">
        <f t="shared" si="4"/>
        <v>Maya Panchal</v>
      </c>
      <c r="V74" s="106">
        <f ca="1">DATEDIF(Sdata[[#This Row],[Hiredate]], TODAY(), "Y")</f>
        <v>35</v>
      </c>
      <c r="W74" s="150">
        <f t="shared" ca="1" si="5"/>
        <v>46018</v>
      </c>
    </row>
    <row r="75" spans="1:23" x14ac:dyDescent="0.3">
      <c r="A75" s="130">
        <v>59</v>
      </c>
      <c r="B75" s="108" t="s">
        <v>142</v>
      </c>
      <c r="C75" s="110" t="s">
        <v>143</v>
      </c>
      <c r="D75" s="108" t="s">
        <v>47</v>
      </c>
      <c r="E75" s="108" t="s">
        <v>125</v>
      </c>
      <c r="F75" s="108" t="s">
        <v>505</v>
      </c>
      <c r="G75" s="111">
        <v>31791</v>
      </c>
      <c r="H75" s="110">
        <v>19250</v>
      </c>
      <c r="I75" s="141">
        <f t="shared" si="2"/>
        <v>4812.5</v>
      </c>
      <c r="J75" s="141">
        <f t="shared" si="6"/>
        <v>7700</v>
      </c>
      <c r="K75" s="142">
        <f t="shared" si="6"/>
        <v>1443.75</v>
      </c>
      <c r="L75" s="141" t="e">
        <f>VLOOKUP(Sdata[[#This Row],[Empcode]],idata[],2,0)</f>
        <v>#N/A</v>
      </c>
      <c r="M75" s="144">
        <f>IFERROR(VLOOKUP(Sdata[[#This Row],[Empcode]],idata[],2,0), 0)</f>
        <v>0</v>
      </c>
      <c r="N75" s="141" t="e">
        <f>VLOOKUP(Sdata[[#This Row],[Empcode]],idata[],1,0)</f>
        <v>#N/A</v>
      </c>
      <c r="O75" s="144">
        <f>IF(Sdata[[#This Row],[Salary]]&gt;=15000,15%, IF(Sdata[[#This Row],[Salary]]&gt;=10000, 10%, IF(Sdata[[#This Row],[Salary]]&gt;=5000,5%, 2%)))</f>
        <v>0.15</v>
      </c>
      <c r="P75" s="145">
        <f>IF(Sdata[[#This Row],[Salary]]&gt;=15000,15%, IF(Sdata[[#This Row],[Salary]]&gt;=10000, 10%, IF(Sdata[[#This Row],[Salary]]&gt;=5000,5%, 2%)))</f>
        <v>0.15</v>
      </c>
      <c r="Q75" s="145">
        <f>VLOOKUP(Sdata[[#This Row],[Salary]],bdata[],2,1)</f>
        <v>0.15</v>
      </c>
      <c r="R75" s="149">
        <f>(Sdata[[#This Row],[Bonus in %]]*Sdata[[#This Row],[Salary]])</f>
        <v>2887.5</v>
      </c>
      <c r="S75" s="144">
        <f>SUM(Sdata[[#This Row],[Salary]], Sdata[[#This Row],[Salary]]*Sdata[[#This Row],[Bonus in %]])</f>
        <v>22137.5</v>
      </c>
      <c r="T75" s="106" t="str">
        <f>_xlfn.CONCAT(Sdata[[#This Row],[First Name]]," ",Sdata[[#This Row],[Last Name]])</f>
        <v>Disha Parmar</v>
      </c>
      <c r="U75" s="106" t="str">
        <f t="shared" si="4"/>
        <v>Disha Parmar</v>
      </c>
      <c r="V75" s="106">
        <f ca="1">DATEDIF(Sdata[[#This Row],[Hiredate]], TODAY(), "Y")</f>
        <v>38</v>
      </c>
      <c r="W75" s="150">
        <f t="shared" ca="1" si="5"/>
        <v>46018</v>
      </c>
    </row>
    <row r="76" spans="1:23" x14ac:dyDescent="0.3">
      <c r="A76" s="130">
        <v>60</v>
      </c>
      <c r="B76" s="108" t="s">
        <v>144</v>
      </c>
      <c r="C76" s="110" t="s">
        <v>145</v>
      </c>
      <c r="D76" s="108" t="s">
        <v>9</v>
      </c>
      <c r="E76" s="108" t="s">
        <v>125</v>
      </c>
      <c r="F76" s="108" t="s">
        <v>517</v>
      </c>
      <c r="G76" s="111">
        <v>32105</v>
      </c>
      <c r="H76" s="110">
        <v>19250</v>
      </c>
      <c r="I76" s="141">
        <f t="shared" si="2"/>
        <v>4812.5</v>
      </c>
      <c r="J76" s="141">
        <f t="shared" si="6"/>
        <v>7700</v>
      </c>
      <c r="K76" s="142">
        <f t="shared" si="6"/>
        <v>1443.75</v>
      </c>
      <c r="L76" s="141" t="e">
        <f>VLOOKUP(Sdata[[#This Row],[Empcode]],idata[],2,0)</f>
        <v>#N/A</v>
      </c>
      <c r="M76" s="144">
        <f>IFERROR(VLOOKUP(Sdata[[#This Row],[Empcode]],idata[],2,0), 0)</f>
        <v>0</v>
      </c>
      <c r="N76" s="141" t="e">
        <f>VLOOKUP(Sdata[[#This Row],[Empcode]],idata[],1,0)</f>
        <v>#N/A</v>
      </c>
      <c r="O76" s="144">
        <f>IF(Sdata[[#This Row],[Salary]]&gt;=15000,15%, IF(Sdata[[#This Row],[Salary]]&gt;=10000, 10%, IF(Sdata[[#This Row],[Salary]]&gt;=5000,5%, 2%)))</f>
        <v>0.15</v>
      </c>
      <c r="P76" s="145">
        <f>IF(Sdata[[#This Row],[Salary]]&gt;=15000,15%, IF(Sdata[[#This Row],[Salary]]&gt;=10000, 10%, IF(Sdata[[#This Row],[Salary]]&gt;=5000,5%, 2%)))</f>
        <v>0.15</v>
      </c>
      <c r="Q76" s="145">
        <f>VLOOKUP(Sdata[[#This Row],[Salary]],bdata[],2,1)</f>
        <v>0.15</v>
      </c>
      <c r="R76" s="149">
        <f>(Sdata[[#This Row],[Bonus in %]]*Sdata[[#This Row],[Salary]])</f>
        <v>2887.5</v>
      </c>
      <c r="S76" s="144">
        <f>SUM(Sdata[[#This Row],[Salary]], Sdata[[#This Row],[Salary]]*Sdata[[#This Row],[Bonus in %]])</f>
        <v>22137.5</v>
      </c>
      <c r="T76" s="106" t="str">
        <f>_xlfn.CONCAT(Sdata[[#This Row],[First Name]]," ",Sdata[[#This Row],[Last Name]])</f>
        <v>Geeta Darekar</v>
      </c>
      <c r="U76" s="106" t="str">
        <f t="shared" si="4"/>
        <v>Geeta Darekar</v>
      </c>
      <c r="V76" s="106">
        <f ca="1">DATEDIF(Sdata[[#This Row],[Hiredate]], TODAY(), "Y")</f>
        <v>38</v>
      </c>
      <c r="W76" s="150">
        <f t="shared" ca="1" si="5"/>
        <v>46018</v>
      </c>
    </row>
    <row r="77" spans="1:23" x14ac:dyDescent="0.3">
      <c r="A77" s="130">
        <v>61</v>
      </c>
      <c r="B77" s="108" t="s">
        <v>95</v>
      </c>
      <c r="C77" s="110" t="s">
        <v>96</v>
      </c>
      <c r="D77" s="108" t="s">
        <v>47</v>
      </c>
      <c r="E77" s="108" t="s">
        <v>58</v>
      </c>
      <c r="F77" s="108" t="s">
        <v>495</v>
      </c>
      <c r="G77" s="111">
        <v>32106</v>
      </c>
      <c r="H77" s="110">
        <v>19250</v>
      </c>
      <c r="I77" s="141">
        <f t="shared" si="2"/>
        <v>4812.5</v>
      </c>
      <c r="J77" s="141">
        <f t="shared" si="6"/>
        <v>7700</v>
      </c>
      <c r="K77" s="142">
        <f t="shared" si="6"/>
        <v>1443.75</v>
      </c>
      <c r="L77" s="141" t="e">
        <f>VLOOKUP(Sdata[[#This Row],[Empcode]],idata[],2,0)</f>
        <v>#N/A</v>
      </c>
      <c r="M77" s="144">
        <f>IFERROR(VLOOKUP(Sdata[[#This Row],[Empcode]],idata[],2,0), 0)</f>
        <v>0</v>
      </c>
      <c r="N77" s="141" t="e">
        <f>VLOOKUP(Sdata[[#This Row],[Empcode]],idata[],1,0)</f>
        <v>#N/A</v>
      </c>
      <c r="O77" s="144">
        <f>IF(Sdata[[#This Row],[Salary]]&gt;=15000,15%, IF(Sdata[[#This Row],[Salary]]&gt;=10000, 10%, IF(Sdata[[#This Row],[Salary]]&gt;=5000,5%, 2%)))</f>
        <v>0.15</v>
      </c>
      <c r="P77" s="145">
        <f>IF(Sdata[[#This Row],[Salary]]&gt;=15000,15%, IF(Sdata[[#This Row],[Salary]]&gt;=10000, 10%, IF(Sdata[[#This Row],[Salary]]&gt;=5000,5%, 2%)))</f>
        <v>0.15</v>
      </c>
      <c r="Q77" s="145">
        <f>VLOOKUP(Sdata[[#This Row],[Salary]],bdata[],2,1)</f>
        <v>0.15</v>
      </c>
      <c r="R77" s="149">
        <f>(Sdata[[#This Row],[Bonus in %]]*Sdata[[#This Row],[Salary]])</f>
        <v>2887.5</v>
      </c>
      <c r="S77" s="144">
        <f>SUM(Sdata[[#This Row],[Salary]], Sdata[[#This Row],[Salary]]*Sdata[[#This Row],[Bonus in %]])</f>
        <v>22137.5</v>
      </c>
      <c r="T77" s="106" t="str">
        <f>_xlfn.CONCAT(Sdata[[#This Row],[First Name]]," ",Sdata[[#This Row],[Last Name]])</f>
        <v>Anuradha Zha</v>
      </c>
      <c r="U77" s="106" t="str">
        <f t="shared" si="4"/>
        <v>Anuradha Zha</v>
      </c>
      <c r="V77" s="106">
        <f ca="1">DATEDIF(Sdata[[#This Row],[Hiredate]], TODAY(), "Y")</f>
        <v>38</v>
      </c>
      <c r="W77" s="150">
        <f t="shared" ca="1" si="5"/>
        <v>46018</v>
      </c>
    </row>
    <row r="78" spans="1:23" x14ac:dyDescent="0.3">
      <c r="A78" s="130">
        <v>62</v>
      </c>
      <c r="B78" s="108" t="s">
        <v>97</v>
      </c>
      <c r="C78" s="110" t="s">
        <v>72</v>
      </c>
      <c r="D78" s="108" t="s">
        <v>24</v>
      </c>
      <c r="E78" s="108" t="s">
        <v>58</v>
      </c>
      <c r="F78" s="108" t="s">
        <v>491</v>
      </c>
      <c r="G78" s="111">
        <v>32107</v>
      </c>
      <c r="H78" s="110">
        <v>19250</v>
      </c>
      <c r="I78" s="141">
        <f t="shared" si="2"/>
        <v>4812.5</v>
      </c>
      <c r="J78" s="141">
        <f t="shared" si="6"/>
        <v>7700</v>
      </c>
      <c r="K78" s="142">
        <f t="shared" si="6"/>
        <v>1443.75</v>
      </c>
      <c r="L78" s="141" t="e">
        <f>VLOOKUP(Sdata[[#This Row],[Empcode]],idata[],2,0)</f>
        <v>#N/A</v>
      </c>
      <c r="M78" s="144">
        <f>IFERROR(VLOOKUP(Sdata[[#This Row],[Empcode]],idata[],2,0), 0)</f>
        <v>0</v>
      </c>
      <c r="N78" s="141" t="e">
        <f>VLOOKUP(Sdata[[#This Row],[Empcode]],idata[],1,0)</f>
        <v>#N/A</v>
      </c>
      <c r="O78" s="144">
        <f>IF(Sdata[[#This Row],[Salary]]&gt;=15000,15%, IF(Sdata[[#This Row],[Salary]]&gt;=10000, 10%, IF(Sdata[[#This Row],[Salary]]&gt;=5000,5%, 2%)))</f>
        <v>0.15</v>
      </c>
      <c r="P78" s="145">
        <f>IF(Sdata[[#This Row],[Salary]]&gt;=15000,15%, IF(Sdata[[#This Row],[Salary]]&gt;=10000, 10%, IF(Sdata[[#This Row],[Salary]]&gt;=5000,5%, 2%)))</f>
        <v>0.15</v>
      </c>
      <c r="Q78" s="145">
        <f>VLOOKUP(Sdata[[#This Row],[Salary]],bdata[],2,1)</f>
        <v>0.15</v>
      </c>
      <c r="R78" s="149">
        <f>(Sdata[[#This Row],[Bonus in %]]*Sdata[[#This Row],[Salary]])</f>
        <v>2887.5</v>
      </c>
      <c r="S78" s="144">
        <f>SUM(Sdata[[#This Row],[Salary]], Sdata[[#This Row],[Salary]]*Sdata[[#This Row],[Bonus in %]])</f>
        <v>22137.5</v>
      </c>
      <c r="T78" s="106" t="str">
        <f>_xlfn.CONCAT(Sdata[[#This Row],[First Name]]," ",Sdata[[#This Row],[Last Name]])</f>
        <v>Asha Trivedi</v>
      </c>
      <c r="U78" s="106" t="str">
        <f t="shared" si="4"/>
        <v>Asha Trivedi</v>
      </c>
      <c r="V78" s="106">
        <f ca="1">DATEDIF(Sdata[[#This Row],[Hiredate]], TODAY(), "Y")</f>
        <v>38</v>
      </c>
      <c r="W78" s="150">
        <f t="shared" ca="1" si="5"/>
        <v>46018</v>
      </c>
    </row>
    <row r="79" spans="1:23" x14ac:dyDescent="0.3">
      <c r="A79" s="130">
        <v>63</v>
      </c>
      <c r="B79" s="108" t="s">
        <v>98</v>
      </c>
      <c r="C79" s="110" t="s">
        <v>99</v>
      </c>
      <c r="D79" s="108" t="s">
        <v>27</v>
      </c>
      <c r="E79" s="108" t="s">
        <v>58</v>
      </c>
      <c r="F79" s="108" t="s">
        <v>498</v>
      </c>
      <c r="G79" s="111">
        <v>32440</v>
      </c>
      <c r="H79" s="110">
        <v>17500</v>
      </c>
      <c r="I79" s="141">
        <f t="shared" si="2"/>
        <v>4375</v>
      </c>
      <c r="J79" s="141">
        <f t="shared" si="6"/>
        <v>7000</v>
      </c>
      <c r="K79" s="142">
        <f t="shared" si="6"/>
        <v>1312.5</v>
      </c>
      <c r="L79" s="141" t="e">
        <f>VLOOKUP(Sdata[[#This Row],[Empcode]],idata[],2,0)</f>
        <v>#N/A</v>
      </c>
      <c r="M79" s="144">
        <f>IFERROR(VLOOKUP(Sdata[[#This Row],[Empcode]],idata[],2,0), 0)</f>
        <v>0</v>
      </c>
      <c r="N79" s="141" t="e">
        <f>VLOOKUP(Sdata[[#This Row],[Empcode]],idata[],1,0)</f>
        <v>#N/A</v>
      </c>
      <c r="O79" s="144">
        <f>IF(Sdata[[#This Row],[Salary]]&gt;=15000,15%, IF(Sdata[[#This Row],[Salary]]&gt;=10000, 10%, IF(Sdata[[#This Row],[Salary]]&gt;=5000,5%, 2%)))</f>
        <v>0.15</v>
      </c>
      <c r="P79" s="145">
        <f>IF(Sdata[[#This Row],[Salary]]&gt;=15000,15%, IF(Sdata[[#This Row],[Salary]]&gt;=10000, 10%, IF(Sdata[[#This Row],[Salary]]&gt;=5000,5%, 2%)))</f>
        <v>0.15</v>
      </c>
      <c r="Q79" s="145">
        <f>VLOOKUP(Sdata[[#This Row],[Salary]],bdata[],2,1)</f>
        <v>0.15</v>
      </c>
      <c r="R79" s="149">
        <f>(Sdata[[#This Row],[Bonus in %]]*Sdata[[#This Row],[Salary]])</f>
        <v>2625</v>
      </c>
      <c r="S79" s="144">
        <f>SUM(Sdata[[#This Row],[Salary]], Sdata[[#This Row],[Salary]]*Sdata[[#This Row],[Bonus in %]])</f>
        <v>20125</v>
      </c>
      <c r="T79" s="106" t="str">
        <f>_xlfn.CONCAT(Sdata[[#This Row],[First Name]]," ",Sdata[[#This Row],[Last Name]])</f>
        <v>Waheda Sheikh</v>
      </c>
      <c r="U79" s="106" t="str">
        <f t="shared" si="4"/>
        <v>Waheda Sheikh</v>
      </c>
      <c r="V79" s="106">
        <f ca="1">DATEDIF(Sdata[[#This Row],[Hiredate]], TODAY(), "Y")</f>
        <v>37</v>
      </c>
      <c r="W79" s="150">
        <f t="shared" ca="1" si="5"/>
        <v>46018</v>
      </c>
    </row>
    <row r="80" spans="1:23" x14ac:dyDescent="0.3">
      <c r="A80" s="130">
        <v>64</v>
      </c>
      <c r="B80" s="108" t="s">
        <v>146</v>
      </c>
      <c r="C80" s="110" t="s">
        <v>147</v>
      </c>
      <c r="D80" s="108" t="s">
        <v>493</v>
      </c>
      <c r="E80" s="108" t="s">
        <v>125</v>
      </c>
      <c r="F80" s="108" t="s">
        <v>489</v>
      </c>
      <c r="G80" s="111">
        <v>32441</v>
      </c>
      <c r="H80" s="110">
        <v>17500</v>
      </c>
      <c r="I80" s="141">
        <f t="shared" si="2"/>
        <v>4375</v>
      </c>
      <c r="J80" s="141">
        <f t="shared" si="6"/>
        <v>7000</v>
      </c>
      <c r="K80" s="142">
        <f t="shared" si="6"/>
        <v>1312.5</v>
      </c>
      <c r="L80" s="141" t="e">
        <f>VLOOKUP(Sdata[[#This Row],[Empcode]],idata[],2,0)</f>
        <v>#N/A</v>
      </c>
      <c r="M80" s="144">
        <f>IFERROR(VLOOKUP(Sdata[[#This Row],[Empcode]],idata[],2,0), 0)</f>
        <v>0</v>
      </c>
      <c r="N80" s="141" t="e">
        <f>VLOOKUP(Sdata[[#This Row],[Empcode]],idata[],1,0)</f>
        <v>#N/A</v>
      </c>
      <c r="O80" s="144">
        <f>IF(Sdata[[#This Row],[Salary]]&gt;=15000,15%, IF(Sdata[[#This Row],[Salary]]&gt;=10000, 10%, IF(Sdata[[#This Row],[Salary]]&gt;=5000,5%, 2%)))</f>
        <v>0.15</v>
      </c>
      <c r="P80" s="145">
        <f>IF(Sdata[[#This Row],[Salary]]&gt;=15000,15%, IF(Sdata[[#This Row],[Salary]]&gt;=10000, 10%, IF(Sdata[[#This Row],[Salary]]&gt;=5000,5%, 2%)))</f>
        <v>0.15</v>
      </c>
      <c r="Q80" s="145">
        <f>VLOOKUP(Sdata[[#This Row],[Salary]],bdata[],2,1)</f>
        <v>0.15</v>
      </c>
      <c r="R80" s="149">
        <f>(Sdata[[#This Row],[Bonus in %]]*Sdata[[#This Row],[Salary]])</f>
        <v>2625</v>
      </c>
      <c r="S80" s="144">
        <f>SUM(Sdata[[#This Row],[Salary]], Sdata[[#This Row],[Salary]]*Sdata[[#This Row],[Bonus in %]])</f>
        <v>20125</v>
      </c>
      <c r="T80" s="106" t="str">
        <f>_xlfn.CONCAT(Sdata[[#This Row],[First Name]]," ",Sdata[[#This Row],[Last Name]])</f>
        <v>Veena Patil</v>
      </c>
      <c r="U80" s="106" t="str">
        <f t="shared" si="4"/>
        <v>Veena Patil</v>
      </c>
      <c r="V80" s="106">
        <f ca="1">DATEDIF(Sdata[[#This Row],[Hiredate]], TODAY(), "Y")</f>
        <v>37</v>
      </c>
      <c r="W80" s="150">
        <f t="shared" ca="1" si="5"/>
        <v>46018</v>
      </c>
    </row>
    <row r="81" spans="1:23" x14ac:dyDescent="0.3">
      <c r="A81" s="130">
        <v>65</v>
      </c>
      <c r="B81" s="108" t="s">
        <v>40</v>
      </c>
      <c r="C81" s="110" t="s">
        <v>15</v>
      </c>
      <c r="D81" s="108" t="s">
        <v>19</v>
      </c>
      <c r="E81" s="108" t="s">
        <v>10</v>
      </c>
      <c r="F81" s="108" t="s">
        <v>499</v>
      </c>
      <c r="G81" s="111">
        <v>32442</v>
      </c>
      <c r="H81" s="110">
        <v>17500</v>
      </c>
      <c r="I81" s="141">
        <f t="shared" si="2"/>
        <v>4375</v>
      </c>
      <c r="J81" s="141">
        <f t="shared" si="6"/>
        <v>7000</v>
      </c>
      <c r="K81" s="142">
        <f t="shared" si="6"/>
        <v>1312.5</v>
      </c>
      <c r="L81" s="141" t="e">
        <f>VLOOKUP(Sdata[[#This Row],[Empcode]],idata[],2,0)</f>
        <v>#N/A</v>
      </c>
      <c r="M81" s="144">
        <f>IFERROR(VLOOKUP(Sdata[[#This Row],[Empcode]],idata[],2,0), 0)</f>
        <v>0</v>
      </c>
      <c r="N81" s="141" t="e">
        <f>VLOOKUP(Sdata[[#This Row],[Empcode]],idata[],1,0)</f>
        <v>#N/A</v>
      </c>
      <c r="O81" s="144">
        <f>IF(Sdata[[#This Row],[Salary]]&gt;=15000,15%, IF(Sdata[[#This Row],[Salary]]&gt;=10000, 10%, IF(Sdata[[#This Row],[Salary]]&gt;=5000,5%, 2%)))</f>
        <v>0.15</v>
      </c>
      <c r="P81" s="145">
        <f>IF(Sdata[[#This Row],[Salary]]&gt;=15000,15%, IF(Sdata[[#This Row],[Salary]]&gt;=10000, 10%, IF(Sdata[[#This Row],[Salary]]&gt;=5000,5%, 2%)))</f>
        <v>0.15</v>
      </c>
      <c r="Q81" s="145">
        <f>VLOOKUP(Sdata[[#This Row],[Salary]],bdata[],2,1)</f>
        <v>0.15</v>
      </c>
      <c r="R81" s="149">
        <f>(Sdata[[#This Row],[Bonus in %]]*Sdata[[#This Row],[Salary]])</f>
        <v>2625</v>
      </c>
      <c r="S81" s="144">
        <f>SUM(Sdata[[#This Row],[Salary]], Sdata[[#This Row],[Salary]]*Sdata[[#This Row],[Bonus in %]])</f>
        <v>20125</v>
      </c>
      <c r="T81" s="106" t="str">
        <f>_xlfn.CONCAT(Sdata[[#This Row],[First Name]]," ",Sdata[[#This Row],[Last Name]])</f>
        <v>Timsi Desai</v>
      </c>
      <c r="U81" s="106" t="str">
        <f t="shared" ref="U81:U116" si="7">B81&amp;" "&amp;C81</f>
        <v>Timsi Desai</v>
      </c>
      <c r="V81" s="106">
        <f ca="1">DATEDIF(Sdata[[#This Row],[Hiredate]], TODAY(), "Y")</f>
        <v>37</v>
      </c>
      <c r="W81" s="150">
        <f t="shared" ref="W81:W116" ca="1" si="8">TODAY()</f>
        <v>46018</v>
      </c>
    </row>
    <row r="82" spans="1:23" x14ac:dyDescent="0.3">
      <c r="A82" s="130">
        <v>66</v>
      </c>
      <c r="B82" s="108" t="s">
        <v>100</v>
      </c>
      <c r="C82" s="110" t="s">
        <v>101</v>
      </c>
      <c r="D82" s="108" t="s">
        <v>493</v>
      </c>
      <c r="E82" s="108" t="s">
        <v>58</v>
      </c>
      <c r="F82" s="108" t="s">
        <v>495</v>
      </c>
      <c r="G82" s="111">
        <v>32443</v>
      </c>
      <c r="H82" s="110">
        <v>17500</v>
      </c>
      <c r="I82" s="141">
        <f t="shared" ref="I82:I116" si="9">$H82 * I$15</f>
        <v>4375</v>
      </c>
      <c r="J82" s="141">
        <f t="shared" ref="J82:K116" si="10">$H82 * J$15</f>
        <v>7000</v>
      </c>
      <c r="K82" s="142">
        <f t="shared" si="10"/>
        <v>1312.5</v>
      </c>
      <c r="L82" s="141" t="e">
        <f>VLOOKUP(Sdata[[#This Row],[Empcode]],idata[],2,0)</f>
        <v>#N/A</v>
      </c>
      <c r="M82" s="144">
        <f>IFERROR(VLOOKUP(Sdata[[#This Row],[Empcode]],idata[],2,0), 0)</f>
        <v>0</v>
      </c>
      <c r="N82" s="141" t="e">
        <f>VLOOKUP(Sdata[[#This Row],[Empcode]],idata[],1,0)</f>
        <v>#N/A</v>
      </c>
      <c r="O82" s="144">
        <f>IF(Sdata[[#This Row],[Salary]]&gt;=15000,15%, IF(Sdata[[#This Row],[Salary]]&gt;=10000, 10%, IF(Sdata[[#This Row],[Salary]]&gt;=5000,5%, 2%)))</f>
        <v>0.15</v>
      </c>
      <c r="P82" s="145">
        <f>IF(Sdata[[#This Row],[Salary]]&gt;=15000,15%, IF(Sdata[[#This Row],[Salary]]&gt;=10000, 10%, IF(Sdata[[#This Row],[Salary]]&gt;=5000,5%, 2%)))</f>
        <v>0.15</v>
      </c>
      <c r="Q82" s="145">
        <f>VLOOKUP(Sdata[[#This Row],[Salary]],bdata[],2,1)</f>
        <v>0.15</v>
      </c>
      <c r="R82" s="149">
        <f>(Sdata[[#This Row],[Bonus in %]]*Sdata[[#This Row],[Salary]])</f>
        <v>2625</v>
      </c>
      <c r="S82" s="144">
        <f>SUM(Sdata[[#This Row],[Salary]], Sdata[[#This Row],[Salary]]*Sdata[[#This Row],[Bonus in %]])</f>
        <v>20125</v>
      </c>
      <c r="T82" s="106" t="str">
        <f>_xlfn.CONCAT(Sdata[[#This Row],[First Name]]," ",Sdata[[#This Row],[Last Name]])</f>
        <v>Parul Shah</v>
      </c>
      <c r="U82" s="106" t="str">
        <f t="shared" si="7"/>
        <v>Parul Shah</v>
      </c>
      <c r="V82" s="106">
        <f ca="1">DATEDIF(Sdata[[#This Row],[Hiredate]], TODAY(), "Y")</f>
        <v>37</v>
      </c>
      <c r="W82" s="150">
        <f t="shared" ca="1" si="8"/>
        <v>46018</v>
      </c>
    </row>
    <row r="83" spans="1:23" x14ac:dyDescent="0.3">
      <c r="A83" s="130">
        <v>67</v>
      </c>
      <c r="B83" s="108" t="s">
        <v>102</v>
      </c>
      <c r="C83" s="110" t="s">
        <v>42</v>
      </c>
      <c r="D83" s="108" t="s">
        <v>493</v>
      </c>
      <c r="E83" s="108" t="s">
        <v>58</v>
      </c>
      <c r="F83" s="108" t="s">
        <v>507</v>
      </c>
      <c r="G83" s="111">
        <v>32444</v>
      </c>
      <c r="H83" s="110">
        <v>20125</v>
      </c>
      <c r="I83" s="141">
        <f t="shared" si="9"/>
        <v>5031.25</v>
      </c>
      <c r="J83" s="141">
        <f t="shared" si="10"/>
        <v>8050</v>
      </c>
      <c r="K83" s="142">
        <f t="shared" si="10"/>
        <v>1509.375</v>
      </c>
      <c r="L83" s="141" t="e">
        <f>VLOOKUP(Sdata[[#This Row],[Empcode]],idata[],2,0)</f>
        <v>#N/A</v>
      </c>
      <c r="M83" s="144">
        <f>IFERROR(VLOOKUP(Sdata[[#This Row],[Empcode]],idata[],2,0), 0)</f>
        <v>0</v>
      </c>
      <c r="N83" s="141" t="e">
        <f>VLOOKUP(Sdata[[#This Row],[Empcode]],idata[],1,0)</f>
        <v>#N/A</v>
      </c>
      <c r="O83" s="144">
        <f>IF(Sdata[[#This Row],[Salary]]&gt;=15000,15%, IF(Sdata[[#This Row],[Salary]]&gt;=10000, 10%, IF(Sdata[[#This Row],[Salary]]&gt;=5000,5%, 2%)))</f>
        <v>0.15</v>
      </c>
      <c r="P83" s="145">
        <f>IF(Sdata[[#This Row],[Salary]]&gt;=15000,15%, IF(Sdata[[#This Row],[Salary]]&gt;=10000, 10%, IF(Sdata[[#This Row],[Salary]]&gt;=5000,5%, 2%)))</f>
        <v>0.15</v>
      </c>
      <c r="Q83" s="145">
        <f>VLOOKUP(Sdata[[#This Row],[Salary]],bdata[],2,1)</f>
        <v>0.15</v>
      </c>
      <c r="R83" s="149">
        <f>(Sdata[[#This Row],[Bonus in %]]*Sdata[[#This Row],[Salary]])</f>
        <v>3018.75</v>
      </c>
      <c r="S83" s="144">
        <f>SUM(Sdata[[#This Row],[Salary]], Sdata[[#This Row],[Salary]]*Sdata[[#This Row],[Bonus in %]])</f>
        <v>23143.75</v>
      </c>
      <c r="T83" s="106" t="str">
        <f>_xlfn.CONCAT(Sdata[[#This Row],[First Name]]," ",Sdata[[#This Row],[Last Name]])</f>
        <v>Uday Naik</v>
      </c>
      <c r="U83" s="106" t="str">
        <f t="shared" si="7"/>
        <v>Uday Naik</v>
      </c>
      <c r="V83" s="106">
        <f ca="1">DATEDIF(Sdata[[#This Row],[Hiredate]], TODAY(), "Y")</f>
        <v>37</v>
      </c>
      <c r="W83" s="150">
        <f t="shared" ca="1" si="8"/>
        <v>46018</v>
      </c>
    </row>
    <row r="84" spans="1:23" x14ac:dyDescent="0.3">
      <c r="A84" s="130">
        <v>68</v>
      </c>
      <c r="B84" s="108" t="s">
        <v>103</v>
      </c>
      <c r="C84" s="110" t="s">
        <v>15</v>
      </c>
      <c r="D84" s="108" t="s">
        <v>24</v>
      </c>
      <c r="E84" s="108" t="s">
        <v>58</v>
      </c>
      <c r="F84" s="108" t="s">
        <v>511</v>
      </c>
      <c r="G84" s="111">
        <v>35034</v>
      </c>
      <c r="H84" s="110">
        <v>14000</v>
      </c>
      <c r="I84" s="141">
        <f t="shared" si="9"/>
        <v>3500</v>
      </c>
      <c r="J84" s="141">
        <f t="shared" si="10"/>
        <v>5600</v>
      </c>
      <c r="K84" s="142">
        <f t="shared" si="10"/>
        <v>1050</v>
      </c>
      <c r="L84" s="141" t="e">
        <f>VLOOKUP(Sdata[[#This Row],[Empcode]],idata[],2,0)</f>
        <v>#N/A</v>
      </c>
      <c r="M84" s="144">
        <f>IFERROR(VLOOKUP(Sdata[[#This Row],[Empcode]],idata[],2,0), 0)</f>
        <v>0</v>
      </c>
      <c r="N84" s="141" t="e">
        <f>VLOOKUP(Sdata[[#This Row],[Empcode]],idata[],1,0)</f>
        <v>#N/A</v>
      </c>
      <c r="O84" s="144">
        <f>IF(Sdata[[#This Row],[Salary]]&gt;=15000,15%, IF(Sdata[[#This Row],[Salary]]&gt;=10000, 10%, IF(Sdata[[#This Row],[Salary]]&gt;=5000,5%, 2%)))</f>
        <v>0.1</v>
      </c>
      <c r="P84" s="145">
        <f>IF(Sdata[[#This Row],[Salary]]&gt;=15000,15%, IF(Sdata[[#This Row],[Salary]]&gt;=10000, 10%, IF(Sdata[[#This Row],[Salary]]&gt;=5000,5%, 2%)))</f>
        <v>0.1</v>
      </c>
      <c r="Q84" s="145">
        <f>VLOOKUP(Sdata[[#This Row],[Salary]],bdata[],2,1)</f>
        <v>0.1</v>
      </c>
      <c r="R84" s="149">
        <f>(Sdata[[#This Row],[Bonus in %]]*Sdata[[#This Row],[Salary]])</f>
        <v>1400</v>
      </c>
      <c r="S84" s="144">
        <f>SUM(Sdata[[#This Row],[Salary]], Sdata[[#This Row],[Salary]]*Sdata[[#This Row],[Bonus in %]])</f>
        <v>15400</v>
      </c>
      <c r="T84" s="106" t="str">
        <f>_xlfn.CONCAT(Sdata[[#This Row],[First Name]]," ",Sdata[[#This Row],[Last Name]])</f>
        <v>Mandakini Desai</v>
      </c>
      <c r="U84" s="106" t="str">
        <f t="shared" si="7"/>
        <v>Mandakini Desai</v>
      </c>
      <c r="V84" s="106">
        <f ca="1">DATEDIF(Sdata[[#This Row],[Hiredate]], TODAY(), "Y")</f>
        <v>30</v>
      </c>
      <c r="W84" s="150">
        <f t="shared" ca="1" si="8"/>
        <v>46018</v>
      </c>
    </row>
    <row r="85" spans="1:23" x14ac:dyDescent="0.3">
      <c r="A85" s="130">
        <v>69</v>
      </c>
      <c r="B85" s="108" t="s">
        <v>104</v>
      </c>
      <c r="C85" s="110" t="s">
        <v>29</v>
      </c>
      <c r="D85" s="108" t="s">
        <v>493</v>
      </c>
      <c r="E85" s="108" t="s">
        <v>58</v>
      </c>
      <c r="F85" s="108" t="s">
        <v>511</v>
      </c>
      <c r="G85" s="111">
        <v>34761</v>
      </c>
      <c r="H85" s="110">
        <v>14000</v>
      </c>
      <c r="I85" s="141">
        <f t="shared" si="9"/>
        <v>3500</v>
      </c>
      <c r="J85" s="141">
        <f t="shared" si="10"/>
        <v>5600</v>
      </c>
      <c r="K85" s="142">
        <f t="shared" si="10"/>
        <v>1050</v>
      </c>
      <c r="L85" s="141" t="e">
        <f>VLOOKUP(Sdata[[#This Row],[Empcode]],idata[],2,0)</f>
        <v>#N/A</v>
      </c>
      <c r="M85" s="144">
        <f>IFERROR(VLOOKUP(Sdata[[#This Row],[Empcode]],idata[],2,0), 0)</f>
        <v>0</v>
      </c>
      <c r="N85" s="141" t="e">
        <f>VLOOKUP(Sdata[[#This Row],[Empcode]],idata[],1,0)</f>
        <v>#N/A</v>
      </c>
      <c r="O85" s="144">
        <f>IF(Sdata[[#This Row],[Salary]]&gt;=15000,15%, IF(Sdata[[#This Row],[Salary]]&gt;=10000, 10%, IF(Sdata[[#This Row],[Salary]]&gt;=5000,5%, 2%)))</f>
        <v>0.1</v>
      </c>
      <c r="P85" s="145">
        <f>IF(Sdata[[#This Row],[Salary]]&gt;=15000,15%, IF(Sdata[[#This Row],[Salary]]&gt;=10000, 10%, IF(Sdata[[#This Row],[Salary]]&gt;=5000,5%, 2%)))</f>
        <v>0.1</v>
      </c>
      <c r="Q85" s="145">
        <f>VLOOKUP(Sdata[[#This Row],[Salary]],bdata[],2,1)</f>
        <v>0.1</v>
      </c>
      <c r="R85" s="149">
        <f>(Sdata[[#This Row],[Bonus in %]]*Sdata[[#This Row],[Salary]])</f>
        <v>1400</v>
      </c>
      <c r="S85" s="144">
        <f>SUM(Sdata[[#This Row],[Salary]], Sdata[[#This Row],[Salary]]*Sdata[[#This Row],[Bonus in %]])</f>
        <v>15400</v>
      </c>
      <c r="T85" s="106" t="str">
        <f>_xlfn.CONCAT(Sdata[[#This Row],[First Name]]," ",Sdata[[#This Row],[Last Name]])</f>
        <v>Pravin Joshi</v>
      </c>
      <c r="U85" s="106" t="str">
        <f t="shared" si="7"/>
        <v>Pravin Joshi</v>
      </c>
      <c r="V85" s="106">
        <f ca="1">DATEDIF(Sdata[[#This Row],[Hiredate]], TODAY(), "Y")</f>
        <v>30</v>
      </c>
      <c r="W85" s="150">
        <f t="shared" ca="1" si="8"/>
        <v>46018</v>
      </c>
    </row>
    <row r="86" spans="1:23" x14ac:dyDescent="0.3">
      <c r="A86" s="130">
        <v>70</v>
      </c>
      <c r="B86" s="108" t="s">
        <v>41</v>
      </c>
      <c r="C86" s="110" t="s">
        <v>42</v>
      </c>
      <c r="D86" s="108" t="s">
        <v>9</v>
      </c>
      <c r="E86" s="108" t="s">
        <v>10</v>
      </c>
      <c r="F86" s="108" t="s">
        <v>499</v>
      </c>
      <c r="G86" s="111">
        <v>34762</v>
      </c>
      <c r="H86" s="110">
        <v>14000</v>
      </c>
      <c r="I86" s="141">
        <f t="shared" si="9"/>
        <v>3500</v>
      </c>
      <c r="J86" s="141">
        <f t="shared" si="10"/>
        <v>5600</v>
      </c>
      <c r="K86" s="142">
        <f t="shared" si="10"/>
        <v>1050</v>
      </c>
      <c r="L86" s="141" t="e">
        <f>VLOOKUP(Sdata[[#This Row],[Empcode]],idata[],2,0)</f>
        <v>#N/A</v>
      </c>
      <c r="M86" s="144">
        <f>IFERROR(VLOOKUP(Sdata[[#This Row],[Empcode]],idata[],2,0), 0)</f>
        <v>0</v>
      </c>
      <c r="N86" s="141" t="e">
        <f>VLOOKUP(Sdata[[#This Row],[Empcode]],idata[],1,0)</f>
        <v>#N/A</v>
      </c>
      <c r="O86" s="144">
        <f>IF(Sdata[[#This Row],[Salary]]&gt;=15000,15%, IF(Sdata[[#This Row],[Salary]]&gt;=10000, 10%, IF(Sdata[[#This Row],[Salary]]&gt;=5000,5%, 2%)))</f>
        <v>0.1</v>
      </c>
      <c r="P86" s="145">
        <f>IF(Sdata[[#This Row],[Salary]]&gt;=15000,15%, IF(Sdata[[#This Row],[Salary]]&gt;=10000, 10%, IF(Sdata[[#This Row],[Salary]]&gt;=5000,5%, 2%)))</f>
        <v>0.1</v>
      </c>
      <c r="Q86" s="145">
        <f>VLOOKUP(Sdata[[#This Row],[Salary]],bdata[],2,1)</f>
        <v>0.1</v>
      </c>
      <c r="R86" s="149">
        <f>(Sdata[[#This Row],[Bonus in %]]*Sdata[[#This Row],[Salary]])</f>
        <v>1400</v>
      </c>
      <c r="S86" s="144">
        <f>SUM(Sdata[[#This Row],[Salary]], Sdata[[#This Row],[Salary]]*Sdata[[#This Row],[Bonus in %]])</f>
        <v>15400</v>
      </c>
      <c r="T86" s="106" t="str">
        <f>_xlfn.CONCAT(Sdata[[#This Row],[First Name]]," ",Sdata[[#This Row],[Last Name]])</f>
        <v>Reeta Naik</v>
      </c>
      <c r="U86" s="106" t="str">
        <f t="shared" si="7"/>
        <v>Reeta Naik</v>
      </c>
      <c r="V86" s="106">
        <f ca="1">DATEDIF(Sdata[[#This Row],[Hiredate]], TODAY(), "Y")</f>
        <v>30</v>
      </c>
      <c r="W86" s="150">
        <f t="shared" ca="1" si="8"/>
        <v>46018</v>
      </c>
    </row>
    <row r="87" spans="1:23" x14ac:dyDescent="0.3">
      <c r="A87" s="130">
        <v>71</v>
      </c>
      <c r="B87" s="108" t="s">
        <v>181</v>
      </c>
      <c r="C87" s="110" t="s">
        <v>182</v>
      </c>
      <c r="D87" s="108" t="s">
        <v>27</v>
      </c>
      <c r="E87" s="108" t="s">
        <v>161</v>
      </c>
      <c r="F87" s="108" t="s">
        <v>518</v>
      </c>
      <c r="G87" s="111">
        <v>34763</v>
      </c>
      <c r="H87" s="110">
        <v>14000</v>
      </c>
      <c r="I87" s="141">
        <f t="shared" si="9"/>
        <v>3500</v>
      </c>
      <c r="J87" s="141">
        <f t="shared" si="10"/>
        <v>5600</v>
      </c>
      <c r="K87" s="142">
        <f t="shared" si="10"/>
        <v>1050</v>
      </c>
      <c r="L87" s="141" t="e">
        <f>VLOOKUP(Sdata[[#This Row],[Empcode]],idata[],2,0)</f>
        <v>#N/A</v>
      </c>
      <c r="M87" s="144">
        <f>IFERROR(VLOOKUP(Sdata[[#This Row],[Empcode]],idata[],2,0), 0)</f>
        <v>0</v>
      </c>
      <c r="N87" s="141" t="e">
        <f>VLOOKUP(Sdata[[#This Row],[Empcode]],idata[],1,0)</f>
        <v>#N/A</v>
      </c>
      <c r="O87" s="144">
        <f>IF(Sdata[[#This Row],[Salary]]&gt;=15000,15%, IF(Sdata[[#This Row],[Salary]]&gt;=10000, 10%, IF(Sdata[[#This Row],[Salary]]&gt;=5000,5%, 2%)))</f>
        <v>0.1</v>
      </c>
      <c r="P87" s="145">
        <f>IF(Sdata[[#This Row],[Salary]]&gt;=15000,15%, IF(Sdata[[#This Row],[Salary]]&gt;=10000, 10%, IF(Sdata[[#This Row],[Salary]]&gt;=5000,5%, 2%)))</f>
        <v>0.1</v>
      </c>
      <c r="Q87" s="145">
        <f>VLOOKUP(Sdata[[#This Row],[Salary]],bdata[],2,1)</f>
        <v>0.1</v>
      </c>
      <c r="R87" s="149">
        <f>(Sdata[[#This Row],[Bonus in %]]*Sdata[[#This Row],[Salary]])</f>
        <v>1400</v>
      </c>
      <c r="S87" s="144">
        <f>SUM(Sdata[[#This Row],[Salary]], Sdata[[#This Row],[Salary]]*Sdata[[#This Row],[Bonus in %]])</f>
        <v>15400</v>
      </c>
      <c r="T87" s="106" t="str">
        <f>_xlfn.CONCAT(Sdata[[#This Row],[First Name]]," ",Sdata[[#This Row],[Last Name]])</f>
        <v>Surendra Godse</v>
      </c>
      <c r="U87" s="106" t="str">
        <f t="shared" si="7"/>
        <v>Surendra Godse</v>
      </c>
      <c r="V87" s="106">
        <f ca="1">DATEDIF(Sdata[[#This Row],[Hiredate]], TODAY(), "Y")</f>
        <v>30</v>
      </c>
      <c r="W87" s="150">
        <f t="shared" ca="1" si="8"/>
        <v>46018</v>
      </c>
    </row>
    <row r="88" spans="1:23" x14ac:dyDescent="0.3">
      <c r="A88" s="130">
        <v>72</v>
      </c>
      <c r="B88" s="108" t="s">
        <v>148</v>
      </c>
      <c r="C88" s="110" t="s">
        <v>26</v>
      </c>
      <c r="D88" s="108" t="s">
        <v>27</v>
      </c>
      <c r="E88" s="108" t="s">
        <v>125</v>
      </c>
      <c r="F88" s="108" t="s">
        <v>509</v>
      </c>
      <c r="G88" s="111">
        <v>32438</v>
      </c>
      <c r="H88" s="110">
        <v>17500</v>
      </c>
      <c r="I88" s="141">
        <f t="shared" si="9"/>
        <v>4375</v>
      </c>
      <c r="J88" s="141">
        <f t="shared" si="10"/>
        <v>7000</v>
      </c>
      <c r="K88" s="142">
        <f t="shared" si="10"/>
        <v>1312.5</v>
      </c>
      <c r="L88" s="141" t="e">
        <f>VLOOKUP(Sdata[[#This Row],[Empcode]],idata[],2,0)</f>
        <v>#N/A</v>
      </c>
      <c r="M88" s="144">
        <f>IFERROR(VLOOKUP(Sdata[[#This Row],[Empcode]],idata[],2,0), 0)</f>
        <v>0</v>
      </c>
      <c r="N88" s="141" t="e">
        <f>VLOOKUP(Sdata[[#This Row],[Empcode]],idata[],1,0)</f>
        <v>#N/A</v>
      </c>
      <c r="O88" s="144">
        <f>IF(Sdata[[#This Row],[Salary]]&gt;=15000,15%, IF(Sdata[[#This Row],[Salary]]&gt;=10000, 10%, IF(Sdata[[#This Row],[Salary]]&gt;=5000,5%, 2%)))</f>
        <v>0.15</v>
      </c>
      <c r="P88" s="145">
        <f>IF(Sdata[[#This Row],[Salary]]&gt;=15000,15%, IF(Sdata[[#This Row],[Salary]]&gt;=10000, 10%, IF(Sdata[[#This Row],[Salary]]&gt;=5000,5%, 2%)))</f>
        <v>0.15</v>
      </c>
      <c r="Q88" s="145">
        <f>VLOOKUP(Sdata[[#This Row],[Salary]],bdata[],2,1)</f>
        <v>0.15</v>
      </c>
      <c r="R88" s="149">
        <f>(Sdata[[#This Row],[Bonus in %]]*Sdata[[#This Row],[Salary]])</f>
        <v>2625</v>
      </c>
      <c r="S88" s="144">
        <f>SUM(Sdata[[#This Row],[Salary]], Sdata[[#This Row],[Salary]]*Sdata[[#This Row],[Bonus in %]])</f>
        <v>20125</v>
      </c>
      <c r="T88" s="106" t="str">
        <f>_xlfn.CONCAT(Sdata[[#This Row],[First Name]]," ",Sdata[[#This Row],[Last Name]])</f>
        <v>Yamini Gupta</v>
      </c>
      <c r="U88" s="106" t="str">
        <f t="shared" si="7"/>
        <v>Yamini Gupta</v>
      </c>
      <c r="V88" s="106">
        <f ca="1">DATEDIF(Sdata[[#This Row],[Hiredate]], TODAY(), "Y")</f>
        <v>37</v>
      </c>
      <c r="W88" s="150">
        <f t="shared" ca="1" si="8"/>
        <v>46018</v>
      </c>
    </row>
    <row r="89" spans="1:23" x14ac:dyDescent="0.3">
      <c r="A89" s="130">
        <v>73</v>
      </c>
      <c r="B89" s="108" t="s">
        <v>105</v>
      </c>
      <c r="C89" s="110" t="s">
        <v>106</v>
      </c>
      <c r="D89" s="108" t="s">
        <v>19</v>
      </c>
      <c r="E89" s="108" t="s">
        <v>58</v>
      </c>
      <c r="F89" s="108" t="s">
        <v>501</v>
      </c>
      <c r="G89" s="111">
        <v>32439</v>
      </c>
      <c r="H89" s="110">
        <v>17500</v>
      </c>
      <c r="I89" s="141">
        <f t="shared" si="9"/>
        <v>4375</v>
      </c>
      <c r="J89" s="141">
        <f t="shared" si="10"/>
        <v>7000</v>
      </c>
      <c r="K89" s="142">
        <f t="shared" si="10"/>
        <v>1312.5</v>
      </c>
      <c r="L89" s="141" t="e">
        <f>VLOOKUP(Sdata[[#This Row],[Empcode]],idata[],2,0)</f>
        <v>#N/A</v>
      </c>
      <c r="M89" s="144">
        <f>IFERROR(VLOOKUP(Sdata[[#This Row],[Empcode]],idata[],2,0), 0)</f>
        <v>0</v>
      </c>
      <c r="N89" s="141" t="e">
        <f>VLOOKUP(Sdata[[#This Row],[Empcode]],idata[],1,0)</f>
        <v>#N/A</v>
      </c>
      <c r="O89" s="144">
        <f>IF(Sdata[[#This Row],[Salary]]&gt;=15000,15%, IF(Sdata[[#This Row],[Salary]]&gt;=10000, 10%, IF(Sdata[[#This Row],[Salary]]&gt;=5000,5%, 2%)))</f>
        <v>0.15</v>
      </c>
      <c r="P89" s="145">
        <f>IF(Sdata[[#This Row],[Salary]]&gt;=15000,15%, IF(Sdata[[#This Row],[Salary]]&gt;=10000, 10%, IF(Sdata[[#This Row],[Salary]]&gt;=5000,5%, 2%)))</f>
        <v>0.15</v>
      </c>
      <c r="Q89" s="145">
        <f>VLOOKUP(Sdata[[#This Row],[Salary]],bdata[],2,1)</f>
        <v>0.15</v>
      </c>
      <c r="R89" s="149">
        <f>(Sdata[[#This Row],[Bonus in %]]*Sdata[[#This Row],[Salary]])</f>
        <v>2625</v>
      </c>
      <c r="S89" s="144">
        <f>SUM(Sdata[[#This Row],[Salary]], Sdata[[#This Row],[Salary]]*Sdata[[#This Row],[Bonus in %]])</f>
        <v>20125</v>
      </c>
      <c r="T89" s="106" t="str">
        <f>_xlfn.CONCAT(Sdata[[#This Row],[First Name]]," ",Sdata[[#This Row],[Last Name]])</f>
        <v>Laveena Shenoy</v>
      </c>
      <c r="U89" s="106" t="str">
        <f t="shared" si="7"/>
        <v>Laveena Shenoy</v>
      </c>
      <c r="V89" s="106">
        <f ca="1">DATEDIF(Sdata[[#This Row],[Hiredate]], TODAY(), "Y")</f>
        <v>37</v>
      </c>
      <c r="W89" s="150">
        <f t="shared" ca="1" si="8"/>
        <v>46018</v>
      </c>
    </row>
    <row r="90" spans="1:23" x14ac:dyDescent="0.3">
      <c r="A90" s="130">
        <v>74</v>
      </c>
      <c r="B90" s="108" t="s">
        <v>43</v>
      </c>
      <c r="C90" s="110" t="s">
        <v>44</v>
      </c>
      <c r="D90" s="108" t="s">
        <v>24</v>
      </c>
      <c r="E90" s="108" t="s">
        <v>10</v>
      </c>
      <c r="F90" s="108" t="s">
        <v>497</v>
      </c>
      <c r="G90" s="111">
        <v>32440</v>
      </c>
      <c r="H90" s="110">
        <v>17500</v>
      </c>
      <c r="I90" s="141">
        <f t="shared" si="9"/>
        <v>4375</v>
      </c>
      <c r="J90" s="141">
        <f t="shared" si="10"/>
        <v>7000</v>
      </c>
      <c r="K90" s="142">
        <f t="shared" si="10"/>
        <v>1312.5</v>
      </c>
      <c r="L90" s="141" t="e">
        <f>VLOOKUP(Sdata[[#This Row],[Empcode]],idata[],2,0)</f>
        <v>#N/A</v>
      </c>
      <c r="M90" s="144">
        <f>IFERROR(VLOOKUP(Sdata[[#This Row],[Empcode]],idata[],2,0), 0)</f>
        <v>0</v>
      </c>
      <c r="N90" s="141" t="e">
        <f>VLOOKUP(Sdata[[#This Row],[Empcode]],idata[],1,0)</f>
        <v>#N/A</v>
      </c>
      <c r="O90" s="144">
        <f>IF(Sdata[[#This Row],[Salary]]&gt;=15000,15%, IF(Sdata[[#This Row],[Salary]]&gt;=10000, 10%, IF(Sdata[[#This Row],[Salary]]&gt;=5000,5%, 2%)))</f>
        <v>0.15</v>
      </c>
      <c r="P90" s="145">
        <f>IF(Sdata[[#This Row],[Salary]]&gt;=15000,15%, IF(Sdata[[#This Row],[Salary]]&gt;=10000, 10%, IF(Sdata[[#This Row],[Salary]]&gt;=5000,5%, 2%)))</f>
        <v>0.15</v>
      </c>
      <c r="Q90" s="145">
        <f>VLOOKUP(Sdata[[#This Row],[Salary]],bdata[],2,1)</f>
        <v>0.15</v>
      </c>
      <c r="R90" s="149">
        <f>(Sdata[[#This Row],[Bonus in %]]*Sdata[[#This Row],[Salary]])</f>
        <v>2625</v>
      </c>
      <c r="S90" s="144">
        <f>SUM(Sdata[[#This Row],[Salary]], Sdata[[#This Row],[Salary]]*Sdata[[#This Row],[Bonus in %]])</f>
        <v>20125</v>
      </c>
      <c r="T90" s="106" t="str">
        <f>_xlfn.CONCAT(Sdata[[#This Row],[First Name]]," ",Sdata[[#This Row],[Last Name]])</f>
        <v>Nita Pandhya</v>
      </c>
      <c r="U90" s="106" t="str">
        <f t="shared" si="7"/>
        <v>Nita Pandhya</v>
      </c>
      <c r="V90" s="106">
        <f ca="1">DATEDIF(Sdata[[#This Row],[Hiredate]], TODAY(), "Y")</f>
        <v>37</v>
      </c>
      <c r="W90" s="150">
        <f t="shared" ca="1" si="8"/>
        <v>46018</v>
      </c>
    </row>
    <row r="91" spans="1:23" x14ac:dyDescent="0.3">
      <c r="A91" s="130">
        <v>75</v>
      </c>
      <c r="B91" s="108" t="s">
        <v>45</v>
      </c>
      <c r="C91" s="110" t="s">
        <v>46</v>
      </c>
      <c r="D91" s="108" t="s">
        <v>47</v>
      </c>
      <c r="E91" s="108" t="s">
        <v>10</v>
      </c>
      <c r="F91" s="108" t="s">
        <v>499</v>
      </c>
      <c r="G91" s="111">
        <v>32441</v>
      </c>
      <c r="H91" s="110">
        <v>17500</v>
      </c>
      <c r="I91" s="141">
        <f t="shared" si="9"/>
        <v>4375</v>
      </c>
      <c r="J91" s="141">
        <f t="shared" si="10"/>
        <v>7000</v>
      </c>
      <c r="K91" s="142">
        <f t="shared" si="10"/>
        <v>1312.5</v>
      </c>
      <c r="L91" s="141" t="e">
        <f>VLOOKUP(Sdata[[#This Row],[Empcode]],idata[],2,0)</f>
        <v>#N/A</v>
      </c>
      <c r="M91" s="144">
        <f>IFERROR(VLOOKUP(Sdata[[#This Row],[Empcode]],idata[],2,0), 0)</f>
        <v>0</v>
      </c>
      <c r="N91" s="141" t="e">
        <f>VLOOKUP(Sdata[[#This Row],[Empcode]],idata[],1,0)</f>
        <v>#N/A</v>
      </c>
      <c r="O91" s="144">
        <f>IF(Sdata[[#This Row],[Salary]]&gt;=15000,15%, IF(Sdata[[#This Row],[Salary]]&gt;=10000, 10%, IF(Sdata[[#This Row],[Salary]]&gt;=5000,5%, 2%)))</f>
        <v>0.15</v>
      </c>
      <c r="P91" s="145">
        <f>IF(Sdata[[#This Row],[Salary]]&gt;=15000,15%, IF(Sdata[[#This Row],[Salary]]&gt;=10000, 10%, IF(Sdata[[#This Row],[Salary]]&gt;=5000,5%, 2%)))</f>
        <v>0.15</v>
      </c>
      <c r="Q91" s="145">
        <f>VLOOKUP(Sdata[[#This Row],[Salary]],bdata[],2,1)</f>
        <v>0.15</v>
      </c>
      <c r="R91" s="149">
        <f>(Sdata[[#This Row],[Bonus in %]]*Sdata[[#This Row],[Salary]])</f>
        <v>2625</v>
      </c>
      <c r="S91" s="144">
        <f>SUM(Sdata[[#This Row],[Salary]], Sdata[[#This Row],[Salary]]*Sdata[[#This Row],[Bonus in %]])</f>
        <v>20125</v>
      </c>
      <c r="T91" s="106" t="str">
        <f>_xlfn.CONCAT(Sdata[[#This Row],[First Name]]," ",Sdata[[#This Row],[Last Name]])</f>
        <v>Suraj Saksena</v>
      </c>
      <c r="U91" s="106" t="str">
        <f t="shared" si="7"/>
        <v>Suraj Saksena</v>
      </c>
      <c r="V91" s="106">
        <f ca="1">DATEDIF(Sdata[[#This Row],[Hiredate]], TODAY(), "Y")</f>
        <v>37</v>
      </c>
      <c r="W91" s="150">
        <f t="shared" ca="1" si="8"/>
        <v>46018</v>
      </c>
    </row>
    <row r="92" spans="1:23" x14ac:dyDescent="0.3">
      <c r="A92" s="130">
        <v>76</v>
      </c>
      <c r="B92" s="108" t="s">
        <v>183</v>
      </c>
      <c r="C92" s="110" t="s">
        <v>174</v>
      </c>
      <c r="D92" s="108" t="s">
        <v>19</v>
      </c>
      <c r="E92" s="108" t="s">
        <v>161</v>
      </c>
      <c r="F92" s="108" t="s">
        <v>518</v>
      </c>
      <c r="G92" s="111">
        <v>32442</v>
      </c>
      <c r="H92" s="110">
        <v>17500</v>
      </c>
      <c r="I92" s="141">
        <f t="shared" si="9"/>
        <v>4375</v>
      </c>
      <c r="J92" s="141">
        <f t="shared" si="10"/>
        <v>7000</v>
      </c>
      <c r="K92" s="142">
        <f t="shared" si="10"/>
        <v>1312.5</v>
      </c>
      <c r="L92" s="141" t="e">
        <f>VLOOKUP(Sdata[[#This Row],[Empcode]],idata[],2,0)</f>
        <v>#N/A</v>
      </c>
      <c r="M92" s="144">
        <f>IFERROR(VLOOKUP(Sdata[[#This Row],[Empcode]],idata[],2,0), 0)</f>
        <v>0</v>
      </c>
      <c r="N92" s="141" t="e">
        <f>VLOOKUP(Sdata[[#This Row],[Empcode]],idata[],1,0)</f>
        <v>#N/A</v>
      </c>
      <c r="O92" s="144">
        <f>IF(Sdata[[#This Row],[Salary]]&gt;=15000,15%, IF(Sdata[[#This Row],[Salary]]&gt;=10000, 10%, IF(Sdata[[#This Row],[Salary]]&gt;=5000,5%, 2%)))</f>
        <v>0.15</v>
      </c>
      <c r="P92" s="145">
        <f>IF(Sdata[[#This Row],[Salary]]&gt;=15000,15%, IF(Sdata[[#This Row],[Salary]]&gt;=10000, 10%, IF(Sdata[[#This Row],[Salary]]&gt;=5000,5%, 2%)))</f>
        <v>0.15</v>
      </c>
      <c r="Q92" s="145">
        <f>VLOOKUP(Sdata[[#This Row],[Salary]],bdata[],2,1)</f>
        <v>0.15</v>
      </c>
      <c r="R92" s="149">
        <f>(Sdata[[#This Row],[Bonus in %]]*Sdata[[#This Row],[Salary]])</f>
        <v>2625</v>
      </c>
      <c r="S92" s="144">
        <f>SUM(Sdata[[#This Row],[Salary]], Sdata[[#This Row],[Salary]]*Sdata[[#This Row],[Bonus in %]])</f>
        <v>20125</v>
      </c>
      <c r="T92" s="106" t="str">
        <f>_xlfn.CONCAT(Sdata[[#This Row],[First Name]]," ",Sdata[[#This Row],[Last Name]])</f>
        <v>Nayeem Khan</v>
      </c>
      <c r="U92" s="106" t="str">
        <f t="shared" si="7"/>
        <v>Nayeem Khan</v>
      </c>
      <c r="V92" s="106">
        <f ca="1">DATEDIF(Sdata[[#This Row],[Hiredate]], TODAY(), "Y")</f>
        <v>37</v>
      </c>
      <c r="W92" s="150">
        <f t="shared" ca="1" si="8"/>
        <v>46018</v>
      </c>
    </row>
    <row r="93" spans="1:23" x14ac:dyDescent="0.3">
      <c r="A93" s="130">
        <v>77</v>
      </c>
      <c r="B93" s="108" t="s">
        <v>107</v>
      </c>
      <c r="C93" s="110" t="s">
        <v>101</v>
      </c>
      <c r="D93" s="108" t="s">
        <v>27</v>
      </c>
      <c r="E93" s="108" t="s">
        <v>58</v>
      </c>
      <c r="F93" s="108" t="s">
        <v>490</v>
      </c>
      <c r="G93" s="111">
        <v>32443</v>
      </c>
      <c r="H93" s="110">
        <v>17500</v>
      </c>
      <c r="I93" s="141">
        <f t="shared" si="9"/>
        <v>4375</v>
      </c>
      <c r="J93" s="141">
        <f t="shared" si="10"/>
        <v>7000</v>
      </c>
      <c r="K93" s="142">
        <f t="shared" si="10"/>
        <v>1312.5</v>
      </c>
      <c r="L93" s="141" t="e">
        <f>VLOOKUP(Sdata[[#This Row],[Empcode]],idata[],2,0)</f>
        <v>#N/A</v>
      </c>
      <c r="M93" s="144">
        <f>IFERROR(VLOOKUP(Sdata[[#This Row],[Empcode]],idata[],2,0), 0)</f>
        <v>0</v>
      </c>
      <c r="N93" s="141" t="e">
        <f>VLOOKUP(Sdata[[#This Row],[Empcode]],idata[],1,0)</f>
        <v>#N/A</v>
      </c>
      <c r="O93" s="144">
        <f>IF(Sdata[[#This Row],[Salary]]&gt;=15000,15%, IF(Sdata[[#This Row],[Salary]]&gt;=10000, 10%, IF(Sdata[[#This Row],[Salary]]&gt;=5000,5%, 2%)))</f>
        <v>0.15</v>
      </c>
      <c r="P93" s="145">
        <f>IF(Sdata[[#This Row],[Salary]]&gt;=15000,15%, IF(Sdata[[#This Row],[Salary]]&gt;=10000, 10%, IF(Sdata[[#This Row],[Salary]]&gt;=5000,5%, 2%)))</f>
        <v>0.15</v>
      </c>
      <c r="Q93" s="145">
        <f>VLOOKUP(Sdata[[#This Row],[Salary]],bdata[],2,1)</f>
        <v>0.15</v>
      </c>
      <c r="R93" s="149">
        <f>(Sdata[[#This Row],[Bonus in %]]*Sdata[[#This Row],[Salary]])</f>
        <v>2625</v>
      </c>
      <c r="S93" s="144">
        <f>SUM(Sdata[[#This Row],[Salary]], Sdata[[#This Row],[Salary]]*Sdata[[#This Row],[Bonus in %]])</f>
        <v>20125</v>
      </c>
      <c r="T93" s="106" t="str">
        <f>_xlfn.CONCAT(Sdata[[#This Row],[First Name]]," ",Sdata[[#This Row],[Last Name]])</f>
        <v>Drishti Shah</v>
      </c>
      <c r="U93" s="106" t="str">
        <f t="shared" si="7"/>
        <v>Drishti Shah</v>
      </c>
      <c r="V93" s="106">
        <f ca="1">DATEDIF(Sdata[[#This Row],[Hiredate]], TODAY(), "Y")</f>
        <v>37</v>
      </c>
      <c r="W93" s="150">
        <f t="shared" ca="1" si="8"/>
        <v>46018</v>
      </c>
    </row>
    <row r="94" spans="1:23" x14ac:dyDescent="0.3">
      <c r="A94" s="130">
        <v>78</v>
      </c>
      <c r="B94" s="108" t="s">
        <v>184</v>
      </c>
      <c r="C94" s="110" t="s">
        <v>185</v>
      </c>
      <c r="D94" s="108" t="s">
        <v>24</v>
      </c>
      <c r="E94" s="108" t="s">
        <v>161</v>
      </c>
      <c r="F94" s="108" t="s">
        <v>506</v>
      </c>
      <c r="G94" s="111">
        <v>32444</v>
      </c>
      <c r="H94" s="110">
        <v>17500</v>
      </c>
      <c r="I94" s="141">
        <f t="shared" si="9"/>
        <v>4375</v>
      </c>
      <c r="J94" s="141">
        <f t="shared" si="10"/>
        <v>7000</v>
      </c>
      <c r="K94" s="142">
        <f t="shared" si="10"/>
        <v>1312.5</v>
      </c>
      <c r="L94" s="141" t="e">
        <f>VLOOKUP(Sdata[[#This Row],[Empcode]],idata[],2,0)</f>
        <v>#N/A</v>
      </c>
      <c r="M94" s="144">
        <f>IFERROR(VLOOKUP(Sdata[[#This Row],[Empcode]],idata[],2,0), 0)</f>
        <v>0</v>
      </c>
      <c r="N94" s="141" t="e">
        <f>VLOOKUP(Sdata[[#This Row],[Empcode]],idata[],1,0)</f>
        <v>#N/A</v>
      </c>
      <c r="O94" s="144">
        <f>IF(Sdata[[#This Row],[Salary]]&gt;=15000,15%, IF(Sdata[[#This Row],[Salary]]&gt;=10000, 10%, IF(Sdata[[#This Row],[Salary]]&gt;=5000,5%, 2%)))</f>
        <v>0.15</v>
      </c>
      <c r="P94" s="145">
        <f>IF(Sdata[[#This Row],[Salary]]&gt;=15000,15%, IF(Sdata[[#This Row],[Salary]]&gt;=10000, 10%, IF(Sdata[[#This Row],[Salary]]&gt;=5000,5%, 2%)))</f>
        <v>0.15</v>
      </c>
      <c r="Q94" s="145">
        <f>VLOOKUP(Sdata[[#This Row],[Salary]],bdata[],2,1)</f>
        <v>0.15</v>
      </c>
      <c r="R94" s="149">
        <f>(Sdata[[#This Row],[Bonus in %]]*Sdata[[#This Row],[Salary]])</f>
        <v>2625</v>
      </c>
      <c r="S94" s="144">
        <f>SUM(Sdata[[#This Row],[Salary]], Sdata[[#This Row],[Salary]]*Sdata[[#This Row],[Bonus in %]])</f>
        <v>20125</v>
      </c>
      <c r="T94" s="106" t="str">
        <f>_xlfn.CONCAT(Sdata[[#This Row],[First Name]]," ",Sdata[[#This Row],[Last Name]])</f>
        <v>Deep Chhaya</v>
      </c>
      <c r="U94" s="106" t="str">
        <f t="shared" si="7"/>
        <v>Deep Chhaya</v>
      </c>
      <c r="V94" s="106">
        <f ca="1">DATEDIF(Sdata[[#This Row],[Hiredate]], TODAY(), "Y")</f>
        <v>37</v>
      </c>
      <c r="W94" s="150">
        <f t="shared" ca="1" si="8"/>
        <v>46018</v>
      </c>
    </row>
    <row r="95" spans="1:23" x14ac:dyDescent="0.3">
      <c r="A95" s="130">
        <v>79</v>
      </c>
      <c r="B95" s="108" t="s">
        <v>108</v>
      </c>
      <c r="C95" s="110" t="s">
        <v>109</v>
      </c>
      <c r="D95" s="108" t="s">
        <v>9</v>
      </c>
      <c r="E95" s="108" t="s">
        <v>58</v>
      </c>
      <c r="F95" s="108" t="s">
        <v>490</v>
      </c>
      <c r="G95" s="111">
        <v>32445</v>
      </c>
      <c r="H95" s="110">
        <v>17500</v>
      </c>
      <c r="I95" s="141">
        <f t="shared" si="9"/>
        <v>4375</v>
      </c>
      <c r="J95" s="141">
        <f t="shared" si="10"/>
        <v>7000</v>
      </c>
      <c r="K95" s="142">
        <f t="shared" si="10"/>
        <v>1312.5</v>
      </c>
      <c r="L95" s="141" t="e">
        <f>VLOOKUP(Sdata[[#This Row],[Empcode]],idata[],2,0)</f>
        <v>#N/A</v>
      </c>
      <c r="M95" s="144">
        <f>IFERROR(VLOOKUP(Sdata[[#This Row],[Empcode]],idata[],2,0), 0)</f>
        <v>0</v>
      </c>
      <c r="N95" s="141" t="e">
        <f>VLOOKUP(Sdata[[#This Row],[Empcode]],idata[],1,0)</f>
        <v>#N/A</v>
      </c>
      <c r="O95" s="144">
        <f>IF(Sdata[[#This Row],[Salary]]&gt;=15000,15%, IF(Sdata[[#This Row],[Salary]]&gt;=10000, 10%, IF(Sdata[[#This Row],[Salary]]&gt;=5000,5%, 2%)))</f>
        <v>0.15</v>
      </c>
      <c r="P95" s="145">
        <f>IF(Sdata[[#This Row],[Salary]]&gt;=15000,15%, IF(Sdata[[#This Row],[Salary]]&gt;=10000, 10%, IF(Sdata[[#This Row],[Salary]]&gt;=5000,5%, 2%)))</f>
        <v>0.15</v>
      </c>
      <c r="Q95" s="145">
        <f>VLOOKUP(Sdata[[#This Row],[Salary]],bdata[],2,1)</f>
        <v>0.15</v>
      </c>
      <c r="R95" s="149">
        <f>(Sdata[[#This Row],[Bonus in %]]*Sdata[[#This Row],[Salary]])</f>
        <v>2625</v>
      </c>
      <c r="S95" s="144">
        <f>SUM(Sdata[[#This Row],[Salary]], Sdata[[#This Row],[Salary]]*Sdata[[#This Row],[Bonus in %]])</f>
        <v>20125</v>
      </c>
      <c r="T95" s="106" t="str">
        <f>_xlfn.CONCAT(Sdata[[#This Row],[First Name]]," ",Sdata[[#This Row],[Last Name]])</f>
        <v>Sagar Bidkar</v>
      </c>
      <c r="U95" s="106" t="str">
        <f t="shared" si="7"/>
        <v>Sagar Bidkar</v>
      </c>
      <c r="V95" s="106">
        <f ca="1">DATEDIF(Sdata[[#This Row],[Hiredate]], TODAY(), "Y")</f>
        <v>37</v>
      </c>
      <c r="W95" s="150">
        <f t="shared" ca="1" si="8"/>
        <v>46018</v>
      </c>
    </row>
    <row r="96" spans="1:23" x14ac:dyDescent="0.3">
      <c r="A96" s="130">
        <v>80</v>
      </c>
      <c r="B96" s="108" t="s">
        <v>110</v>
      </c>
      <c r="C96" s="110" t="s">
        <v>111</v>
      </c>
      <c r="D96" s="108" t="s">
        <v>9</v>
      </c>
      <c r="E96" s="108" t="s">
        <v>58</v>
      </c>
      <c r="F96" s="108" t="s">
        <v>487</v>
      </c>
      <c r="G96" s="111">
        <v>32446</v>
      </c>
      <c r="H96" s="110">
        <v>17500</v>
      </c>
      <c r="I96" s="141">
        <f t="shared" si="9"/>
        <v>4375</v>
      </c>
      <c r="J96" s="141">
        <f t="shared" si="10"/>
        <v>7000</v>
      </c>
      <c r="K96" s="142">
        <f t="shared" si="10"/>
        <v>1312.5</v>
      </c>
      <c r="L96" s="141" t="e">
        <f>VLOOKUP(Sdata[[#This Row],[Empcode]],idata[],2,0)</f>
        <v>#N/A</v>
      </c>
      <c r="M96" s="144">
        <f>IFERROR(VLOOKUP(Sdata[[#This Row],[Empcode]],idata[],2,0), 0)</f>
        <v>0</v>
      </c>
      <c r="N96" s="141" t="e">
        <f>VLOOKUP(Sdata[[#This Row],[Empcode]],idata[],1,0)</f>
        <v>#N/A</v>
      </c>
      <c r="O96" s="144">
        <f>IF(Sdata[[#This Row],[Salary]]&gt;=15000,15%, IF(Sdata[[#This Row],[Salary]]&gt;=10000, 10%, IF(Sdata[[#This Row],[Salary]]&gt;=5000,5%, 2%)))</f>
        <v>0.15</v>
      </c>
      <c r="P96" s="145">
        <f>IF(Sdata[[#This Row],[Salary]]&gt;=15000,15%, IF(Sdata[[#This Row],[Salary]]&gt;=10000, 10%, IF(Sdata[[#This Row],[Salary]]&gt;=5000,5%, 2%)))</f>
        <v>0.15</v>
      </c>
      <c r="Q96" s="145">
        <f>VLOOKUP(Sdata[[#This Row],[Salary]],bdata[],2,1)</f>
        <v>0.15</v>
      </c>
      <c r="R96" s="149">
        <f>(Sdata[[#This Row],[Bonus in %]]*Sdata[[#This Row],[Salary]])</f>
        <v>2625</v>
      </c>
      <c r="S96" s="144">
        <f>SUM(Sdata[[#This Row],[Salary]], Sdata[[#This Row],[Salary]]*Sdata[[#This Row],[Bonus in %]])</f>
        <v>20125</v>
      </c>
      <c r="T96" s="106" t="str">
        <f>_xlfn.CONCAT(Sdata[[#This Row],[First Name]]," ",Sdata[[#This Row],[Last Name]])</f>
        <v>Dayanand Gandhi</v>
      </c>
      <c r="U96" s="106" t="str">
        <f t="shared" si="7"/>
        <v>Dayanand Gandhi</v>
      </c>
      <c r="V96" s="106">
        <f ca="1">DATEDIF(Sdata[[#This Row],[Hiredate]], TODAY(), "Y")</f>
        <v>37</v>
      </c>
      <c r="W96" s="150">
        <f t="shared" ca="1" si="8"/>
        <v>46018</v>
      </c>
    </row>
    <row r="97" spans="1:23" x14ac:dyDescent="0.3">
      <c r="A97" s="130">
        <v>81</v>
      </c>
      <c r="B97" s="108" t="s">
        <v>149</v>
      </c>
      <c r="C97" s="110" t="s">
        <v>150</v>
      </c>
      <c r="D97" s="108" t="s">
        <v>19</v>
      </c>
      <c r="E97" s="108" t="s">
        <v>125</v>
      </c>
      <c r="F97" s="108" t="s">
        <v>516</v>
      </c>
      <c r="G97" s="111">
        <v>32447</v>
      </c>
      <c r="H97" s="110">
        <v>17500</v>
      </c>
      <c r="I97" s="141">
        <f t="shared" si="9"/>
        <v>4375</v>
      </c>
      <c r="J97" s="141">
        <f t="shared" si="10"/>
        <v>7000</v>
      </c>
      <c r="K97" s="142">
        <f t="shared" si="10"/>
        <v>1312.5</v>
      </c>
      <c r="L97" s="141" t="e">
        <f>VLOOKUP(Sdata[[#This Row],[Empcode]],idata[],2,0)</f>
        <v>#N/A</v>
      </c>
      <c r="M97" s="144">
        <f>IFERROR(VLOOKUP(Sdata[[#This Row],[Empcode]],idata[],2,0), 0)</f>
        <v>0</v>
      </c>
      <c r="N97" s="141" t="e">
        <f>VLOOKUP(Sdata[[#This Row],[Empcode]],idata[],1,0)</f>
        <v>#N/A</v>
      </c>
      <c r="O97" s="144">
        <f>IF(Sdata[[#This Row],[Salary]]&gt;=15000,15%, IF(Sdata[[#This Row],[Salary]]&gt;=10000, 10%, IF(Sdata[[#This Row],[Salary]]&gt;=5000,5%, 2%)))</f>
        <v>0.15</v>
      </c>
      <c r="P97" s="145">
        <f>IF(Sdata[[#This Row],[Salary]]&gt;=15000,15%, IF(Sdata[[#This Row],[Salary]]&gt;=10000, 10%, IF(Sdata[[#This Row],[Salary]]&gt;=5000,5%, 2%)))</f>
        <v>0.15</v>
      </c>
      <c r="Q97" s="145">
        <f>VLOOKUP(Sdata[[#This Row],[Salary]],bdata[],2,1)</f>
        <v>0.15</v>
      </c>
      <c r="R97" s="149">
        <f>(Sdata[[#This Row],[Bonus in %]]*Sdata[[#This Row],[Salary]])</f>
        <v>2625</v>
      </c>
      <c r="S97" s="144">
        <f>SUM(Sdata[[#This Row],[Salary]], Sdata[[#This Row],[Salary]]*Sdata[[#This Row],[Bonus in %]])</f>
        <v>20125</v>
      </c>
      <c r="T97" s="106" t="str">
        <f>_xlfn.CONCAT(Sdata[[#This Row],[First Name]]," ",Sdata[[#This Row],[Last Name]])</f>
        <v>Tara Phule</v>
      </c>
      <c r="U97" s="106" t="str">
        <f t="shared" si="7"/>
        <v>Tara Phule</v>
      </c>
      <c r="V97" s="106">
        <f ca="1">DATEDIF(Sdata[[#This Row],[Hiredate]], TODAY(), "Y")</f>
        <v>37</v>
      </c>
      <c r="W97" s="150">
        <f t="shared" ca="1" si="8"/>
        <v>46018</v>
      </c>
    </row>
    <row r="98" spans="1:23" x14ac:dyDescent="0.3">
      <c r="A98" s="130">
        <v>82</v>
      </c>
      <c r="B98" s="108" t="s">
        <v>48</v>
      </c>
      <c r="C98" s="110" t="s">
        <v>49</v>
      </c>
      <c r="D98" s="108" t="s">
        <v>27</v>
      </c>
      <c r="E98" s="108" t="s">
        <v>10</v>
      </c>
      <c r="F98" s="108" t="s">
        <v>488</v>
      </c>
      <c r="G98" s="111">
        <v>32448</v>
      </c>
      <c r="H98" s="110">
        <v>17500</v>
      </c>
      <c r="I98" s="141">
        <f t="shared" si="9"/>
        <v>4375</v>
      </c>
      <c r="J98" s="141">
        <f t="shared" si="10"/>
        <v>7000</v>
      </c>
      <c r="K98" s="142">
        <f t="shared" si="10"/>
        <v>1312.5</v>
      </c>
      <c r="L98" s="141" t="e">
        <f>VLOOKUP(Sdata[[#This Row],[Empcode]],idata[],2,0)</f>
        <v>#N/A</v>
      </c>
      <c r="M98" s="144">
        <f>IFERROR(VLOOKUP(Sdata[[#This Row],[Empcode]],idata[],2,0), 0)</f>
        <v>0</v>
      </c>
      <c r="N98" s="141" t="e">
        <f>VLOOKUP(Sdata[[#This Row],[Empcode]],idata[],1,0)</f>
        <v>#N/A</v>
      </c>
      <c r="O98" s="144">
        <f>IF(Sdata[[#This Row],[Salary]]&gt;=15000,15%, IF(Sdata[[#This Row],[Salary]]&gt;=10000, 10%, IF(Sdata[[#This Row],[Salary]]&gt;=5000,5%, 2%)))</f>
        <v>0.15</v>
      </c>
      <c r="P98" s="145">
        <f>IF(Sdata[[#This Row],[Salary]]&gt;=15000,15%, IF(Sdata[[#This Row],[Salary]]&gt;=10000, 10%, IF(Sdata[[#This Row],[Salary]]&gt;=5000,5%, 2%)))</f>
        <v>0.15</v>
      </c>
      <c r="Q98" s="145">
        <f>VLOOKUP(Sdata[[#This Row],[Salary]],bdata[],2,1)</f>
        <v>0.15</v>
      </c>
      <c r="R98" s="149">
        <f>(Sdata[[#This Row],[Bonus in %]]*Sdata[[#This Row],[Salary]])</f>
        <v>2625</v>
      </c>
      <c r="S98" s="144">
        <f>SUM(Sdata[[#This Row],[Salary]], Sdata[[#This Row],[Salary]]*Sdata[[#This Row],[Bonus in %]])</f>
        <v>20125</v>
      </c>
      <c r="T98" s="106" t="str">
        <f>_xlfn.CONCAT(Sdata[[#This Row],[First Name]]," ",Sdata[[#This Row],[Last Name]])</f>
        <v>Kalpana Shirishkar</v>
      </c>
      <c r="U98" s="106" t="str">
        <f t="shared" si="7"/>
        <v>Kalpana Shirishkar</v>
      </c>
      <c r="V98" s="106">
        <f ca="1">DATEDIF(Sdata[[#This Row],[Hiredate]], TODAY(), "Y")</f>
        <v>37</v>
      </c>
      <c r="W98" s="150">
        <f t="shared" ca="1" si="8"/>
        <v>46018</v>
      </c>
    </row>
    <row r="99" spans="1:23" x14ac:dyDescent="0.3">
      <c r="A99" s="130">
        <v>83</v>
      </c>
      <c r="B99" s="108" t="s">
        <v>114</v>
      </c>
      <c r="C99" s="110" t="s">
        <v>101</v>
      </c>
      <c r="D99" s="108" t="s">
        <v>19</v>
      </c>
      <c r="E99" s="108" t="s">
        <v>58</v>
      </c>
      <c r="F99" s="108" t="s">
        <v>510</v>
      </c>
      <c r="G99" s="111">
        <v>36221</v>
      </c>
      <c r="H99" s="110">
        <v>7000</v>
      </c>
      <c r="I99" s="141">
        <f t="shared" si="9"/>
        <v>1750</v>
      </c>
      <c r="J99" s="141">
        <f t="shared" si="10"/>
        <v>2800</v>
      </c>
      <c r="K99" s="142">
        <f t="shared" si="10"/>
        <v>525</v>
      </c>
      <c r="L99" s="141" t="e">
        <f>VLOOKUP(Sdata[[#This Row],[Empcode]],idata[],2,0)</f>
        <v>#N/A</v>
      </c>
      <c r="M99" s="144">
        <f>IFERROR(VLOOKUP(Sdata[[#This Row],[Empcode]],idata[],2,0), 0)</f>
        <v>0</v>
      </c>
      <c r="N99" s="141" t="e">
        <f>VLOOKUP(Sdata[[#This Row],[Empcode]],idata[],1,0)</f>
        <v>#N/A</v>
      </c>
      <c r="O99" s="144">
        <f>IF(Sdata[[#This Row],[Salary]]&gt;=15000,15%, IF(Sdata[[#This Row],[Salary]]&gt;=10000, 10%, IF(Sdata[[#This Row],[Salary]]&gt;=5000,5%, 2%)))</f>
        <v>0.05</v>
      </c>
      <c r="P99" s="145">
        <f>IF(Sdata[[#This Row],[Salary]]&gt;=15000,15%, IF(Sdata[[#This Row],[Salary]]&gt;=10000, 10%, IF(Sdata[[#This Row],[Salary]]&gt;=5000,5%, 2%)))</f>
        <v>0.05</v>
      </c>
      <c r="Q99" s="145">
        <f>VLOOKUP(Sdata[[#This Row],[Salary]],bdata[],2,1)</f>
        <v>0.05</v>
      </c>
      <c r="R99" s="149">
        <f>(Sdata[[#This Row],[Bonus in %]]*Sdata[[#This Row],[Salary]])</f>
        <v>350</v>
      </c>
      <c r="S99" s="144">
        <f>SUM(Sdata[[#This Row],[Salary]], Sdata[[#This Row],[Salary]]*Sdata[[#This Row],[Bonus in %]])</f>
        <v>7350</v>
      </c>
      <c r="T99" s="106" t="str">
        <f>_xlfn.CONCAT(Sdata[[#This Row],[First Name]]," ",Sdata[[#This Row],[Last Name]])</f>
        <v>Kunal Shah</v>
      </c>
      <c r="U99" s="106" t="str">
        <f t="shared" si="7"/>
        <v>Kunal Shah</v>
      </c>
      <c r="V99" s="106">
        <f ca="1">DATEDIF(Sdata[[#This Row],[Hiredate]], TODAY(), "Y")</f>
        <v>26</v>
      </c>
      <c r="W99" s="150">
        <f t="shared" ca="1" si="8"/>
        <v>46018</v>
      </c>
    </row>
    <row r="100" spans="1:23" x14ac:dyDescent="0.3">
      <c r="A100" s="130">
        <v>84</v>
      </c>
      <c r="B100" s="108" t="s">
        <v>50</v>
      </c>
      <c r="C100" s="110" t="s">
        <v>51</v>
      </c>
      <c r="D100" s="108" t="s">
        <v>27</v>
      </c>
      <c r="E100" s="108" t="s">
        <v>10</v>
      </c>
      <c r="F100" s="108" t="s">
        <v>499</v>
      </c>
      <c r="G100" s="111">
        <v>36222</v>
      </c>
      <c r="H100" s="110">
        <v>7000</v>
      </c>
      <c r="I100" s="141">
        <f t="shared" si="9"/>
        <v>1750</v>
      </c>
      <c r="J100" s="141">
        <f t="shared" si="10"/>
        <v>2800</v>
      </c>
      <c r="K100" s="142">
        <f t="shared" si="10"/>
        <v>525</v>
      </c>
      <c r="L100" s="141" t="e">
        <f>VLOOKUP(Sdata[[#This Row],[Empcode]],idata[],2,0)</f>
        <v>#N/A</v>
      </c>
      <c r="M100" s="144">
        <f>IFERROR(VLOOKUP(Sdata[[#This Row],[Empcode]],idata[],2,0), 0)</f>
        <v>0</v>
      </c>
      <c r="N100" s="141" t="e">
        <f>VLOOKUP(Sdata[[#This Row],[Empcode]],idata[],1,0)</f>
        <v>#N/A</v>
      </c>
      <c r="O100" s="144">
        <f>IF(Sdata[[#This Row],[Salary]]&gt;=15000,15%, IF(Sdata[[#This Row],[Salary]]&gt;=10000, 10%, IF(Sdata[[#This Row],[Salary]]&gt;=5000,5%, 2%)))</f>
        <v>0.05</v>
      </c>
      <c r="P100" s="145">
        <f>IF(Sdata[[#This Row],[Salary]]&gt;=15000,15%, IF(Sdata[[#This Row],[Salary]]&gt;=10000, 10%, IF(Sdata[[#This Row],[Salary]]&gt;=5000,5%, 2%)))</f>
        <v>0.05</v>
      </c>
      <c r="Q100" s="145">
        <f>VLOOKUP(Sdata[[#This Row],[Salary]],bdata[],2,1)</f>
        <v>0.05</v>
      </c>
      <c r="R100" s="149">
        <f>(Sdata[[#This Row],[Bonus in %]]*Sdata[[#This Row],[Salary]])</f>
        <v>350</v>
      </c>
      <c r="S100" s="144">
        <f>SUM(Sdata[[#This Row],[Salary]], Sdata[[#This Row],[Salary]]*Sdata[[#This Row],[Bonus in %]])</f>
        <v>7350</v>
      </c>
      <c r="T100" s="106" t="str">
        <f>_xlfn.CONCAT(Sdata[[#This Row],[First Name]]," ",Sdata[[#This Row],[Last Name]])</f>
        <v>Pinky Robert</v>
      </c>
      <c r="U100" s="106" t="str">
        <f t="shared" si="7"/>
        <v>Pinky Robert</v>
      </c>
      <c r="V100" s="106">
        <f ca="1">DATEDIF(Sdata[[#This Row],[Hiredate]], TODAY(), "Y")</f>
        <v>26</v>
      </c>
      <c r="W100" s="150">
        <f t="shared" ca="1" si="8"/>
        <v>46018</v>
      </c>
    </row>
    <row r="101" spans="1:23" x14ac:dyDescent="0.3">
      <c r="A101" s="130">
        <v>85</v>
      </c>
      <c r="B101" s="108" t="s">
        <v>115</v>
      </c>
      <c r="C101" s="110" t="s">
        <v>116</v>
      </c>
      <c r="D101" s="108" t="s">
        <v>27</v>
      </c>
      <c r="E101" s="108" t="s">
        <v>58</v>
      </c>
      <c r="F101" s="108" t="s">
        <v>495</v>
      </c>
      <c r="G101" s="111">
        <v>35809</v>
      </c>
      <c r="H101" s="110">
        <v>7000</v>
      </c>
      <c r="I101" s="141">
        <f t="shared" si="9"/>
        <v>1750</v>
      </c>
      <c r="J101" s="141">
        <f t="shared" si="10"/>
        <v>2800</v>
      </c>
      <c r="K101" s="142">
        <f t="shared" si="10"/>
        <v>525</v>
      </c>
      <c r="L101" s="141" t="e">
        <f>VLOOKUP(Sdata[[#This Row],[Empcode]],idata[],2,0)</f>
        <v>#N/A</v>
      </c>
      <c r="M101" s="144">
        <f>IFERROR(VLOOKUP(Sdata[[#This Row],[Empcode]],idata[],2,0), 0)</f>
        <v>0</v>
      </c>
      <c r="N101" s="141" t="e">
        <f>VLOOKUP(Sdata[[#This Row],[Empcode]],idata[],1,0)</f>
        <v>#N/A</v>
      </c>
      <c r="O101" s="144">
        <f>IF(Sdata[[#This Row],[Salary]]&gt;=15000,15%, IF(Sdata[[#This Row],[Salary]]&gt;=10000, 10%, IF(Sdata[[#This Row],[Salary]]&gt;=5000,5%, 2%)))</f>
        <v>0.05</v>
      </c>
      <c r="P101" s="145">
        <f>IF(Sdata[[#This Row],[Salary]]&gt;=15000,15%, IF(Sdata[[#This Row],[Salary]]&gt;=10000, 10%, IF(Sdata[[#This Row],[Salary]]&gt;=5000,5%, 2%)))</f>
        <v>0.05</v>
      </c>
      <c r="Q101" s="145">
        <f>VLOOKUP(Sdata[[#This Row],[Salary]],bdata[],2,1)</f>
        <v>0.05</v>
      </c>
      <c r="R101" s="149">
        <f>(Sdata[[#This Row],[Bonus in %]]*Sdata[[#This Row],[Salary]])</f>
        <v>350</v>
      </c>
      <c r="S101" s="144">
        <f>SUM(Sdata[[#This Row],[Salary]], Sdata[[#This Row],[Salary]]*Sdata[[#This Row],[Bonus in %]])</f>
        <v>7350</v>
      </c>
      <c r="T101" s="106" t="str">
        <f>_xlfn.CONCAT(Sdata[[#This Row],[First Name]]," ",Sdata[[#This Row],[Last Name]])</f>
        <v>Ruby Joseph</v>
      </c>
      <c r="U101" s="106" t="str">
        <f t="shared" si="7"/>
        <v>Ruby Joseph</v>
      </c>
      <c r="V101" s="106">
        <f ca="1">DATEDIF(Sdata[[#This Row],[Hiredate]], TODAY(), "Y")</f>
        <v>27</v>
      </c>
      <c r="W101" s="150">
        <f t="shared" ca="1" si="8"/>
        <v>46018</v>
      </c>
    </row>
    <row r="102" spans="1:23" x14ac:dyDescent="0.3">
      <c r="A102" s="130">
        <v>86</v>
      </c>
      <c r="B102" s="108" t="s">
        <v>117</v>
      </c>
      <c r="C102" s="110" t="s">
        <v>76</v>
      </c>
      <c r="D102" s="108" t="s">
        <v>19</v>
      </c>
      <c r="E102" s="108" t="s">
        <v>58</v>
      </c>
      <c r="F102" s="108" t="s">
        <v>498</v>
      </c>
      <c r="G102" s="111">
        <v>35810</v>
      </c>
      <c r="H102" s="110">
        <v>17500</v>
      </c>
      <c r="I102" s="141">
        <f t="shared" si="9"/>
        <v>4375</v>
      </c>
      <c r="J102" s="141">
        <f t="shared" si="10"/>
        <v>7000</v>
      </c>
      <c r="K102" s="142">
        <f t="shared" si="10"/>
        <v>1312.5</v>
      </c>
      <c r="L102" s="141" t="e">
        <f>VLOOKUP(Sdata[[#This Row],[Empcode]],idata[],2,0)</f>
        <v>#N/A</v>
      </c>
      <c r="M102" s="144">
        <f>IFERROR(VLOOKUP(Sdata[[#This Row],[Empcode]],idata[],2,0), 0)</f>
        <v>0</v>
      </c>
      <c r="N102" s="141" t="e">
        <f>VLOOKUP(Sdata[[#This Row],[Empcode]],idata[],1,0)</f>
        <v>#N/A</v>
      </c>
      <c r="O102" s="144">
        <f>IF(Sdata[[#This Row],[Salary]]&gt;=15000,15%, IF(Sdata[[#This Row],[Salary]]&gt;=10000, 10%, IF(Sdata[[#This Row],[Salary]]&gt;=5000,5%, 2%)))</f>
        <v>0.15</v>
      </c>
      <c r="P102" s="145">
        <f>IF(Sdata[[#This Row],[Salary]]&gt;=15000,15%, IF(Sdata[[#This Row],[Salary]]&gt;=10000, 10%, IF(Sdata[[#This Row],[Salary]]&gt;=5000,5%, 2%)))</f>
        <v>0.15</v>
      </c>
      <c r="Q102" s="145">
        <f>VLOOKUP(Sdata[[#This Row],[Salary]],bdata[],2,1)</f>
        <v>0.15</v>
      </c>
      <c r="R102" s="149">
        <f>(Sdata[[#This Row],[Bonus in %]]*Sdata[[#This Row],[Salary]])</f>
        <v>2625</v>
      </c>
      <c r="S102" s="144">
        <f>SUM(Sdata[[#This Row],[Salary]], Sdata[[#This Row],[Salary]]*Sdata[[#This Row],[Bonus in %]])</f>
        <v>20125</v>
      </c>
      <c r="T102" s="106" t="str">
        <f>_xlfn.CONCAT(Sdata[[#This Row],[First Name]]," ",Sdata[[#This Row],[Last Name]])</f>
        <v>Sonia Sasan</v>
      </c>
      <c r="U102" s="106" t="str">
        <f t="shared" si="7"/>
        <v>Sonia Sasan</v>
      </c>
      <c r="V102" s="106">
        <f ca="1">DATEDIF(Sdata[[#This Row],[Hiredate]], TODAY(), "Y")</f>
        <v>27</v>
      </c>
      <c r="W102" s="150">
        <f t="shared" ca="1" si="8"/>
        <v>46018</v>
      </c>
    </row>
    <row r="103" spans="1:23" x14ac:dyDescent="0.3">
      <c r="A103" s="130">
        <v>87</v>
      </c>
      <c r="B103" s="108" t="s">
        <v>151</v>
      </c>
      <c r="C103" s="110" t="s">
        <v>152</v>
      </c>
      <c r="D103" s="108" t="s">
        <v>9</v>
      </c>
      <c r="E103" s="108" t="s">
        <v>125</v>
      </c>
      <c r="F103" s="108" t="s">
        <v>489</v>
      </c>
      <c r="G103" s="111">
        <v>35811</v>
      </c>
      <c r="H103" s="110">
        <v>17500</v>
      </c>
      <c r="I103" s="141">
        <f t="shared" si="9"/>
        <v>4375</v>
      </c>
      <c r="J103" s="141">
        <f t="shared" si="10"/>
        <v>7000</v>
      </c>
      <c r="K103" s="142">
        <f t="shared" si="10"/>
        <v>1312.5</v>
      </c>
      <c r="L103" s="141" t="e">
        <f>VLOOKUP(Sdata[[#This Row],[Empcode]],idata[],2,0)</f>
        <v>#N/A</v>
      </c>
      <c r="M103" s="144">
        <f>IFERROR(VLOOKUP(Sdata[[#This Row],[Empcode]],idata[],2,0), 0)</f>
        <v>0</v>
      </c>
      <c r="N103" s="141" t="e">
        <f>VLOOKUP(Sdata[[#This Row],[Empcode]],idata[],1,0)</f>
        <v>#N/A</v>
      </c>
      <c r="O103" s="144">
        <f>IF(Sdata[[#This Row],[Salary]]&gt;=15000,15%, IF(Sdata[[#This Row],[Salary]]&gt;=10000, 10%, IF(Sdata[[#This Row],[Salary]]&gt;=5000,5%, 2%)))</f>
        <v>0.15</v>
      </c>
      <c r="P103" s="145">
        <f>IF(Sdata[[#This Row],[Salary]]&gt;=15000,15%, IF(Sdata[[#This Row],[Salary]]&gt;=10000, 10%, IF(Sdata[[#This Row],[Salary]]&gt;=5000,5%, 2%)))</f>
        <v>0.15</v>
      </c>
      <c r="Q103" s="145">
        <f>VLOOKUP(Sdata[[#This Row],[Salary]],bdata[],2,1)</f>
        <v>0.15</v>
      </c>
      <c r="R103" s="149">
        <f>(Sdata[[#This Row],[Bonus in %]]*Sdata[[#This Row],[Salary]])</f>
        <v>2625</v>
      </c>
      <c r="S103" s="144">
        <f>SUM(Sdata[[#This Row],[Salary]], Sdata[[#This Row],[Salary]]*Sdata[[#This Row],[Bonus in %]])</f>
        <v>20125</v>
      </c>
      <c r="T103" s="106" t="str">
        <f>_xlfn.CONCAT(Sdata[[#This Row],[First Name]]," ",Sdata[[#This Row],[Last Name]])</f>
        <v>Jignesh Tripathi</v>
      </c>
      <c r="U103" s="106" t="str">
        <f t="shared" si="7"/>
        <v>Jignesh Tripathi</v>
      </c>
      <c r="V103" s="106">
        <f ca="1">DATEDIF(Sdata[[#This Row],[Hiredate]], TODAY(), "Y")</f>
        <v>27</v>
      </c>
      <c r="W103" s="150">
        <f t="shared" ca="1" si="8"/>
        <v>46018</v>
      </c>
    </row>
    <row r="104" spans="1:23" x14ac:dyDescent="0.3">
      <c r="A104" s="130">
        <v>88</v>
      </c>
      <c r="B104" s="108" t="s">
        <v>186</v>
      </c>
      <c r="C104" s="110" t="s">
        <v>187</v>
      </c>
      <c r="D104" s="108" t="s">
        <v>9</v>
      </c>
      <c r="E104" s="108" t="s">
        <v>161</v>
      </c>
      <c r="F104" s="108" t="s">
        <v>494</v>
      </c>
      <c r="G104" s="111">
        <v>35794</v>
      </c>
      <c r="H104" s="110">
        <v>7875</v>
      </c>
      <c r="I104" s="141">
        <f t="shared" si="9"/>
        <v>1968.75</v>
      </c>
      <c r="J104" s="141">
        <f t="shared" si="10"/>
        <v>3150</v>
      </c>
      <c r="K104" s="142">
        <f t="shared" si="10"/>
        <v>590.625</v>
      </c>
      <c r="L104" s="141" t="e">
        <f>VLOOKUP(Sdata[[#This Row],[Empcode]],idata[],2,0)</f>
        <v>#N/A</v>
      </c>
      <c r="M104" s="144">
        <f>IFERROR(VLOOKUP(Sdata[[#This Row],[Empcode]],idata[],2,0), 0)</f>
        <v>0</v>
      </c>
      <c r="N104" s="141" t="e">
        <f>VLOOKUP(Sdata[[#This Row],[Empcode]],idata[],1,0)</f>
        <v>#N/A</v>
      </c>
      <c r="O104" s="144">
        <f>IF(Sdata[[#This Row],[Salary]]&gt;=15000,15%, IF(Sdata[[#This Row],[Salary]]&gt;=10000, 10%, IF(Sdata[[#This Row],[Salary]]&gt;=5000,5%, 2%)))</f>
        <v>0.05</v>
      </c>
      <c r="P104" s="145">
        <f>IF(Sdata[[#This Row],[Salary]]&gt;=15000,15%, IF(Sdata[[#This Row],[Salary]]&gt;=10000, 10%, IF(Sdata[[#This Row],[Salary]]&gt;=5000,5%, 2%)))</f>
        <v>0.05</v>
      </c>
      <c r="Q104" s="145">
        <f>VLOOKUP(Sdata[[#This Row],[Salary]],bdata[],2,1)</f>
        <v>0.05</v>
      </c>
      <c r="R104" s="149">
        <f>(Sdata[[#This Row],[Bonus in %]]*Sdata[[#This Row],[Salary]])</f>
        <v>393.75</v>
      </c>
      <c r="S104" s="144">
        <f>SUM(Sdata[[#This Row],[Salary]], Sdata[[#This Row],[Salary]]*Sdata[[#This Row],[Bonus in %]])</f>
        <v>8268.75</v>
      </c>
      <c r="T104" s="106" t="str">
        <f>_xlfn.CONCAT(Sdata[[#This Row],[First Name]]," ",Sdata[[#This Row],[Last Name]])</f>
        <v>Vinit Shrivastava</v>
      </c>
      <c r="U104" s="106" t="str">
        <f t="shared" si="7"/>
        <v>Vinit Shrivastava</v>
      </c>
      <c r="V104" s="106">
        <f ca="1">DATEDIF(Sdata[[#This Row],[Hiredate]], TODAY(), "Y")</f>
        <v>27</v>
      </c>
      <c r="W104" s="150">
        <f t="shared" ca="1" si="8"/>
        <v>46018</v>
      </c>
    </row>
    <row r="105" spans="1:23" x14ac:dyDescent="0.3">
      <c r="A105" s="130">
        <v>89</v>
      </c>
      <c r="B105" s="108" t="s">
        <v>118</v>
      </c>
      <c r="C105" s="110" t="s">
        <v>119</v>
      </c>
      <c r="D105" s="108" t="s">
        <v>24</v>
      </c>
      <c r="E105" s="108" t="s">
        <v>58</v>
      </c>
      <c r="F105" s="108" t="s">
        <v>510</v>
      </c>
      <c r="G105" s="111">
        <v>28907</v>
      </c>
      <c r="H105" s="110">
        <v>22750</v>
      </c>
      <c r="I105" s="141">
        <f t="shared" si="9"/>
        <v>5687.5</v>
      </c>
      <c r="J105" s="141">
        <f t="shared" si="10"/>
        <v>9100</v>
      </c>
      <c r="K105" s="142">
        <f t="shared" si="10"/>
        <v>1706.25</v>
      </c>
      <c r="L105" s="141" t="e">
        <f>VLOOKUP(Sdata[[#This Row],[Empcode]],idata[],2,0)</f>
        <v>#N/A</v>
      </c>
      <c r="M105" s="144">
        <f>IFERROR(VLOOKUP(Sdata[[#This Row],[Empcode]],idata[],2,0), 0)</f>
        <v>0</v>
      </c>
      <c r="N105" s="141" t="e">
        <f>VLOOKUP(Sdata[[#This Row],[Empcode]],idata[],1,0)</f>
        <v>#N/A</v>
      </c>
      <c r="O105" s="144">
        <f>IF(Sdata[[#This Row],[Salary]]&gt;=15000,15%, IF(Sdata[[#This Row],[Salary]]&gt;=10000, 10%, IF(Sdata[[#This Row],[Salary]]&gt;=5000,5%, 2%)))</f>
        <v>0.15</v>
      </c>
      <c r="P105" s="145">
        <f>IF(Sdata[[#This Row],[Salary]]&gt;=15000,15%, IF(Sdata[[#This Row],[Salary]]&gt;=10000, 10%, IF(Sdata[[#This Row],[Salary]]&gt;=5000,5%, 2%)))</f>
        <v>0.15</v>
      </c>
      <c r="Q105" s="145">
        <f>VLOOKUP(Sdata[[#This Row],[Salary]],bdata[],2,1)</f>
        <v>0.15</v>
      </c>
      <c r="R105" s="149">
        <f>(Sdata[[#This Row],[Bonus in %]]*Sdata[[#This Row],[Salary]])</f>
        <v>3412.5</v>
      </c>
      <c r="S105" s="144">
        <f>SUM(Sdata[[#This Row],[Salary]], Sdata[[#This Row],[Salary]]*Sdata[[#This Row],[Bonus in %]])</f>
        <v>26162.5</v>
      </c>
      <c r="T105" s="106" t="str">
        <f>_xlfn.CONCAT(Sdata[[#This Row],[First Name]]," ",Sdata[[#This Row],[Last Name]])</f>
        <v>Tejal Patel</v>
      </c>
      <c r="U105" s="106" t="str">
        <f t="shared" si="7"/>
        <v>Tejal Patel</v>
      </c>
      <c r="V105" s="106">
        <f ca="1">DATEDIF(Sdata[[#This Row],[Hiredate]], TODAY(), "Y")</f>
        <v>46</v>
      </c>
      <c r="W105" s="150">
        <f t="shared" ca="1" si="8"/>
        <v>46018</v>
      </c>
    </row>
    <row r="106" spans="1:23" x14ac:dyDescent="0.3">
      <c r="A106" s="130">
        <v>90</v>
      </c>
      <c r="B106" s="108" t="s">
        <v>120</v>
      </c>
      <c r="C106" s="110" t="s">
        <v>86</v>
      </c>
      <c r="D106" s="108" t="s">
        <v>27</v>
      </c>
      <c r="E106" s="108" t="s">
        <v>58</v>
      </c>
      <c r="F106" s="108" t="s">
        <v>501</v>
      </c>
      <c r="G106" s="111">
        <v>29226</v>
      </c>
      <c r="H106" s="110">
        <v>22750</v>
      </c>
      <c r="I106" s="141">
        <f t="shared" si="9"/>
        <v>5687.5</v>
      </c>
      <c r="J106" s="141">
        <f t="shared" si="10"/>
        <v>9100</v>
      </c>
      <c r="K106" s="142">
        <f t="shared" si="10"/>
        <v>1706.25</v>
      </c>
      <c r="L106" s="141" t="e">
        <f>VLOOKUP(Sdata[[#This Row],[Empcode]],idata[],2,0)</f>
        <v>#N/A</v>
      </c>
      <c r="M106" s="144">
        <f>IFERROR(VLOOKUP(Sdata[[#This Row],[Empcode]],idata[],2,0), 0)</f>
        <v>0</v>
      </c>
      <c r="N106" s="141" t="e">
        <f>VLOOKUP(Sdata[[#This Row],[Empcode]],idata[],1,0)</f>
        <v>#N/A</v>
      </c>
      <c r="O106" s="144">
        <f>IF(Sdata[[#This Row],[Salary]]&gt;=15000,15%, IF(Sdata[[#This Row],[Salary]]&gt;=10000, 10%, IF(Sdata[[#This Row],[Salary]]&gt;=5000,5%, 2%)))</f>
        <v>0.15</v>
      </c>
      <c r="P106" s="145">
        <f>IF(Sdata[[#This Row],[Salary]]&gt;=15000,15%, IF(Sdata[[#This Row],[Salary]]&gt;=10000, 10%, IF(Sdata[[#This Row],[Salary]]&gt;=5000,5%, 2%)))</f>
        <v>0.15</v>
      </c>
      <c r="Q106" s="145">
        <f>VLOOKUP(Sdata[[#This Row],[Salary]],bdata[],2,1)</f>
        <v>0.15</v>
      </c>
      <c r="R106" s="149">
        <f>(Sdata[[#This Row],[Bonus in %]]*Sdata[[#This Row],[Salary]])</f>
        <v>3412.5</v>
      </c>
      <c r="S106" s="144">
        <f>SUM(Sdata[[#This Row],[Salary]], Sdata[[#This Row],[Salary]]*Sdata[[#This Row],[Bonus in %]])</f>
        <v>26162.5</v>
      </c>
      <c r="T106" s="106" t="str">
        <f>_xlfn.CONCAT(Sdata[[#This Row],[First Name]]," ",Sdata[[#This Row],[Last Name]])</f>
        <v>Priyanka Mehta</v>
      </c>
      <c r="U106" s="106" t="str">
        <f t="shared" si="7"/>
        <v>Priyanka Mehta</v>
      </c>
      <c r="V106" s="106">
        <f ca="1">DATEDIF(Sdata[[#This Row],[Hiredate]], TODAY(), "Y")</f>
        <v>45</v>
      </c>
      <c r="W106" s="150">
        <f t="shared" ca="1" si="8"/>
        <v>46018</v>
      </c>
    </row>
    <row r="107" spans="1:23" x14ac:dyDescent="0.3">
      <c r="A107" s="130">
        <v>91</v>
      </c>
      <c r="B107" s="108" t="s">
        <v>52</v>
      </c>
      <c r="C107" s="110" t="s">
        <v>53</v>
      </c>
      <c r="D107" s="108" t="s">
        <v>24</v>
      </c>
      <c r="E107" s="108" t="s">
        <v>10</v>
      </c>
      <c r="F107" s="108" t="s">
        <v>499</v>
      </c>
      <c r="G107" s="111">
        <v>29172</v>
      </c>
      <c r="H107" s="110">
        <v>22750</v>
      </c>
      <c r="I107" s="141">
        <f t="shared" si="9"/>
        <v>5687.5</v>
      </c>
      <c r="J107" s="141">
        <f t="shared" si="10"/>
        <v>9100</v>
      </c>
      <c r="K107" s="142">
        <f t="shared" si="10"/>
        <v>1706.25</v>
      </c>
      <c r="L107" s="141" t="e">
        <f>VLOOKUP(Sdata[[#This Row],[Empcode]],idata[],2,0)</f>
        <v>#N/A</v>
      </c>
      <c r="M107" s="144">
        <f>IFERROR(VLOOKUP(Sdata[[#This Row],[Empcode]],idata[],2,0), 0)</f>
        <v>0</v>
      </c>
      <c r="N107" s="141" t="e">
        <f>VLOOKUP(Sdata[[#This Row],[Empcode]],idata[],1,0)</f>
        <v>#N/A</v>
      </c>
      <c r="O107" s="144">
        <f>IF(Sdata[[#This Row],[Salary]]&gt;=15000,15%, IF(Sdata[[#This Row],[Salary]]&gt;=10000, 10%, IF(Sdata[[#This Row],[Salary]]&gt;=5000,5%, 2%)))</f>
        <v>0.15</v>
      </c>
      <c r="P107" s="145">
        <f>IF(Sdata[[#This Row],[Salary]]&gt;=15000,15%, IF(Sdata[[#This Row],[Salary]]&gt;=10000, 10%, IF(Sdata[[#This Row],[Salary]]&gt;=5000,5%, 2%)))</f>
        <v>0.15</v>
      </c>
      <c r="Q107" s="145">
        <f>VLOOKUP(Sdata[[#This Row],[Salary]],bdata[],2,1)</f>
        <v>0.15</v>
      </c>
      <c r="R107" s="149">
        <f>(Sdata[[#This Row],[Bonus in %]]*Sdata[[#This Row],[Salary]])</f>
        <v>3412.5</v>
      </c>
      <c r="S107" s="144">
        <f>SUM(Sdata[[#This Row],[Salary]], Sdata[[#This Row],[Salary]]*Sdata[[#This Row],[Bonus in %]])</f>
        <v>26162.5</v>
      </c>
      <c r="T107" s="106" t="str">
        <f>_xlfn.CONCAT(Sdata[[#This Row],[First Name]]," ",Sdata[[#This Row],[Last Name]])</f>
        <v>Niki Digaria</v>
      </c>
      <c r="U107" s="106" t="str">
        <f t="shared" si="7"/>
        <v>Niki Digaria</v>
      </c>
      <c r="V107" s="106">
        <f ca="1">DATEDIF(Sdata[[#This Row],[Hiredate]], TODAY(), "Y")</f>
        <v>46</v>
      </c>
      <c r="W107" s="150">
        <f t="shared" ca="1" si="8"/>
        <v>46018</v>
      </c>
    </row>
    <row r="108" spans="1:23" x14ac:dyDescent="0.3">
      <c r="A108" s="130">
        <v>92</v>
      </c>
      <c r="B108" s="108" t="s">
        <v>54</v>
      </c>
      <c r="C108" s="110" t="s">
        <v>55</v>
      </c>
      <c r="D108" s="108" t="s">
        <v>9</v>
      </c>
      <c r="E108" s="108" t="s">
        <v>10</v>
      </c>
      <c r="F108" s="108" t="s">
        <v>514</v>
      </c>
      <c r="G108" s="111">
        <v>32603</v>
      </c>
      <c r="H108" s="110">
        <v>17325</v>
      </c>
      <c r="I108" s="141">
        <f t="shared" si="9"/>
        <v>4331.25</v>
      </c>
      <c r="J108" s="141">
        <f t="shared" si="10"/>
        <v>6930</v>
      </c>
      <c r="K108" s="142">
        <f t="shared" si="10"/>
        <v>1299.375</v>
      </c>
      <c r="L108" s="141" t="e">
        <f>VLOOKUP(Sdata[[#This Row],[Empcode]],idata[],2,0)</f>
        <v>#N/A</v>
      </c>
      <c r="M108" s="144">
        <f>IFERROR(VLOOKUP(Sdata[[#This Row],[Empcode]],idata[],2,0), 0)</f>
        <v>0</v>
      </c>
      <c r="N108" s="141" t="e">
        <f>VLOOKUP(Sdata[[#This Row],[Empcode]],idata[],1,0)</f>
        <v>#N/A</v>
      </c>
      <c r="O108" s="144">
        <f>IF(Sdata[[#This Row],[Salary]]&gt;=15000,15%, IF(Sdata[[#This Row],[Salary]]&gt;=10000, 10%, IF(Sdata[[#This Row],[Salary]]&gt;=5000,5%, 2%)))</f>
        <v>0.15</v>
      </c>
      <c r="P108" s="145">
        <f>IF(Sdata[[#This Row],[Salary]]&gt;=15000,15%, IF(Sdata[[#This Row],[Salary]]&gt;=10000, 10%, IF(Sdata[[#This Row],[Salary]]&gt;=5000,5%, 2%)))</f>
        <v>0.15</v>
      </c>
      <c r="Q108" s="145">
        <f>VLOOKUP(Sdata[[#This Row],[Salary]],bdata[],2,1)</f>
        <v>0.15</v>
      </c>
      <c r="R108" s="149">
        <f>(Sdata[[#This Row],[Bonus in %]]*Sdata[[#This Row],[Salary]])</f>
        <v>2598.75</v>
      </c>
      <c r="S108" s="144">
        <f>SUM(Sdata[[#This Row],[Salary]], Sdata[[#This Row],[Salary]]*Sdata[[#This Row],[Bonus in %]])</f>
        <v>19923.75</v>
      </c>
      <c r="T108" s="106" t="str">
        <f>_xlfn.CONCAT(Sdata[[#This Row],[First Name]]," ",Sdata[[#This Row],[Last Name]])</f>
        <v>Payal Singhani</v>
      </c>
      <c r="U108" s="106" t="str">
        <f t="shared" si="7"/>
        <v>Payal Singhani</v>
      </c>
      <c r="V108" s="106">
        <f ca="1">DATEDIF(Sdata[[#This Row],[Hiredate]], TODAY(), "Y")</f>
        <v>36</v>
      </c>
      <c r="W108" s="150">
        <f t="shared" ca="1" si="8"/>
        <v>46018</v>
      </c>
    </row>
    <row r="109" spans="1:23" x14ac:dyDescent="0.3">
      <c r="A109" s="130">
        <v>93</v>
      </c>
      <c r="B109" s="108" t="s">
        <v>153</v>
      </c>
      <c r="C109" s="110" t="s">
        <v>72</v>
      </c>
      <c r="D109" s="108" t="s">
        <v>24</v>
      </c>
      <c r="E109" s="108" t="s">
        <v>125</v>
      </c>
      <c r="F109" s="108" t="s">
        <v>505</v>
      </c>
      <c r="G109" s="111">
        <v>32604</v>
      </c>
      <c r="H109" s="110">
        <v>17325</v>
      </c>
      <c r="I109" s="141">
        <f t="shared" si="9"/>
        <v>4331.25</v>
      </c>
      <c r="J109" s="141">
        <f t="shared" si="10"/>
        <v>6930</v>
      </c>
      <c r="K109" s="142">
        <f t="shared" si="10"/>
        <v>1299.375</v>
      </c>
      <c r="L109" s="141" t="e">
        <f>VLOOKUP(Sdata[[#This Row],[Empcode]],idata[],2,0)</f>
        <v>#N/A</v>
      </c>
      <c r="M109" s="144">
        <f>IFERROR(VLOOKUP(Sdata[[#This Row],[Empcode]],idata[],2,0), 0)</f>
        <v>0</v>
      </c>
      <c r="N109" s="141" t="e">
        <f>VLOOKUP(Sdata[[#This Row],[Empcode]],idata[],1,0)</f>
        <v>#N/A</v>
      </c>
      <c r="O109" s="144">
        <f>IF(Sdata[[#This Row],[Salary]]&gt;=15000,15%, IF(Sdata[[#This Row],[Salary]]&gt;=10000, 10%, IF(Sdata[[#This Row],[Salary]]&gt;=5000,5%, 2%)))</f>
        <v>0.15</v>
      </c>
      <c r="P109" s="145">
        <f>IF(Sdata[[#This Row],[Salary]]&gt;=15000,15%, IF(Sdata[[#This Row],[Salary]]&gt;=10000, 10%, IF(Sdata[[#This Row],[Salary]]&gt;=5000,5%, 2%)))</f>
        <v>0.15</v>
      </c>
      <c r="Q109" s="145">
        <f>VLOOKUP(Sdata[[#This Row],[Salary]],bdata[],2,1)</f>
        <v>0.15</v>
      </c>
      <c r="R109" s="149">
        <f>(Sdata[[#This Row],[Bonus in %]]*Sdata[[#This Row],[Salary]])</f>
        <v>2598.75</v>
      </c>
      <c r="S109" s="144">
        <f>SUM(Sdata[[#This Row],[Salary]], Sdata[[#This Row],[Salary]]*Sdata[[#This Row],[Bonus in %]])</f>
        <v>19923.75</v>
      </c>
      <c r="T109" s="106" t="str">
        <f>_xlfn.CONCAT(Sdata[[#This Row],[First Name]]," ",Sdata[[#This Row],[Last Name]])</f>
        <v>Harsha Trivedi</v>
      </c>
      <c r="U109" s="106" t="str">
        <f t="shared" si="7"/>
        <v>Harsha Trivedi</v>
      </c>
      <c r="V109" s="106">
        <f ca="1">DATEDIF(Sdata[[#This Row],[Hiredate]], TODAY(), "Y")</f>
        <v>36</v>
      </c>
      <c r="W109" s="150">
        <f t="shared" ca="1" si="8"/>
        <v>46018</v>
      </c>
    </row>
    <row r="110" spans="1:23" x14ac:dyDescent="0.3">
      <c r="A110" s="130">
        <v>94</v>
      </c>
      <c r="B110" s="108" t="s">
        <v>188</v>
      </c>
      <c r="C110" s="110" t="s">
        <v>189</v>
      </c>
      <c r="D110" s="108" t="s">
        <v>9</v>
      </c>
      <c r="E110" s="108" t="s">
        <v>161</v>
      </c>
      <c r="F110" s="108" t="s">
        <v>508</v>
      </c>
      <c r="G110" s="111">
        <v>32605</v>
      </c>
      <c r="H110" s="110">
        <v>17325</v>
      </c>
      <c r="I110" s="141">
        <f t="shared" si="9"/>
        <v>4331.25</v>
      </c>
      <c r="J110" s="141">
        <f t="shared" si="10"/>
        <v>6930</v>
      </c>
      <c r="K110" s="142">
        <f t="shared" si="10"/>
        <v>1299.375</v>
      </c>
      <c r="L110" s="141" t="e">
        <f>VLOOKUP(Sdata[[#This Row],[Empcode]],idata[],2,0)</f>
        <v>#N/A</v>
      </c>
      <c r="M110" s="144">
        <f>IFERROR(VLOOKUP(Sdata[[#This Row],[Empcode]],idata[],2,0), 0)</f>
        <v>0</v>
      </c>
      <c r="N110" s="141" t="e">
        <f>VLOOKUP(Sdata[[#This Row],[Empcode]],idata[],1,0)</f>
        <v>#N/A</v>
      </c>
      <c r="O110" s="144">
        <f>IF(Sdata[[#This Row],[Salary]]&gt;=15000,15%, IF(Sdata[[#This Row],[Salary]]&gt;=10000, 10%, IF(Sdata[[#This Row],[Salary]]&gt;=5000,5%, 2%)))</f>
        <v>0.15</v>
      </c>
      <c r="P110" s="145">
        <f>IF(Sdata[[#This Row],[Salary]]&gt;=15000,15%, IF(Sdata[[#This Row],[Salary]]&gt;=10000, 10%, IF(Sdata[[#This Row],[Salary]]&gt;=5000,5%, 2%)))</f>
        <v>0.15</v>
      </c>
      <c r="Q110" s="145">
        <f>VLOOKUP(Sdata[[#This Row],[Salary]],bdata[],2,1)</f>
        <v>0.15</v>
      </c>
      <c r="R110" s="149">
        <f>(Sdata[[#This Row],[Bonus in %]]*Sdata[[#This Row],[Salary]])</f>
        <v>2598.75</v>
      </c>
      <c r="S110" s="144">
        <f>SUM(Sdata[[#This Row],[Salary]], Sdata[[#This Row],[Salary]]*Sdata[[#This Row],[Bonus in %]])</f>
        <v>19923.75</v>
      </c>
      <c r="T110" s="106" t="str">
        <f>_xlfn.CONCAT(Sdata[[#This Row],[First Name]]," ",Sdata[[#This Row],[Last Name]])</f>
        <v>Radhika Kulkarni</v>
      </c>
      <c r="U110" s="106" t="str">
        <f t="shared" si="7"/>
        <v>Radhika Kulkarni</v>
      </c>
      <c r="V110" s="106">
        <f ca="1">DATEDIF(Sdata[[#This Row],[Hiredate]], TODAY(), "Y")</f>
        <v>36</v>
      </c>
      <c r="W110" s="150">
        <f t="shared" ca="1" si="8"/>
        <v>46018</v>
      </c>
    </row>
    <row r="111" spans="1:23" x14ac:dyDescent="0.3">
      <c r="A111" s="130">
        <v>95</v>
      </c>
      <c r="B111" s="108" t="s">
        <v>154</v>
      </c>
      <c r="C111" s="110" t="s">
        <v>80</v>
      </c>
      <c r="D111" s="108" t="s">
        <v>9</v>
      </c>
      <c r="E111" s="108" t="s">
        <v>125</v>
      </c>
      <c r="F111" s="108" t="s">
        <v>505</v>
      </c>
      <c r="G111" s="111">
        <v>32606</v>
      </c>
      <c r="H111" s="110">
        <v>17325</v>
      </c>
      <c r="I111" s="141">
        <f t="shared" si="9"/>
        <v>4331.25</v>
      </c>
      <c r="J111" s="141">
        <f t="shared" si="10"/>
        <v>6930</v>
      </c>
      <c r="K111" s="142">
        <f t="shared" si="10"/>
        <v>1299.375</v>
      </c>
      <c r="L111" s="141" t="e">
        <f>VLOOKUP(Sdata[[#This Row],[Empcode]],idata[],2,0)</f>
        <v>#N/A</v>
      </c>
      <c r="M111" s="144">
        <f>IFERROR(VLOOKUP(Sdata[[#This Row],[Empcode]],idata[],2,0), 0)</f>
        <v>0</v>
      </c>
      <c r="N111" s="141" t="e">
        <f>VLOOKUP(Sdata[[#This Row],[Empcode]],idata[],1,0)</f>
        <v>#N/A</v>
      </c>
      <c r="O111" s="144">
        <f>IF(Sdata[[#This Row],[Salary]]&gt;=15000,15%, IF(Sdata[[#This Row],[Salary]]&gt;=10000, 10%, IF(Sdata[[#This Row],[Salary]]&gt;=5000,5%, 2%)))</f>
        <v>0.15</v>
      </c>
      <c r="P111" s="145">
        <f>IF(Sdata[[#This Row],[Salary]]&gt;=15000,15%, IF(Sdata[[#This Row],[Salary]]&gt;=10000, 10%, IF(Sdata[[#This Row],[Salary]]&gt;=5000,5%, 2%)))</f>
        <v>0.15</v>
      </c>
      <c r="Q111" s="145">
        <f>VLOOKUP(Sdata[[#This Row],[Salary]],bdata[],2,1)</f>
        <v>0.15</v>
      </c>
      <c r="R111" s="149">
        <f>(Sdata[[#This Row],[Bonus in %]]*Sdata[[#This Row],[Salary]])</f>
        <v>2598.75</v>
      </c>
      <c r="S111" s="144">
        <f>SUM(Sdata[[#This Row],[Salary]], Sdata[[#This Row],[Salary]]*Sdata[[#This Row],[Bonus in %]])</f>
        <v>19923.75</v>
      </c>
      <c r="T111" s="106" t="str">
        <f>_xlfn.CONCAT(Sdata[[#This Row],[First Name]]," ",Sdata[[#This Row],[Last Name]])</f>
        <v>Kabir Vora</v>
      </c>
      <c r="U111" s="106" t="str">
        <f t="shared" si="7"/>
        <v>Kabir Vora</v>
      </c>
      <c r="V111" s="106">
        <f ca="1">DATEDIF(Sdata[[#This Row],[Hiredate]], TODAY(), "Y")</f>
        <v>36</v>
      </c>
      <c r="W111" s="150">
        <f t="shared" ca="1" si="8"/>
        <v>46018</v>
      </c>
    </row>
    <row r="112" spans="1:23" x14ac:dyDescent="0.3">
      <c r="A112" s="130">
        <v>96</v>
      </c>
      <c r="B112" s="108" t="s">
        <v>7</v>
      </c>
      <c r="C112" s="110" t="s">
        <v>113</v>
      </c>
      <c r="D112" s="108" t="s">
        <v>27</v>
      </c>
      <c r="E112" s="108" t="s">
        <v>161</v>
      </c>
      <c r="F112" s="108" t="s">
        <v>513</v>
      </c>
      <c r="G112" s="111">
        <v>32607</v>
      </c>
      <c r="H112" s="110">
        <v>17325</v>
      </c>
      <c r="I112" s="141">
        <f t="shared" si="9"/>
        <v>4331.25</v>
      </c>
      <c r="J112" s="141">
        <f t="shared" si="10"/>
        <v>6930</v>
      </c>
      <c r="K112" s="142">
        <f t="shared" si="10"/>
        <v>1299.375</v>
      </c>
      <c r="L112" s="141" t="e">
        <f>VLOOKUP(Sdata[[#This Row],[Empcode]],idata[],2,0)</f>
        <v>#N/A</v>
      </c>
      <c r="M112" s="144">
        <f>IFERROR(VLOOKUP(Sdata[[#This Row],[Empcode]],idata[],2,0), 0)</f>
        <v>0</v>
      </c>
      <c r="N112" s="141" t="e">
        <f>VLOOKUP(Sdata[[#This Row],[Empcode]],idata[],1,0)</f>
        <v>#N/A</v>
      </c>
      <c r="O112" s="144">
        <f>IF(Sdata[[#This Row],[Salary]]&gt;=15000,15%, IF(Sdata[[#This Row],[Salary]]&gt;=10000, 10%, IF(Sdata[[#This Row],[Salary]]&gt;=5000,5%, 2%)))</f>
        <v>0.15</v>
      </c>
      <c r="P112" s="145">
        <f>IF(Sdata[[#This Row],[Salary]]&gt;=15000,15%, IF(Sdata[[#This Row],[Salary]]&gt;=10000, 10%, IF(Sdata[[#This Row],[Salary]]&gt;=5000,5%, 2%)))</f>
        <v>0.15</v>
      </c>
      <c r="Q112" s="145">
        <f>VLOOKUP(Sdata[[#This Row],[Salary]],bdata[],2,1)</f>
        <v>0.15</v>
      </c>
      <c r="R112" s="149">
        <f>(Sdata[[#This Row],[Bonus in %]]*Sdata[[#This Row],[Salary]])</f>
        <v>2598.75</v>
      </c>
      <c r="S112" s="144">
        <f>SUM(Sdata[[#This Row],[Salary]], Sdata[[#This Row],[Salary]]*Sdata[[#This Row],[Bonus in %]])</f>
        <v>19923.75</v>
      </c>
      <c r="T112" s="106" t="str">
        <f>_xlfn.CONCAT(Sdata[[#This Row],[First Name]]," ",Sdata[[#This Row],[Last Name]])</f>
        <v>Beena Sharma</v>
      </c>
      <c r="U112" s="106" t="str">
        <f t="shared" si="7"/>
        <v>Beena Sharma</v>
      </c>
      <c r="V112" s="106">
        <f ca="1">DATEDIF(Sdata[[#This Row],[Hiredate]], TODAY(), "Y")</f>
        <v>36</v>
      </c>
      <c r="W112" s="150">
        <f t="shared" ca="1" si="8"/>
        <v>46018</v>
      </c>
    </row>
    <row r="113" spans="1:23" x14ac:dyDescent="0.3">
      <c r="A113" s="130">
        <v>97</v>
      </c>
      <c r="B113" s="108" t="s">
        <v>155</v>
      </c>
      <c r="C113" s="110" t="s">
        <v>156</v>
      </c>
      <c r="D113" s="108" t="s">
        <v>27</v>
      </c>
      <c r="E113" s="108" t="s">
        <v>125</v>
      </c>
      <c r="F113" s="108" t="s">
        <v>517</v>
      </c>
      <c r="G113" s="111">
        <v>32608</v>
      </c>
      <c r="H113" s="110">
        <v>17325</v>
      </c>
      <c r="I113" s="141">
        <f t="shared" si="9"/>
        <v>4331.25</v>
      </c>
      <c r="J113" s="141">
        <f t="shared" si="10"/>
        <v>6930</v>
      </c>
      <c r="K113" s="142">
        <f t="shared" si="10"/>
        <v>1299.375</v>
      </c>
      <c r="L113" s="141" t="e">
        <f>VLOOKUP(Sdata[[#This Row],[Empcode]],idata[],2,0)</f>
        <v>#N/A</v>
      </c>
      <c r="M113" s="144">
        <f>IFERROR(VLOOKUP(Sdata[[#This Row],[Empcode]],idata[],2,0), 0)</f>
        <v>0</v>
      </c>
      <c r="N113" s="141" t="e">
        <f>VLOOKUP(Sdata[[#This Row],[Empcode]],idata[],1,0)</f>
        <v>#N/A</v>
      </c>
      <c r="O113" s="144">
        <f>IF(Sdata[[#This Row],[Salary]]&gt;=15000,15%, IF(Sdata[[#This Row],[Salary]]&gt;=10000, 10%, IF(Sdata[[#This Row],[Salary]]&gt;=5000,5%, 2%)))</f>
        <v>0.15</v>
      </c>
      <c r="P113" s="145">
        <f>IF(Sdata[[#This Row],[Salary]]&gt;=15000,15%, IF(Sdata[[#This Row],[Salary]]&gt;=10000, 10%, IF(Sdata[[#This Row],[Salary]]&gt;=5000,5%, 2%)))</f>
        <v>0.15</v>
      </c>
      <c r="Q113" s="145">
        <f>VLOOKUP(Sdata[[#This Row],[Salary]],bdata[],2,1)</f>
        <v>0.15</v>
      </c>
      <c r="R113" s="149">
        <f>(Sdata[[#This Row],[Bonus in %]]*Sdata[[#This Row],[Salary]])</f>
        <v>2598.75</v>
      </c>
      <c r="S113" s="144">
        <f>SUM(Sdata[[#This Row],[Salary]], Sdata[[#This Row],[Salary]]*Sdata[[#This Row],[Bonus in %]])</f>
        <v>19923.75</v>
      </c>
      <c r="T113" s="106" t="str">
        <f>_xlfn.CONCAT(Sdata[[#This Row],[First Name]]," ",Sdata[[#This Row],[Last Name]])</f>
        <v>Pushpa Raut</v>
      </c>
      <c r="U113" s="106" t="str">
        <f t="shared" si="7"/>
        <v>Pushpa Raut</v>
      </c>
      <c r="V113" s="106">
        <f ca="1">DATEDIF(Sdata[[#This Row],[Hiredate]], TODAY(), "Y")</f>
        <v>36</v>
      </c>
      <c r="W113" s="150">
        <f t="shared" ca="1" si="8"/>
        <v>46018</v>
      </c>
    </row>
    <row r="114" spans="1:23" x14ac:dyDescent="0.3">
      <c r="A114" s="130">
        <v>98</v>
      </c>
      <c r="B114" s="108" t="s">
        <v>121</v>
      </c>
      <c r="C114" s="110" t="s">
        <v>122</v>
      </c>
      <c r="D114" s="108" t="s">
        <v>19</v>
      </c>
      <c r="E114" s="108" t="s">
        <v>58</v>
      </c>
      <c r="F114" s="108" t="s">
        <v>490</v>
      </c>
      <c r="G114" s="111">
        <v>32609</v>
      </c>
      <c r="H114" s="110">
        <v>17325</v>
      </c>
      <c r="I114" s="141">
        <f t="shared" si="9"/>
        <v>4331.25</v>
      </c>
      <c r="J114" s="141">
        <f t="shared" si="10"/>
        <v>6930</v>
      </c>
      <c r="K114" s="142">
        <f t="shared" si="10"/>
        <v>1299.375</v>
      </c>
      <c r="L114" s="141" t="e">
        <f>VLOOKUP(Sdata[[#This Row],[Empcode]],idata[],2,0)</f>
        <v>#N/A</v>
      </c>
      <c r="M114" s="144">
        <f>IFERROR(VLOOKUP(Sdata[[#This Row],[Empcode]],idata[],2,0), 0)</f>
        <v>0</v>
      </c>
      <c r="N114" s="141" t="e">
        <f>VLOOKUP(Sdata[[#This Row],[Empcode]],idata[],1,0)</f>
        <v>#N/A</v>
      </c>
      <c r="O114" s="144">
        <f>IF(Sdata[[#This Row],[Salary]]&gt;=15000,15%, IF(Sdata[[#This Row],[Salary]]&gt;=10000, 10%, IF(Sdata[[#This Row],[Salary]]&gt;=5000,5%, 2%)))</f>
        <v>0.15</v>
      </c>
      <c r="P114" s="145">
        <f>IF(Sdata[[#This Row],[Salary]]&gt;=15000,15%, IF(Sdata[[#This Row],[Salary]]&gt;=10000, 10%, IF(Sdata[[#This Row],[Salary]]&gt;=5000,5%, 2%)))</f>
        <v>0.15</v>
      </c>
      <c r="Q114" s="145">
        <f>VLOOKUP(Sdata[[#This Row],[Salary]],bdata[],2,1)</f>
        <v>0.15</v>
      </c>
      <c r="R114" s="149">
        <f>(Sdata[[#This Row],[Bonus in %]]*Sdata[[#This Row],[Salary]])</f>
        <v>2598.75</v>
      </c>
      <c r="S114" s="144">
        <f>SUM(Sdata[[#This Row],[Salary]], Sdata[[#This Row],[Salary]]*Sdata[[#This Row],[Bonus in %]])</f>
        <v>19923.75</v>
      </c>
      <c r="T114" s="106" t="str">
        <f>_xlfn.CONCAT(Sdata[[#This Row],[First Name]]," ",Sdata[[#This Row],[Last Name]])</f>
        <v>Chetan Dalvi</v>
      </c>
      <c r="U114" s="106" t="str">
        <f t="shared" si="7"/>
        <v>Chetan Dalvi</v>
      </c>
      <c r="V114" s="106">
        <f ca="1">DATEDIF(Sdata[[#This Row],[Hiredate]], TODAY(), "Y")</f>
        <v>36</v>
      </c>
      <c r="W114" s="150">
        <f t="shared" ca="1" si="8"/>
        <v>46018</v>
      </c>
    </row>
    <row r="115" spans="1:23" x14ac:dyDescent="0.3">
      <c r="A115" s="130">
        <v>99</v>
      </c>
      <c r="B115" s="108" t="s">
        <v>190</v>
      </c>
      <c r="C115" s="110" t="s">
        <v>101</v>
      </c>
      <c r="D115" s="108" t="s">
        <v>13</v>
      </c>
      <c r="E115" s="108" t="s">
        <v>161</v>
      </c>
      <c r="F115" s="108" t="s">
        <v>506</v>
      </c>
      <c r="G115" s="111">
        <v>35794</v>
      </c>
      <c r="H115" s="110">
        <v>10500</v>
      </c>
      <c r="I115" s="141">
        <f t="shared" si="9"/>
        <v>2625</v>
      </c>
      <c r="J115" s="141">
        <f t="shared" si="10"/>
        <v>4200</v>
      </c>
      <c r="K115" s="142">
        <f t="shared" si="10"/>
        <v>787.5</v>
      </c>
      <c r="L115" s="141" t="e">
        <f>VLOOKUP(Sdata[[#This Row],[Empcode]],idata[],2,0)</f>
        <v>#N/A</v>
      </c>
      <c r="M115" s="144">
        <f>IFERROR(VLOOKUP(Sdata[[#This Row],[Empcode]],idata[],2,0), 0)</f>
        <v>0</v>
      </c>
      <c r="N115" s="141" t="e">
        <f>VLOOKUP(Sdata[[#This Row],[Empcode]],idata[],1,0)</f>
        <v>#N/A</v>
      </c>
      <c r="O115" s="144">
        <f>IF(Sdata[[#This Row],[Salary]]&gt;=15000,15%, IF(Sdata[[#This Row],[Salary]]&gt;=10000, 10%, IF(Sdata[[#This Row],[Salary]]&gt;=5000,5%, 2%)))</f>
        <v>0.1</v>
      </c>
      <c r="P115" s="145">
        <f>IF(Sdata[[#This Row],[Salary]]&gt;=15000,15%, IF(Sdata[[#This Row],[Salary]]&gt;=10000, 10%, IF(Sdata[[#This Row],[Salary]]&gt;=5000,5%, 2%)))</f>
        <v>0.1</v>
      </c>
      <c r="Q115" s="145">
        <f>VLOOKUP(Sdata[[#This Row],[Salary]],bdata[],2,1)</f>
        <v>0.1</v>
      </c>
      <c r="R115" s="149">
        <f>(Sdata[[#This Row],[Bonus in %]]*Sdata[[#This Row],[Salary]])</f>
        <v>1050</v>
      </c>
      <c r="S115" s="144">
        <f>SUM(Sdata[[#This Row],[Salary]], Sdata[[#This Row],[Salary]]*Sdata[[#This Row],[Bonus in %]])</f>
        <v>11550</v>
      </c>
      <c r="T115" s="106" t="str">
        <f>_xlfn.CONCAT(Sdata[[#This Row],[First Name]]," ",Sdata[[#This Row],[Last Name]])</f>
        <v>Indu Shah</v>
      </c>
      <c r="U115" s="106" t="str">
        <f t="shared" si="7"/>
        <v>Indu Shah</v>
      </c>
      <c r="V115" s="106">
        <f ca="1">DATEDIF(Sdata[[#This Row],[Hiredate]], TODAY(), "Y")</f>
        <v>27</v>
      </c>
      <c r="W115" s="150">
        <f t="shared" ca="1" si="8"/>
        <v>46018</v>
      </c>
    </row>
    <row r="116" spans="1:23" x14ac:dyDescent="0.3">
      <c r="A116" s="135">
        <v>100</v>
      </c>
      <c r="B116" s="136" t="s">
        <v>157</v>
      </c>
      <c r="C116" s="137" t="s">
        <v>158</v>
      </c>
      <c r="D116" s="136" t="s">
        <v>13</v>
      </c>
      <c r="E116" s="136" t="s">
        <v>125</v>
      </c>
      <c r="F116" s="136" t="s">
        <v>489</v>
      </c>
      <c r="G116" s="138">
        <v>36193</v>
      </c>
      <c r="H116" s="137">
        <v>7875</v>
      </c>
      <c r="I116" s="146">
        <f t="shared" si="9"/>
        <v>1968.75</v>
      </c>
      <c r="J116" s="146">
        <f t="shared" si="10"/>
        <v>3150</v>
      </c>
      <c r="K116" s="147">
        <f t="shared" si="10"/>
        <v>590.625</v>
      </c>
      <c r="L116" s="146" t="e">
        <f>VLOOKUP(Sdata[[#This Row],[Empcode]],idata[],2,0)</f>
        <v>#N/A</v>
      </c>
      <c r="M116" s="144">
        <f>IFERROR(VLOOKUP(Sdata[[#This Row],[Empcode]],idata[],2,0), 0)</f>
        <v>0</v>
      </c>
      <c r="N116" s="146" t="e">
        <f>VLOOKUP(Sdata[[#This Row],[Empcode]],idata[],1,0)</f>
        <v>#N/A</v>
      </c>
      <c r="O116" s="144">
        <f>IF(Sdata[[#This Row],[Salary]]&gt;=15000,15%, IF(Sdata[[#This Row],[Salary]]&gt;=10000, 10%, IF(Sdata[[#This Row],[Salary]]&gt;=5000,5%, 2%)))</f>
        <v>0.05</v>
      </c>
      <c r="P116" s="145">
        <f>IF(Sdata[[#This Row],[Salary]]&gt;=15000,15%, IF(Sdata[[#This Row],[Salary]]&gt;=10000, 10%, IF(Sdata[[#This Row],[Salary]]&gt;=5000,5%, 2%)))</f>
        <v>0.05</v>
      </c>
      <c r="Q116" s="145">
        <f>VLOOKUP(Sdata[[#This Row],[Salary]],bdata[],2,1)</f>
        <v>0.05</v>
      </c>
      <c r="R116" s="149">
        <f>(Sdata[[#This Row],[Bonus in %]]*Sdata[[#This Row],[Salary]])</f>
        <v>393.75</v>
      </c>
      <c r="S116" s="144">
        <f>SUM(Sdata[[#This Row],[Salary]], Sdata[[#This Row],[Salary]]*Sdata[[#This Row],[Bonus in %]])</f>
        <v>8268.75</v>
      </c>
      <c r="T116" s="106" t="str">
        <f>_xlfn.CONCAT(Sdata[[#This Row],[First Name]]," ",Sdata[[#This Row],[Last Name]])</f>
        <v>Rupesh Sawant</v>
      </c>
      <c r="U116" s="106" t="str">
        <f t="shared" si="7"/>
        <v>Rupesh Sawant</v>
      </c>
      <c r="V116" s="106">
        <f ca="1">DATEDIF(Sdata[[#This Row],[Hiredate]], TODAY(), "Y")</f>
        <v>26</v>
      </c>
      <c r="W116" s="150">
        <f t="shared" ca="1" si="8"/>
        <v>46018</v>
      </c>
    </row>
    <row r="124" spans="1:23" x14ac:dyDescent="0.3">
      <c r="G124" s="113"/>
      <c r="H124" s="114"/>
      <c r="I124" s="114"/>
      <c r="J124" s="114"/>
      <c r="K124" s="114"/>
    </row>
    <row r="125" spans="1:23" x14ac:dyDescent="0.3">
      <c r="G125" s="113"/>
      <c r="H125" s="114"/>
      <c r="I125" s="114"/>
      <c r="J125" s="114"/>
      <c r="K125" s="114"/>
    </row>
    <row r="126" spans="1:23" x14ac:dyDescent="0.3">
      <c r="G126" s="113"/>
      <c r="H126" s="114"/>
      <c r="I126" s="114"/>
      <c r="J126" s="114"/>
      <c r="K126" s="114"/>
    </row>
    <row r="130" spans="5:11" x14ac:dyDescent="0.3">
      <c r="E130" s="115"/>
      <c r="G130" s="113"/>
      <c r="H130" s="114"/>
      <c r="I130" s="114"/>
      <c r="J130" s="114"/>
      <c r="K130" s="114"/>
    </row>
    <row r="131" spans="5:11" x14ac:dyDescent="0.3">
      <c r="E131" s="115"/>
      <c r="G131" s="113"/>
      <c r="H131" s="114"/>
      <c r="I131" s="114"/>
      <c r="J131" s="114"/>
      <c r="K131" s="114"/>
    </row>
    <row r="132" spans="5:11" x14ac:dyDescent="0.3">
      <c r="E132" s="115"/>
      <c r="G132" s="113"/>
      <c r="H132" s="114"/>
      <c r="I132" s="114"/>
      <c r="J132" s="114"/>
      <c r="K132" s="114"/>
    </row>
    <row r="133" spans="5:11" x14ac:dyDescent="0.3">
      <c r="E133" s="115"/>
      <c r="G133" s="113"/>
      <c r="H133" s="114"/>
      <c r="I133" s="114"/>
      <c r="J133" s="114"/>
      <c r="K133" s="114"/>
    </row>
    <row r="134" spans="5:11" x14ac:dyDescent="0.3">
      <c r="E134" s="115"/>
      <c r="G134" s="113"/>
      <c r="H134" s="114"/>
      <c r="I134" s="114"/>
      <c r="J134" s="114"/>
      <c r="K134" s="114"/>
    </row>
  </sheetData>
  <sheetProtection formatCells="0" formatColumns="0" formatRows="0"/>
  <mergeCells count="3">
    <mergeCell ref="A1:B1"/>
    <mergeCell ref="D2:H2"/>
    <mergeCell ref="A7:B7"/>
  </mergeCells>
  <phoneticPr fontId="24" type="noConversion"/>
  <printOptions headings="1" gridLines="1"/>
  <pageMargins left="0.75" right="0.75" top="1" bottom="1" header="0.5" footer="0.5"/>
  <pageSetup scale="90" orientation="landscape" horizontalDpi="300" verticalDpi="300" r:id="rId1"/>
  <headerFooter alignWithMargins="0">
    <oddFooter>&amp;L&amp;A&amp;C&amp;BPragati Software Pvt. Ltd. Confidential&amp;B&amp;RPage &amp;P</oddFooter>
  </headerFooter>
  <customProperties>
    <customPr name="LastActive" r:id="rId2"/>
  </customProperties>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A90A-7DC3-4570-883E-86DC1BB27F87}">
  <dimension ref="A1:E25"/>
  <sheetViews>
    <sheetView zoomScale="168" workbookViewId="0">
      <selection activeCell="F5" sqref="F5"/>
    </sheetView>
  </sheetViews>
  <sheetFormatPr defaultRowHeight="12.6" x14ac:dyDescent="0.25"/>
  <cols>
    <col min="1" max="1" width="10.44140625" bestFit="1" customWidth="1"/>
  </cols>
  <sheetData>
    <row r="1" spans="1:5" ht="13.8" x14ac:dyDescent="0.3">
      <c r="A1" s="109" t="s">
        <v>0</v>
      </c>
      <c r="B1" s="109" t="s">
        <v>716</v>
      </c>
      <c r="D1" s="109" t="s">
        <v>6</v>
      </c>
      <c r="E1" s="109" t="s">
        <v>718</v>
      </c>
    </row>
    <row r="2" spans="1:5" ht="13.8" x14ac:dyDescent="0.3">
      <c r="A2" s="109">
        <v>1</v>
      </c>
      <c r="B2" s="109">
        <v>1000</v>
      </c>
      <c r="D2" s="109">
        <v>0</v>
      </c>
      <c r="E2" s="139">
        <v>0.02</v>
      </c>
    </row>
    <row r="3" spans="1:5" ht="13.8" x14ac:dyDescent="0.3">
      <c r="A3" s="109">
        <v>3</v>
      </c>
      <c r="B3" s="109">
        <v>3000</v>
      </c>
      <c r="D3" s="109">
        <v>5000</v>
      </c>
      <c r="E3" s="139">
        <v>0.05</v>
      </c>
    </row>
    <row r="4" spans="1:5" ht="13.8" x14ac:dyDescent="0.3">
      <c r="A4" s="109">
        <v>5</v>
      </c>
      <c r="B4" s="109">
        <v>5000</v>
      </c>
      <c r="D4" s="109">
        <v>10000</v>
      </c>
      <c r="E4" s="139">
        <v>0.1</v>
      </c>
    </row>
    <row r="5" spans="1:5" ht="13.8" x14ac:dyDescent="0.3">
      <c r="A5" s="109">
        <v>7</v>
      </c>
      <c r="B5" s="109">
        <v>7000</v>
      </c>
      <c r="D5" s="109">
        <v>15000</v>
      </c>
      <c r="E5" s="139">
        <v>0.15</v>
      </c>
    </row>
    <row r="6" spans="1:5" ht="13.8" x14ac:dyDescent="0.3">
      <c r="A6" s="109">
        <v>9</v>
      </c>
      <c r="B6" s="109">
        <v>9000</v>
      </c>
    </row>
    <row r="7" spans="1:5" ht="13.8" x14ac:dyDescent="0.3">
      <c r="A7" s="109">
        <v>11</v>
      </c>
      <c r="B7" s="109">
        <v>11000</v>
      </c>
    </row>
    <row r="8" spans="1:5" ht="13.8" x14ac:dyDescent="0.3">
      <c r="A8" s="109">
        <v>13</v>
      </c>
      <c r="B8" s="109">
        <v>13000</v>
      </c>
    </row>
    <row r="9" spans="1:5" ht="13.8" x14ac:dyDescent="0.3">
      <c r="A9" s="109">
        <v>15</v>
      </c>
      <c r="B9" s="109">
        <v>15000</v>
      </c>
    </row>
    <row r="10" spans="1:5" ht="13.8" x14ac:dyDescent="0.3">
      <c r="A10" s="109">
        <v>17</v>
      </c>
      <c r="B10" s="109">
        <v>17000</v>
      </c>
    </row>
    <row r="11" spans="1:5" ht="13.8" x14ac:dyDescent="0.3">
      <c r="A11" s="109">
        <v>19</v>
      </c>
      <c r="B11" s="109">
        <v>19000</v>
      </c>
    </row>
    <row r="12" spans="1:5" ht="13.8" x14ac:dyDescent="0.3">
      <c r="A12" s="109">
        <v>21</v>
      </c>
      <c r="B12" s="109">
        <v>21000</v>
      </c>
    </row>
    <row r="13" spans="1:5" ht="13.8" x14ac:dyDescent="0.3">
      <c r="A13" s="109">
        <v>23</v>
      </c>
      <c r="B13" s="109">
        <v>23000</v>
      </c>
    </row>
    <row r="14" spans="1:5" ht="13.8" x14ac:dyDescent="0.3">
      <c r="A14" s="109">
        <v>25</v>
      </c>
      <c r="B14" s="109">
        <v>25000</v>
      </c>
    </row>
    <row r="15" spans="1:5" ht="13.8" x14ac:dyDescent="0.3">
      <c r="A15" s="109">
        <v>27</v>
      </c>
      <c r="B15" s="109">
        <v>27000</v>
      </c>
    </row>
    <row r="16" spans="1:5" ht="13.8" x14ac:dyDescent="0.3">
      <c r="A16" s="109">
        <v>29</v>
      </c>
      <c r="B16" s="109">
        <v>29000</v>
      </c>
    </row>
    <row r="17" spans="1:2" ht="13.8" x14ac:dyDescent="0.3">
      <c r="A17" s="109">
        <v>31</v>
      </c>
      <c r="B17" s="109">
        <v>31000</v>
      </c>
    </row>
    <row r="18" spans="1:2" ht="13.8" x14ac:dyDescent="0.3">
      <c r="A18" s="109">
        <v>33</v>
      </c>
      <c r="B18" s="109">
        <v>33000</v>
      </c>
    </row>
    <row r="19" spans="1:2" ht="13.8" x14ac:dyDescent="0.3">
      <c r="A19" s="109">
        <v>35</v>
      </c>
      <c r="B19" s="109">
        <v>35000</v>
      </c>
    </row>
    <row r="20" spans="1:2" ht="13.8" x14ac:dyDescent="0.3">
      <c r="A20" s="109">
        <v>37</v>
      </c>
      <c r="B20" s="109">
        <v>37000</v>
      </c>
    </row>
    <row r="21" spans="1:2" ht="13.8" x14ac:dyDescent="0.3">
      <c r="A21" s="109">
        <v>39</v>
      </c>
      <c r="B21" s="109">
        <v>39000</v>
      </c>
    </row>
    <row r="22" spans="1:2" ht="13.8" x14ac:dyDescent="0.3">
      <c r="A22" s="109">
        <v>41</v>
      </c>
      <c r="B22" s="109">
        <v>41000</v>
      </c>
    </row>
    <row r="23" spans="1:2" ht="13.8" x14ac:dyDescent="0.3">
      <c r="A23" s="109">
        <v>43</v>
      </c>
      <c r="B23" s="109">
        <v>43000</v>
      </c>
    </row>
    <row r="24" spans="1:2" ht="13.8" x14ac:dyDescent="0.3">
      <c r="A24" s="109">
        <v>45</v>
      </c>
      <c r="B24" s="109">
        <v>45000</v>
      </c>
    </row>
    <row r="25" spans="1:2" ht="13.8" x14ac:dyDescent="0.3">
      <c r="A25" s="109">
        <v>47</v>
      </c>
      <c r="B25" s="109">
        <v>47000</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013B-43F6-4C62-B971-593115A9334C}">
  <dimension ref="A2:AZ204"/>
  <sheetViews>
    <sheetView zoomScale="80" workbookViewId="0">
      <selection activeCell="D9" sqref="D9"/>
    </sheetView>
  </sheetViews>
  <sheetFormatPr defaultRowHeight="13.8" x14ac:dyDescent="0.3"/>
  <cols>
    <col min="1" max="1" width="12.88671875" style="109" bestFit="1" customWidth="1"/>
    <col min="2" max="2" width="16.77734375" style="109" bestFit="1" customWidth="1"/>
    <col min="3" max="3" width="11.5546875" style="109" bestFit="1" customWidth="1"/>
    <col min="4" max="4" width="13.44140625" style="109" bestFit="1" customWidth="1"/>
    <col min="5" max="5" width="14.21875" style="109" bestFit="1" customWidth="1"/>
    <col min="6" max="6" width="8.88671875" style="109"/>
    <col min="7" max="7" width="12.109375" style="109" bestFit="1" customWidth="1"/>
    <col min="8" max="8" width="16.77734375" style="109" bestFit="1" customWidth="1"/>
    <col min="9" max="10" width="4.6640625" style="109" bestFit="1" customWidth="1"/>
    <col min="11" max="11" width="16.77734375" style="109" bestFit="1" customWidth="1"/>
    <col min="12" max="12" width="14.5546875" style="109" bestFit="1" customWidth="1"/>
    <col min="13" max="15" width="4.6640625" style="109" bestFit="1" customWidth="1"/>
    <col min="16" max="16" width="10.109375" style="109" bestFit="1" customWidth="1"/>
    <col min="17" max="18" width="10.109375" style="109" customWidth="1"/>
    <col min="19" max="19" width="12.109375" style="109" bestFit="1" customWidth="1"/>
    <col min="20" max="20" width="16.77734375" style="109" bestFit="1" customWidth="1"/>
    <col min="21" max="21" width="11.5546875" style="109" bestFit="1" customWidth="1"/>
    <col min="22" max="22" width="13.44140625" style="109" bestFit="1" customWidth="1"/>
    <col min="23" max="23" width="11.5546875" style="109" bestFit="1" customWidth="1"/>
    <col min="24" max="24" width="11.5546875" style="109" customWidth="1"/>
    <col min="25" max="25" width="13.6640625" style="109" bestFit="1" customWidth="1"/>
    <col min="26" max="27" width="11.5546875" style="109" customWidth="1"/>
    <col min="28" max="28" width="12.109375" style="109" bestFit="1" customWidth="1"/>
    <col min="29" max="29" width="16.77734375" style="109" bestFit="1" customWidth="1"/>
    <col min="30" max="30" width="11.5546875" style="109" bestFit="1" customWidth="1"/>
    <col min="31" max="31" width="6" style="109" bestFit="1" customWidth="1"/>
    <col min="32" max="32" width="13" style="109" bestFit="1" customWidth="1"/>
    <col min="33" max="33" width="16.77734375" style="109" bestFit="1" customWidth="1"/>
    <col min="34" max="34" width="11.5546875" style="109" bestFit="1" customWidth="1"/>
    <col min="35" max="35" width="6" style="109" bestFit="1" customWidth="1"/>
    <col min="36" max="36" width="13" style="109" bestFit="1" customWidth="1"/>
    <col min="37" max="38" width="11.5546875" style="109" bestFit="1" customWidth="1"/>
    <col min="39" max="39" width="13.6640625" style="109" bestFit="1" customWidth="1"/>
    <col min="40" max="40" width="15.33203125" style="109" bestFit="1" customWidth="1"/>
    <col min="41" max="41" width="16.88671875" style="109" bestFit="1" customWidth="1"/>
    <col min="42" max="42" width="6" style="109" bestFit="1" customWidth="1"/>
    <col min="43" max="43" width="13" style="109" bestFit="1" customWidth="1"/>
    <col min="44" max="44" width="16.77734375" style="109" bestFit="1" customWidth="1"/>
    <col min="45" max="45" width="6" style="109" bestFit="1" customWidth="1"/>
    <col min="46" max="46" width="12.109375" style="109" bestFit="1" customWidth="1"/>
    <col min="47" max="47" width="16.77734375" style="109" bestFit="1" customWidth="1"/>
    <col min="48" max="49" width="6" style="109" bestFit="1" customWidth="1"/>
    <col min="50" max="50" width="10.109375" style="109" bestFit="1" customWidth="1"/>
    <col min="51" max="16384" width="8.88671875" style="109"/>
  </cols>
  <sheetData>
    <row r="2" spans="1:52" x14ac:dyDescent="0.3">
      <c r="D2" s="109" t="s">
        <v>799</v>
      </c>
      <c r="G2" s="109" t="s">
        <v>770</v>
      </c>
      <c r="V2" s="109" t="s">
        <v>796</v>
      </c>
      <c r="Y2" s="109" t="s">
        <v>797</v>
      </c>
      <c r="AB2" s="109" t="s">
        <v>798</v>
      </c>
      <c r="AF2" s="109" t="s">
        <v>790</v>
      </c>
      <c r="AL2" s="109" t="s">
        <v>791</v>
      </c>
    </row>
    <row r="3" spans="1:52" x14ac:dyDescent="0.3">
      <c r="A3" s="151" t="s">
        <v>733</v>
      </c>
      <c r="B3" s="109" t="s">
        <v>735</v>
      </c>
      <c r="C3" s="109" t="s">
        <v>736</v>
      </c>
      <c r="D3" s="109" t="s">
        <v>738</v>
      </c>
      <c r="E3" s="109" t="s">
        <v>737</v>
      </c>
      <c r="G3" s="151" t="s">
        <v>733</v>
      </c>
      <c r="H3" s="109" t="s">
        <v>735</v>
      </c>
      <c r="K3" s="151" t="s">
        <v>735</v>
      </c>
      <c r="L3" s="151" t="s">
        <v>734</v>
      </c>
      <c r="S3" s="151" t="s">
        <v>733</v>
      </c>
      <c r="T3" s="109" t="s">
        <v>735</v>
      </c>
      <c r="V3" s="151" t="s">
        <v>733</v>
      </c>
      <c r="W3" s="109" t="s">
        <v>736</v>
      </c>
      <c r="Y3" s="151" t="s">
        <v>733</v>
      </c>
      <c r="Z3" s="109" t="s">
        <v>736</v>
      </c>
      <c r="AB3" s="151" t="s">
        <v>733</v>
      </c>
      <c r="AC3" s="109" t="s">
        <v>784</v>
      </c>
      <c r="AD3" s="109" t="s">
        <v>736</v>
      </c>
      <c r="AE3"/>
      <c r="AF3" s="151" t="s">
        <v>730</v>
      </c>
      <c r="AG3" s="109" t="s">
        <v>784</v>
      </c>
      <c r="AH3"/>
      <c r="AI3"/>
      <c r="AJ3" s="151" t="s">
        <v>730</v>
      </c>
      <c r="AK3" s="109" t="s">
        <v>736</v>
      </c>
      <c r="AL3" s="109" t="s">
        <v>792</v>
      </c>
      <c r="AM3" s="109" t="s">
        <v>793</v>
      </c>
      <c r="AN3" s="109" t="s">
        <v>795</v>
      </c>
      <c r="AO3" s="109" t="s">
        <v>794</v>
      </c>
      <c r="AP3"/>
      <c r="AQ3" s="151" t="s">
        <v>730</v>
      </c>
      <c r="AR3" s="109" t="s">
        <v>735</v>
      </c>
      <c r="AS3"/>
      <c r="AT3" s="151" t="s">
        <v>733</v>
      </c>
      <c r="AU3" s="109" t="s">
        <v>784</v>
      </c>
      <c r="AV3"/>
      <c r="AW3"/>
      <c r="AX3"/>
      <c r="AY3"/>
      <c r="AZ3"/>
    </row>
    <row r="4" spans="1:52" x14ac:dyDescent="0.3">
      <c r="A4" s="152" t="s">
        <v>58</v>
      </c>
      <c r="B4" s="109">
        <v>40</v>
      </c>
      <c r="C4" s="109">
        <v>633500</v>
      </c>
      <c r="D4" s="154">
        <v>0.40770357022187181</v>
      </c>
      <c r="E4" s="154">
        <v>1</v>
      </c>
      <c r="G4" s="152" t="s">
        <v>739</v>
      </c>
      <c r="H4" s="109">
        <v>3</v>
      </c>
      <c r="K4" s="151" t="s">
        <v>733</v>
      </c>
      <c r="L4" s="109" t="s">
        <v>760</v>
      </c>
      <c r="M4" s="109" t="s">
        <v>769</v>
      </c>
      <c r="N4" s="109" t="s">
        <v>761</v>
      </c>
      <c r="O4" s="109" t="s">
        <v>763</v>
      </c>
      <c r="P4" s="109" t="s">
        <v>443</v>
      </c>
      <c r="S4" s="152" t="s">
        <v>739</v>
      </c>
      <c r="T4" s="109">
        <v>3</v>
      </c>
      <c r="V4" s="152" t="s">
        <v>779</v>
      </c>
      <c r="W4" s="109">
        <v>49000</v>
      </c>
      <c r="Y4" s="152" t="s">
        <v>778</v>
      </c>
      <c r="Z4" s="109">
        <v>7000</v>
      </c>
      <c r="AB4" s="152" t="s">
        <v>47</v>
      </c>
      <c r="AC4" s="109">
        <v>10</v>
      </c>
      <c r="AD4" s="109">
        <v>148750</v>
      </c>
      <c r="AE4"/>
      <c r="AF4" s="152" t="s">
        <v>785</v>
      </c>
      <c r="AG4" s="109">
        <v>19</v>
      </c>
      <c r="AH4"/>
      <c r="AI4"/>
      <c r="AJ4" s="152" t="s">
        <v>739</v>
      </c>
      <c r="AK4" s="109">
        <v>55125</v>
      </c>
      <c r="AL4" s="109">
        <v>55125</v>
      </c>
      <c r="AM4" s="154">
        <v>3.5476968127041333E-2</v>
      </c>
      <c r="AO4" s="154"/>
      <c r="AP4"/>
      <c r="AQ4" s="152" t="s">
        <v>800</v>
      </c>
      <c r="AR4" s="109">
        <v>16</v>
      </c>
      <c r="AS4"/>
      <c r="AT4" s="152" t="s">
        <v>47</v>
      </c>
      <c r="AU4" s="109">
        <v>10</v>
      </c>
      <c r="AV4"/>
      <c r="AW4"/>
      <c r="AX4"/>
      <c r="AY4"/>
      <c r="AZ4"/>
    </row>
    <row r="5" spans="1:52" x14ac:dyDescent="0.3">
      <c r="A5" s="153" t="s">
        <v>47</v>
      </c>
      <c r="B5" s="109">
        <v>4</v>
      </c>
      <c r="C5" s="109">
        <v>65625</v>
      </c>
      <c r="D5" s="154">
        <v>4.2234485865525397E-2</v>
      </c>
      <c r="E5" s="154">
        <v>0.10359116022099447</v>
      </c>
      <c r="G5" s="152" t="s">
        <v>740</v>
      </c>
      <c r="H5" s="109">
        <v>3</v>
      </c>
      <c r="K5" s="152" t="s">
        <v>739</v>
      </c>
      <c r="L5" s="109">
        <v>2</v>
      </c>
      <c r="N5" s="109">
        <v>1</v>
      </c>
      <c r="P5" s="109">
        <v>3</v>
      </c>
      <c r="S5" s="152" t="s">
        <v>740</v>
      </c>
      <c r="T5" s="109">
        <v>3</v>
      </c>
      <c r="V5" s="152" t="s">
        <v>780</v>
      </c>
      <c r="W5" s="109">
        <v>24500</v>
      </c>
      <c r="Y5" s="152" t="s">
        <v>776</v>
      </c>
      <c r="Z5" s="109">
        <v>7000</v>
      </c>
      <c r="AB5" s="152" t="s">
        <v>19</v>
      </c>
      <c r="AC5" s="109">
        <v>16</v>
      </c>
      <c r="AD5" s="109">
        <v>241325</v>
      </c>
      <c r="AE5"/>
      <c r="AF5" s="152" t="s">
        <v>786</v>
      </c>
      <c r="AG5" s="109">
        <v>16</v>
      </c>
      <c r="AH5"/>
      <c r="AI5"/>
      <c r="AJ5" s="152" t="s">
        <v>740</v>
      </c>
      <c r="AK5" s="109">
        <v>57750</v>
      </c>
      <c r="AL5" s="109">
        <v>112875</v>
      </c>
      <c r="AM5" s="154">
        <v>7.2643315688703677E-2</v>
      </c>
      <c r="AN5" s="109">
        <v>2625</v>
      </c>
      <c r="AO5" s="154">
        <v>4.7619047619047616E-2</v>
      </c>
      <c r="AP5"/>
      <c r="AQ5" s="152" t="s">
        <v>801</v>
      </c>
      <c r="AR5" s="109">
        <v>25</v>
      </c>
      <c r="AS5"/>
      <c r="AT5" s="152" t="s">
        <v>19</v>
      </c>
      <c r="AU5" s="109">
        <v>16</v>
      </c>
      <c r="AV5"/>
      <c r="AW5"/>
      <c r="AX5"/>
      <c r="AY5"/>
      <c r="AZ5"/>
    </row>
    <row r="6" spans="1:52" x14ac:dyDescent="0.3">
      <c r="A6" s="153" t="s">
        <v>19</v>
      </c>
      <c r="B6" s="109">
        <v>7</v>
      </c>
      <c r="C6" s="109">
        <v>94325</v>
      </c>
      <c r="D6" s="154">
        <v>6.070503435071517E-2</v>
      </c>
      <c r="E6" s="154">
        <v>0.1488950276243094</v>
      </c>
      <c r="G6" s="153" t="s">
        <v>760</v>
      </c>
      <c r="H6" s="109">
        <v>1</v>
      </c>
      <c r="K6" s="152" t="s">
        <v>740</v>
      </c>
      <c r="L6" s="109">
        <v>1</v>
      </c>
      <c r="O6" s="109">
        <v>2</v>
      </c>
      <c r="P6" s="109">
        <v>3</v>
      </c>
      <c r="S6" s="152" t="s">
        <v>741</v>
      </c>
      <c r="T6" s="109">
        <v>2</v>
      </c>
      <c r="V6" s="152" t="s">
        <v>781</v>
      </c>
      <c r="W6" s="109">
        <v>24500</v>
      </c>
      <c r="Y6" s="152" t="s">
        <v>782</v>
      </c>
      <c r="Z6" s="109">
        <v>7000</v>
      </c>
      <c r="AB6" s="152" t="s">
        <v>16</v>
      </c>
      <c r="AC6" s="109">
        <v>1</v>
      </c>
      <c r="AD6" s="109">
        <v>49000</v>
      </c>
      <c r="AE6"/>
      <c r="AF6" s="152" t="s">
        <v>787</v>
      </c>
      <c r="AG6" s="109">
        <v>43</v>
      </c>
      <c r="AH6"/>
      <c r="AI6"/>
      <c r="AJ6" s="152" t="s">
        <v>741</v>
      </c>
      <c r="AK6" s="109">
        <v>37625</v>
      </c>
      <c r="AL6" s="109">
        <v>150500</v>
      </c>
      <c r="AM6" s="154">
        <v>9.6857754251604908E-2</v>
      </c>
      <c r="AN6" s="109">
        <v>-20125</v>
      </c>
      <c r="AO6" s="154">
        <v>-0.34848484848484851</v>
      </c>
      <c r="AP6"/>
      <c r="AQ6" s="152" t="s">
        <v>802</v>
      </c>
      <c r="AR6" s="109">
        <v>48</v>
      </c>
      <c r="AS6"/>
      <c r="AT6" s="152" t="s">
        <v>16</v>
      </c>
      <c r="AU6" s="109">
        <v>1</v>
      </c>
      <c r="AV6"/>
      <c r="AW6"/>
      <c r="AX6"/>
      <c r="AY6"/>
      <c r="AZ6"/>
    </row>
    <row r="7" spans="1:52" x14ac:dyDescent="0.3">
      <c r="A7" s="153" t="s">
        <v>13</v>
      </c>
      <c r="B7" s="109">
        <v>2</v>
      </c>
      <c r="C7" s="109">
        <v>49000</v>
      </c>
      <c r="D7" s="154">
        <v>3.1535082779592299E-2</v>
      </c>
      <c r="E7" s="154">
        <v>7.7348066298342538E-2</v>
      </c>
      <c r="G7" s="155" t="s">
        <v>643</v>
      </c>
      <c r="H7" s="109">
        <v>1</v>
      </c>
      <c r="K7" s="153" t="s">
        <v>643</v>
      </c>
      <c r="L7" s="109">
        <v>1</v>
      </c>
      <c r="P7" s="109">
        <v>1</v>
      </c>
      <c r="S7" s="152" t="s">
        <v>742</v>
      </c>
      <c r="T7" s="109">
        <v>6</v>
      </c>
      <c r="V7" s="152" t="s">
        <v>771</v>
      </c>
      <c r="W7" s="109">
        <v>24500</v>
      </c>
      <c r="Y7" s="152" t="s">
        <v>773</v>
      </c>
      <c r="Z7" s="109">
        <v>7000</v>
      </c>
      <c r="AB7" s="152" t="s">
        <v>13</v>
      </c>
      <c r="AC7" s="109">
        <v>7</v>
      </c>
      <c r="AD7" s="109">
        <v>126000</v>
      </c>
      <c r="AE7"/>
      <c r="AF7" s="152" t="s">
        <v>788</v>
      </c>
      <c r="AG7" s="109">
        <v>14</v>
      </c>
      <c r="AH7"/>
      <c r="AI7"/>
      <c r="AJ7" s="152" t="s">
        <v>742</v>
      </c>
      <c r="AK7" s="109">
        <v>124250</v>
      </c>
      <c r="AL7" s="109">
        <v>274750</v>
      </c>
      <c r="AM7" s="154">
        <v>0.17682171415699965</v>
      </c>
      <c r="AN7" s="109">
        <v>86625</v>
      </c>
      <c r="AO7" s="154">
        <v>2.3023255813953489</v>
      </c>
      <c r="AP7"/>
      <c r="AQ7" s="152" t="s">
        <v>803</v>
      </c>
      <c r="AR7" s="109">
        <v>10</v>
      </c>
      <c r="AS7"/>
      <c r="AT7" s="152" t="s">
        <v>13</v>
      </c>
      <c r="AU7" s="109">
        <v>7</v>
      </c>
      <c r="AV7"/>
      <c r="AW7"/>
      <c r="AX7"/>
      <c r="AY7"/>
      <c r="AZ7"/>
    </row>
    <row r="8" spans="1:52" x14ac:dyDescent="0.3">
      <c r="A8" s="153" t="s">
        <v>9</v>
      </c>
      <c r="B8" s="109">
        <v>6</v>
      </c>
      <c r="C8" s="109">
        <v>81200</v>
      </c>
      <c r="D8" s="154">
        <v>5.2258137177610089E-2</v>
      </c>
      <c r="E8" s="154">
        <v>0.1281767955801105</v>
      </c>
      <c r="G8" s="153" t="s">
        <v>763</v>
      </c>
      <c r="H8" s="109">
        <v>2</v>
      </c>
      <c r="K8" s="153" t="s">
        <v>764</v>
      </c>
      <c r="O8" s="109">
        <v>2</v>
      </c>
      <c r="P8" s="109">
        <v>2</v>
      </c>
      <c r="S8" s="152" t="s">
        <v>743</v>
      </c>
      <c r="T8" s="109">
        <v>3</v>
      </c>
      <c r="V8" s="152" t="s">
        <v>777</v>
      </c>
      <c r="W8" s="109">
        <v>22750</v>
      </c>
      <c r="Y8" s="152" t="s">
        <v>774</v>
      </c>
      <c r="Z8" s="109">
        <v>7000</v>
      </c>
      <c r="AB8" s="152" t="s">
        <v>9</v>
      </c>
      <c r="AC8" s="109">
        <v>18</v>
      </c>
      <c r="AD8" s="109">
        <v>240450</v>
      </c>
      <c r="AE8"/>
      <c r="AF8" s="152" t="s">
        <v>789</v>
      </c>
      <c r="AG8" s="109">
        <v>8</v>
      </c>
      <c r="AH8"/>
      <c r="AI8"/>
      <c r="AJ8" s="152" t="s">
        <v>743</v>
      </c>
      <c r="AK8" s="109">
        <v>52500</v>
      </c>
      <c r="AL8" s="109">
        <v>327250</v>
      </c>
      <c r="AM8" s="154">
        <v>0.21060930284941998</v>
      </c>
      <c r="AN8" s="109">
        <v>-71750</v>
      </c>
      <c r="AO8" s="154">
        <v>-0.57746478873239437</v>
      </c>
      <c r="AP8"/>
      <c r="AQ8" s="152" t="s">
        <v>804</v>
      </c>
      <c r="AR8" s="109">
        <v>1</v>
      </c>
      <c r="AS8"/>
      <c r="AT8" s="152" t="s">
        <v>9</v>
      </c>
      <c r="AU8" s="109">
        <v>18</v>
      </c>
      <c r="AV8"/>
      <c r="AW8"/>
      <c r="AX8"/>
      <c r="AY8"/>
      <c r="AZ8"/>
    </row>
    <row r="9" spans="1:52" x14ac:dyDescent="0.3">
      <c r="A9" s="153" t="s">
        <v>493</v>
      </c>
      <c r="B9" s="109">
        <v>5</v>
      </c>
      <c r="C9" s="109">
        <v>81375</v>
      </c>
      <c r="D9" s="154">
        <v>5.2370762473251495E-2</v>
      </c>
      <c r="E9" s="154">
        <v>0.12845303867403315</v>
      </c>
      <c r="G9" s="155" t="s">
        <v>764</v>
      </c>
      <c r="H9" s="109">
        <v>2</v>
      </c>
      <c r="K9" s="152" t="s">
        <v>741</v>
      </c>
      <c r="L9" s="109">
        <v>1</v>
      </c>
      <c r="M9" s="109">
        <v>1</v>
      </c>
      <c r="P9" s="109">
        <v>2</v>
      </c>
      <c r="S9" s="152" t="s">
        <v>744</v>
      </c>
      <c r="T9" s="109">
        <v>4</v>
      </c>
      <c r="V9" s="152" t="s">
        <v>783</v>
      </c>
      <c r="W9" s="109">
        <v>22750</v>
      </c>
      <c r="Y9" s="152" t="s">
        <v>772</v>
      </c>
      <c r="Z9" s="109">
        <v>5950</v>
      </c>
      <c r="AB9" s="152" t="s">
        <v>493</v>
      </c>
      <c r="AC9" s="109">
        <v>12</v>
      </c>
      <c r="AD9" s="109">
        <v>183925</v>
      </c>
      <c r="AE9"/>
      <c r="AF9" s="152" t="s">
        <v>443</v>
      </c>
      <c r="AG9" s="109">
        <v>100</v>
      </c>
      <c r="AH9"/>
      <c r="AI9"/>
      <c r="AJ9" s="152" t="s">
        <v>744</v>
      </c>
      <c r="AK9" s="109">
        <v>98000</v>
      </c>
      <c r="AL9" s="109">
        <v>425250</v>
      </c>
      <c r="AM9" s="154">
        <v>0.27367946840860458</v>
      </c>
      <c r="AN9" s="109">
        <v>45500</v>
      </c>
      <c r="AO9" s="154">
        <v>0.8666666666666667</v>
      </c>
      <c r="AP9"/>
      <c r="AQ9" s="152" t="s">
        <v>443</v>
      </c>
      <c r="AR9" s="109">
        <v>100</v>
      </c>
      <c r="AS9"/>
      <c r="AT9" s="152" t="s">
        <v>493</v>
      </c>
      <c r="AU9" s="109">
        <v>12</v>
      </c>
      <c r="AV9"/>
      <c r="AW9"/>
      <c r="AX9"/>
      <c r="AY9"/>
      <c r="AZ9"/>
    </row>
    <row r="10" spans="1:52" x14ac:dyDescent="0.3">
      <c r="A10" s="153" t="s">
        <v>27</v>
      </c>
      <c r="B10" s="109">
        <v>9</v>
      </c>
      <c r="C10" s="109">
        <v>137725</v>
      </c>
      <c r="D10" s="154">
        <v>8.8636107669782638E-2</v>
      </c>
      <c r="E10" s="154">
        <v>0.21740331491712708</v>
      </c>
      <c r="G10" s="152" t="s">
        <v>741</v>
      </c>
      <c r="H10" s="109">
        <v>2</v>
      </c>
      <c r="K10" s="153" t="s">
        <v>642</v>
      </c>
      <c r="L10" s="109">
        <v>1</v>
      </c>
      <c r="P10" s="109">
        <v>1</v>
      </c>
      <c r="S10" s="152" t="s">
        <v>745</v>
      </c>
      <c r="T10" s="109">
        <v>1</v>
      </c>
      <c r="V10" s="152" t="s">
        <v>775</v>
      </c>
      <c r="W10" s="109">
        <v>22750</v>
      </c>
      <c r="Y10" s="152" t="s">
        <v>443</v>
      </c>
      <c r="Z10" s="109">
        <v>40950</v>
      </c>
      <c r="AB10" s="152" t="s">
        <v>27</v>
      </c>
      <c r="AC10" s="109">
        <v>18</v>
      </c>
      <c r="AD10" s="109">
        <v>260050</v>
      </c>
      <c r="AE10"/>
      <c r="AF10"/>
      <c r="AG10"/>
      <c r="AH10"/>
      <c r="AI10"/>
      <c r="AJ10" s="152" t="s">
        <v>745</v>
      </c>
      <c r="AK10" s="109">
        <v>14875</v>
      </c>
      <c r="AL10" s="109">
        <v>440125</v>
      </c>
      <c r="AM10" s="154">
        <v>0.28325261853812367</v>
      </c>
      <c r="AN10" s="109">
        <v>-83125</v>
      </c>
      <c r="AO10" s="154">
        <v>-0.8482142857142857</v>
      </c>
      <c r="AP10"/>
      <c r="AQ10"/>
      <c r="AR10"/>
      <c r="AS10"/>
      <c r="AT10" s="152" t="s">
        <v>27</v>
      </c>
      <c r="AU10" s="109">
        <v>18</v>
      </c>
      <c r="AV10"/>
      <c r="AW10"/>
      <c r="AX10"/>
      <c r="AY10"/>
      <c r="AZ10"/>
    </row>
    <row r="11" spans="1:52" x14ac:dyDescent="0.3">
      <c r="A11" s="153" t="s">
        <v>24</v>
      </c>
      <c r="B11" s="109">
        <v>7</v>
      </c>
      <c r="C11" s="109">
        <v>124250</v>
      </c>
      <c r="D11" s="154">
        <v>7.9963959905394746E-2</v>
      </c>
      <c r="E11" s="154">
        <v>0.19613259668508287</v>
      </c>
      <c r="G11" s="153" t="s">
        <v>760</v>
      </c>
      <c r="H11" s="109">
        <v>1</v>
      </c>
      <c r="K11" s="153" t="s">
        <v>646</v>
      </c>
      <c r="M11" s="109">
        <v>1</v>
      </c>
      <c r="P11" s="109">
        <v>1</v>
      </c>
      <c r="S11" s="152" t="s">
        <v>746</v>
      </c>
      <c r="T11" s="109">
        <v>2</v>
      </c>
      <c r="V11" s="152" t="s">
        <v>443</v>
      </c>
      <c r="W11" s="109">
        <v>190750</v>
      </c>
      <c r="AB11" s="152" t="s">
        <v>24</v>
      </c>
      <c r="AC11" s="109">
        <v>18</v>
      </c>
      <c r="AD11" s="109">
        <v>304325</v>
      </c>
      <c r="AE11"/>
      <c r="AF11"/>
      <c r="AG11"/>
      <c r="AH11"/>
      <c r="AI11"/>
      <c r="AJ11" s="152" t="s">
        <v>746</v>
      </c>
      <c r="AK11" s="109">
        <v>26250</v>
      </c>
      <c r="AL11" s="109">
        <v>466375</v>
      </c>
      <c r="AM11" s="154">
        <v>0.3001464128843338</v>
      </c>
      <c r="AN11" s="109">
        <v>11375</v>
      </c>
      <c r="AO11" s="154">
        <v>0.76470588235294112</v>
      </c>
      <c r="AP11"/>
      <c r="AQ11"/>
      <c r="AR11"/>
      <c r="AS11"/>
      <c r="AT11" s="152" t="s">
        <v>24</v>
      </c>
      <c r="AU11" s="109">
        <v>18</v>
      </c>
      <c r="AV11"/>
      <c r="AW11"/>
      <c r="AX11"/>
      <c r="AY11"/>
      <c r="AZ11"/>
    </row>
    <row r="12" spans="1:52" x14ac:dyDescent="0.3">
      <c r="A12" s="152" t="s">
        <v>125</v>
      </c>
      <c r="B12" s="109">
        <v>20</v>
      </c>
      <c r="C12" s="109">
        <v>336000</v>
      </c>
      <c r="D12" s="154">
        <v>0.21624056763149002</v>
      </c>
      <c r="E12" s="154">
        <v>1</v>
      </c>
      <c r="G12" s="155" t="s">
        <v>642</v>
      </c>
      <c r="H12" s="109">
        <v>1</v>
      </c>
      <c r="K12" s="152" t="s">
        <v>742</v>
      </c>
      <c r="O12" s="109">
        <v>6</v>
      </c>
      <c r="P12" s="109">
        <v>6</v>
      </c>
      <c r="S12" s="152" t="s">
        <v>747</v>
      </c>
      <c r="T12" s="109">
        <v>4</v>
      </c>
      <c r="V12"/>
      <c r="W12"/>
      <c r="X12"/>
      <c r="Y12"/>
      <c r="Z12"/>
      <c r="AA12"/>
      <c r="AB12" s="152" t="s">
        <v>443</v>
      </c>
      <c r="AC12" s="109">
        <v>100</v>
      </c>
      <c r="AD12" s="109">
        <v>1553825</v>
      </c>
      <c r="AE12"/>
      <c r="AF12"/>
      <c r="AG12"/>
      <c r="AH12"/>
      <c r="AI12"/>
      <c r="AJ12" s="152" t="s">
        <v>747</v>
      </c>
      <c r="AK12" s="109">
        <v>77000</v>
      </c>
      <c r="AL12" s="109">
        <v>543375</v>
      </c>
      <c r="AM12" s="154">
        <v>0.34970154296655026</v>
      </c>
      <c r="AN12" s="109">
        <v>50750</v>
      </c>
      <c r="AO12" s="154">
        <v>1.9333333333333333</v>
      </c>
      <c r="AP12"/>
      <c r="AQ12"/>
      <c r="AR12"/>
      <c r="AS12"/>
      <c r="AT12" s="152" t="s">
        <v>443</v>
      </c>
      <c r="AU12" s="109">
        <v>100</v>
      </c>
      <c r="AV12"/>
      <c r="AW12"/>
      <c r="AX12"/>
      <c r="AY12"/>
      <c r="AZ12"/>
    </row>
    <row r="13" spans="1:52" x14ac:dyDescent="0.3">
      <c r="A13" s="153" t="s">
        <v>47</v>
      </c>
      <c r="B13" s="109">
        <v>2</v>
      </c>
      <c r="C13" s="109">
        <v>26250</v>
      </c>
      <c r="D13" s="154">
        <v>1.6893794346210158E-2</v>
      </c>
      <c r="E13" s="154">
        <v>7.8125E-2</v>
      </c>
      <c r="G13" s="153" t="s">
        <v>769</v>
      </c>
      <c r="H13" s="109">
        <v>1</v>
      </c>
      <c r="K13" s="153" t="s">
        <v>765</v>
      </c>
      <c r="O13" s="109">
        <v>6</v>
      </c>
      <c r="P13" s="109">
        <v>6</v>
      </c>
      <c r="S13" s="152" t="s">
        <v>748</v>
      </c>
      <c r="T13" s="109">
        <v>25</v>
      </c>
      <c r="V13"/>
      <c r="W13"/>
      <c r="X13"/>
      <c r="Y13"/>
      <c r="Z13"/>
      <c r="AA13"/>
      <c r="AB13"/>
      <c r="AC13"/>
      <c r="AD13"/>
      <c r="AE13"/>
      <c r="AF13"/>
      <c r="AG13"/>
      <c r="AH13"/>
      <c r="AI13"/>
      <c r="AJ13" s="152" t="s">
        <v>748</v>
      </c>
      <c r="AK13" s="109">
        <v>422975</v>
      </c>
      <c r="AL13" s="109">
        <v>966350</v>
      </c>
      <c r="AM13" s="154">
        <v>0.62191688253181665</v>
      </c>
      <c r="AN13" s="109">
        <v>345975</v>
      </c>
      <c r="AO13" s="154">
        <v>4.4931818181818182</v>
      </c>
      <c r="AP13"/>
      <c r="AQ13"/>
      <c r="AR13"/>
      <c r="AS13"/>
      <c r="AT13"/>
      <c r="AU13"/>
      <c r="AV13"/>
      <c r="AW13"/>
      <c r="AX13"/>
      <c r="AY13"/>
      <c r="AZ13"/>
    </row>
    <row r="14" spans="1:52" x14ac:dyDescent="0.3">
      <c r="A14" s="153" t="s">
        <v>19</v>
      </c>
      <c r="B14" s="109">
        <v>3</v>
      </c>
      <c r="C14" s="109">
        <v>49000</v>
      </c>
      <c r="D14" s="154">
        <v>3.1535082779592299E-2</v>
      </c>
      <c r="E14" s="154">
        <v>0.14583333333333334</v>
      </c>
      <c r="G14" s="155" t="s">
        <v>646</v>
      </c>
      <c r="H14" s="109">
        <v>1</v>
      </c>
      <c r="K14" s="152" t="s">
        <v>743</v>
      </c>
      <c r="L14" s="109">
        <v>3</v>
      </c>
      <c r="P14" s="109">
        <v>3</v>
      </c>
      <c r="S14" s="152" t="s">
        <v>749</v>
      </c>
      <c r="T14" s="109">
        <v>9</v>
      </c>
      <c r="AB14"/>
      <c r="AC14"/>
      <c r="AD14"/>
      <c r="AE14"/>
      <c r="AF14"/>
      <c r="AG14"/>
      <c r="AH14"/>
      <c r="AI14"/>
      <c r="AJ14" s="152" t="s">
        <v>749</v>
      </c>
      <c r="AK14" s="109">
        <v>154700</v>
      </c>
      <c r="AL14" s="109">
        <v>1121050</v>
      </c>
      <c r="AM14" s="154">
        <v>0.72147764387881519</v>
      </c>
      <c r="AN14" s="109">
        <v>-268275</v>
      </c>
      <c r="AO14" s="154">
        <v>-0.63425734381464627</v>
      </c>
      <c r="AP14"/>
      <c r="AQ14"/>
      <c r="AR14"/>
      <c r="AS14"/>
      <c r="AT14"/>
      <c r="AU14"/>
      <c r="AV14"/>
      <c r="AW14"/>
      <c r="AX14"/>
      <c r="AY14"/>
      <c r="AZ14"/>
    </row>
    <row r="15" spans="1:52" x14ac:dyDescent="0.3">
      <c r="A15" s="153" t="s">
        <v>16</v>
      </c>
      <c r="B15" s="109">
        <v>1</v>
      </c>
      <c r="C15" s="109">
        <v>49000</v>
      </c>
      <c r="D15" s="154">
        <v>3.1535082779592299E-2</v>
      </c>
      <c r="E15" s="154">
        <v>0.14583333333333334</v>
      </c>
      <c r="G15" s="152" t="s">
        <v>742</v>
      </c>
      <c r="H15" s="109">
        <v>6</v>
      </c>
      <c r="K15" s="153" t="s">
        <v>644</v>
      </c>
      <c r="L15" s="109">
        <v>3</v>
      </c>
      <c r="P15" s="109">
        <v>3</v>
      </c>
      <c r="S15" s="152" t="s">
        <v>750</v>
      </c>
      <c r="T15" s="109">
        <v>3</v>
      </c>
      <c r="AB15"/>
      <c r="AC15"/>
      <c r="AD15"/>
      <c r="AE15"/>
      <c r="AF15"/>
      <c r="AG15"/>
      <c r="AH15"/>
      <c r="AI15"/>
      <c r="AJ15" s="152" t="s">
        <v>750</v>
      </c>
      <c r="AK15" s="109">
        <v>45150</v>
      </c>
      <c r="AL15" s="109">
        <v>1166200</v>
      </c>
      <c r="AM15" s="154">
        <v>0.75053497015429671</v>
      </c>
      <c r="AN15" s="109">
        <v>-109550</v>
      </c>
      <c r="AO15" s="154">
        <v>-0.70814479638009054</v>
      </c>
      <c r="AP15"/>
      <c r="AQ15"/>
      <c r="AR15"/>
      <c r="AS15"/>
      <c r="AT15"/>
      <c r="AU15"/>
      <c r="AV15"/>
      <c r="AW15"/>
      <c r="AX15"/>
      <c r="AY15"/>
      <c r="AZ15"/>
    </row>
    <row r="16" spans="1:52" x14ac:dyDescent="0.3">
      <c r="A16" s="153" t="s">
        <v>13</v>
      </c>
      <c r="B16" s="109">
        <v>2</v>
      </c>
      <c r="C16" s="109">
        <v>32375</v>
      </c>
      <c r="D16" s="154">
        <v>2.0835679693659195E-2</v>
      </c>
      <c r="E16" s="154">
        <v>9.6354166666666671E-2</v>
      </c>
      <c r="G16" s="153" t="s">
        <v>763</v>
      </c>
      <c r="H16" s="109">
        <v>6</v>
      </c>
      <c r="K16" s="152" t="s">
        <v>744</v>
      </c>
      <c r="O16" s="109">
        <v>4</v>
      </c>
      <c r="P16" s="109">
        <v>4</v>
      </c>
      <c r="S16" s="152" t="s">
        <v>751</v>
      </c>
      <c r="T16" s="109">
        <v>4</v>
      </c>
      <c r="AB16"/>
      <c r="AC16"/>
      <c r="AD16"/>
      <c r="AE16"/>
      <c r="AF16"/>
      <c r="AG16"/>
      <c r="AH16"/>
      <c r="AI16"/>
      <c r="AJ16" s="152" t="s">
        <v>751</v>
      </c>
      <c r="AK16" s="109">
        <v>48300</v>
      </c>
      <c r="AL16" s="109">
        <v>1214500</v>
      </c>
      <c r="AM16" s="154">
        <v>0.78161955175132336</v>
      </c>
      <c r="AN16" s="109">
        <v>3150</v>
      </c>
      <c r="AO16" s="154">
        <v>6.9767441860465115E-2</v>
      </c>
      <c r="AP16"/>
      <c r="AQ16"/>
      <c r="AR16"/>
      <c r="AS16"/>
      <c r="AT16"/>
      <c r="AU16"/>
      <c r="AV16"/>
      <c r="AW16"/>
      <c r="AX16"/>
      <c r="AY16"/>
      <c r="AZ16"/>
    </row>
    <row r="17" spans="1:52" x14ac:dyDescent="0.3">
      <c r="A17" s="153" t="s">
        <v>9</v>
      </c>
      <c r="B17" s="109">
        <v>4</v>
      </c>
      <c r="C17" s="109">
        <v>63350</v>
      </c>
      <c r="D17" s="154">
        <v>4.0770357022187183E-2</v>
      </c>
      <c r="E17" s="154">
        <v>0.18854166666666666</v>
      </c>
      <c r="G17" s="155" t="s">
        <v>765</v>
      </c>
      <c r="H17" s="109">
        <v>6</v>
      </c>
      <c r="K17" s="153" t="s">
        <v>766</v>
      </c>
      <c r="O17" s="109">
        <v>4</v>
      </c>
      <c r="P17" s="109">
        <v>4</v>
      </c>
      <c r="S17" s="152" t="s">
        <v>752</v>
      </c>
      <c r="T17" s="109">
        <v>3</v>
      </c>
      <c r="AB17"/>
      <c r="AC17"/>
      <c r="AD17"/>
      <c r="AE17"/>
      <c r="AF17"/>
      <c r="AG17"/>
      <c r="AH17"/>
      <c r="AI17"/>
      <c r="AJ17" s="152" t="s">
        <v>752</v>
      </c>
      <c r="AK17" s="109">
        <v>37275</v>
      </c>
      <c r="AL17" s="109">
        <v>1251775</v>
      </c>
      <c r="AM17" s="154">
        <v>0.80560873972294178</v>
      </c>
      <c r="AN17" s="109">
        <v>-11025</v>
      </c>
      <c r="AO17" s="154">
        <v>-0.22826086956521738</v>
      </c>
      <c r="AP17"/>
      <c r="AQ17"/>
      <c r="AR17"/>
      <c r="AS17"/>
      <c r="AT17"/>
      <c r="AU17"/>
      <c r="AV17"/>
      <c r="AW17"/>
      <c r="AX17"/>
      <c r="AY17"/>
      <c r="AZ17"/>
    </row>
    <row r="18" spans="1:52" x14ac:dyDescent="0.3">
      <c r="A18" s="153" t="s">
        <v>493</v>
      </c>
      <c r="B18" s="109">
        <v>1</v>
      </c>
      <c r="C18" s="109">
        <v>17500</v>
      </c>
      <c r="D18" s="154">
        <v>1.1262529564140106E-2</v>
      </c>
      <c r="E18" s="154">
        <v>5.2083333333333336E-2</v>
      </c>
      <c r="G18" s="152" t="s">
        <v>743</v>
      </c>
      <c r="H18" s="109">
        <v>3</v>
      </c>
      <c r="K18" s="152" t="s">
        <v>745</v>
      </c>
      <c r="O18" s="109">
        <v>1</v>
      </c>
      <c r="P18" s="109">
        <v>1</v>
      </c>
      <c r="S18" s="152" t="s">
        <v>753</v>
      </c>
      <c r="T18" s="109">
        <v>1</v>
      </c>
      <c r="AB18"/>
      <c r="AC18"/>
      <c r="AD18"/>
      <c r="AE18"/>
      <c r="AF18"/>
      <c r="AG18"/>
      <c r="AH18"/>
      <c r="AI18"/>
      <c r="AJ18" s="152" t="s">
        <v>753</v>
      </c>
      <c r="AK18" s="109">
        <v>14875</v>
      </c>
      <c r="AL18" s="109">
        <v>1266650</v>
      </c>
      <c r="AM18" s="154">
        <v>0.81518188985246087</v>
      </c>
      <c r="AN18" s="109">
        <v>-22400</v>
      </c>
      <c r="AO18" s="154">
        <v>-0.60093896713615025</v>
      </c>
      <c r="AP18"/>
      <c r="AQ18"/>
      <c r="AR18"/>
      <c r="AS18"/>
      <c r="AT18"/>
      <c r="AU18"/>
      <c r="AV18"/>
      <c r="AW18"/>
      <c r="AX18"/>
      <c r="AY18"/>
      <c r="AZ18"/>
    </row>
    <row r="19" spans="1:52" x14ac:dyDescent="0.3">
      <c r="A19" s="153" t="s">
        <v>27</v>
      </c>
      <c r="B19" s="109">
        <v>3</v>
      </c>
      <c r="C19" s="109">
        <v>42700</v>
      </c>
      <c r="D19" s="154">
        <v>2.7480572136501857E-2</v>
      </c>
      <c r="E19" s="154">
        <v>0.12708333333333333</v>
      </c>
      <c r="G19" s="153" t="s">
        <v>760</v>
      </c>
      <c r="H19" s="109">
        <v>3</v>
      </c>
      <c r="K19" s="153" t="s">
        <v>766</v>
      </c>
      <c r="O19" s="109">
        <v>1</v>
      </c>
      <c r="P19" s="109">
        <v>1</v>
      </c>
      <c r="S19" s="152" t="s">
        <v>754</v>
      </c>
      <c r="T19" s="109">
        <v>1</v>
      </c>
      <c r="AB19"/>
      <c r="AC19"/>
      <c r="AD19"/>
      <c r="AE19"/>
      <c r="AF19"/>
      <c r="AG19"/>
      <c r="AH19"/>
      <c r="AI19"/>
      <c r="AJ19" s="152" t="s">
        <v>754</v>
      </c>
      <c r="AK19" s="109">
        <v>11725</v>
      </c>
      <c r="AL19" s="109">
        <v>1278375</v>
      </c>
      <c r="AM19" s="154">
        <v>0.82272778466043472</v>
      </c>
      <c r="AN19" s="109">
        <v>-3150</v>
      </c>
      <c r="AO19" s="154">
        <v>-0.21176470588235294</v>
      </c>
      <c r="AP19"/>
      <c r="AQ19"/>
      <c r="AR19"/>
      <c r="AS19"/>
      <c r="AT19"/>
      <c r="AU19"/>
      <c r="AV19"/>
      <c r="AW19"/>
      <c r="AX19"/>
      <c r="AY19"/>
      <c r="AZ19"/>
    </row>
    <row r="20" spans="1:52" x14ac:dyDescent="0.3">
      <c r="A20" s="153" t="s">
        <v>24</v>
      </c>
      <c r="B20" s="109">
        <v>4</v>
      </c>
      <c r="C20" s="109">
        <v>55825</v>
      </c>
      <c r="D20" s="154">
        <v>3.5927469309606941E-2</v>
      </c>
      <c r="E20" s="154">
        <v>0.16614583333333333</v>
      </c>
      <c r="G20" s="155" t="s">
        <v>644</v>
      </c>
      <c r="H20" s="109">
        <v>3</v>
      </c>
      <c r="K20" s="152" t="s">
        <v>746</v>
      </c>
      <c r="N20" s="109">
        <v>1</v>
      </c>
      <c r="O20" s="109">
        <v>1</v>
      </c>
      <c r="P20" s="109">
        <v>2</v>
      </c>
      <c r="S20" s="152" t="s">
        <v>755</v>
      </c>
      <c r="T20" s="109">
        <v>7</v>
      </c>
      <c r="AB20"/>
      <c r="AC20"/>
      <c r="AD20"/>
      <c r="AE20"/>
      <c r="AF20"/>
      <c r="AG20"/>
      <c r="AH20"/>
      <c r="AI20"/>
      <c r="AJ20" s="152" t="s">
        <v>755</v>
      </c>
      <c r="AK20" s="109">
        <v>98000</v>
      </c>
      <c r="AL20" s="109">
        <v>1376375</v>
      </c>
      <c r="AM20" s="154">
        <v>0.88579795021961938</v>
      </c>
      <c r="AN20" s="109">
        <v>86275</v>
      </c>
      <c r="AO20" s="154">
        <v>7.3582089552238807</v>
      </c>
      <c r="AP20"/>
      <c r="AQ20"/>
      <c r="AR20"/>
      <c r="AS20"/>
      <c r="AT20"/>
      <c r="AU20"/>
      <c r="AV20"/>
      <c r="AW20"/>
      <c r="AX20"/>
      <c r="AY20"/>
      <c r="AZ20"/>
    </row>
    <row r="21" spans="1:52" x14ac:dyDescent="0.3">
      <c r="A21" s="152" t="s">
        <v>10</v>
      </c>
      <c r="B21" s="109">
        <v>20</v>
      </c>
      <c r="C21" s="109">
        <v>307125</v>
      </c>
      <c r="D21" s="154">
        <v>0.19765739385065886</v>
      </c>
      <c r="E21" s="154">
        <v>1</v>
      </c>
      <c r="G21" s="152" t="s">
        <v>744</v>
      </c>
      <c r="H21" s="109">
        <v>4</v>
      </c>
      <c r="K21" s="153" t="s">
        <v>767</v>
      </c>
      <c r="N21" s="109">
        <v>1</v>
      </c>
      <c r="P21" s="109">
        <v>1</v>
      </c>
      <c r="S21" s="152" t="s">
        <v>756</v>
      </c>
      <c r="T21" s="109">
        <v>1</v>
      </c>
      <c r="AB21"/>
      <c r="AC21"/>
      <c r="AD21"/>
      <c r="AE21"/>
      <c r="AF21"/>
      <c r="AG21"/>
      <c r="AH21"/>
      <c r="AI21"/>
      <c r="AJ21" s="152" t="s">
        <v>756</v>
      </c>
      <c r="AK21" s="109">
        <v>9625</v>
      </c>
      <c r="AL21" s="109">
        <v>1386000</v>
      </c>
      <c r="AM21" s="154">
        <v>0.89199234147989637</v>
      </c>
      <c r="AN21" s="109">
        <v>-88375</v>
      </c>
      <c r="AO21" s="154">
        <v>-0.9017857142857143</v>
      </c>
      <c r="AP21"/>
      <c r="AQ21"/>
      <c r="AR21"/>
      <c r="AS21"/>
      <c r="AT21"/>
      <c r="AU21"/>
      <c r="AV21"/>
      <c r="AW21"/>
      <c r="AX21"/>
      <c r="AY21"/>
      <c r="AZ21"/>
    </row>
    <row r="22" spans="1:52" x14ac:dyDescent="0.3">
      <c r="A22" s="153" t="s">
        <v>47</v>
      </c>
      <c r="B22" s="109">
        <v>3</v>
      </c>
      <c r="C22" s="109">
        <v>41125</v>
      </c>
      <c r="D22" s="154">
        <v>2.646694447572925E-2</v>
      </c>
      <c r="E22" s="154">
        <v>0.13390313390313391</v>
      </c>
      <c r="G22" s="153" t="s">
        <v>763</v>
      </c>
      <c r="H22" s="109">
        <v>4</v>
      </c>
      <c r="K22" s="153" t="s">
        <v>764</v>
      </c>
      <c r="O22" s="109">
        <v>1</v>
      </c>
      <c r="P22" s="109">
        <v>1</v>
      </c>
      <c r="S22" s="152" t="s">
        <v>757</v>
      </c>
      <c r="T22" s="109">
        <v>5</v>
      </c>
      <c r="V22"/>
      <c r="W22"/>
      <c r="X22"/>
      <c r="Y22"/>
      <c r="Z22"/>
      <c r="AA22"/>
      <c r="AB22"/>
      <c r="AC22"/>
      <c r="AD22"/>
      <c r="AE22"/>
      <c r="AF22"/>
      <c r="AG22"/>
      <c r="AH22"/>
      <c r="AI22"/>
      <c r="AJ22" s="152" t="s">
        <v>757</v>
      </c>
      <c r="AK22" s="109">
        <v>44625</v>
      </c>
      <c r="AL22" s="109">
        <v>1430625</v>
      </c>
      <c r="AM22" s="154">
        <v>0.92071179186845364</v>
      </c>
      <c r="AN22" s="109">
        <v>35000</v>
      </c>
      <c r="AO22" s="154">
        <v>3.6363636363636362</v>
      </c>
      <c r="AP22"/>
      <c r="AQ22"/>
      <c r="AR22"/>
      <c r="AS22"/>
      <c r="AT22"/>
      <c r="AU22"/>
      <c r="AV22"/>
      <c r="AW22"/>
      <c r="AX22"/>
      <c r="AY22"/>
      <c r="AZ22"/>
    </row>
    <row r="23" spans="1:52" x14ac:dyDescent="0.3">
      <c r="A23" s="153" t="s">
        <v>19</v>
      </c>
      <c r="B23" s="109">
        <v>3</v>
      </c>
      <c r="C23" s="109">
        <v>49000</v>
      </c>
      <c r="D23" s="154">
        <v>3.1535082779592299E-2</v>
      </c>
      <c r="E23" s="154">
        <v>0.15954415954415954</v>
      </c>
      <c r="G23" s="155" t="s">
        <v>766</v>
      </c>
      <c r="H23" s="109">
        <v>4</v>
      </c>
      <c r="K23" s="152" t="s">
        <v>747</v>
      </c>
      <c r="L23" s="109">
        <v>1</v>
      </c>
      <c r="O23" s="109">
        <v>3</v>
      </c>
      <c r="P23" s="109">
        <v>4</v>
      </c>
      <c r="S23" s="152" t="s">
        <v>758</v>
      </c>
      <c r="T23" s="109">
        <v>3</v>
      </c>
      <c r="V23"/>
      <c r="W23"/>
      <c r="X23"/>
      <c r="Y23"/>
      <c r="Z23"/>
      <c r="AA23"/>
      <c r="AB23"/>
      <c r="AC23"/>
      <c r="AD23"/>
      <c r="AE23"/>
      <c r="AF23"/>
      <c r="AG23"/>
      <c r="AH23"/>
      <c r="AI23"/>
      <c r="AJ23" s="152" t="s">
        <v>758</v>
      </c>
      <c r="AK23" s="109">
        <v>42000</v>
      </c>
      <c r="AL23" s="109">
        <v>1472625</v>
      </c>
      <c r="AM23" s="154">
        <v>0.94774186282238992</v>
      </c>
      <c r="AN23" s="109">
        <v>-2625</v>
      </c>
      <c r="AO23" s="154">
        <v>-5.8823529411764705E-2</v>
      </c>
      <c r="AP23"/>
      <c r="AQ23"/>
      <c r="AR23"/>
      <c r="AS23"/>
      <c r="AT23"/>
      <c r="AU23"/>
      <c r="AV23"/>
      <c r="AW23"/>
      <c r="AX23"/>
      <c r="AY23"/>
      <c r="AZ23"/>
    </row>
    <row r="24" spans="1:52" x14ac:dyDescent="0.3">
      <c r="A24" s="153" t="s">
        <v>13</v>
      </c>
      <c r="B24" s="109">
        <v>1</v>
      </c>
      <c r="C24" s="109">
        <v>19250</v>
      </c>
      <c r="D24" s="154">
        <v>1.2388782520554116E-2</v>
      </c>
      <c r="E24" s="154">
        <v>6.2678062678062682E-2</v>
      </c>
      <c r="G24" s="152" t="s">
        <v>745</v>
      </c>
      <c r="H24" s="109">
        <v>1</v>
      </c>
      <c r="K24" s="153" t="s">
        <v>642</v>
      </c>
      <c r="L24" s="109">
        <v>1</v>
      </c>
      <c r="P24" s="109">
        <v>1</v>
      </c>
      <c r="S24" s="152" t="s">
        <v>759</v>
      </c>
      <c r="T24" s="109">
        <v>10</v>
      </c>
      <c r="V24"/>
      <c r="W24"/>
      <c r="X24"/>
      <c r="Y24"/>
      <c r="Z24"/>
      <c r="AA24"/>
      <c r="AB24"/>
      <c r="AC24"/>
      <c r="AD24"/>
      <c r="AE24"/>
      <c r="AF24"/>
      <c r="AG24"/>
      <c r="AH24"/>
      <c r="AI24"/>
      <c r="AJ24" s="152" t="s">
        <v>759</v>
      </c>
      <c r="AK24" s="109">
        <v>81200</v>
      </c>
      <c r="AL24" s="109">
        <v>1553825</v>
      </c>
      <c r="AM24" s="154">
        <v>1</v>
      </c>
      <c r="AN24" s="109">
        <v>39200</v>
      </c>
      <c r="AO24" s="154">
        <v>0.93333333333333335</v>
      </c>
      <c r="AP24"/>
      <c r="AQ24"/>
      <c r="AR24"/>
      <c r="AS24"/>
      <c r="AT24"/>
      <c r="AU24"/>
      <c r="AV24"/>
      <c r="AW24"/>
      <c r="AX24"/>
      <c r="AY24"/>
      <c r="AZ24"/>
    </row>
    <row r="25" spans="1:52" x14ac:dyDescent="0.3">
      <c r="A25" s="153" t="s">
        <v>9</v>
      </c>
      <c r="B25" s="109">
        <v>4</v>
      </c>
      <c r="C25" s="109">
        <v>54950</v>
      </c>
      <c r="D25" s="154">
        <v>3.5364342831399935E-2</v>
      </c>
      <c r="E25" s="154">
        <v>0.17891737891737891</v>
      </c>
      <c r="G25" s="153" t="s">
        <v>763</v>
      </c>
      <c r="H25" s="109">
        <v>1</v>
      </c>
      <c r="K25" s="153" t="s">
        <v>764</v>
      </c>
      <c r="O25" s="109">
        <v>3</v>
      </c>
      <c r="P25" s="109">
        <v>3</v>
      </c>
      <c r="S25" s="152" t="s">
        <v>443</v>
      </c>
      <c r="T25" s="109">
        <v>100</v>
      </c>
      <c r="V25"/>
      <c r="W25"/>
      <c r="X25"/>
      <c r="Y25"/>
      <c r="Z25"/>
      <c r="AA25"/>
      <c r="AB25"/>
      <c r="AC25"/>
      <c r="AD25"/>
      <c r="AE25"/>
      <c r="AF25"/>
      <c r="AG25"/>
      <c r="AH25"/>
      <c r="AI25"/>
      <c r="AJ25" s="152" t="s">
        <v>443</v>
      </c>
      <c r="AK25" s="109">
        <v>1553825</v>
      </c>
      <c r="AM25" s="154"/>
      <c r="AO25" s="154"/>
      <c r="AP25"/>
      <c r="AQ25"/>
      <c r="AR25"/>
      <c r="AS25"/>
      <c r="AT25"/>
      <c r="AU25"/>
      <c r="AV25"/>
      <c r="AW25"/>
      <c r="AX25"/>
      <c r="AY25"/>
      <c r="AZ25"/>
    </row>
    <row r="26" spans="1:52" x14ac:dyDescent="0.3">
      <c r="A26" s="153" t="s">
        <v>493</v>
      </c>
      <c r="B26" s="109">
        <v>2</v>
      </c>
      <c r="C26" s="109">
        <v>28000</v>
      </c>
      <c r="D26" s="154">
        <v>1.802004730262417E-2</v>
      </c>
      <c r="E26" s="154">
        <v>9.1168091168091173E-2</v>
      </c>
      <c r="G26" s="155" t="s">
        <v>766</v>
      </c>
      <c r="H26" s="109">
        <v>1</v>
      </c>
      <c r="K26" s="152" t="s">
        <v>748</v>
      </c>
      <c r="L26" s="109">
        <v>1</v>
      </c>
      <c r="N26" s="109">
        <v>1</v>
      </c>
      <c r="O26" s="109">
        <v>23</v>
      </c>
      <c r="P26" s="109">
        <v>25</v>
      </c>
      <c r="S26"/>
      <c r="T26"/>
      <c r="V26"/>
      <c r="W26"/>
      <c r="X26"/>
      <c r="Y26"/>
      <c r="Z26"/>
      <c r="AA26"/>
      <c r="AB26"/>
      <c r="AC26"/>
      <c r="AD26"/>
      <c r="AE26"/>
      <c r="AF26"/>
      <c r="AG26"/>
      <c r="AH26"/>
      <c r="AI26"/>
      <c r="AJ26"/>
      <c r="AK26"/>
      <c r="AL26"/>
      <c r="AM26"/>
      <c r="AN26"/>
      <c r="AO26"/>
      <c r="AP26"/>
      <c r="AQ26"/>
      <c r="AR26"/>
      <c r="AS26"/>
      <c r="AT26"/>
      <c r="AU26"/>
      <c r="AV26"/>
      <c r="AW26"/>
      <c r="AX26"/>
      <c r="AY26"/>
      <c r="AZ26"/>
    </row>
    <row r="27" spans="1:52" x14ac:dyDescent="0.3">
      <c r="A27" s="153" t="s">
        <v>27</v>
      </c>
      <c r="B27" s="109">
        <v>3</v>
      </c>
      <c r="C27" s="109">
        <v>37800</v>
      </c>
      <c r="D27" s="154">
        <v>2.4327063858542629E-2</v>
      </c>
      <c r="E27" s="154">
        <v>0.12307692307692308</v>
      </c>
      <c r="G27" s="152" t="s">
        <v>746</v>
      </c>
      <c r="H27" s="109">
        <v>2</v>
      </c>
      <c r="K27" s="153" t="s">
        <v>643</v>
      </c>
      <c r="L27" s="109">
        <v>1</v>
      </c>
      <c r="P27" s="109">
        <v>1</v>
      </c>
      <c r="S27"/>
      <c r="T27"/>
      <c r="V27"/>
      <c r="W27"/>
      <c r="X27"/>
      <c r="Y27"/>
      <c r="Z27"/>
      <c r="AA27"/>
      <c r="AB27"/>
      <c r="AC27"/>
      <c r="AD27"/>
      <c r="AE27"/>
      <c r="AF27"/>
      <c r="AG27"/>
      <c r="AH27"/>
      <c r="AI27"/>
      <c r="AJ27"/>
      <c r="AK27"/>
      <c r="AL27"/>
      <c r="AM27"/>
      <c r="AN27"/>
      <c r="AO27"/>
      <c r="AP27"/>
      <c r="AQ27"/>
      <c r="AR27"/>
      <c r="AS27"/>
      <c r="AT27"/>
      <c r="AU27"/>
      <c r="AV27"/>
      <c r="AW27"/>
      <c r="AX27"/>
      <c r="AY27"/>
      <c r="AZ27"/>
    </row>
    <row r="28" spans="1:52" x14ac:dyDescent="0.3">
      <c r="A28" s="153" t="s">
        <v>24</v>
      </c>
      <c r="B28" s="109">
        <v>4</v>
      </c>
      <c r="C28" s="109">
        <v>77000</v>
      </c>
      <c r="D28" s="154">
        <v>4.9555130082216466E-2</v>
      </c>
      <c r="E28" s="154">
        <v>0.25071225071225073</v>
      </c>
      <c r="G28" s="153" t="s">
        <v>761</v>
      </c>
      <c r="H28" s="109">
        <v>1</v>
      </c>
      <c r="K28" s="153" t="s">
        <v>768</v>
      </c>
      <c r="N28" s="109">
        <v>1</v>
      </c>
      <c r="P28" s="109">
        <v>1</v>
      </c>
      <c r="S28"/>
      <c r="T28"/>
      <c r="V28"/>
      <c r="W28"/>
      <c r="X28"/>
      <c r="Y28"/>
      <c r="Z28"/>
      <c r="AA28"/>
      <c r="AB28"/>
      <c r="AC28"/>
      <c r="AD28"/>
      <c r="AE28"/>
      <c r="AF28"/>
      <c r="AG28"/>
      <c r="AH28"/>
      <c r="AI28"/>
      <c r="AJ28"/>
      <c r="AK28"/>
      <c r="AL28"/>
      <c r="AM28"/>
      <c r="AN28"/>
      <c r="AO28"/>
      <c r="AP28"/>
      <c r="AQ28"/>
      <c r="AR28"/>
      <c r="AS28"/>
      <c r="AT28"/>
      <c r="AU28"/>
      <c r="AV28"/>
      <c r="AW28"/>
      <c r="AX28"/>
      <c r="AY28"/>
      <c r="AZ28"/>
    </row>
    <row r="29" spans="1:52" x14ac:dyDescent="0.3">
      <c r="A29" s="152" t="s">
        <v>161</v>
      </c>
      <c r="B29" s="109">
        <v>20</v>
      </c>
      <c r="C29" s="109">
        <v>277200</v>
      </c>
      <c r="D29" s="154">
        <v>0.17839846829597927</v>
      </c>
      <c r="E29" s="154">
        <v>1</v>
      </c>
      <c r="G29" s="155" t="s">
        <v>767</v>
      </c>
      <c r="H29" s="109">
        <v>1</v>
      </c>
      <c r="K29" s="153" t="s">
        <v>765</v>
      </c>
      <c r="O29" s="109">
        <v>22</v>
      </c>
      <c r="P29" s="109">
        <v>22</v>
      </c>
      <c r="S29"/>
      <c r="T29"/>
      <c r="V29"/>
      <c r="W29"/>
      <c r="X29"/>
      <c r="Y29"/>
      <c r="Z29"/>
      <c r="AA29"/>
      <c r="AB29"/>
      <c r="AC29"/>
      <c r="AD29"/>
      <c r="AE29"/>
      <c r="AF29"/>
      <c r="AG29"/>
      <c r="AH29"/>
      <c r="AI29"/>
      <c r="AJ29"/>
      <c r="AK29"/>
      <c r="AL29"/>
      <c r="AM29"/>
      <c r="AN29"/>
      <c r="AO29"/>
      <c r="AP29"/>
      <c r="AQ29"/>
      <c r="AR29"/>
      <c r="AS29"/>
      <c r="AT29"/>
      <c r="AU29"/>
      <c r="AV29"/>
      <c r="AW29"/>
      <c r="AX29"/>
      <c r="AY29"/>
      <c r="AZ29"/>
    </row>
    <row r="30" spans="1:52" x14ac:dyDescent="0.3">
      <c r="A30" s="153" t="s">
        <v>47</v>
      </c>
      <c r="B30" s="109">
        <v>1</v>
      </c>
      <c r="C30" s="109">
        <v>15750</v>
      </c>
      <c r="D30" s="154">
        <v>1.0136276607726095E-2</v>
      </c>
      <c r="E30" s="154">
        <v>5.6818181818181816E-2</v>
      </c>
      <c r="G30" s="153" t="s">
        <v>763</v>
      </c>
      <c r="H30" s="109">
        <v>1</v>
      </c>
      <c r="K30" s="153" t="s">
        <v>764</v>
      </c>
      <c r="O30" s="109">
        <v>1</v>
      </c>
      <c r="P30" s="109">
        <v>1</v>
      </c>
      <c r="S30"/>
      <c r="T30"/>
      <c r="V30"/>
      <c r="W30"/>
      <c r="X30"/>
      <c r="Y30"/>
      <c r="Z30"/>
      <c r="AA30"/>
      <c r="AB30"/>
      <c r="AC30"/>
      <c r="AD30"/>
      <c r="AE30"/>
      <c r="AF30"/>
      <c r="AG30"/>
      <c r="AH30"/>
      <c r="AI30"/>
      <c r="AJ30"/>
      <c r="AK30"/>
      <c r="AL30"/>
      <c r="AM30"/>
      <c r="AN30"/>
      <c r="AO30"/>
      <c r="AP30"/>
      <c r="AQ30"/>
      <c r="AR30"/>
      <c r="AS30"/>
      <c r="AT30"/>
      <c r="AU30"/>
      <c r="AV30"/>
      <c r="AW30"/>
      <c r="AX30"/>
      <c r="AY30"/>
      <c r="AZ30"/>
    </row>
    <row r="31" spans="1:52" x14ac:dyDescent="0.3">
      <c r="A31" s="153" t="s">
        <v>19</v>
      </c>
      <c r="B31" s="109">
        <v>3</v>
      </c>
      <c r="C31" s="109">
        <v>49000</v>
      </c>
      <c r="D31" s="154">
        <v>3.1535082779592299E-2</v>
      </c>
      <c r="E31" s="154">
        <v>0.17676767676767677</v>
      </c>
      <c r="G31" s="155" t="s">
        <v>764</v>
      </c>
      <c r="H31" s="109">
        <v>1</v>
      </c>
      <c r="K31" s="152" t="s">
        <v>749</v>
      </c>
      <c r="M31" s="109">
        <v>7</v>
      </c>
      <c r="N31" s="109">
        <v>2</v>
      </c>
      <c r="P31" s="109">
        <v>9</v>
      </c>
      <c r="S31"/>
      <c r="T31"/>
      <c r="V31"/>
      <c r="W31"/>
      <c r="X31"/>
      <c r="Y31"/>
      <c r="Z31"/>
      <c r="AA31"/>
      <c r="AB31"/>
      <c r="AC31"/>
      <c r="AD31"/>
      <c r="AE31"/>
      <c r="AF31"/>
      <c r="AG31"/>
      <c r="AH31"/>
      <c r="AI31"/>
      <c r="AJ31"/>
      <c r="AK31"/>
      <c r="AL31"/>
      <c r="AM31"/>
      <c r="AN31"/>
      <c r="AO31"/>
      <c r="AP31"/>
      <c r="AQ31"/>
      <c r="AR31"/>
      <c r="AS31"/>
      <c r="AT31"/>
      <c r="AU31"/>
      <c r="AV31"/>
      <c r="AW31"/>
      <c r="AX31"/>
      <c r="AY31"/>
      <c r="AZ31"/>
    </row>
    <row r="32" spans="1:52" x14ac:dyDescent="0.3">
      <c r="A32" s="153" t="s">
        <v>13</v>
      </c>
      <c r="B32" s="109">
        <v>2</v>
      </c>
      <c r="C32" s="109">
        <v>25375</v>
      </c>
      <c r="D32" s="154">
        <v>1.6330667868003152E-2</v>
      </c>
      <c r="E32" s="154">
        <v>9.1540404040404047E-2</v>
      </c>
      <c r="G32" s="152" t="s">
        <v>747</v>
      </c>
      <c r="H32" s="109">
        <v>4</v>
      </c>
      <c r="K32" s="153" t="s">
        <v>645</v>
      </c>
      <c r="M32" s="109">
        <v>7</v>
      </c>
      <c r="P32" s="109">
        <v>7</v>
      </c>
      <c r="S32"/>
      <c r="T32"/>
      <c r="V32"/>
      <c r="W32"/>
      <c r="X32"/>
      <c r="Y32"/>
      <c r="Z32"/>
      <c r="AA32"/>
      <c r="AB32"/>
      <c r="AC32"/>
      <c r="AD32"/>
      <c r="AE32"/>
      <c r="AF32"/>
      <c r="AG32"/>
      <c r="AH32"/>
      <c r="AI32"/>
      <c r="AJ32"/>
      <c r="AK32"/>
      <c r="AL32"/>
      <c r="AM32"/>
      <c r="AN32"/>
      <c r="AO32"/>
      <c r="AP32"/>
      <c r="AQ32"/>
      <c r="AR32"/>
      <c r="AS32"/>
      <c r="AT32"/>
      <c r="AU32"/>
      <c r="AV32"/>
      <c r="AW32"/>
      <c r="AX32"/>
      <c r="AY32"/>
      <c r="AZ32"/>
    </row>
    <row r="33" spans="1:52" x14ac:dyDescent="0.3">
      <c r="A33" s="153" t="s">
        <v>9</v>
      </c>
      <c r="B33" s="109">
        <v>4</v>
      </c>
      <c r="C33" s="109">
        <v>40950</v>
      </c>
      <c r="D33" s="154">
        <v>2.6354319180087848E-2</v>
      </c>
      <c r="E33" s="154">
        <v>0.14772727272727273</v>
      </c>
      <c r="G33" s="153" t="s">
        <v>760</v>
      </c>
      <c r="H33" s="109">
        <v>1</v>
      </c>
      <c r="K33" s="153" t="s">
        <v>768</v>
      </c>
      <c r="N33" s="109">
        <v>2</v>
      </c>
      <c r="P33" s="109">
        <v>2</v>
      </c>
      <c r="S33"/>
      <c r="T33"/>
      <c r="V33"/>
      <c r="W33"/>
      <c r="X33"/>
      <c r="Y33"/>
      <c r="Z33"/>
      <c r="AA33"/>
      <c r="AB33"/>
      <c r="AC33"/>
      <c r="AD33"/>
      <c r="AE33"/>
      <c r="AF33"/>
      <c r="AG33"/>
      <c r="AH33"/>
      <c r="AI33"/>
      <c r="AJ33"/>
      <c r="AK33"/>
      <c r="AL33"/>
      <c r="AM33"/>
      <c r="AN33"/>
      <c r="AO33"/>
      <c r="AP33"/>
      <c r="AQ33"/>
      <c r="AR33"/>
      <c r="AS33"/>
      <c r="AT33"/>
      <c r="AU33"/>
      <c r="AV33"/>
      <c r="AW33"/>
      <c r="AX33"/>
      <c r="AY33"/>
      <c r="AZ33"/>
    </row>
    <row r="34" spans="1:52" x14ac:dyDescent="0.3">
      <c r="A34" s="153" t="s">
        <v>493</v>
      </c>
      <c r="B34" s="109">
        <v>4</v>
      </c>
      <c r="C34" s="109">
        <v>57050</v>
      </c>
      <c r="D34" s="154">
        <v>3.6715846379096743E-2</v>
      </c>
      <c r="E34" s="154">
        <v>0.2058080808080808</v>
      </c>
      <c r="G34" s="155" t="s">
        <v>642</v>
      </c>
      <c r="H34" s="109">
        <v>1</v>
      </c>
      <c r="K34" s="152" t="s">
        <v>750</v>
      </c>
      <c r="N34" s="109">
        <v>1</v>
      </c>
      <c r="O34" s="109">
        <v>2</v>
      </c>
      <c r="P34" s="109">
        <v>3</v>
      </c>
      <c r="S34"/>
      <c r="T34"/>
      <c r="V34"/>
      <c r="W34"/>
      <c r="X34"/>
      <c r="Y34"/>
      <c r="Z34"/>
      <c r="AA34"/>
      <c r="AB34"/>
      <c r="AC34"/>
      <c r="AD34"/>
      <c r="AE34"/>
      <c r="AF34"/>
      <c r="AG34"/>
      <c r="AH34"/>
      <c r="AI34"/>
      <c r="AJ34"/>
      <c r="AK34"/>
      <c r="AL34"/>
      <c r="AM34"/>
      <c r="AN34"/>
      <c r="AO34"/>
      <c r="AP34"/>
      <c r="AQ34"/>
      <c r="AR34"/>
      <c r="AS34"/>
      <c r="AT34"/>
      <c r="AU34"/>
      <c r="AV34"/>
      <c r="AW34"/>
      <c r="AX34"/>
      <c r="AY34"/>
      <c r="AZ34"/>
    </row>
    <row r="35" spans="1:52" x14ac:dyDescent="0.3">
      <c r="A35" s="153" t="s">
        <v>27</v>
      </c>
      <c r="B35" s="109">
        <v>3</v>
      </c>
      <c r="C35" s="109">
        <v>41825</v>
      </c>
      <c r="D35" s="154">
        <v>2.6917445658294854E-2</v>
      </c>
      <c r="E35" s="154">
        <v>0.15088383838383837</v>
      </c>
      <c r="G35" s="153" t="s">
        <v>763</v>
      </c>
      <c r="H35" s="109">
        <v>3</v>
      </c>
      <c r="K35" s="153" t="s">
        <v>767</v>
      </c>
      <c r="N35" s="109">
        <v>1</v>
      </c>
      <c r="P35" s="109">
        <v>1</v>
      </c>
      <c r="S35"/>
      <c r="T35"/>
      <c r="V35"/>
      <c r="W35"/>
      <c r="X35"/>
      <c r="Y35"/>
      <c r="Z35"/>
      <c r="AA35"/>
      <c r="AB35"/>
      <c r="AC35"/>
      <c r="AD35"/>
      <c r="AE35"/>
      <c r="AF35"/>
      <c r="AG35"/>
      <c r="AH35"/>
      <c r="AI35"/>
      <c r="AJ35"/>
      <c r="AK35"/>
      <c r="AL35"/>
      <c r="AM35"/>
      <c r="AN35"/>
      <c r="AO35"/>
      <c r="AP35"/>
      <c r="AQ35"/>
      <c r="AR35"/>
      <c r="AS35"/>
      <c r="AT35"/>
      <c r="AU35"/>
      <c r="AV35"/>
      <c r="AW35"/>
      <c r="AX35"/>
      <c r="AY35"/>
      <c r="AZ35"/>
    </row>
    <row r="36" spans="1:52" x14ac:dyDescent="0.3">
      <c r="A36" s="153" t="s">
        <v>24</v>
      </c>
      <c r="B36" s="109">
        <v>3</v>
      </c>
      <c r="C36" s="109">
        <v>47250</v>
      </c>
      <c r="D36" s="154">
        <v>3.0408829823178284E-2</v>
      </c>
      <c r="E36" s="154">
        <v>0.17045454545454544</v>
      </c>
      <c r="G36" s="155" t="s">
        <v>764</v>
      </c>
      <c r="H36" s="109">
        <v>3</v>
      </c>
      <c r="K36" s="153" t="s">
        <v>764</v>
      </c>
      <c r="O36" s="109">
        <v>2</v>
      </c>
      <c r="P36" s="109">
        <v>2</v>
      </c>
      <c r="S36"/>
      <c r="T36"/>
      <c r="V36"/>
      <c r="W36"/>
      <c r="X36"/>
      <c r="Y36"/>
      <c r="Z36"/>
      <c r="AA36"/>
      <c r="AB36"/>
      <c r="AC36"/>
      <c r="AD36"/>
      <c r="AE36"/>
      <c r="AF36"/>
      <c r="AG36"/>
      <c r="AH36"/>
      <c r="AI36"/>
      <c r="AJ36"/>
      <c r="AK36"/>
      <c r="AL36"/>
      <c r="AM36"/>
      <c r="AN36"/>
      <c r="AO36"/>
      <c r="AP36"/>
      <c r="AQ36"/>
      <c r="AR36"/>
      <c r="AS36"/>
      <c r="AT36"/>
      <c r="AU36"/>
      <c r="AV36"/>
      <c r="AW36"/>
      <c r="AX36"/>
      <c r="AY36"/>
      <c r="AZ36"/>
    </row>
    <row r="37" spans="1:52" x14ac:dyDescent="0.3">
      <c r="A37" s="152" t="s">
        <v>443</v>
      </c>
      <c r="B37" s="109">
        <v>100</v>
      </c>
      <c r="C37" s="109">
        <v>1553825</v>
      </c>
      <c r="D37" s="154">
        <v>1</v>
      </c>
      <c r="E37" s="154"/>
      <c r="G37" s="152" t="s">
        <v>748</v>
      </c>
      <c r="H37" s="109">
        <v>25</v>
      </c>
      <c r="K37" s="152" t="s">
        <v>751</v>
      </c>
      <c r="N37" s="109">
        <v>4</v>
      </c>
      <c r="P37" s="109">
        <v>4</v>
      </c>
      <c r="S37"/>
      <c r="T37"/>
      <c r="V37"/>
      <c r="W37"/>
      <c r="X37"/>
      <c r="Y37"/>
      <c r="Z37"/>
      <c r="AA37"/>
      <c r="AB37"/>
      <c r="AC37"/>
      <c r="AD37"/>
      <c r="AE37"/>
      <c r="AF37"/>
      <c r="AG37"/>
      <c r="AH37"/>
      <c r="AI37"/>
      <c r="AJ37"/>
      <c r="AK37"/>
      <c r="AL37"/>
      <c r="AM37"/>
      <c r="AN37"/>
      <c r="AO37"/>
      <c r="AP37"/>
      <c r="AQ37"/>
      <c r="AR37"/>
      <c r="AS37"/>
      <c r="AT37"/>
      <c r="AU37"/>
      <c r="AV37"/>
      <c r="AW37"/>
      <c r="AX37"/>
      <c r="AY37"/>
      <c r="AZ37"/>
    </row>
    <row r="38" spans="1:52" x14ac:dyDescent="0.3">
      <c r="G38" s="153" t="s">
        <v>760</v>
      </c>
      <c r="H38" s="109">
        <v>1</v>
      </c>
      <c r="K38" s="153" t="s">
        <v>768</v>
      </c>
      <c r="N38" s="109">
        <v>4</v>
      </c>
      <c r="P38" s="109">
        <v>4</v>
      </c>
      <c r="S38"/>
      <c r="T38"/>
      <c r="V38"/>
      <c r="W38"/>
      <c r="X38"/>
      <c r="Y38"/>
      <c r="Z38"/>
      <c r="AA38"/>
      <c r="AB38"/>
      <c r="AC38"/>
      <c r="AD38"/>
      <c r="AE38"/>
      <c r="AF38"/>
      <c r="AG38"/>
      <c r="AH38"/>
      <c r="AI38"/>
      <c r="AJ38"/>
      <c r="AK38"/>
      <c r="AL38"/>
      <c r="AM38"/>
      <c r="AN38"/>
      <c r="AO38"/>
      <c r="AP38"/>
      <c r="AQ38"/>
      <c r="AR38"/>
      <c r="AS38"/>
      <c r="AT38"/>
      <c r="AU38"/>
      <c r="AV38"/>
      <c r="AW38"/>
      <c r="AX38"/>
      <c r="AY38"/>
      <c r="AZ38"/>
    </row>
    <row r="39" spans="1:52" x14ac:dyDescent="0.3">
      <c r="G39" s="155" t="s">
        <v>643</v>
      </c>
      <c r="H39" s="109">
        <v>1</v>
      </c>
      <c r="K39" s="152" t="s">
        <v>752</v>
      </c>
      <c r="M39" s="109">
        <v>1</v>
      </c>
      <c r="N39" s="109">
        <v>1</v>
      </c>
      <c r="O39" s="109">
        <v>1</v>
      </c>
      <c r="P39" s="109">
        <v>3</v>
      </c>
      <c r="S39"/>
      <c r="T39"/>
      <c r="V39"/>
      <c r="W39"/>
      <c r="X39"/>
      <c r="Y39"/>
      <c r="Z39"/>
      <c r="AA39"/>
      <c r="AB39"/>
      <c r="AC39"/>
      <c r="AD39"/>
      <c r="AE39"/>
      <c r="AF39"/>
      <c r="AG39"/>
      <c r="AH39"/>
      <c r="AI39"/>
      <c r="AJ39"/>
      <c r="AK39"/>
      <c r="AL39"/>
      <c r="AM39"/>
      <c r="AN39"/>
      <c r="AO39"/>
      <c r="AP39"/>
      <c r="AQ39"/>
      <c r="AR39"/>
      <c r="AS39"/>
      <c r="AT39"/>
      <c r="AU39"/>
      <c r="AV39"/>
      <c r="AW39"/>
      <c r="AX39"/>
      <c r="AY39"/>
      <c r="AZ39"/>
    </row>
    <row r="40" spans="1:52" x14ac:dyDescent="0.3">
      <c r="G40" s="153" t="s">
        <v>761</v>
      </c>
      <c r="H40" s="109">
        <v>1</v>
      </c>
      <c r="K40" s="153" t="s">
        <v>646</v>
      </c>
      <c r="M40" s="109">
        <v>1</v>
      </c>
      <c r="P40" s="109">
        <v>1</v>
      </c>
      <c r="S40"/>
      <c r="T40"/>
      <c r="V40"/>
      <c r="W40"/>
      <c r="X40"/>
      <c r="Y40"/>
      <c r="Z40"/>
      <c r="AA40"/>
      <c r="AB40"/>
      <c r="AC40"/>
      <c r="AD40"/>
      <c r="AE40"/>
      <c r="AF40"/>
      <c r="AG40"/>
      <c r="AH40"/>
      <c r="AI40"/>
      <c r="AJ40"/>
      <c r="AK40"/>
      <c r="AL40"/>
      <c r="AM40"/>
      <c r="AN40"/>
      <c r="AO40"/>
      <c r="AP40"/>
      <c r="AQ40"/>
      <c r="AR40"/>
      <c r="AS40"/>
      <c r="AT40"/>
      <c r="AU40"/>
      <c r="AV40"/>
      <c r="AW40"/>
      <c r="AX40"/>
      <c r="AY40"/>
      <c r="AZ40"/>
    </row>
    <row r="41" spans="1:52" x14ac:dyDescent="0.3">
      <c r="G41" s="155" t="s">
        <v>768</v>
      </c>
      <c r="H41" s="109">
        <v>1</v>
      </c>
      <c r="K41" s="153" t="s">
        <v>762</v>
      </c>
      <c r="N41" s="109">
        <v>1</v>
      </c>
      <c r="P41" s="109">
        <v>1</v>
      </c>
      <c r="S41"/>
      <c r="T41"/>
      <c r="V41"/>
      <c r="W41"/>
      <c r="X41"/>
      <c r="Y41"/>
      <c r="Z41"/>
      <c r="AA41"/>
      <c r="AB41"/>
      <c r="AC41"/>
      <c r="AD41"/>
      <c r="AE41"/>
      <c r="AF41"/>
      <c r="AG41"/>
      <c r="AH41"/>
      <c r="AI41"/>
      <c r="AJ41"/>
      <c r="AK41"/>
      <c r="AL41"/>
      <c r="AM41"/>
      <c r="AN41"/>
      <c r="AO41"/>
      <c r="AP41"/>
      <c r="AQ41"/>
      <c r="AR41"/>
      <c r="AS41"/>
      <c r="AT41"/>
      <c r="AU41"/>
      <c r="AV41"/>
      <c r="AW41"/>
      <c r="AX41"/>
      <c r="AY41"/>
      <c r="AZ41"/>
    </row>
    <row r="42" spans="1:52" x14ac:dyDescent="0.3">
      <c r="G42" s="153" t="s">
        <v>763</v>
      </c>
      <c r="H42" s="109">
        <v>23</v>
      </c>
      <c r="K42" s="153" t="s">
        <v>765</v>
      </c>
      <c r="O42" s="109">
        <v>1</v>
      </c>
      <c r="P42" s="109">
        <v>1</v>
      </c>
      <c r="S42"/>
      <c r="T42"/>
      <c r="V42"/>
      <c r="W42"/>
      <c r="X42"/>
      <c r="Y42"/>
      <c r="Z42"/>
      <c r="AA42"/>
      <c r="AB42"/>
      <c r="AC42"/>
      <c r="AD42"/>
      <c r="AE42"/>
      <c r="AF42"/>
      <c r="AG42"/>
      <c r="AH42"/>
      <c r="AI42"/>
      <c r="AJ42"/>
      <c r="AK42"/>
      <c r="AL42"/>
      <c r="AM42"/>
      <c r="AN42"/>
      <c r="AO42"/>
      <c r="AP42"/>
      <c r="AQ42"/>
      <c r="AR42"/>
      <c r="AS42"/>
      <c r="AT42"/>
      <c r="AU42"/>
      <c r="AV42"/>
      <c r="AW42"/>
      <c r="AX42"/>
      <c r="AY42"/>
      <c r="AZ42"/>
    </row>
    <row r="43" spans="1:52" x14ac:dyDescent="0.3">
      <c r="G43" s="155" t="s">
        <v>765</v>
      </c>
      <c r="H43" s="109">
        <v>22</v>
      </c>
      <c r="K43" s="152" t="s">
        <v>753</v>
      </c>
      <c r="M43" s="109">
        <v>1</v>
      </c>
      <c r="P43" s="109">
        <v>1</v>
      </c>
      <c r="S43"/>
      <c r="T43"/>
      <c r="V43"/>
      <c r="W43"/>
      <c r="X43"/>
      <c r="Y43"/>
      <c r="Z43"/>
      <c r="AA43"/>
      <c r="AB43"/>
      <c r="AC43"/>
      <c r="AD43"/>
      <c r="AE43"/>
      <c r="AF43"/>
      <c r="AG43"/>
      <c r="AH43"/>
      <c r="AI43"/>
      <c r="AJ43"/>
      <c r="AK43"/>
      <c r="AL43"/>
      <c r="AM43"/>
      <c r="AN43"/>
      <c r="AO43"/>
      <c r="AP43"/>
      <c r="AQ43"/>
      <c r="AR43"/>
      <c r="AS43"/>
      <c r="AT43"/>
      <c r="AU43"/>
      <c r="AV43"/>
      <c r="AW43"/>
      <c r="AX43"/>
      <c r="AY43"/>
      <c r="AZ43"/>
    </row>
    <row r="44" spans="1:52" x14ac:dyDescent="0.3">
      <c r="G44" s="155" t="s">
        <v>764</v>
      </c>
      <c r="H44" s="109">
        <v>1</v>
      </c>
      <c r="K44" s="153" t="s">
        <v>646</v>
      </c>
      <c r="M44" s="109">
        <v>1</v>
      </c>
      <c r="P44" s="109">
        <v>1</v>
      </c>
      <c r="S44"/>
      <c r="T44"/>
      <c r="V44"/>
      <c r="W44"/>
      <c r="X44"/>
      <c r="Y44"/>
      <c r="Z44"/>
      <c r="AA44"/>
      <c r="AB44"/>
      <c r="AC44"/>
      <c r="AD44"/>
      <c r="AE44"/>
      <c r="AF44"/>
      <c r="AG44"/>
      <c r="AH44"/>
      <c r="AI44"/>
      <c r="AJ44"/>
      <c r="AK44"/>
      <c r="AL44"/>
      <c r="AM44"/>
      <c r="AN44"/>
      <c r="AO44"/>
      <c r="AP44"/>
      <c r="AQ44"/>
      <c r="AR44"/>
      <c r="AS44"/>
      <c r="AT44"/>
      <c r="AU44"/>
      <c r="AV44"/>
      <c r="AW44"/>
      <c r="AX44"/>
      <c r="AY44"/>
      <c r="AZ44"/>
    </row>
    <row r="45" spans="1:52" x14ac:dyDescent="0.3">
      <c r="G45" s="152" t="s">
        <v>749</v>
      </c>
      <c r="H45" s="109">
        <v>9</v>
      </c>
      <c r="K45" s="152" t="s">
        <v>754</v>
      </c>
      <c r="N45" s="109">
        <v>1</v>
      </c>
      <c r="P45" s="109">
        <v>1</v>
      </c>
      <c r="S45"/>
      <c r="T45"/>
      <c r="V45"/>
      <c r="W45"/>
      <c r="X45"/>
      <c r="Y45"/>
      <c r="Z45"/>
      <c r="AA45"/>
      <c r="AB45"/>
      <c r="AC45"/>
      <c r="AD45"/>
      <c r="AE45"/>
      <c r="AF45"/>
      <c r="AG45"/>
      <c r="AH45"/>
      <c r="AI45"/>
      <c r="AJ45"/>
      <c r="AK45"/>
      <c r="AL45"/>
      <c r="AM45"/>
      <c r="AN45"/>
      <c r="AO45"/>
      <c r="AP45"/>
      <c r="AQ45"/>
      <c r="AR45"/>
      <c r="AS45"/>
      <c r="AT45"/>
      <c r="AU45"/>
      <c r="AV45"/>
      <c r="AW45"/>
      <c r="AX45"/>
      <c r="AY45"/>
      <c r="AZ45"/>
    </row>
    <row r="46" spans="1:52" x14ac:dyDescent="0.3">
      <c r="G46" s="153" t="s">
        <v>769</v>
      </c>
      <c r="H46" s="109">
        <v>7</v>
      </c>
      <c r="K46" s="153" t="s">
        <v>768</v>
      </c>
      <c r="N46" s="109">
        <v>1</v>
      </c>
      <c r="P46" s="109">
        <v>1</v>
      </c>
      <c r="S46"/>
      <c r="T46"/>
      <c r="V46"/>
      <c r="W46"/>
      <c r="X46"/>
      <c r="Y46"/>
      <c r="Z46"/>
      <c r="AA46"/>
      <c r="AB46"/>
      <c r="AC46"/>
      <c r="AD46"/>
      <c r="AE46"/>
      <c r="AF46"/>
      <c r="AG46"/>
      <c r="AH46"/>
      <c r="AI46"/>
      <c r="AJ46"/>
      <c r="AK46"/>
      <c r="AL46"/>
      <c r="AM46"/>
      <c r="AN46"/>
      <c r="AO46"/>
      <c r="AP46"/>
      <c r="AQ46"/>
      <c r="AR46"/>
      <c r="AS46"/>
      <c r="AT46"/>
      <c r="AU46"/>
      <c r="AV46"/>
      <c r="AW46"/>
      <c r="AX46"/>
      <c r="AY46"/>
      <c r="AZ46"/>
    </row>
    <row r="47" spans="1:52" x14ac:dyDescent="0.3">
      <c r="G47" s="155" t="s">
        <v>645</v>
      </c>
      <c r="H47" s="109">
        <v>7</v>
      </c>
      <c r="K47" s="152" t="s">
        <v>755</v>
      </c>
      <c r="L47" s="109">
        <v>5</v>
      </c>
      <c r="O47" s="109">
        <v>2</v>
      </c>
      <c r="P47" s="109">
        <v>7</v>
      </c>
      <c r="S47"/>
      <c r="T47"/>
      <c r="V47"/>
      <c r="W47"/>
      <c r="X47"/>
      <c r="Y47"/>
      <c r="Z47"/>
      <c r="AA47"/>
      <c r="AB47"/>
      <c r="AC47"/>
      <c r="AD47"/>
      <c r="AE47"/>
      <c r="AF47"/>
      <c r="AG47"/>
      <c r="AH47"/>
      <c r="AI47"/>
      <c r="AJ47"/>
      <c r="AK47"/>
      <c r="AL47"/>
      <c r="AM47"/>
      <c r="AN47"/>
      <c r="AO47"/>
      <c r="AP47"/>
      <c r="AQ47"/>
      <c r="AR47"/>
      <c r="AS47"/>
      <c r="AT47"/>
      <c r="AU47"/>
      <c r="AV47"/>
      <c r="AW47"/>
      <c r="AX47"/>
      <c r="AY47"/>
      <c r="AZ47"/>
    </row>
    <row r="48" spans="1:52" x14ac:dyDescent="0.3">
      <c r="G48" s="153" t="s">
        <v>761</v>
      </c>
      <c r="H48" s="109">
        <v>2</v>
      </c>
      <c r="K48" s="153" t="s">
        <v>644</v>
      </c>
      <c r="L48" s="109">
        <v>5</v>
      </c>
      <c r="P48" s="109">
        <v>5</v>
      </c>
      <c r="S48"/>
      <c r="T48"/>
      <c r="V48"/>
      <c r="W48"/>
      <c r="X48"/>
      <c r="Y48"/>
      <c r="Z48"/>
      <c r="AA48"/>
      <c r="AB48"/>
      <c r="AC48"/>
      <c r="AD48"/>
      <c r="AE48"/>
      <c r="AF48"/>
      <c r="AG48"/>
      <c r="AH48"/>
      <c r="AI48"/>
      <c r="AJ48"/>
      <c r="AK48"/>
      <c r="AL48"/>
      <c r="AM48"/>
      <c r="AN48"/>
      <c r="AO48"/>
      <c r="AP48"/>
      <c r="AQ48"/>
      <c r="AR48"/>
      <c r="AS48"/>
      <c r="AT48"/>
      <c r="AU48"/>
      <c r="AV48"/>
      <c r="AW48"/>
      <c r="AX48"/>
      <c r="AY48"/>
      <c r="AZ48"/>
    </row>
    <row r="49" spans="7:52" x14ac:dyDescent="0.3">
      <c r="G49" s="155" t="s">
        <v>768</v>
      </c>
      <c r="H49" s="109">
        <v>2</v>
      </c>
      <c r="K49" s="153" t="s">
        <v>766</v>
      </c>
      <c r="O49" s="109">
        <v>2</v>
      </c>
      <c r="P49" s="109">
        <v>2</v>
      </c>
      <c r="S49"/>
      <c r="T49"/>
      <c r="V49"/>
      <c r="W49"/>
      <c r="X49"/>
      <c r="Y49"/>
      <c r="Z49"/>
      <c r="AA49"/>
      <c r="AB49"/>
      <c r="AC49"/>
      <c r="AD49"/>
      <c r="AE49"/>
      <c r="AF49"/>
      <c r="AG49"/>
      <c r="AH49"/>
      <c r="AI49"/>
      <c r="AJ49"/>
      <c r="AK49"/>
      <c r="AL49"/>
      <c r="AM49"/>
      <c r="AN49"/>
      <c r="AO49"/>
      <c r="AP49"/>
      <c r="AQ49"/>
      <c r="AR49"/>
      <c r="AS49"/>
      <c r="AT49"/>
      <c r="AU49"/>
      <c r="AV49"/>
      <c r="AW49"/>
      <c r="AX49"/>
      <c r="AY49"/>
      <c r="AZ49"/>
    </row>
    <row r="50" spans="7:52" x14ac:dyDescent="0.3">
      <c r="G50" s="152" t="s">
        <v>750</v>
      </c>
      <c r="H50" s="109">
        <v>3</v>
      </c>
      <c r="K50" s="152" t="s">
        <v>756</v>
      </c>
      <c r="M50" s="109">
        <v>1</v>
      </c>
      <c r="P50" s="109">
        <v>1</v>
      </c>
      <c r="S50"/>
      <c r="T50"/>
      <c r="V50"/>
      <c r="W50"/>
      <c r="X50"/>
      <c r="Y50"/>
      <c r="Z50"/>
      <c r="AA50"/>
      <c r="AB50"/>
      <c r="AC50"/>
      <c r="AD50"/>
      <c r="AE50"/>
      <c r="AF50"/>
      <c r="AG50"/>
      <c r="AH50"/>
      <c r="AI50"/>
      <c r="AJ50"/>
      <c r="AK50"/>
      <c r="AL50"/>
      <c r="AM50"/>
      <c r="AN50"/>
      <c r="AO50"/>
      <c r="AP50"/>
      <c r="AQ50"/>
      <c r="AR50"/>
      <c r="AS50"/>
      <c r="AT50"/>
      <c r="AU50"/>
      <c r="AV50"/>
      <c r="AW50"/>
      <c r="AX50"/>
      <c r="AY50"/>
      <c r="AZ50"/>
    </row>
    <row r="51" spans="7:52" x14ac:dyDescent="0.3">
      <c r="G51" s="153" t="s">
        <v>761</v>
      </c>
      <c r="H51" s="109">
        <v>1</v>
      </c>
      <c r="K51" s="153" t="s">
        <v>646</v>
      </c>
      <c r="M51" s="109">
        <v>1</v>
      </c>
      <c r="P51" s="109">
        <v>1</v>
      </c>
      <c r="S51"/>
      <c r="T51"/>
      <c r="V51"/>
      <c r="W51"/>
      <c r="X51"/>
      <c r="Y51"/>
      <c r="Z51"/>
      <c r="AA51"/>
      <c r="AB51"/>
      <c r="AC51"/>
      <c r="AD51"/>
      <c r="AE51"/>
      <c r="AF51"/>
      <c r="AG51"/>
      <c r="AH51"/>
      <c r="AI51"/>
      <c r="AJ51"/>
      <c r="AK51"/>
      <c r="AL51"/>
      <c r="AM51"/>
      <c r="AN51"/>
      <c r="AO51"/>
      <c r="AP51"/>
      <c r="AQ51"/>
      <c r="AR51"/>
      <c r="AS51"/>
      <c r="AT51"/>
      <c r="AU51"/>
      <c r="AV51"/>
      <c r="AW51"/>
      <c r="AX51"/>
      <c r="AY51"/>
      <c r="AZ51"/>
    </row>
    <row r="52" spans="7:52" x14ac:dyDescent="0.3">
      <c r="G52" s="155" t="s">
        <v>767</v>
      </c>
      <c r="H52" s="109">
        <v>1</v>
      </c>
      <c r="K52" s="152" t="s">
        <v>757</v>
      </c>
      <c r="M52" s="109">
        <v>1</v>
      </c>
      <c r="N52" s="109">
        <v>2</v>
      </c>
      <c r="O52" s="109">
        <v>2</v>
      </c>
      <c r="P52" s="109">
        <v>5</v>
      </c>
      <c r="S52"/>
      <c r="T52"/>
      <c r="V52"/>
      <c r="W52"/>
      <c r="X52"/>
      <c r="Y52"/>
      <c r="Z52"/>
      <c r="AA52"/>
      <c r="AB52"/>
      <c r="AC52"/>
      <c r="AD52"/>
      <c r="AE52"/>
      <c r="AF52"/>
      <c r="AG52"/>
      <c r="AH52"/>
      <c r="AI52"/>
      <c r="AJ52"/>
      <c r="AK52"/>
      <c r="AL52"/>
      <c r="AM52"/>
      <c r="AN52"/>
      <c r="AO52"/>
      <c r="AP52"/>
      <c r="AQ52"/>
      <c r="AR52"/>
      <c r="AS52"/>
      <c r="AT52"/>
      <c r="AU52"/>
      <c r="AV52"/>
      <c r="AW52"/>
      <c r="AX52"/>
      <c r="AY52"/>
      <c r="AZ52"/>
    </row>
    <row r="53" spans="7:52" x14ac:dyDescent="0.3">
      <c r="G53" s="153" t="s">
        <v>763</v>
      </c>
      <c r="H53" s="109">
        <v>2</v>
      </c>
      <c r="K53" s="153" t="s">
        <v>647</v>
      </c>
      <c r="M53" s="109">
        <v>1</v>
      </c>
      <c r="P53" s="109">
        <v>1</v>
      </c>
      <c r="S53"/>
      <c r="T53"/>
      <c r="V53"/>
      <c r="W53"/>
      <c r="X53"/>
      <c r="Y53"/>
      <c r="Z53"/>
      <c r="AA53"/>
      <c r="AB53"/>
      <c r="AC53"/>
      <c r="AD53"/>
      <c r="AE53"/>
      <c r="AF53"/>
      <c r="AG53"/>
      <c r="AH53"/>
      <c r="AI53"/>
      <c r="AJ53"/>
      <c r="AK53"/>
      <c r="AL53"/>
      <c r="AM53"/>
      <c r="AN53"/>
      <c r="AO53"/>
      <c r="AP53"/>
      <c r="AQ53"/>
      <c r="AR53"/>
      <c r="AS53"/>
      <c r="AT53"/>
      <c r="AU53"/>
      <c r="AV53"/>
      <c r="AW53"/>
      <c r="AX53"/>
      <c r="AY53"/>
      <c r="AZ53"/>
    </row>
    <row r="54" spans="7:52" x14ac:dyDescent="0.3">
      <c r="G54" s="155" t="s">
        <v>764</v>
      </c>
      <c r="H54" s="109">
        <v>2</v>
      </c>
      <c r="K54" s="153" t="s">
        <v>762</v>
      </c>
      <c r="N54" s="109">
        <v>2</v>
      </c>
      <c r="P54" s="109">
        <v>2</v>
      </c>
      <c r="S54"/>
      <c r="T54"/>
      <c r="V54"/>
      <c r="W54"/>
      <c r="X54"/>
      <c r="Y54"/>
      <c r="Z54"/>
      <c r="AA54"/>
      <c r="AB54"/>
      <c r="AC54"/>
      <c r="AD54"/>
      <c r="AE54"/>
      <c r="AF54"/>
      <c r="AG54"/>
      <c r="AH54"/>
      <c r="AI54"/>
      <c r="AJ54"/>
      <c r="AK54"/>
      <c r="AL54"/>
      <c r="AM54"/>
      <c r="AN54"/>
      <c r="AO54"/>
      <c r="AP54"/>
      <c r="AQ54"/>
      <c r="AR54"/>
      <c r="AS54"/>
      <c r="AT54"/>
      <c r="AU54"/>
      <c r="AV54"/>
      <c r="AW54"/>
      <c r="AX54"/>
      <c r="AY54"/>
      <c r="AZ54"/>
    </row>
    <row r="55" spans="7:52" x14ac:dyDescent="0.3">
      <c r="G55" s="152" t="s">
        <v>751</v>
      </c>
      <c r="H55" s="109">
        <v>4</v>
      </c>
      <c r="K55" s="153" t="s">
        <v>766</v>
      </c>
      <c r="O55" s="109">
        <v>2</v>
      </c>
      <c r="P55" s="109">
        <v>2</v>
      </c>
      <c r="S55"/>
      <c r="T55"/>
      <c r="V55"/>
      <c r="W55"/>
      <c r="X55"/>
      <c r="Y55"/>
      <c r="Z55"/>
      <c r="AA55"/>
      <c r="AB55"/>
      <c r="AC55"/>
      <c r="AD55"/>
      <c r="AE55"/>
      <c r="AF55"/>
      <c r="AG55"/>
      <c r="AH55"/>
      <c r="AI55"/>
      <c r="AJ55"/>
      <c r="AK55"/>
      <c r="AL55"/>
      <c r="AM55"/>
      <c r="AN55"/>
      <c r="AO55"/>
      <c r="AP55"/>
      <c r="AQ55"/>
      <c r="AR55"/>
      <c r="AS55"/>
      <c r="AT55"/>
      <c r="AU55"/>
      <c r="AV55"/>
      <c r="AW55"/>
      <c r="AX55"/>
      <c r="AY55"/>
      <c r="AZ55"/>
    </row>
    <row r="56" spans="7:52" x14ac:dyDescent="0.3">
      <c r="G56" s="153" t="s">
        <v>761</v>
      </c>
      <c r="H56" s="109">
        <v>4</v>
      </c>
      <c r="K56" s="152" t="s">
        <v>758</v>
      </c>
      <c r="L56" s="109">
        <v>3</v>
      </c>
      <c r="P56" s="109">
        <v>3</v>
      </c>
      <c r="S56"/>
      <c r="T56"/>
      <c r="V56"/>
      <c r="W56"/>
      <c r="X56"/>
      <c r="Y56"/>
      <c r="Z56"/>
      <c r="AA56"/>
      <c r="AB56"/>
      <c r="AC56"/>
      <c r="AD56"/>
      <c r="AE56"/>
      <c r="AF56"/>
      <c r="AG56"/>
      <c r="AH56"/>
      <c r="AI56"/>
      <c r="AJ56"/>
      <c r="AK56"/>
      <c r="AL56"/>
      <c r="AM56"/>
      <c r="AN56"/>
      <c r="AO56"/>
      <c r="AP56"/>
      <c r="AQ56"/>
      <c r="AR56"/>
      <c r="AS56"/>
      <c r="AT56"/>
      <c r="AU56"/>
      <c r="AV56"/>
      <c r="AW56"/>
      <c r="AX56"/>
      <c r="AY56"/>
      <c r="AZ56"/>
    </row>
    <row r="57" spans="7:52" x14ac:dyDescent="0.3">
      <c r="G57" s="155" t="s">
        <v>768</v>
      </c>
      <c r="H57" s="109">
        <v>4</v>
      </c>
      <c r="K57" s="153" t="s">
        <v>642</v>
      </c>
      <c r="L57" s="109">
        <v>3</v>
      </c>
      <c r="P57" s="109">
        <v>3</v>
      </c>
      <c r="S57"/>
      <c r="T57"/>
      <c r="V57"/>
      <c r="W57"/>
      <c r="X57"/>
      <c r="Y57"/>
      <c r="Z57"/>
      <c r="AA57"/>
      <c r="AB57"/>
      <c r="AC57"/>
      <c r="AD57"/>
      <c r="AE57"/>
      <c r="AF57"/>
      <c r="AG57"/>
      <c r="AH57"/>
      <c r="AI57"/>
      <c r="AJ57"/>
      <c r="AK57"/>
      <c r="AL57"/>
      <c r="AM57"/>
      <c r="AN57"/>
      <c r="AO57"/>
      <c r="AP57"/>
      <c r="AQ57"/>
      <c r="AR57"/>
      <c r="AS57"/>
      <c r="AT57"/>
      <c r="AU57"/>
      <c r="AV57"/>
      <c r="AW57"/>
      <c r="AX57"/>
      <c r="AY57"/>
      <c r="AZ57"/>
    </row>
    <row r="58" spans="7:52" x14ac:dyDescent="0.3">
      <c r="G58" s="152" t="s">
        <v>752</v>
      </c>
      <c r="H58" s="109">
        <v>3</v>
      </c>
      <c r="K58" s="152" t="s">
        <v>759</v>
      </c>
      <c r="L58" s="109">
        <v>4</v>
      </c>
      <c r="M58" s="109">
        <v>5</v>
      </c>
      <c r="O58" s="109">
        <v>1</v>
      </c>
      <c r="P58" s="109">
        <v>10</v>
      </c>
      <c r="S58"/>
      <c r="T58"/>
      <c r="V58"/>
      <c r="W58"/>
      <c r="X58"/>
      <c r="Y58"/>
      <c r="Z58"/>
      <c r="AA58"/>
      <c r="AB58"/>
      <c r="AC58"/>
      <c r="AD58"/>
      <c r="AE58"/>
      <c r="AF58"/>
      <c r="AG58"/>
      <c r="AH58"/>
      <c r="AI58"/>
      <c r="AJ58"/>
      <c r="AK58"/>
      <c r="AL58"/>
      <c r="AM58"/>
      <c r="AN58"/>
      <c r="AO58"/>
      <c r="AP58"/>
      <c r="AQ58"/>
      <c r="AR58"/>
      <c r="AS58"/>
      <c r="AT58"/>
      <c r="AU58"/>
      <c r="AV58"/>
      <c r="AW58"/>
      <c r="AX58"/>
      <c r="AY58"/>
      <c r="AZ58"/>
    </row>
    <row r="59" spans="7:52" x14ac:dyDescent="0.3">
      <c r="G59" s="153" t="s">
        <v>769</v>
      </c>
      <c r="H59" s="109">
        <v>1</v>
      </c>
      <c r="K59" s="153" t="s">
        <v>643</v>
      </c>
      <c r="L59" s="109">
        <v>1</v>
      </c>
      <c r="P59" s="109">
        <v>1</v>
      </c>
      <c r="S59"/>
      <c r="T59"/>
      <c r="V59"/>
      <c r="W59"/>
      <c r="X59"/>
      <c r="Y59"/>
      <c r="Z59"/>
      <c r="AA59"/>
      <c r="AB59"/>
      <c r="AC59"/>
      <c r="AD59"/>
      <c r="AE59"/>
      <c r="AF59"/>
      <c r="AG59"/>
      <c r="AH59"/>
      <c r="AI59"/>
      <c r="AJ59"/>
      <c r="AK59"/>
      <c r="AL59"/>
      <c r="AM59"/>
      <c r="AN59"/>
      <c r="AO59"/>
      <c r="AP59"/>
      <c r="AQ59"/>
      <c r="AR59"/>
      <c r="AS59"/>
      <c r="AT59"/>
      <c r="AU59"/>
      <c r="AV59"/>
      <c r="AW59"/>
      <c r="AX59"/>
      <c r="AY59"/>
      <c r="AZ59"/>
    </row>
    <row r="60" spans="7:52" x14ac:dyDescent="0.3">
      <c r="G60" s="155" t="s">
        <v>646</v>
      </c>
      <c r="H60" s="109">
        <v>1</v>
      </c>
      <c r="K60" s="153" t="s">
        <v>644</v>
      </c>
      <c r="L60" s="109">
        <v>3</v>
      </c>
      <c r="P60" s="109">
        <v>3</v>
      </c>
      <c r="S60"/>
      <c r="T60"/>
      <c r="V60"/>
      <c r="W60"/>
      <c r="X60"/>
      <c r="Y60"/>
      <c r="Z60"/>
      <c r="AA60"/>
      <c r="AB60"/>
      <c r="AC60"/>
      <c r="AD60"/>
      <c r="AE60"/>
      <c r="AF60"/>
      <c r="AG60"/>
      <c r="AH60"/>
      <c r="AI60"/>
      <c r="AJ60"/>
      <c r="AK60"/>
      <c r="AL60"/>
      <c r="AM60"/>
      <c r="AN60"/>
      <c r="AO60"/>
      <c r="AP60"/>
      <c r="AQ60"/>
      <c r="AR60"/>
      <c r="AS60"/>
      <c r="AT60"/>
      <c r="AU60"/>
      <c r="AV60"/>
      <c r="AW60"/>
      <c r="AX60"/>
      <c r="AY60"/>
      <c r="AZ60"/>
    </row>
    <row r="61" spans="7:52" x14ac:dyDescent="0.3">
      <c r="G61" s="153" t="s">
        <v>761</v>
      </c>
      <c r="H61" s="109">
        <v>1</v>
      </c>
      <c r="K61" s="153" t="s">
        <v>645</v>
      </c>
      <c r="M61" s="109">
        <v>1</v>
      </c>
      <c r="P61" s="109">
        <v>1</v>
      </c>
      <c r="S61"/>
      <c r="T61"/>
      <c r="V61"/>
      <c r="W61"/>
      <c r="X61"/>
      <c r="Y61"/>
      <c r="Z61"/>
      <c r="AA61"/>
      <c r="AB61"/>
      <c r="AC61"/>
      <c r="AD61"/>
      <c r="AE61"/>
      <c r="AF61"/>
      <c r="AG61"/>
      <c r="AH61"/>
      <c r="AI61"/>
      <c r="AJ61"/>
      <c r="AK61"/>
      <c r="AL61"/>
      <c r="AM61"/>
      <c r="AN61"/>
      <c r="AO61"/>
      <c r="AP61"/>
      <c r="AQ61"/>
      <c r="AR61"/>
      <c r="AS61"/>
      <c r="AT61"/>
      <c r="AU61"/>
      <c r="AV61"/>
      <c r="AW61"/>
      <c r="AX61"/>
      <c r="AY61"/>
      <c r="AZ61"/>
    </row>
    <row r="62" spans="7:52" x14ac:dyDescent="0.3">
      <c r="G62" s="155" t="s">
        <v>762</v>
      </c>
      <c r="H62" s="109">
        <v>1</v>
      </c>
      <c r="K62" s="153" t="s">
        <v>647</v>
      </c>
      <c r="M62" s="109">
        <v>4</v>
      </c>
      <c r="P62" s="109">
        <v>4</v>
      </c>
      <c r="S62"/>
      <c r="T62"/>
      <c r="V62"/>
      <c r="W62"/>
      <c r="X62"/>
      <c r="Y62"/>
      <c r="Z62"/>
      <c r="AA62"/>
      <c r="AB62"/>
      <c r="AC62"/>
      <c r="AD62"/>
      <c r="AE62"/>
      <c r="AF62"/>
      <c r="AG62"/>
      <c r="AH62"/>
      <c r="AI62"/>
      <c r="AJ62"/>
      <c r="AK62"/>
      <c r="AL62"/>
      <c r="AM62"/>
      <c r="AN62"/>
      <c r="AO62"/>
      <c r="AP62"/>
      <c r="AQ62"/>
      <c r="AR62"/>
      <c r="AS62"/>
      <c r="AT62"/>
      <c r="AU62"/>
      <c r="AV62"/>
      <c r="AW62"/>
      <c r="AX62"/>
      <c r="AY62"/>
      <c r="AZ62"/>
    </row>
    <row r="63" spans="7:52" x14ac:dyDescent="0.3">
      <c r="G63" s="153" t="s">
        <v>763</v>
      </c>
      <c r="H63" s="109">
        <v>1</v>
      </c>
      <c r="K63" s="153" t="s">
        <v>766</v>
      </c>
      <c r="O63" s="109">
        <v>1</v>
      </c>
      <c r="P63" s="109">
        <v>1</v>
      </c>
      <c r="S63"/>
      <c r="T63"/>
      <c r="V63"/>
      <c r="W63"/>
      <c r="X63"/>
      <c r="Y63"/>
      <c r="Z63"/>
      <c r="AA63"/>
      <c r="AB63"/>
      <c r="AC63"/>
      <c r="AD63"/>
      <c r="AE63"/>
      <c r="AF63"/>
      <c r="AG63"/>
      <c r="AH63"/>
      <c r="AI63"/>
      <c r="AJ63"/>
      <c r="AK63"/>
      <c r="AL63"/>
      <c r="AM63"/>
      <c r="AN63"/>
      <c r="AO63"/>
      <c r="AP63"/>
      <c r="AQ63"/>
      <c r="AR63"/>
      <c r="AS63"/>
      <c r="AT63"/>
      <c r="AU63"/>
      <c r="AV63"/>
      <c r="AW63"/>
      <c r="AX63"/>
      <c r="AY63"/>
      <c r="AZ63"/>
    </row>
    <row r="64" spans="7:52" x14ac:dyDescent="0.3">
      <c r="G64" s="155" t="s">
        <v>765</v>
      </c>
      <c r="H64" s="109">
        <v>1</v>
      </c>
      <c r="K64" s="152" t="s">
        <v>443</v>
      </c>
      <c r="L64" s="109">
        <v>21</v>
      </c>
      <c r="M64" s="109">
        <v>17</v>
      </c>
      <c r="N64" s="109">
        <v>14</v>
      </c>
      <c r="O64" s="109">
        <v>48</v>
      </c>
      <c r="P64" s="109">
        <v>100</v>
      </c>
      <c r="S64"/>
      <c r="T64"/>
      <c r="V64"/>
      <c r="W64"/>
      <c r="X64"/>
      <c r="Y64"/>
      <c r="Z64"/>
      <c r="AA64"/>
      <c r="AB64"/>
      <c r="AC64"/>
      <c r="AD64"/>
      <c r="AE64"/>
      <c r="AF64"/>
      <c r="AG64"/>
      <c r="AH64"/>
      <c r="AI64"/>
      <c r="AJ64"/>
      <c r="AK64"/>
      <c r="AL64"/>
      <c r="AM64"/>
      <c r="AN64"/>
      <c r="AO64"/>
      <c r="AP64"/>
      <c r="AQ64"/>
      <c r="AR64"/>
      <c r="AS64"/>
      <c r="AT64"/>
      <c r="AU64"/>
      <c r="AV64"/>
      <c r="AW64"/>
      <c r="AX64"/>
      <c r="AY64"/>
      <c r="AZ64"/>
    </row>
    <row r="65" spans="7:52" x14ac:dyDescent="0.3">
      <c r="G65" s="152" t="s">
        <v>753</v>
      </c>
      <c r="H65" s="109">
        <v>1</v>
      </c>
      <c r="S65"/>
      <c r="T65"/>
      <c r="V65"/>
      <c r="W65"/>
      <c r="X65"/>
      <c r="Y65"/>
      <c r="Z65"/>
      <c r="AA65"/>
      <c r="AB65"/>
      <c r="AC65"/>
      <c r="AD65"/>
      <c r="AE65"/>
      <c r="AF65"/>
      <c r="AG65"/>
      <c r="AH65"/>
      <c r="AI65"/>
      <c r="AJ65"/>
      <c r="AK65"/>
      <c r="AL65"/>
      <c r="AM65"/>
      <c r="AN65"/>
      <c r="AO65"/>
      <c r="AP65"/>
      <c r="AQ65"/>
      <c r="AR65"/>
      <c r="AS65"/>
      <c r="AT65"/>
      <c r="AU65"/>
      <c r="AV65"/>
      <c r="AW65"/>
      <c r="AX65"/>
      <c r="AY65"/>
      <c r="AZ65"/>
    </row>
    <row r="66" spans="7:52" x14ac:dyDescent="0.3">
      <c r="G66" s="153" t="s">
        <v>769</v>
      </c>
      <c r="H66" s="109">
        <v>1</v>
      </c>
      <c r="S66"/>
      <c r="T66"/>
      <c r="V66"/>
      <c r="W66"/>
      <c r="X66"/>
      <c r="Y66"/>
      <c r="Z66"/>
      <c r="AA66"/>
      <c r="AB66"/>
      <c r="AC66"/>
      <c r="AD66"/>
      <c r="AE66"/>
      <c r="AF66"/>
      <c r="AG66"/>
      <c r="AH66"/>
      <c r="AI66"/>
      <c r="AJ66"/>
      <c r="AK66"/>
      <c r="AL66"/>
      <c r="AM66"/>
      <c r="AN66"/>
      <c r="AO66"/>
      <c r="AP66"/>
      <c r="AQ66"/>
      <c r="AR66"/>
      <c r="AS66"/>
      <c r="AT66"/>
      <c r="AU66"/>
      <c r="AV66"/>
      <c r="AW66"/>
      <c r="AX66"/>
      <c r="AY66"/>
      <c r="AZ66"/>
    </row>
    <row r="67" spans="7:52" x14ac:dyDescent="0.3">
      <c r="G67" s="155" t="s">
        <v>646</v>
      </c>
      <c r="H67" s="109">
        <v>1</v>
      </c>
      <c r="S67"/>
      <c r="T67"/>
      <c r="V67"/>
      <c r="W67"/>
      <c r="X67"/>
      <c r="Y67"/>
      <c r="Z67"/>
      <c r="AA67"/>
      <c r="AB67"/>
      <c r="AC67"/>
      <c r="AD67"/>
      <c r="AE67"/>
      <c r="AF67"/>
      <c r="AG67"/>
      <c r="AH67"/>
      <c r="AI67"/>
      <c r="AJ67"/>
      <c r="AK67"/>
      <c r="AL67"/>
      <c r="AM67"/>
      <c r="AN67"/>
      <c r="AO67"/>
      <c r="AP67"/>
      <c r="AQ67"/>
      <c r="AR67"/>
      <c r="AS67"/>
      <c r="AT67"/>
      <c r="AU67"/>
      <c r="AV67"/>
      <c r="AW67"/>
      <c r="AX67"/>
      <c r="AY67"/>
      <c r="AZ67"/>
    </row>
    <row r="68" spans="7:52" x14ac:dyDescent="0.3">
      <c r="G68" s="152" t="s">
        <v>754</v>
      </c>
      <c r="H68" s="109">
        <v>1</v>
      </c>
      <c r="S68"/>
      <c r="T68"/>
      <c r="V68"/>
      <c r="W68"/>
      <c r="X68"/>
      <c r="Y68"/>
      <c r="Z68"/>
      <c r="AA68"/>
      <c r="AB68"/>
      <c r="AC68"/>
      <c r="AD68"/>
      <c r="AE68"/>
      <c r="AF68"/>
      <c r="AG68"/>
      <c r="AH68"/>
      <c r="AI68"/>
      <c r="AJ68"/>
      <c r="AK68"/>
      <c r="AL68"/>
      <c r="AM68"/>
      <c r="AN68"/>
      <c r="AO68"/>
      <c r="AP68"/>
      <c r="AQ68"/>
      <c r="AR68"/>
      <c r="AS68"/>
      <c r="AT68"/>
      <c r="AU68"/>
      <c r="AV68"/>
      <c r="AW68"/>
      <c r="AX68"/>
      <c r="AY68"/>
      <c r="AZ68"/>
    </row>
    <row r="69" spans="7:52" x14ac:dyDescent="0.3">
      <c r="G69" s="153" t="s">
        <v>761</v>
      </c>
      <c r="H69" s="109">
        <v>1</v>
      </c>
      <c r="S69"/>
      <c r="T69"/>
      <c r="V69"/>
      <c r="W69"/>
      <c r="X69"/>
      <c r="Y69"/>
      <c r="Z69"/>
      <c r="AA69"/>
      <c r="AB69"/>
      <c r="AC69"/>
      <c r="AD69"/>
      <c r="AE69"/>
      <c r="AF69"/>
      <c r="AG69"/>
      <c r="AH69"/>
      <c r="AI69"/>
      <c r="AJ69"/>
      <c r="AK69"/>
      <c r="AL69"/>
      <c r="AM69"/>
      <c r="AN69"/>
      <c r="AO69"/>
      <c r="AP69"/>
      <c r="AQ69"/>
      <c r="AR69"/>
      <c r="AS69"/>
      <c r="AT69"/>
      <c r="AU69"/>
      <c r="AV69"/>
      <c r="AW69"/>
      <c r="AX69"/>
      <c r="AY69"/>
      <c r="AZ69"/>
    </row>
    <row r="70" spans="7:52" x14ac:dyDescent="0.3">
      <c r="G70" s="155" t="s">
        <v>768</v>
      </c>
      <c r="H70" s="109">
        <v>1</v>
      </c>
      <c r="S70"/>
      <c r="T70"/>
      <c r="V70"/>
      <c r="W70"/>
      <c r="X70"/>
      <c r="Y70"/>
      <c r="Z70"/>
      <c r="AA70"/>
      <c r="AB70"/>
      <c r="AC70"/>
      <c r="AD70"/>
      <c r="AE70"/>
      <c r="AF70"/>
      <c r="AG70"/>
      <c r="AH70"/>
      <c r="AI70"/>
      <c r="AJ70"/>
      <c r="AK70"/>
      <c r="AL70"/>
      <c r="AM70"/>
      <c r="AN70"/>
      <c r="AO70"/>
      <c r="AP70"/>
      <c r="AQ70"/>
      <c r="AR70"/>
      <c r="AS70"/>
      <c r="AT70"/>
      <c r="AU70"/>
      <c r="AV70"/>
      <c r="AW70"/>
      <c r="AX70"/>
      <c r="AY70"/>
      <c r="AZ70"/>
    </row>
    <row r="71" spans="7:52" x14ac:dyDescent="0.3">
      <c r="G71" s="152" t="s">
        <v>755</v>
      </c>
      <c r="H71" s="109">
        <v>7</v>
      </c>
      <c r="S71"/>
      <c r="T71"/>
      <c r="V71"/>
      <c r="W71"/>
      <c r="X71"/>
      <c r="Y71"/>
      <c r="Z71"/>
      <c r="AA71"/>
      <c r="AB71"/>
      <c r="AC71"/>
      <c r="AD71"/>
      <c r="AE71"/>
      <c r="AF71"/>
      <c r="AG71"/>
      <c r="AH71"/>
      <c r="AI71"/>
      <c r="AJ71"/>
      <c r="AK71"/>
      <c r="AL71"/>
      <c r="AM71"/>
      <c r="AN71"/>
      <c r="AO71"/>
      <c r="AP71"/>
      <c r="AQ71"/>
      <c r="AR71"/>
      <c r="AS71"/>
      <c r="AT71"/>
      <c r="AU71"/>
      <c r="AV71"/>
      <c r="AW71"/>
      <c r="AX71"/>
      <c r="AY71"/>
      <c r="AZ71"/>
    </row>
    <row r="72" spans="7:52" x14ac:dyDescent="0.3">
      <c r="G72" s="153" t="s">
        <v>760</v>
      </c>
      <c r="H72" s="109">
        <v>5</v>
      </c>
      <c r="S72"/>
      <c r="T72"/>
      <c r="V72"/>
      <c r="W72"/>
      <c r="X72"/>
      <c r="Y72"/>
      <c r="Z72"/>
      <c r="AA72"/>
      <c r="AB72"/>
      <c r="AC72"/>
      <c r="AD72"/>
      <c r="AE72"/>
      <c r="AF72"/>
      <c r="AG72"/>
      <c r="AH72"/>
      <c r="AI72"/>
      <c r="AJ72"/>
      <c r="AK72"/>
      <c r="AL72"/>
      <c r="AM72"/>
      <c r="AN72"/>
      <c r="AO72"/>
      <c r="AP72"/>
      <c r="AQ72"/>
      <c r="AR72"/>
      <c r="AS72"/>
      <c r="AT72"/>
      <c r="AU72"/>
      <c r="AV72"/>
      <c r="AW72"/>
      <c r="AX72"/>
      <c r="AY72"/>
      <c r="AZ72"/>
    </row>
    <row r="73" spans="7:52" x14ac:dyDescent="0.3">
      <c r="G73" s="155" t="s">
        <v>644</v>
      </c>
      <c r="H73" s="109">
        <v>5</v>
      </c>
      <c r="S73"/>
      <c r="T73"/>
      <c r="V73"/>
      <c r="W73"/>
      <c r="X73"/>
      <c r="Y73"/>
      <c r="Z73"/>
      <c r="AA73"/>
      <c r="AB73"/>
      <c r="AC73"/>
      <c r="AD73"/>
      <c r="AE73"/>
      <c r="AF73"/>
      <c r="AG73"/>
      <c r="AH73"/>
      <c r="AI73"/>
      <c r="AJ73"/>
      <c r="AK73"/>
      <c r="AL73"/>
      <c r="AM73"/>
      <c r="AN73"/>
      <c r="AO73"/>
      <c r="AP73"/>
      <c r="AQ73"/>
      <c r="AR73"/>
      <c r="AS73"/>
      <c r="AT73"/>
      <c r="AU73"/>
      <c r="AV73"/>
      <c r="AW73"/>
      <c r="AX73"/>
      <c r="AY73"/>
      <c r="AZ73"/>
    </row>
    <row r="74" spans="7:52" x14ac:dyDescent="0.3">
      <c r="G74" s="153" t="s">
        <v>763</v>
      </c>
      <c r="H74" s="109">
        <v>2</v>
      </c>
      <c r="S74"/>
      <c r="T74"/>
      <c r="V74"/>
      <c r="W74"/>
      <c r="X74"/>
      <c r="Y74"/>
      <c r="Z74"/>
      <c r="AA74"/>
      <c r="AB74"/>
      <c r="AC74"/>
      <c r="AD74"/>
      <c r="AE74"/>
      <c r="AF74"/>
      <c r="AG74"/>
      <c r="AH74"/>
      <c r="AI74"/>
      <c r="AJ74"/>
      <c r="AK74"/>
      <c r="AL74"/>
      <c r="AM74"/>
      <c r="AN74"/>
      <c r="AO74"/>
      <c r="AP74"/>
      <c r="AQ74"/>
      <c r="AR74"/>
      <c r="AS74"/>
      <c r="AT74"/>
      <c r="AU74"/>
      <c r="AV74"/>
      <c r="AW74"/>
      <c r="AX74"/>
      <c r="AY74"/>
      <c r="AZ74"/>
    </row>
    <row r="75" spans="7:52" x14ac:dyDescent="0.3">
      <c r="G75" s="155" t="s">
        <v>766</v>
      </c>
      <c r="H75" s="109">
        <v>2</v>
      </c>
      <c r="S75"/>
      <c r="T75"/>
      <c r="V75"/>
      <c r="W75"/>
      <c r="X75"/>
      <c r="Y75"/>
      <c r="Z75"/>
      <c r="AA75"/>
      <c r="AB75"/>
      <c r="AC75"/>
      <c r="AD75"/>
      <c r="AE75"/>
      <c r="AF75"/>
      <c r="AG75"/>
      <c r="AH75"/>
      <c r="AI75"/>
      <c r="AJ75"/>
      <c r="AK75"/>
      <c r="AL75"/>
      <c r="AM75"/>
      <c r="AN75"/>
      <c r="AO75"/>
      <c r="AP75"/>
      <c r="AQ75"/>
      <c r="AR75"/>
      <c r="AS75"/>
      <c r="AT75"/>
      <c r="AU75"/>
      <c r="AV75"/>
      <c r="AW75"/>
      <c r="AX75"/>
      <c r="AY75"/>
      <c r="AZ75"/>
    </row>
    <row r="76" spans="7:52" x14ac:dyDescent="0.3">
      <c r="G76" s="152" t="s">
        <v>756</v>
      </c>
      <c r="H76" s="109">
        <v>1</v>
      </c>
      <c r="S76"/>
      <c r="T76"/>
      <c r="V76"/>
      <c r="W76"/>
      <c r="X76"/>
      <c r="Y76"/>
      <c r="Z76"/>
      <c r="AA76"/>
      <c r="AB76"/>
      <c r="AC76"/>
      <c r="AD76"/>
      <c r="AE76"/>
      <c r="AF76"/>
      <c r="AG76"/>
      <c r="AH76"/>
      <c r="AI76"/>
      <c r="AJ76"/>
      <c r="AK76"/>
      <c r="AL76"/>
      <c r="AM76"/>
      <c r="AN76"/>
      <c r="AO76"/>
      <c r="AP76"/>
      <c r="AQ76"/>
      <c r="AR76"/>
      <c r="AS76"/>
      <c r="AT76"/>
      <c r="AU76"/>
      <c r="AV76"/>
      <c r="AW76"/>
      <c r="AX76"/>
      <c r="AY76"/>
      <c r="AZ76"/>
    </row>
    <row r="77" spans="7:52" x14ac:dyDescent="0.3">
      <c r="G77" s="153" t="s">
        <v>769</v>
      </c>
      <c r="H77" s="109">
        <v>1</v>
      </c>
      <c r="S77"/>
      <c r="T77"/>
      <c r="V77"/>
      <c r="W77"/>
      <c r="X77"/>
      <c r="Y77"/>
      <c r="Z77"/>
      <c r="AA77"/>
      <c r="AB77"/>
      <c r="AC77"/>
      <c r="AD77"/>
      <c r="AE77"/>
      <c r="AF77"/>
      <c r="AG77"/>
      <c r="AH77"/>
      <c r="AI77"/>
      <c r="AJ77"/>
      <c r="AK77"/>
      <c r="AL77"/>
      <c r="AM77"/>
      <c r="AN77"/>
      <c r="AO77"/>
      <c r="AP77"/>
      <c r="AQ77"/>
      <c r="AR77"/>
      <c r="AS77"/>
      <c r="AT77"/>
      <c r="AU77"/>
      <c r="AV77"/>
      <c r="AW77"/>
      <c r="AX77"/>
      <c r="AY77"/>
      <c r="AZ77"/>
    </row>
    <row r="78" spans="7:52" x14ac:dyDescent="0.3">
      <c r="G78" s="155" t="s">
        <v>646</v>
      </c>
      <c r="H78" s="109">
        <v>1</v>
      </c>
      <c r="S78"/>
      <c r="T78"/>
      <c r="V78"/>
      <c r="W78"/>
      <c r="X78"/>
      <c r="Y78"/>
      <c r="Z78"/>
      <c r="AA78"/>
      <c r="AB78"/>
      <c r="AC78"/>
      <c r="AD78"/>
      <c r="AE78"/>
      <c r="AF78"/>
      <c r="AG78"/>
      <c r="AH78"/>
      <c r="AI78"/>
      <c r="AJ78"/>
      <c r="AK78"/>
      <c r="AL78"/>
      <c r="AM78"/>
      <c r="AN78"/>
      <c r="AO78"/>
      <c r="AP78"/>
      <c r="AQ78"/>
      <c r="AR78"/>
      <c r="AS78"/>
      <c r="AT78"/>
      <c r="AU78"/>
      <c r="AV78"/>
      <c r="AW78"/>
      <c r="AX78"/>
      <c r="AY78"/>
      <c r="AZ78"/>
    </row>
    <row r="79" spans="7:52" x14ac:dyDescent="0.3">
      <c r="G79" s="152" t="s">
        <v>757</v>
      </c>
      <c r="H79" s="109">
        <v>5</v>
      </c>
      <c r="S79"/>
      <c r="T79"/>
      <c r="V79"/>
      <c r="W79"/>
      <c r="X79"/>
      <c r="Y79"/>
      <c r="Z79"/>
      <c r="AA79"/>
      <c r="AB79"/>
      <c r="AC79"/>
      <c r="AD79"/>
      <c r="AE79"/>
      <c r="AF79"/>
      <c r="AG79"/>
      <c r="AH79"/>
      <c r="AI79"/>
      <c r="AJ79"/>
      <c r="AK79"/>
      <c r="AL79"/>
      <c r="AM79"/>
      <c r="AN79"/>
      <c r="AO79"/>
      <c r="AP79"/>
      <c r="AQ79"/>
      <c r="AR79"/>
      <c r="AS79"/>
      <c r="AT79"/>
      <c r="AU79"/>
      <c r="AV79"/>
      <c r="AW79"/>
      <c r="AX79"/>
      <c r="AY79"/>
      <c r="AZ79"/>
    </row>
    <row r="80" spans="7:52" x14ac:dyDescent="0.3">
      <c r="G80" s="153" t="s">
        <v>769</v>
      </c>
      <c r="H80" s="109">
        <v>1</v>
      </c>
      <c r="S80"/>
      <c r="T80"/>
      <c r="V80"/>
      <c r="W80"/>
      <c r="X80"/>
      <c r="Y80"/>
      <c r="Z80"/>
      <c r="AA80"/>
      <c r="AB80"/>
      <c r="AC80"/>
      <c r="AD80"/>
      <c r="AE80"/>
      <c r="AF80"/>
      <c r="AG80"/>
      <c r="AH80"/>
      <c r="AI80"/>
      <c r="AJ80"/>
      <c r="AK80"/>
      <c r="AL80"/>
      <c r="AM80"/>
      <c r="AN80"/>
      <c r="AO80"/>
      <c r="AP80"/>
      <c r="AQ80"/>
      <c r="AR80"/>
      <c r="AS80"/>
      <c r="AT80"/>
      <c r="AU80"/>
      <c r="AV80"/>
      <c r="AW80"/>
      <c r="AX80"/>
      <c r="AY80"/>
      <c r="AZ80"/>
    </row>
    <row r="81" spans="7:52" x14ac:dyDescent="0.3">
      <c r="G81" s="155" t="s">
        <v>647</v>
      </c>
      <c r="H81" s="109">
        <v>1</v>
      </c>
      <c r="S81"/>
      <c r="T81"/>
      <c r="V81"/>
      <c r="W81"/>
      <c r="X81"/>
      <c r="Y81"/>
      <c r="Z81"/>
      <c r="AA81"/>
      <c r="AB81"/>
      <c r="AC81"/>
      <c r="AD81"/>
      <c r="AE81"/>
      <c r="AF81"/>
      <c r="AG81"/>
      <c r="AH81"/>
      <c r="AI81"/>
      <c r="AJ81"/>
      <c r="AK81"/>
      <c r="AL81"/>
      <c r="AM81"/>
      <c r="AN81"/>
      <c r="AO81"/>
      <c r="AP81"/>
      <c r="AQ81"/>
      <c r="AR81"/>
      <c r="AS81"/>
      <c r="AT81"/>
      <c r="AU81"/>
      <c r="AV81"/>
      <c r="AW81"/>
      <c r="AX81"/>
      <c r="AY81"/>
      <c r="AZ81"/>
    </row>
    <row r="82" spans="7:52" x14ac:dyDescent="0.3">
      <c r="G82" s="153" t="s">
        <v>761</v>
      </c>
      <c r="H82" s="109">
        <v>2</v>
      </c>
      <c r="S82"/>
      <c r="T82"/>
      <c r="V82"/>
      <c r="W82"/>
      <c r="X82"/>
      <c r="Y82"/>
      <c r="Z82"/>
      <c r="AA82"/>
      <c r="AB82"/>
      <c r="AC82"/>
      <c r="AD82"/>
      <c r="AE82"/>
      <c r="AF82"/>
      <c r="AG82"/>
      <c r="AH82"/>
      <c r="AI82"/>
      <c r="AJ82"/>
      <c r="AK82"/>
      <c r="AL82"/>
      <c r="AM82"/>
      <c r="AN82"/>
      <c r="AO82"/>
      <c r="AP82"/>
      <c r="AQ82"/>
      <c r="AR82"/>
      <c r="AS82"/>
      <c r="AT82"/>
      <c r="AU82"/>
      <c r="AV82"/>
      <c r="AW82"/>
      <c r="AX82"/>
      <c r="AY82"/>
      <c r="AZ82"/>
    </row>
    <row r="83" spans="7:52" x14ac:dyDescent="0.3">
      <c r="G83" s="155" t="s">
        <v>762</v>
      </c>
      <c r="H83" s="109">
        <v>2</v>
      </c>
      <c r="S83"/>
      <c r="T83"/>
      <c r="V83"/>
      <c r="W83"/>
      <c r="X83"/>
      <c r="Y83"/>
      <c r="Z83"/>
      <c r="AA83"/>
      <c r="AB83"/>
      <c r="AC83"/>
      <c r="AD83"/>
      <c r="AE83"/>
      <c r="AF83"/>
      <c r="AG83"/>
      <c r="AH83"/>
      <c r="AI83"/>
      <c r="AJ83"/>
      <c r="AK83"/>
      <c r="AL83"/>
      <c r="AM83"/>
      <c r="AN83"/>
      <c r="AO83"/>
      <c r="AP83"/>
      <c r="AQ83"/>
      <c r="AR83"/>
      <c r="AS83"/>
      <c r="AT83"/>
      <c r="AU83"/>
      <c r="AV83"/>
      <c r="AW83"/>
      <c r="AX83"/>
      <c r="AY83"/>
      <c r="AZ83"/>
    </row>
    <row r="84" spans="7:52" x14ac:dyDescent="0.3">
      <c r="G84" s="153" t="s">
        <v>763</v>
      </c>
      <c r="H84" s="109">
        <v>2</v>
      </c>
      <c r="S84"/>
      <c r="T84"/>
      <c r="V84"/>
      <c r="W84"/>
      <c r="X84"/>
      <c r="Y84"/>
      <c r="Z84"/>
      <c r="AA84"/>
      <c r="AB84"/>
      <c r="AC84"/>
      <c r="AD84"/>
      <c r="AE84"/>
      <c r="AF84"/>
      <c r="AG84"/>
      <c r="AH84"/>
      <c r="AI84"/>
      <c r="AJ84"/>
      <c r="AK84"/>
      <c r="AL84"/>
      <c r="AM84"/>
      <c r="AN84"/>
      <c r="AO84"/>
      <c r="AP84"/>
      <c r="AQ84"/>
      <c r="AR84"/>
      <c r="AS84"/>
      <c r="AT84"/>
      <c r="AU84"/>
      <c r="AV84"/>
      <c r="AW84"/>
      <c r="AX84"/>
      <c r="AY84"/>
      <c r="AZ84"/>
    </row>
    <row r="85" spans="7:52" x14ac:dyDescent="0.3">
      <c r="G85" s="155" t="s">
        <v>766</v>
      </c>
      <c r="H85" s="109">
        <v>2</v>
      </c>
      <c r="S85"/>
      <c r="T85"/>
      <c r="V85"/>
      <c r="W85"/>
      <c r="X85"/>
      <c r="Y85"/>
      <c r="Z85"/>
      <c r="AA85"/>
      <c r="AB85"/>
      <c r="AC85"/>
      <c r="AD85"/>
      <c r="AE85"/>
      <c r="AF85"/>
      <c r="AG85"/>
      <c r="AH85"/>
      <c r="AI85"/>
      <c r="AJ85"/>
      <c r="AK85"/>
      <c r="AL85"/>
      <c r="AM85"/>
      <c r="AN85"/>
      <c r="AO85"/>
      <c r="AP85"/>
      <c r="AQ85"/>
      <c r="AR85"/>
      <c r="AS85"/>
      <c r="AT85"/>
      <c r="AU85"/>
      <c r="AV85"/>
      <c r="AW85"/>
      <c r="AX85"/>
      <c r="AY85"/>
      <c r="AZ85"/>
    </row>
    <row r="86" spans="7:52" x14ac:dyDescent="0.3">
      <c r="G86" s="152" t="s">
        <v>758</v>
      </c>
      <c r="H86" s="109">
        <v>3</v>
      </c>
      <c r="S86"/>
      <c r="T86"/>
      <c r="V86"/>
      <c r="W86"/>
      <c r="X86"/>
      <c r="Y86"/>
      <c r="Z86"/>
      <c r="AA86"/>
      <c r="AB86"/>
      <c r="AC86"/>
      <c r="AD86"/>
      <c r="AE86"/>
      <c r="AF86"/>
      <c r="AG86"/>
      <c r="AH86"/>
      <c r="AI86"/>
      <c r="AJ86"/>
      <c r="AK86"/>
      <c r="AL86"/>
      <c r="AM86"/>
      <c r="AN86"/>
      <c r="AO86"/>
      <c r="AP86"/>
      <c r="AQ86"/>
      <c r="AR86"/>
      <c r="AS86"/>
      <c r="AT86"/>
      <c r="AU86"/>
      <c r="AV86"/>
      <c r="AW86"/>
      <c r="AX86"/>
      <c r="AY86"/>
      <c r="AZ86"/>
    </row>
    <row r="87" spans="7:52" x14ac:dyDescent="0.3">
      <c r="G87" s="153" t="s">
        <v>760</v>
      </c>
      <c r="H87" s="109">
        <v>3</v>
      </c>
      <c r="S87"/>
      <c r="T87"/>
      <c r="V87"/>
      <c r="W87"/>
      <c r="X87"/>
      <c r="Y87"/>
      <c r="Z87"/>
      <c r="AA87"/>
      <c r="AB87"/>
      <c r="AC87"/>
      <c r="AD87"/>
      <c r="AE87"/>
      <c r="AF87"/>
      <c r="AG87"/>
      <c r="AH87"/>
      <c r="AI87"/>
      <c r="AJ87"/>
      <c r="AK87"/>
      <c r="AL87"/>
      <c r="AM87"/>
      <c r="AN87"/>
      <c r="AO87"/>
      <c r="AP87"/>
      <c r="AQ87"/>
      <c r="AR87"/>
      <c r="AS87"/>
      <c r="AT87"/>
      <c r="AU87"/>
      <c r="AV87"/>
      <c r="AW87"/>
      <c r="AX87"/>
      <c r="AY87"/>
      <c r="AZ87"/>
    </row>
    <row r="88" spans="7:52" x14ac:dyDescent="0.3">
      <c r="G88" s="155" t="s">
        <v>642</v>
      </c>
      <c r="H88" s="109">
        <v>3</v>
      </c>
      <c r="S88"/>
      <c r="T88"/>
      <c r="V88"/>
      <c r="W88"/>
      <c r="X88"/>
      <c r="Y88"/>
      <c r="Z88"/>
      <c r="AA88"/>
      <c r="AB88"/>
      <c r="AC88"/>
      <c r="AD88"/>
      <c r="AE88"/>
      <c r="AF88"/>
      <c r="AG88"/>
      <c r="AH88"/>
      <c r="AI88"/>
      <c r="AJ88"/>
      <c r="AK88"/>
      <c r="AL88"/>
      <c r="AM88"/>
      <c r="AN88"/>
      <c r="AO88"/>
      <c r="AP88"/>
      <c r="AQ88"/>
      <c r="AR88"/>
      <c r="AS88"/>
      <c r="AT88"/>
      <c r="AU88"/>
      <c r="AV88"/>
      <c r="AW88"/>
      <c r="AX88"/>
      <c r="AY88"/>
      <c r="AZ88"/>
    </row>
    <row r="89" spans="7:52" x14ac:dyDescent="0.3">
      <c r="G89" s="152" t="s">
        <v>759</v>
      </c>
      <c r="H89" s="109">
        <v>10</v>
      </c>
      <c r="S89"/>
      <c r="T89"/>
      <c r="V89"/>
      <c r="W89"/>
      <c r="X89"/>
      <c r="Y89"/>
      <c r="Z89"/>
      <c r="AA89"/>
      <c r="AB89"/>
      <c r="AC89"/>
      <c r="AD89"/>
      <c r="AE89"/>
      <c r="AF89"/>
      <c r="AG89"/>
      <c r="AH89"/>
      <c r="AI89"/>
      <c r="AJ89"/>
      <c r="AK89"/>
      <c r="AL89"/>
      <c r="AM89"/>
      <c r="AN89"/>
      <c r="AO89"/>
      <c r="AP89"/>
      <c r="AQ89"/>
      <c r="AR89"/>
      <c r="AS89"/>
      <c r="AT89"/>
      <c r="AU89"/>
      <c r="AV89"/>
      <c r="AW89"/>
      <c r="AX89"/>
      <c r="AY89"/>
      <c r="AZ89"/>
    </row>
    <row r="90" spans="7:52" x14ac:dyDescent="0.3">
      <c r="G90" s="153" t="s">
        <v>760</v>
      </c>
      <c r="H90" s="109">
        <v>4</v>
      </c>
      <c r="S90"/>
      <c r="T90"/>
      <c r="V90"/>
      <c r="W90"/>
      <c r="X90"/>
      <c r="Y90"/>
      <c r="Z90"/>
      <c r="AA90"/>
      <c r="AB90"/>
      <c r="AC90"/>
      <c r="AD90"/>
      <c r="AE90"/>
      <c r="AF90"/>
      <c r="AG90"/>
      <c r="AH90"/>
      <c r="AI90"/>
      <c r="AJ90"/>
      <c r="AK90"/>
      <c r="AL90"/>
      <c r="AM90"/>
      <c r="AN90"/>
      <c r="AO90"/>
      <c r="AP90"/>
      <c r="AQ90"/>
      <c r="AR90"/>
      <c r="AS90"/>
      <c r="AT90"/>
      <c r="AU90"/>
      <c r="AV90"/>
      <c r="AW90"/>
      <c r="AX90"/>
      <c r="AY90"/>
      <c r="AZ90"/>
    </row>
    <row r="91" spans="7:52" x14ac:dyDescent="0.3">
      <c r="G91" s="155" t="s">
        <v>643</v>
      </c>
      <c r="H91" s="109">
        <v>1</v>
      </c>
      <c r="S91"/>
      <c r="T91"/>
      <c r="V91"/>
      <c r="W91"/>
      <c r="X91"/>
      <c r="Y91"/>
      <c r="Z91"/>
      <c r="AA91"/>
      <c r="AB91"/>
      <c r="AC91"/>
      <c r="AD91"/>
      <c r="AE91"/>
      <c r="AF91"/>
      <c r="AG91"/>
      <c r="AH91"/>
      <c r="AI91"/>
      <c r="AJ91"/>
      <c r="AK91"/>
      <c r="AL91"/>
      <c r="AM91"/>
      <c r="AN91"/>
      <c r="AO91"/>
      <c r="AP91"/>
      <c r="AQ91"/>
      <c r="AR91"/>
      <c r="AS91"/>
      <c r="AT91"/>
      <c r="AU91"/>
      <c r="AV91"/>
      <c r="AW91"/>
      <c r="AX91"/>
      <c r="AY91"/>
      <c r="AZ91"/>
    </row>
    <row r="92" spans="7:52" x14ac:dyDescent="0.3">
      <c r="G92" s="155" t="s">
        <v>644</v>
      </c>
      <c r="H92" s="109">
        <v>3</v>
      </c>
      <c r="S92"/>
      <c r="T92"/>
      <c r="V92"/>
      <c r="W92"/>
      <c r="X92"/>
      <c r="Y92"/>
      <c r="Z92"/>
      <c r="AA92"/>
      <c r="AB92"/>
      <c r="AC92"/>
      <c r="AD92"/>
      <c r="AE92"/>
      <c r="AF92"/>
      <c r="AG92"/>
      <c r="AH92"/>
      <c r="AI92"/>
      <c r="AJ92"/>
      <c r="AK92"/>
      <c r="AL92"/>
      <c r="AM92"/>
      <c r="AN92"/>
      <c r="AO92"/>
      <c r="AP92"/>
      <c r="AQ92"/>
      <c r="AR92"/>
      <c r="AS92"/>
      <c r="AT92"/>
      <c r="AU92"/>
      <c r="AV92"/>
      <c r="AW92"/>
      <c r="AX92"/>
      <c r="AY92"/>
      <c r="AZ92"/>
    </row>
    <row r="93" spans="7:52" x14ac:dyDescent="0.3">
      <c r="G93" s="153" t="s">
        <v>769</v>
      </c>
      <c r="H93" s="109">
        <v>5</v>
      </c>
      <c r="S93"/>
      <c r="T93"/>
      <c r="V93"/>
      <c r="W93"/>
      <c r="X93"/>
      <c r="Y93"/>
      <c r="Z93"/>
      <c r="AA93"/>
      <c r="AB93"/>
      <c r="AC93"/>
      <c r="AD93"/>
      <c r="AE93"/>
      <c r="AF93"/>
      <c r="AG93"/>
      <c r="AH93"/>
      <c r="AI93"/>
      <c r="AJ93"/>
      <c r="AK93"/>
      <c r="AL93"/>
      <c r="AM93"/>
      <c r="AN93"/>
      <c r="AO93"/>
      <c r="AP93"/>
      <c r="AQ93"/>
      <c r="AR93"/>
      <c r="AS93"/>
      <c r="AT93"/>
      <c r="AU93"/>
      <c r="AV93"/>
      <c r="AW93"/>
      <c r="AX93"/>
      <c r="AY93"/>
      <c r="AZ93"/>
    </row>
    <row r="94" spans="7:52" x14ac:dyDescent="0.3">
      <c r="G94" s="155" t="s">
        <v>645</v>
      </c>
      <c r="H94" s="109">
        <v>1</v>
      </c>
      <c r="S94"/>
      <c r="T94"/>
      <c r="V94"/>
      <c r="W94"/>
      <c r="X94"/>
      <c r="Y94"/>
      <c r="Z94"/>
      <c r="AA94"/>
      <c r="AB94"/>
      <c r="AC94"/>
      <c r="AD94"/>
      <c r="AE94"/>
      <c r="AF94"/>
      <c r="AG94"/>
      <c r="AH94"/>
      <c r="AI94"/>
      <c r="AJ94"/>
      <c r="AK94"/>
      <c r="AL94"/>
      <c r="AM94"/>
      <c r="AN94"/>
      <c r="AO94"/>
      <c r="AP94"/>
      <c r="AQ94"/>
      <c r="AR94"/>
      <c r="AS94"/>
      <c r="AT94"/>
      <c r="AU94"/>
      <c r="AV94"/>
      <c r="AW94"/>
      <c r="AX94"/>
      <c r="AY94"/>
      <c r="AZ94"/>
    </row>
    <row r="95" spans="7:52" x14ac:dyDescent="0.3">
      <c r="G95" s="155" t="s">
        <v>647</v>
      </c>
      <c r="H95" s="109">
        <v>4</v>
      </c>
      <c r="S95"/>
      <c r="T95"/>
      <c r="V95"/>
      <c r="W95"/>
      <c r="X95"/>
      <c r="Y95"/>
      <c r="Z95"/>
      <c r="AA95"/>
      <c r="AB95"/>
      <c r="AC95"/>
      <c r="AD95"/>
      <c r="AE95"/>
      <c r="AF95"/>
      <c r="AG95"/>
      <c r="AH95"/>
      <c r="AI95"/>
      <c r="AJ95"/>
      <c r="AK95"/>
      <c r="AL95"/>
      <c r="AM95"/>
      <c r="AN95"/>
      <c r="AO95"/>
      <c r="AP95"/>
      <c r="AQ95"/>
      <c r="AR95"/>
      <c r="AS95"/>
      <c r="AT95"/>
      <c r="AU95"/>
      <c r="AV95"/>
      <c r="AW95"/>
      <c r="AX95"/>
      <c r="AY95"/>
      <c r="AZ95"/>
    </row>
    <row r="96" spans="7:52" x14ac:dyDescent="0.3">
      <c r="G96" s="153" t="s">
        <v>763</v>
      </c>
      <c r="H96" s="109">
        <v>1</v>
      </c>
      <c r="S96"/>
      <c r="T96"/>
      <c r="V96"/>
      <c r="W96"/>
      <c r="X96"/>
      <c r="Y96"/>
      <c r="Z96"/>
      <c r="AA96"/>
      <c r="AB96"/>
      <c r="AC96"/>
      <c r="AD96"/>
      <c r="AE96"/>
      <c r="AF96"/>
      <c r="AG96"/>
      <c r="AH96"/>
      <c r="AI96"/>
      <c r="AJ96"/>
      <c r="AK96"/>
      <c r="AL96"/>
      <c r="AM96"/>
      <c r="AN96"/>
      <c r="AO96"/>
      <c r="AP96"/>
      <c r="AQ96"/>
      <c r="AR96"/>
      <c r="AS96"/>
      <c r="AT96"/>
      <c r="AU96"/>
      <c r="AV96"/>
      <c r="AW96"/>
      <c r="AX96"/>
      <c r="AY96"/>
      <c r="AZ96"/>
    </row>
    <row r="97" spans="7:52" x14ac:dyDescent="0.3">
      <c r="G97" s="155" t="s">
        <v>766</v>
      </c>
      <c r="H97" s="109">
        <v>1</v>
      </c>
      <c r="S97"/>
      <c r="T97"/>
      <c r="V97"/>
      <c r="W97"/>
      <c r="X97"/>
      <c r="Y97"/>
      <c r="Z97"/>
      <c r="AA97"/>
      <c r="AB97"/>
      <c r="AC97"/>
      <c r="AD97"/>
      <c r="AE97"/>
      <c r="AF97"/>
      <c r="AG97"/>
      <c r="AH97"/>
      <c r="AI97"/>
      <c r="AJ97"/>
      <c r="AK97"/>
      <c r="AL97"/>
      <c r="AM97"/>
      <c r="AN97"/>
      <c r="AO97"/>
      <c r="AP97"/>
      <c r="AQ97"/>
      <c r="AR97"/>
      <c r="AS97"/>
      <c r="AT97"/>
      <c r="AU97"/>
      <c r="AV97"/>
      <c r="AW97"/>
      <c r="AX97"/>
      <c r="AY97"/>
      <c r="AZ97"/>
    </row>
    <row r="98" spans="7:52" x14ac:dyDescent="0.3">
      <c r="G98" s="152" t="s">
        <v>443</v>
      </c>
      <c r="H98" s="109">
        <v>100</v>
      </c>
      <c r="S98"/>
      <c r="T98"/>
      <c r="V98"/>
      <c r="W98"/>
      <c r="X98"/>
      <c r="Y98"/>
      <c r="Z98"/>
      <c r="AA98"/>
      <c r="AB98"/>
      <c r="AC98"/>
      <c r="AD98"/>
      <c r="AE98"/>
      <c r="AF98"/>
      <c r="AG98"/>
      <c r="AH98"/>
      <c r="AI98"/>
      <c r="AJ98"/>
      <c r="AK98"/>
      <c r="AL98"/>
      <c r="AM98"/>
      <c r="AN98"/>
      <c r="AO98"/>
      <c r="AP98"/>
      <c r="AQ98"/>
      <c r="AR98"/>
      <c r="AS98"/>
      <c r="AT98"/>
      <c r="AU98"/>
      <c r="AV98"/>
      <c r="AW98"/>
      <c r="AX98"/>
      <c r="AY98"/>
      <c r="AZ98"/>
    </row>
    <row r="99" spans="7:52" x14ac:dyDescent="0.3">
      <c r="T99"/>
      <c r="U99"/>
      <c r="V99"/>
      <c r="W99"/>
      <c r="X99"/>
      <c r="Y99"/>
      <c r="Z99"/>
      <c r="AA99"/>
      <c r="AB99"/>
      <c r="AC99"/>
      <c r="AD99"/>
      <c r="AE99"/>
      <c r="AF99"/>
      <c r="AG99"/>
      <c r="AH99"/>
      <c r="AI99"/>
      <c r="AJ99"/>
      <c r="AK99"/>
      <c r="AL99"/>
      <c r="AM99"/>
      <c r="AN99"/>
      <c r="AO99"/>
      <c r="AP99"/>
      <c r="AQ99"/>
      <c r="AR99"/>
      <c r="AS99"/>
      <c r="AT99"/>
      <c r="AU99"/>
      <c r="AV99"/>
      <c r="AW99"/>
      <c r="AX99"/>
    </row>
    <row r="100" spans="7:52" x14ac:dyDescent="0.3">
      <c r="T100"/>
      <c r="U100"/>
      <c r="V100"/>
      <c r="W100"/>
      <c r="X100"/>
      <c r="Y100"/>
      <c r="Z100"/>
      <c r="AA100"/>
      <c r="AB100"/>
      <c r="AC100"/>
      <c r="AD100"/>
      <c r="AE100"/>
      <c r="AF100"/>
      <c r="AG100"/>
      <c r="AH100"/>
      <c r="AI100"/>
      <c r="AJ100"/>
      <c r="AK100"/>
      <c r="AL100"/>
      <c r="AM100"/>
      <c r="AN100"/>
      <c r="AO100"/>
      <c r="AP100"/>
      <c r="AQ100"/>
      <c r="AR100"/>
      <c r="AS100"/>
      <c r="AT100"/>
      <c r="AU100"/>
      <c r="AV100"/>
      <c r="AW100"/>
      <c r="AX100"/>
    </row>
    <row r="101" spans="7:52" x14ac:dyDescent="0.3">
      <c r="T101"/>
      <c r="U101"/>
      <c r="V101"/>
      <c r="W101"/>
      <c r="X101"/>
      <c r="Y101"/>
      <c r="Z101"/>
      <c r="AA101"/>
      <c r="AB101"/>
      <c r="AC101"/>
      <c r="AD101"/>
      <c r="AE101"/>
      <c r="AF101"/>
      <c r="AG101"/>
      <c r="AH101"/>
      <c r="AI101"/>
      <c r="AJ101"/>
      <c r="AK101"/>
      <c r="AL101"/>
      <c r="AM101"/>
      <c r="AN101"/>
      <c r="AO101"/>
      <c r="AP101"/>
      <c r="AQ101"/>
      <c r="AR101"/>
      <c r="AS101"/>
      <c r="AT101"/>
      <c r="AU101"/>
      <c r="AV101"/>
      <c r="AW101"/>
      <c r="AX101"/>
    </row>
    <row r="102" spans="7:52" x14ac:dyDescent="0.3">
      <c r="T102"/>
      <c r="U102"/>
      <c r="V102"/>
      <c r="W102"/>
      <c r="X102"/>
      <c r="Y102"/>
      <c r="Z102"/>
      <c r="AA102"/>
      <c r="AB102"/>
      <c r="AC102"/>
      <c r="AD102"/>
      <c r="AE102"/>
      <c r="AF102"/>
      <c r="AG102"/>
      <c r="AH102"/>
      <c r="AI102"/>
      <c r="AJ102"/>
      <c r="AK102"/>
      <c r="AL102"/>
      <c r="AM102"/>
      <c r="AN102"/>
      <c r="AO102"/>
      <c r="AP102"/>
      <c r="AQ102"/>
      <c r="AR102"/>
      <c r="AS102"/>
      <c r="AT102"/>
      <c r="AU102"/>
      <c r="AV102"/>
      <c r="AW102"/>
      <c r="AX102"/>
    </row>
    <row r="103" spans="7:52" x14ac:dyDescent="0.3">
      <c r="T103"/>
      <c r="U103"/>
      <c r="V103"/>
      <c r="W103"/>
      <c r="X103"/>
      <c r="Y103"/>
      <c r="Z103"/>
      <c r="AA103"/>
      <c r="AB103"/>
      <c r="AC103"/>
      <c r="AD103"/>
      <c r="AE103"/>
      <c r="AF103"/>
      <c r="AG103"/>
      <c r="AH103"/>
      <c r="AI103"/>
      <c r="AJ103"/>
      <c r="AK103"/>
      <c r="AL103"/>
      <c r="AM103"/>
      <c r="AN103"/>
      <c r="AO103"/>
      <c r="AP103"/>
      <c r="AQ103"/>
      <c r="AR103"/>
      <c r="AS103"/>
      <c r="AT103"/>
      <c r="AU103"/>
      <c r="AV103"/>
      <c r="AW103"/>
      <c r="AX103"/>
    </row>
    <row r="104" spans="7:52" x14ac:dyDescent="0.3">
      <c r="T104"/>
      <c r="U104"/>
      <c r="V104"/>
      <c r="W104"/>
      <c r="X104"/>
      <c r="Y104"/>
      <c r="Z104"/>
      <c r="AA104"/>
      <c r="AB104"/>
      <c r="AC104"/>
      <c r="AD104"/>
      <c r="AE104"/>
      <c r="AF104"/>
      <c r="AG104"/>
      <c r="AH104"/>
      <c r="AI104"/>
      <c r="AJ104"/>
      <c r="AK104"/>
      <c r="AL104"/>
      <c r="AM104"/>
      <c r="AN104"/>
      <c r="AO104"/>
      <c r="AP104"/>
      <c r="AQ104"/>
      <c r="AR104"/>
      <c r="AS104"/>
      <c r="AT104"/>
      <c r="AU104"/>
      <c r="AV104"/>
      <c r="AW104"/>
      <c r="AX104"/>
    </row>
    <row r="105" spans="7:52" x14ac:dyDescent="0.3">
      <c r="T105"/>
      <c r="U105"/>
      <c r="V105"/>
      <c r="W105"/>
      <c r="X105"/>
      <c r="Y105"/>
      <c r="Z105"/>
      <c r="AA105"/>
      <c r="AB105"/>
      <c r="AC105"/>
      <c r="AD105"/>
      <c r="AE105"/>
      <c r="AF105"/>
      <c r="AG105"/>
      <c r="AH105"/>
      <c r="AI105"/>
      <c r="AJ105"/>
      <c r="AK105"/>
      <c r="AL105"/>
      <c r="AM105"/>
      <c r="AN105"/>
      <c r="AO105"/>
      <c r="AP105"/>
      <c r="AQ105"/>
      <c r="AR105"/>
      <c r="AS105"/>
      <c r="AT105"/>
      <c r="AU105"/>
      <c r="AV105"/>
      <c r="AW105"/>
      <c r="AX105"/>
    </row>
    <row r="106" spans="7:52" x14ac:dyDescent="0.3">
      <c r="T106"/>
    </row>
    <row r="107" spans="7:52" x14ac:dyDescent="0.3">
      <c r="T107"/>
    </row>
    <row r="108" spans="7:52" x14ac:dyDescent="0.3">
      <c r="T108"/>
    </row>
    <row r="109" spans="7:52" x14ac:dyDescent="0.3">
      <c r="T109"/>
    </row>
    <row r="110" spans="7:52" x14ac:dyDescent="0.3">
      <c r="T110"/>
    </row>
    <row r="111" spans="7:52" x14ac:dyDescent="0.3">
      <c r="T111"/>
    </row>
    <row r="112" spans="7:52" x14ac:dyDescent="0.3">
      <c r="T112"/>
    </row>
    <row r="113" spans="20:20" x14ac:dyDescent="0.3">
      <c r="T113"/>
    </row>
    <row r="114" spans="20:20" x14ac:dyDescent="0.3">
      <c r="T114"/>
    </row>
    <row r="115" spans="20:20" x14ac:dyDescent="0.3">
      <c r="T115"/>
    </row>
    <row r="116" spans="20:20" x14ac:dyDescent="0.3">
      <c r="T116"/>
    </row>
    <row r="117" spans="20:20" x14ac:dyDescent="0.3">
      <c r="T117"/>
    </row>
    <row r="118" spans="20:20" x14ac:dyDescent="0.3">
      <c r="T118"/>
    </row>
    <row r="119" spans="20:20" x14ac:dyDescent="0.3">
      <c r="T119"/>
    </row>
    <row r="120" spans="20:20" x14ac:dyDescent="0.3">
      <c r="T120"/>
    </row>
    <row r="121" spans="20:20" x14ac:dyDescent="0.3">
      <c r="T121"/>
    </row>
    <row r="122" spans="20:20" x14ac:dyDescent="0.3">
      <c r="T122"/>
    </row>
    <row r="123" spans="20:20" x14ac:dyDescent="0.3">
      <c r="T123"/>
    </row>
    <row r="124" spans="20:20" x14ac:dyDescent="0.3">
      <c r="T124"/>
    </row>
    <row r="125" spans="20:20" x14ac:dyDescent="0.3">
      <c r="T125"/>
    </row>
    <row r="126" spans="20:20" x14ac:dyDescent="0.3">
      <c r="T126"/>
    </row>
    <row r="127" spans="20:20" x14ac:dyDescent="0.3">
      <c r="T127"/>
    </row>
    <row r="128" spans="20:20" x14ac:dyDescent="0.3">
      <c r="T128"/>
    </row>
    <row r="129" spans="20:20" x14ac:dyDescent="0.3">
      <c r="T129"/>
    </row>
    <row r="130" spans="20:20" x14ac:dyDescent="0.3">
      <c r="T130"/>
    </row>
    <row r="131" spans="20:20" x14ac:dyDescent="0.3">
      <c r="T131"/>
    </row>
    <row r="132" spans="20:20" x14ac:dyDescent="0.3">
      <c r="T132"/>
    </row>
    <row r="133" spans="20:20" x14ac:dyDescent="0.3">
      <c r="T133"/>
    </row>
    <row r="134" spans="20:20" x14ac:dyDescent="0.3">
      <c r="T134"/>
    </row>
    <row r="135" spans="20:20" x14ac:dyDescent="0.3">
      <c r="T135"/>
    </row>
    <row r="136" spans="20:20" x14ac:dyDescent="0.3">
      <c r="T136"/>
    </row>
    <row r="137" spans="20:20" x14ac:dyDescent="0.3">
      <c r="T137"/>
    </row>
    <row r="138" spans="20:20" x14ac:dyDescent="0.3">
      <c r="T138"/>
    </row>
    <row r="139" spans="20:20" x14ac:dyDescent="0.3">
      <c r="T139"/>
    </row>
    <row r="140" spans="20:20" x14ac:dyDescent="0.3">
      <c r="T140"/>
    </row>
    <row r="141" spans="20:20" x14ac:dyDescent="0.3">
      <c r="T141"/>
    </row>
    <row r="142" spans="20:20" x14ac:dyDescent="0.3">
      <c r="T142"/>
    </row>
    <row r="143" spans="20:20" x14ac:dyDescent="0.3">
      <c r="T143"/>
    </row>
    <row r="144" spans="20:20" x14ac:dyDescent="0.3">
      <c r="T144"/>
    </row>
    <row r="145" spans="20:20" x14ac:dyDescent="0.3">
      <c r="T145"/>
    </row>
    <row r="146" spans="20:20" x14ac:dyDescent="0.3">
      <c r="T146"/>
    </row>
    <row r="147" spans="20:20" x14ac:dyDescent="0.3">
      <c r="T147"/>
    </row>
    <row r="148" spans="20:20" x14ac:dyDescent="0.3">
      <c r="T148"/>
    </row>
    <row r="149" spans="20:20" x14ac:dyDescent="0.3">
      <c r="T149"/>
    </row>
    <row r="150" spans="20:20" x14ac:dyDescent="0.3">
      <c r="T150"/>
    </row>
    <row r="151" spans="20:20" x14ac:dyDescent="0.3">
      <c r="T151"/>
    </row>
    <row r="152" spans="20:20" x14ac:dyDescent="0.3">
      <c r="T152"/>
    </row>
    <row r="153" spans="20:20" x14ac:dyDescent="0.3">
      <c r="T153"/>
    </row>
    <row r="154" spans="20:20" x14ac:dyDescent="0.3">
      <c r="T154"/>
    </row>
    <row r="155" spans="20:20" x14ac:dyDescent="0.3">
      <c r="T155"/>
    </row>
    <row r="156" spans="20:20" x14ac:dyDescent="0.3">
      <c r="T156"/>
    </row>
    <row r="157" spans="20:20" x14ac:dyDescent="0.3">
      <c r="T157"/>
    </row>
    <row r="158" spans="20:20" x14ac:dyDescent="0.3">
      <c r="T158"/>
    </row>
    <row r="159" spans="20:20" x14ac:dyDescent="0.3">
      <c r="T159"/>
    </row>
    <row r="160" spans="20:20" x14ac:dyDescent="0.3">
      <c r="T160"/>
    </row>
    <row r="161" spans="20:20" x14ac:dyDescent="0.3">
      <c r="T161"/>
    </row>
    <row r="162" spans="20:20" x14ac:dyDescent="0.3">
      <c r="T162"/>
    </row>
    <row r="163" spans="20:20" x14ac:dyDescent="0.3">
      <c r="T163"/>
    </row>
    <row r="164" spans="20:20" x14ac:dyDescent="0.3">
      <c r="T164"/>
    </row>
    <row r="165" spans="20:20" x14ac:dyDescent="0.3">
      <c r="T165"/>
    </row>
    <row r="166" spans="20:20" x14ac:dyDescent="0.3">
      <c r="T166"/>
    </row>
    <row r="167" spans="20:20" x14ac:dyDescent="0.3">
      <c r="T167"/>
    </row>
    <row r="168" spans="20:20" x14ac:dyDescent="0.3">
      <c r="T168"/>
    </row>
    <row r="169" spans="20:20" x14ac:dyDescent="0.3">
      <c r="T169"/>
    </row>
    <row r="170" spans="20:20" x14ac:dyDescent="0.3">
      <c r="T170"/>
    </row>
    <row r="171" spans="20:20" x14ac:dyDescent="0.3">
      <c r="T171"/>
    </row>
    <row r="172" spans="20:20" x14ac:dyDescent="0.3">
      <c r="T172"/>
    </row>
    <row r="173" spans="20:20" x14ac:dyDescent="0.3">
      <c r="T173"/>
    </row>
    <row r="174" spans="20:20" x14ac:dyDescent="0.3">
      <c r="T174"/>
    </row>
    <row r="175" spans="20:20" x14ac:dyDescent="0.3">
      <c r="T175"/>
    </row>
    <row r="176" spans="20:20" x14ac:dyDescent="0.3">
      <c r="T176"/>
    </row>
    <row r="177" spans="20:20" x14ac:dyDescent="0.3">
      <c r="T177"/>
    </row>
    <row r="178" spans="20:20" x14ac:dyDescent="0.3">
      <c r="T178"/>
    </row>
    <row r="179" spans="20:20" x14ac:dyDescent="0.3">
      <c r="T179"/>
    </row>
    <row r="180" spans="20:20" x14ac:dyDescent="0.3">
      <c r="T180"/>
    </row>
    <row r="181" spans="20:20" x14ac:dyDescent="0.3">
      <c r="T181"/>
    </row>
    <row r="182" spans="20:20" x14ac:dyDescent="0.3">
      <c r="T182"/>
    </row>
    <row r="183" spans="20:20" x14ac:dyDescent="0.3">
      <c r="T183"/>
    </row>
    <row r="184" spans="20:20" x14ac:dyDescent="0.3">
      <c r="T184"/>
    </row>
    <row r="185" spans="20:20" x14ac:dyDescent="0.3">
      <c r="T185"/>
    </row>
    <row r="186" spans="20:20" x14ac:dyDescent="0.3">
      <c r="T186"/>
    </row>
    <row r="187" spans="20:20" x14ac:dyDescent="0.3">
      <c r="T187"/>
    </row>
    <row r="188" spans="20:20" x14ac:dyDescent="0.3">
      <c r="T188"/>
    </row>
    <row r="189" spans="20:20" x14ac:dyDescent="0.3">
      <c r="T189"/>
    </row>
    <row r="190" spans="20:20" x14ac:dyDescent="0.3">
      <c r="T190"/>
    </row>
    <row r="191" spans="20:20" x14ac:dyDescent="0.3">
      <c r="T191"/>
    </row>
    <row r="192" spans="20:20" x14ac:dyDescent="0.3">
      <c r="T192"/>
    </row>
    <row r="193" spans="20:20" x14ac:dyDescent="0.3">
      <c r="T193"/>
    </row>
    <row r="194" spans="20:20" x14ac:dyDescent="0.3">
      <c r="T194"/>
    </row>
    <row r="195" spans="20:20" x14ac:dyDescent="0.3">
      <c r="T195"/>
    </row>
    <row r="196" spans="20:20" x14ac:dyDescent="0.3">
      <c r="T196"/>
    </row>
    <row r="197" spans="20:20" x14ac:dyDescent="0.3">
      <c r="T197"/>
    </row>
    <row r="198" spans="20:20" x14ac:dyDescent="0.3">
      <c r="T198"/>
    </row>
    <row r="199" spans="20:20" x14ac:dyDescent="0.3">
      <c r="T199"/>
    </row>
    <row r="200" spans="20:20" x14ac:dyDescent="0.3">
      <c r="T200"/>
    </row>
    <row r="201" spans="20:20" x14ac:dyDescent="0.3">
      <c r="T201"/>
    </row>
    <row r="202" spans="20:20" x14ac:dyDescent="0.3">
      <c r="T202"/>
    </row>
    <row r="203" spans="20:20" x14ac:dyDescent="0.3">
      <c r="T203"/>
    </row>
    <row r="204" spans="20:20" x14ac:dyDescent="0.3">
      <c r="T20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74AFE-1E57-4731-8E40-DE1BCA58B01A}">
  <dimension ref="A2:BE204"/>
  <sheetViews>
    <sheetView topLeftCell="AW1" zoomScale="137" workbookViewId="0">
      <selection activeCell="BA4" sqref="BA4"/>
    </sheetView>
  </sheetViews>
  <sheetFormatPr defaultRowHeight="13.8" x14ac:dyDescent="0.3"/>
  <cols>
    <col min="1" max="1" width="12.88671875" style="109" bestFit="1" customWidth="1"/>
    <col min="2" max="2" width="16.77734375" style="109" bestFit="1" customWidth="1"/>
    <col min="3" max="3" width="11.5546875" style="109" bestFit="1" customWidth="1"/>
    <col min="4" max="4" width="13.44140625" style="109" bestFit="1" customWidth="1"/>
    <col min="5" max="5" width="14.21875" style="109" bestFit="1" customWidth="1"/>
    <col min="6" max="8" width="14.21875" style="109" customWidth="1"/>
    <col min="9" max="9" width="8.88671875" style="109"/>
    <col min="10" max="10" width="12.109375" style="109" bestFit="1" customWidth="1"/>
    <col min="11" max="11" width="16.77734375" style="109" bestFit="1" customWidth="1"/>
    <col min="12" max="13" width="4.6640625" style="109" bestFit="1" customWidth="1"/>
    <col min="14" max="14" width="16.77734375" style="109" bestFit="1" customWidth="1"/>
    <col min="15" max="15" width="14.5546875" style="109" bestFit="1" customWidth="1"/>
    <col min="16" max="18" width="4.6640625" style="109" bestFit="1" customWidth="1"/>
    <col min="19" max="19" width="10.109375" style="109" bestFit="1" customWidth="1"/>
    <col min="20" max="21" width="10.109375" style="109" customWidth="1"/>
    <col min="22" max="22" width="12.109375" style="109" bestFit="1" customWidth="1"/>
    <col min="23" max="23" width="16.77734375" style="109" bestFit="1" customWidth="1"/>
    <col min="24" max="24" width="11.5546875" style="109" bestFit="1" customWidth="1"/>
    <col min="25" max="25" width="13.44140625" style="109" bestFit="1" customWidth="1"/>
    <col min="26" max="26" width="11.5546875" style="109" bestFit="1" customWidth="1"/>
    <col min="27" max="27" width="11.5546875" style="109" customWidth="1"/>
    <col min="28" max="28" width="13.6640625" style="109" bestFit="1" customWidth="1"/>
    <col min="29" max="30" width="11.5546875" style="109" customWidth="1"/>
    <col min="31" max="31" width="12.109375" style="109" bestFit="1" customWidth="1"/>
    <col min="32" max="32" width="16.77734375" style="109" bestFit="1" customWidth="1"/>
    <col min="33" max="33" width="11.5546875" style="109" bestFit="1" customWidth="1"/>
    <col min="34" max="34" width="6" style="109" bestFit="1" customWidth="1"/>
    <col min="35" max="35" width="13" style="109" bestFit="1" customWidth="1"/>
    <col min="36" max="36" width="16.77734375" style="109" bestFit="1" customWidth="1"/>
    <col min="37" max="37" width="11.5546875" style="109" bestFit="1" customWidth="1"/>
    <col min="38" max="38" width="6" style="109" bestFit="1" customWidth="1"/>
    <col min="39" max="39" width="13" style="109" bestFit="1" customWidth="1"/>
    <col min="40" max="41" width="11.5546875" style="109" bestFit="1" customWidth="1"/>
    <col min="42" max="42" width="13.6640625" style="109" bestFit="1" customWidth="1"/>
    <col min="43" max="43" width="15.33203125" style="109" bestFit="1" customWidth="1"/>
    <col min="44" max="44" width="16.88671875" style="109" bestFit="1" customWidth="1"/>
    <col min="45" max="45" width="6" style="109" bestFit="1" customWidth="1"/>
    <col min="46" max="46" width="13" style="109" bestFit="1" customWidth="1"/>
    <col min="47" max="47" width="16.77734375" style="109" bestFit="1" customWidth="1"/>
    <col min="48" max="48" width="6" style="109" bestFit="1" customWidth="1"/>
    <col min="49" max="49" width="12.109375" style="109" bestFit="1" customWidth="1"/>
    <col min="50" max="50" width="16.77734375" style="109" bestFit="1" customWidth="1"/>
    <col min="51" max="52" width="6" style="109" bestFit="1" customWidth="1"/>
    <col min="53" max="53" width="15.44140625" style="109" bestFit="1" customWidth="1"/>
    <col min="54" max="54" width="8.88671875" style="109"/>
    <col min="55" max="55" width="11.5546875" style="109" bestFit="1" customWidth="1"/>
    <col min="56" max="16384" width="8.88671875" style="109"/>
  </cols>
  <sheetData>
    <row r="2" spans="1:57" x14ac:dyDescent="0.3">
      <c r="D2" s="109" t="s">
        <v>799</v>
      </c>
      <c r="J2" s="109" t="s">
        <v>770</v>
      </c>
      <c r="Y2" s="109" t="s">
        <v>796</v>
      </c>
      <c r="AB2" s="109" t="s">
        <v>797</v>
      </c>
      <c r="AE2" s="109" t="s">
        <v>798</v>
      </c>
      <c r="AI2" s="109" t="s">
        <v>790</v>
      </c>
      <c r="AO2" s="109" t="s">
        <v>791</v>
      </c>
      <c r="BA2" s="109" t="s">
        <v>813</v>
      </c>
    </row>
    <row r="3" spans="1:57" x14ac:dyDescent="0.3">
      <c r="A3" s="151" t="s">
        <v>733</v>
      </c>
      <c r="B3" s="109" t="s">
        <v>735</v>
      </c>
      <c r="C3" s="109" t="s">
        <v>736</v>
      </c>
      <c r="D3" s="109" t="s">
        <v>738</v>
      </c>
      <c r="E3" s="109" t="s">
        <v>737</v>
      </c>
      <c r="J3" s="151" t="s">
        <v>733</v>
      </c>
      <c r="K3" s="109" t="s">
        <v>735</v>
      </c>
      <c r="N3" s="151" t="s">
        <v>735</v>
      </c>
      <c r="O3" s="151" t="s">
        <v>734</v>
      </c>
      <c r="V3" s="151" t="s">
        <v>733</v>
      </c>
      <c r="W3" s="109" t="s">
        <v>735</v>
      </c>
      <c r="Y3" s="151" t="s">
        <v>733</v>
      </c>
      <c r="Z3" s="109" t="s">
        <v>736</v>
      </c>
      <c r="AB3" s="151" t="s">
        <v>733</v>
      </c>
      <c r="AC3" s="109" t="s">
        <v>736</v>
      </c>
      <c r="AE3" s="151" t="s">
        <v>733</v>
      </c>
      <c r="AF3" s="109" t="s">
        <v>784</v>
      </c>
      <c r="AG3" s="109" t="s">
        <v>736</v>
      </c>
      <c r="AH3"/>
      <c r="AI3" s="151" t="s">
        <v>730</v>
      </c>
      <c r="AJ3" s="109" t="s">
        <v>784</v>
      </c>
      <c r="AK3"/>
      <c r="AL3"/>
      <c r="AM3" s="151" t="s">
        <v>730</v>
      </c>
      <c r="AN3" s="109" t="s">
        <v>736</v>
      </c>
      <c r="AO3" s="109" t="s">
        <v>792</v>
      </c>
      <c r="AP3" s="109" t="s">
        <v>793</v>
      </c>
      <c r="AQ3" s="109" t="s">
        <v>795</v>
      </c>
      <c r="AR3" s="109" t="s">
        <v>794</v>
      </c>
      <c r="AS3"/>
      <c r="AT3" s="151" t="s">
        <v>730</v>
      </c>
      <c r="AU3" s="109" t="s">
        <v>735</v>
      </c>
      <c r="AV3"/>
      <c r="AW3" s="151" t="s">
        <v>733</v>
      </c>
      <c r="AX3" s="109" t="s">
        <v>784</v>
      </c>
      <c r="AY3"/>
      <c r="AZ3"/>
      <c r="BA3" s="109" t="s">
        <v>812</v>
      </c>
      <c r="BB3"/>
      <c r="BC3" s="109" t="s">
        <v>736</v>
      </c>
      <c r="BD3"/>
      <c r="BE3"/>
    </row>
    <row r="4" spans="1:57" x14ac:dyDescent="0.3">
      <c r="A4" s="152" t="s">
        <v>58</v>
      </c>
      <c r="B4" s="109">
        <v>40</v>
      </c>
      <c r="C4" s="109">
        <v>633500</v>
      </c>
      <c r="D4" s="154">
        <v>0.40770357022187181</v>
      </c>
      <c r="E4" s="154">
        <v>1</v>
      </c>
      <c r="F4" s="154"/>
      <c r="G4" s="154"/>
      <c r="H4" s="154"/>
      <c r="J4" s="152" t="s">
        <v>739</v>
      </c>
      <c r="K4" s="109">
        <v>3</v>
      </c>
      <c r="N4" s="151" t="s">
        <v>733</v>
      </c>
      <c r="O4" s="109" t="s">
        <v>760</v>
      </c>
      <c r="P4" s="109" t="s">
        <v>769</v>
      </c>
      <c r="Q4" s="109" t="s">
        <v>761</v>
      </c>
      <c r="R4" s="109" t="s">
        <v>763</v>
      </c>
      <c r="S4" s="109" t="s">
        <v>443</v>
      </c>
      <c r="V4" s="152" t="s">
        <v>739</v>
      </c>
      <c r="W4" s="109">
        <v>3</v>
      </c>
      <c r="Y4" s="152" t="s">
        <v>779</v>
      </c>
      <c r="Z4" s="109">
        <v>49000</v>
      </c>
      <c r="AB4" s="152" t="s">
        <v>778</v>
      </c>
      <c r="AC4" s="109">
        <v>7000</v>
      </c>
      <c r="AE4" s="152" t="s">
        <v>47</v>
      </c>
      <c r="AF4" s="109">
        <v>10</v>
      </c>
      <c r="AG4" s="109">
        <v>148750</v>
      </c>
      <c r="AH4"/>
      <c r="AI4" s="152" t="s">
        <v>785</v>
      </c>
      <c r="AJ4" s="109">
        <v>19</v>
      </c>
      <c r="AK4"/>
      <c r="AL4"/>
      <c r="AM4" s="152" t="s">
        <v>739</v>
      </c>
      <c r="AN4" s="109">
        <v>55125</v>
      </c>
      <c r="AO4" s="109">
        <v>55125</v>
      </c>
      <c r="AP4" s="154">
        <v>3.5476968127041333E-2</v>
      </c>
      <c r="AR4" s="154"/>
      <c r="AS4"/>
      <c r="AT4" s="152" t="s">
        <v>800</v>
      </c>
      <c r="AU4" s="109">
        <v>16</v>
      </c>
      <c r="AV4"/>
      <c r="AW4" s="152" t="s">
        <v>47</v>
      </c>
      <c r="AX4" s="109">
        <v>10</v>
      </c>
      <c r="AY4"/>
      <c r="AZ4"/>
      <c r="BA4" s="109">
        <v>100</v>
      </c>
      <c r="BB4"/>
      <c r="BC4" s="109">
        <v>1553825</v>
      </c>
      <c r="BD4"/>
      <c r="BE4"/>
    </row>
    <row r="5" spans="1:57" x14ac:dyDescent="0.3">
      <c r="A5" s="153" t="s">
        <v>47</v>
      </c>
      <c r="B5" s="109">
        <v>4</v>
      </c>
      <c r="C5" s="109">
        <v>65625</v>
      </c>
      <c r="D5" s="154">
        <v>4.2234485865525397E-2</v>
      </c>
      <c r="E5" s="154">
        <v>0.10359116022099447</v>
      </c>
      <c r="F5" s="154"/>
      <c r="G5" s="154"/>
      <c r="H5" s="154"/>
      <c r="J5" s="152" t="s">
        <v>740</v>
      </c>
      <c r="K5" s="109">
        <v>3</v>
      </c>
      <c r="N5" s="152" t="s">
        <v>739</v>
      </c>
      <c r="O5" s="109">
        <v>2</v>
      </c>
      <c r="Q5" s="109">
        <v>1</v>
      </c>
      <c r="S5" s="109">
        <v>3</v>
      </c>
      <c r="V5" s="152" t="s">
        <v>740</v>
      </c>
      <c r="W5" s="109">
        <v>3</v>
      </c>
      <c r="Y5" s="152" t="s">
        <v>780</v>
      </c>
      <c r="Z5" s="109">
        <v>24500</v>
      </c>
      <c r="AB5" s="152" t="s">
        <v>776</v>
      </c>
      <c r="AC5" s="109">
        <v>7000</v>
      </c>
      <c r="AE5" s="152" t="s">
        <v>19</v>
      </c>
      <c r="AF5" s="109">
        <v>16</v>
      </c>
      <c r="AG5" s="109">
        <v>241325</v>
      </c>
      <c r="AH5"/>
      <c r="AI5" s="152" t="s">
        <v>786</v>
      </c>
      <c r="AJ5" s="109">
        <v>16</v>
      </c>
      <c r="AK5"/>
      <c r="AL5"/>
      <c r="AM5" s="152" t="s">
        <v>740</v>
      </c>
      <c r="AN5" s="109">
        <v>57750</v>
      </c>
      <c r="AO5" s="109">
        <v>112875</v>
      </c>
      <c r="AP5" s="154">
        <v>7.2643315688703677E-2</v>
      </c>
      <c r="AQ5" s="109">
        <v>2625</v>
      </c>
      <c r="AR5" s="154">
        <v>4.7619047619047616E-2</v>
      </c>
      <c r="AS5"/>
      <c r="AT5" s="152" t="s">
        <v>801</v>
      </c>
      <c r="AU5" s="109">
        <v>25</v>
      </c>
      <c r="AV5"/>
      <c r="AW5" s="152" t="s">
        <v>19</v>
      </c>
      <c r="AX5" s="109">
        <v>16</v>
      </c>
      <c r="AY5"/>
      <c r="AZ5"/>
      <c r="BA5"/>
      <c r="BB5"/>
      <c r="BC5"/>
      <c r="BD5"/>
      <c r="BE5"/>
    </row>
    <row r="6" spans="1:57" x14ac:dyDescent="0.3">
      <c r="A6" s="153" t="s">
        <v>19</v>
      </c>
      <c r="B6" s="109">
        <v>7</v>
      </c>
      <c r="C6" s="109">
        <v>94325</v>
      </c>
      <c r="D6" s="154">
        <v>6.070503435071517E-2</v>
      </c>
      <c r="E6" s="154">
        <v>0.1488950276243094</v>
      </c>
      <c r="F6" s="154"/>
      <c r="G6" s="154"/>
      <c r="H6" s="154"/>
      <c r="J6" s="153" t="s">
        <v>760</v>
      </c>
      <c r="K6" s="109">
        <v>1</v>
      </c>
      <c r="N6" s="152" t="s">
        <v>740</v>
      </c>
      <c r="O6" s="109">
        <v>1</v>
      </c>
      <c r="R6" s="109">
        <v>2</v>
      </c>
      <c r="S6" s="109">
        <v>3</v>
      </c>
      <c r="V6" s="152" t="s">
        <v>741</v>
      </c>
      <c r="W6" s="109">
        <v>2</v>
      </c>
      <c r="Y6" s="152" t="s">
        <v>781</v>
      </c>
      <c r="Z6" s="109">
        <v>24500</v>
      </c>
      <c r="AB6" s="152" t="s">
        <v>782</v>
      </c>
      <c r="AC6" s="109">
        <v>7000</v>
      </c>
      <c r="AE6" s="152" t="s">
        <v>16</v>
      </c>
      <c r="AF6" s="109">
        <v>1</v>
      </c>
      <c r="AG6" s="109">
        <v>49000</v>
      </c>
      <c r="AH6"/>
      <c r="AI6" s="152" t="s">
        <v>787</v>
      </c>
      <c r="AJ6" s="109">
        <v>43</v>
      </c>
      <c r="AK6"/>
      <c r="AL6"/>
      <c r="AM6" s="152" t="s">
        <v>741</v>
      </c>
      <c r="AN6" s="109">
        <v>37625</v>
      </c>
      <c r="AO6" s="109">
        <v>150500</v>
      </c>
      <c r="AP6" s="154">
        <v>9.6857754251604908E-2</v>
      </c>
      <c r="AQ6" s="109">
        <v>-20125</v>
      </c>
      <c r="AR6" s="154">
        <v>-0.34848484848484851</v>
      </c>
      <c r="AS6"/>
      <c r="AT6" s="152" t="s">
        <v>802</v>
      </c>
      <c r="AU6" s="109">
        <v>48</v>
      </c>
      <c r="AV6"/>
      <c r="AW6" s="152" t="s">
        <v>16</v>
      </c>
      <c r="AX6" s="109">
        <v>1</v>
      </c>
      <c r="AY6"/>
      <c r="AZ6"/>
      <c r="BA6"/>
      <c r="BB6"/>
      <c r="BC6"/>
      <c r="BD6"/>
      <c r="BE6"/>
    </row>
    <row r="7" spans="1:57" x14ac:dyDescent="0.3">
      <c r="A7" s="153" t="s">
        <v>13</v>
      </c>
      <c r="B7" s="109">
        <v>2</v>
      </c>
      <c r="C7" s="109">
        <v>49000</v>
      </c>
      <c r="D7" s="154">
        <v>3.1535082779592299E-2</v>
      </c>
      <c r="E7" s="154">
        <v>7.7348066298342538E-2</v>
      </c>
      <c r="F7" s="154"/>
      <c r="G7" s="154"/>
      <c r="H7" s="154"/>
      <c r="J7" s="155" t="s">
        <v>643</v>
      </c>
      <c r="K7" s="109">
        <v>1</v>
      </c>
      <c r="N7" s="153" t="s">
        <v>643</v>
      </c>
      <c r="O7" s="109">
        <v>1</v>
      </c>
      <c r="S7" s="109">
        <v>1</v>
      </c>
      <c r="V7" s="152" t="s">
        <v>742</v>
      </c>
      <c r="W7" s="109">
        <v>6</v>
      </c>
      <c r="Y7" s="152" t="s">
        <v>771</v>
      </c>
      <c r="Z7" s="109">
        <v>24500</v>
      </c>
      <c r="AB7" s="152" t="s">
        <v>773</v>
      </c>
      <c r="AC7" s="109">
        <v>7000</v>
      </c>
      <c r="AE7" s="152" t="s">
        <v>13</v>
      </c>
      <c r="AF7" s="109">
        <v>7</v>
      </c>
      <c r="AG7" s="109">
        <v>126000</v>
      </c>
      <c r="AH7"/>
      <c r="AI7" s="152" t="s">
        <v>788</v>
      </c>
      <c r="AJ7" s="109">
        <v>14</v>
      </c>
      <c r="AK7"/>
      <c r="AL7"/>
      <c r="AM7" s="152" t="s">
        <v>742</v>
      </c>
      <c r="AN7" s="109">
        <v>124250</v>
      </c>
      <c r="AO7" s="109">
        <v>274750</v>
      </c>
      <c r="AP7" s="154">
        <v>0.17682171415699965</v>
      </c>
      <c r="AQ7" s="109">
        <v>86625</v>
      </c>
      <c r="AR7" s="154">
        <v>2.3023255813953489</v>
      </c>
      <c r="AS7"/>
      <c r="AT7" s="152" t="s">
        <v>803</v>
      </c>
      <c r="AU7" s="109">
        <v>10</v>
      </c>
      <c r="AV7"/>
      <c r="AW7" s="152" t="s">
        <v>13</v>
      </c>
      <c r="AX7" s="109">
        <v>7</v>
      </c>
      <c r="AY7"/>
      <c r="AZ7"/>
      <c r="BA7"/>
      <c r="BB7"/>
      <c r="BC7"/>
      <c r="BD7"/>
      <c r="BE7"/>
    </row>
    <row r="8" spans="1:57" x14ac:dyDescent="0.3">
      <c r="A8" s="153" t="s">
        <v>9</v>
      </c>
      <c r="B8" s="109">
        <v>6</v>
      </c>
      <c r="C8" s="109">
        <v>81200</v>
      </c>
      <c r="D8" s="154">
        <v>5.2258137177610089E-2</v>
      </c>
      <c r="E8" s="154">
        <v>0.1281767955801105</v>
      </c>
      <c r="F8" s="154"/>
      <c r="G8" s="154"/>
      <c r="H8" s="154"/>
      <c r="J8" s="153" t="s">
        <v>763</v>
      </c>
      <c r="K8" s="109">
        <v>2</v>
      </c>
      <c r="N8" s="153" t="s">
        <v>764</v>
      </c>
      <c r="R8" s="109">
        <v>2</v>
      </c>
      <c r="S8" s="109">
        <v>2</v>
      </c>
      <c r="V8" s="152" t="s">
        <v>743</v>
      </c>
      <c r="W8" s="109">
        <v>3</v>
      </c>
      <c r="Y8" s="152" t="s">
        <v>777</v>
      </c>
      <c r="Z8" s="109">
        <v>22750</v>
      </c>
      <c r="AB8" s="152" t="s">
        <v>774</v>
      </c>
      <c r="AC8" s="109">
        <v>7000</v>
      </c>
      <c r="AE8" s="152" t="s">
        <v>9</v>
      </c>
      <c r="AF8" s="109">
        <v>18</v>
      </c>
      <c r="AG8" s="109">
        <v>240450</v>
      </c>
      <c r="AH8"/>
      <c r="AI8" s="152" t="s">
        <v>789</v>
      </c>
      <c r="AJ8" s="109">
        <v>8</v>
      </c>
      <c r="AK8"/>
      <c r="AL8"/>
      <c r="AM8" s="152" t="s">
        <v>743</v>
      </c>
      <c r="AN8" s="109">
        <v>52500</v>
      </c>
      <c r="AO8" s="109">
        <v>327250</v>
      </c>
      <c r="AP8" s="154">
        <v>0.21060930284941998</v>
      </c>
      <c r="AQ8" s="109">
        <v>-71750</v>
      </c>
      <c r="AR8" s="154">
        <v>-0.57746478873239437</v>
      </c>
      <c r="AS8"/>
      <c r="AT8" s="152" t="s">
        <v>804</v>
      </c>
      <c r="AU8" s="109">
        <v>1</v>
      </c>
      <c r="AV8"/>
      <c r="AW8" s="152" t="s">
        <v>9</v>
      </c>
      <c r="AX8" s="109">
        <v>18</v>
      </c>
      <c r="AY8"/>
      <c r="AZ8"/>
      <c r="BA8"/>
      <c r="BB8"/>
      <c r="BC8"/>
      <c r="BD8"/>
      <c r="BE8"/>
    </row>
    <row r="9" spans="1:57" x14ac:dyDescent="0.3">
      <c r="A9" s="153" t="s">
        <v>493</v>
      </c>
      <c r="B9" s="109">
        <v>5</v>
      </c>
      <c r="C9" s="109">
        <v>81375</v>
      </c>
      <c r="D9" s="154">
        <v>5.2370762473251495E-2</v>
      </c>
      <c r="E9" s="154">
        <v>0.12845303867403315</v>
      </c>
      <c r="F9" s="154"/>
      <c r="G9" s="154"/>
      <c r="H9" s="154"/>
      <c r="J9" s="155" t="s">
        <v>764</v>
      </c>
      <c r="K9" s="109">
        <v>2</v>
      </c>
      <c r="N9" s="152" t="s">
        <v>741</v>
      </c>
      <c r="O9" s="109">
        <v>1</v>
      </c>
      <c r="P9" s="109">
        <v>1</v>
      </c>
      <c r="S9" s="109">
        <v>2</v>
      </c>
      <c r="V9" s="152" t="s">
        <v>744</v>
      </c>
      <c r="W9" s="109">
        <v>4</v>
      </c>
      <c r="Y9" s="152" t="s">
        <v>783</v>
      </c>
      <c r="Z9" s="109">
        <v>22750</v>
      </c>
      <c r="AB9" s="152" t="s">
        <v>772</v>
      </c>
      <c r="AC9" s="109">
        <v>5950</v>
      </c>
      <c r="AE9" s="152" t="s">
        <v>493</v>
      </c>
      <c r="AF9" s="109">
        <v>12</v>
      </c>
      <c r="AG9" s="109">
        <v>183925</v>
      </c>
      <c r="AH9"/>
      <c r="AI9" s="152" t="s">
        <v>443</v>
      </c>
      <c r="AJ9" s="109">
        <v>100</v>
      </c>
      <c r="AK9"/>
      <c r="AL9"/>
      <c r="AM9" s="152" t="s">
        <v>744</v>
      </c>
      <c r="AN9" s="109">
        <v>98000</v>
      </c>
      <c r="AO9" s="109">
        <v>425250</v>
      </c>
      <c r="AP9" s="154">
        <v>0.27367946840860458</v>
      </c>
      <c r="AQ9" s="109">
        <v>45500</v>
      </c>
      <c r="AR9" s="154">
        <v>0.8666666666666667</v>
      </c>
      <c r="AS9"/>
      <c r="AT9" s="152" t="s">
        <v>443</v>
      </c>
      <c r="AU9" s="109">
        <v>100</v>
      </c>
      <c r="AV9"/>
      <c r="AW9" s="152" t="s">
        <v>493</v>
      </c>
      <c r="AX9" s="109">
        <v>12</v>
      </c>
      <c r="AY9"/>
      <c r="AZ9"/>
      <c r="BA9"/>
      <c r="BB9"/>
      <c r="BC9"/>
      <c r="BD9"/>
      <c r="BE9"/>
    </row>
    <row r="10" spans="1:57" x14ac:dyDescent="0.3">
      <c r="A10" s="153" t="s">
        <v>27</v>
      </c>
      <c r="B10" s="109">
        <v>9</v>
      </c>
      <c r="C10" s="109">
        <v>137725</v>
      </c>
      <c r="D10" s="154">
        <v>8.8636107669782638E-2</v>
      </c>
      <c r="E10" s="154">
        <v>0.21740331491712708</v>
      </c>
      <c r="F10" s="154"/>
      <c r="G10" s="154"/>
      <c r="H10" s="154"/>
      <c r="J10" s="152" t="s">
        <v>741</v>
      </c>
      <c r="K10" s="109">
        <v>2</v>
      </c>
      <c r="N10" s="153" t="s">
        <v>642</v>
      </c>
      <c r="O10" s="109">
        <v>1</v>
      </c>
      <c r="S10" s="109">
        <v>1</v>
      </c>
      <c r="V10" s="152" t="s">
        <v>745</v>
      </c>
      <c r="W10" s="109">
        <v>1</v>
      </c>
      <c r="Y10" s="152" t="s">
        <v>775</v>
      </c>
      <c r="Z10" s="109">
        <v>22750</v>
      </c>
      <c r="AB10" s="152" t="s">
        <v>443</v>
      </c>
      <c r="AC10" s="109">
        <v>40950</v>
      </c>
      <c r="AE10" s="152" t="s">
        <v>27</v>
      </c>
      <c r="AF10" s="109">
        <v>18</v>
      </c>
      <c r="AG10" s="109">
        <v>260050</v>
      </c>
      <c r="AH10"/>
      <c r="AI10"/>
      <c r="AJ10"/>
      <c r="AK10"/>
      <c r="AL10"/>
      <c r="AM10" s="152" t="s">
        <v>745</v>
      </c>
      <c r="AN10" s="109">
        <v>14875</v>
      </c>
      <c r="AO10" s="109">
        <v>440125</v>
      </c>
      <c r="AP10" s="154">
        <v>0.28325261853812367</v>
      </c>
      <c r="AQ10" s="109">
        <v>-83125</v>
      </c>
      <c r="AR10" s="154">
        <v>-0.8482142857142857</v>
      </c>
      <c r="AS10"/>
      <c r="AT10"/>
      <c r="AU10"/>
      <c r="AV10"/>
      <c r="AW10" s="152" t="s">
        <v>27</v>
      </c>
      <c r="AX10" s="109">
        <v>18</v>
      </c>
      <c r="AY10"/>
      <c r="AZ10"/>
      <c r="BA10"/>
      <c r="BB10"/>
      <c r="BC10"/>
      <c r="BD10"/>
      <c r="BE10"/>
    </row>
    <row r="11" spans="1:57" x14ac:dyDescent="0.3">
      <c r="A11" s="153" t="s">
        <v>24</v>
      </c>
      <c r="B11" s="109">
        <v>7</v>
      </c>
      <c r="C11" s="109">
        <v>124250</v>
      </c>
      <c r="D11" s="154">
        <v>7.9963959905394746E-2</v>
      </c>
      <c r="E11" s="154">
        <v>0.19613259668508287</v>
      </c>
      <c r="F11" s="154"/>
      <c r="G11" s="154"/>
      <c r="H11" s="154"/>
      <c r="J11" s="153" t="s">
        <v>760</v>
      </c>
      <c r="K11" s="109">
        <v>1</v>
      </c>
      <c r="N11" s="153" t="s">
        <v>646</v>
      </c>
      <c r="P11" s="109">
        <v>1</v>
      </c>
      <c r="S11" s="109">
        <v>1</v>
      </c>
      <c r="V11" s="152" t="s">
        <v>746</v>
      </c>
      <c r="W11" s="109">
        <v>2</v>
      </c>
      <c r="Y11" s="152" t="s">
        <v>443</v>
      </c>
      <c r="Z11" s="109">
        <v>190750</v>
      </c>
      <c r="AE11" s="152" t="s">
        <v>24</v>
      </c>
      <c r="AF11" s="109">
        <v>18</v>
      </c>
      <c r="AG11" s="109">
        <v>304325</v>
      </c>
      <c r="AH11"/>
      <c r="AI11"/>
      <c r="AJ11"/>
      <c r="AK11"/>
      <c r="AL11"/>
      <c r="AM11" s="152" t="s">
        <v>746</v>
      </c>
      <c r="AN11" s="109">
        <v>26250</v>
      </c>
      <c r="AO11" s="109">
        <v>466375</v>
      </c>
      <c r="AP11" s="154">
        <v>0.3001464128843338</v>
      </c>
      <c r="AQ11" s="109">
        <v>11375</v>
      </c>
      <c r="AR11" s="154">
        <v>0.76470588235294112</v>
      </c>
      <c r="AS11"/>
      <c r="AT11"/>
      <c r="AU11"/>
      <c r="AV11"/>
      <c r="AW11" s="152" t="s">
        <v>24</v>
      </c>
      <c r="AX11" s="109">
        <v>18</v>
      </c>
      <c r="AY11"/>
      <c r="AZ11"/>
      <c r="BA11"/>
      <c r="BB11"/>
      <c r="BC11"/>
      <c r="BD11"/>
      <c r="BE11"/>
    </row>
    <row r="12" spans="1:57" x14ac:dyDescent="0.3">
      <c r="A12" s="152" t="s">
        <v>125</v>
      </c>
      <c r="B12" s="109">
        <v>20</v>
      </c>
      <c r="C12" s="109">
        <v>336000</v>
      </c>
      <c r="D12" s="154">
        <v>0.21624056763149002</v>
      </c>
      <c r="E12" s="154">
        <v>1</v>
      </c>
      <c r="F12" s="154" t="s">
        <v>809</v>
      </c>
      <c r="G12" s="154"/>
      <c r="H12" s="154"/>
      <c r="J12" s="155" t="s">
        <v>642</v>
      </c>
      <c r="K12" s="109">
        <v>1</v>
      </c>
      <c r="N12" s="152" t="s">
        <v>742</v>
      </c>
      <c r="R12" s="109">
        <v>6</v>
      </c>
      <c r="S12" s="109">
        <v>6</v>
      </c>
      <c r="V12" s="152" t="s">
        <v>747</v>
      </c>
      <c r="W12" s="109">
        <v>4</v>
      </c>
      <c r="Y12"/>
      <c r="Z12"/>
      <c r="AA12"/>
      <c r="AB12"/>
      <c r="AC12"/>
      <c r="AD12"/>
      <c r="AE12" s="152" t="s">
        <v>443</v>
      </c>
      <c r="AF12" s="109">
        <v>100</v>
      </c>
      <c r="AG12" s="109">
        <v>1553825</v>
      </c>
      <c r="AH12"/>
      <c r="AI12"/>
      <c r="AJ12"/>
      <c r="AK12"/>
      <c r="AL12"/>
      <c r="AM12" s="152" t="s">
        <v>747</v>
      </c>
      <c r="AN12" s="109">
        <v>77000</v>
      </c>
      <c r="AO12" s="109">
        <v>543375</v>
      </c>
      <c r="AP12" s="154">
        <v>0.34970154296655026</v>
      </c>
      <c r="AQ12" s="109">
        <v>50750</v>
      </c>
      <c r="AR12" s="154">
        <v>1.9333333333333333</v>
      </c>
      <c r="AS12"/>
      <c r="AT12"/>
      <c r="AU12"/>
      <c r="AV12"/>
      <c r="AW12" s="152" t="s">
        <v>443</v>
      </c>
      <c r="AX12" s="109">
        <v>100</v>
      </c>
      <c r="AY12"/>
      <c r="AZ12"/>
      <c r="BA12"/>
      <c r="BB12"/>
      <c r="BC12"/>
      <c r="BD12"/>
      <c r="BE12"/>
    </row>
    <row r="13" spans="1:57" x14ac:dyDescent="0.3">
      <c r="A13" s="153" t="s">
        <v>47</v>
      </c>
      <c r="B13" s="109">
        <v>2</v>
      </c>
      <c r="C13" s="109">
        <v>26250</v>
      </c>
      <c r="D13" s="154">
        <v>1.6893794346210158E-2</v>
      </c>
      <c r="E13" s="154">
        <v>7.8125E-2</v>
      </c>
      <c r="F13" s="154" t="s">
        <v>810</v>
      </c>
      <c r="G13" s="154"/>
      <c r="H13" s="154"/>
      <c r="J13" s="153" t="s">
        <v>769</v>
      </c>
      <c r="K13" s="109">
        <v>1</v>
      </c>
      <c r="N13" s="153" t="s">
        <v>765</v>
      </c>
      <c r="R13" s="109">
        <v>6</v>
      </c>
      <c r="S13" s="109">
        <v>6</v>
      </c>
      <c r="V13" s="152" t="s">
        <v>748</v>
      </c>
      <c r="W13" s="109">
        <v>25</v>
      </c>
      <c r="Y13"/>
      <c r="Z13"/>
      <c r="AA13"/>
      <c r="AB13"/>
      <c r="AC13"/>
      <c r="AD13"/>
      <c r="AE13"/>
      <c r="AF13"/>
      <c r="AG13"/>
      <c r="AH13"/>
      <c r="AI13"/>
      <c r="AJ13"/>
      <c r="AK13"/>
      <c r="AL13"/>
      <c r="AM13" s="152" t="s">
        <v>748</v>
      </c>
      <c r="AN13" s="109">
        <v>422975</v>
      </c>
      <c r="AO13" s="109">
        <v>966350</v>
      </c>
      <c r="AP13" s="154">
        <v>0.62191688253181665</v>
      </c>
      <c r="AQ13" s="109">
        <v>345975</v>
      </c>
      <c r="AR13" s="154">
        <v>4.4931818181818182</v>
      </c>
      <c r="AS13"/>
      <c r="AT13"/>
      <c r="AU13"/>
      <c r="AV13"/>
      <c r="AW13"/>
      <c r="AX13"/>
      <c r="AY13"/>
      <c r="AZ13"/>
      <c r="BA13"/>
      <c r="BB13"/>
      <c r="BC13"/>
      <c r="BD13"/>
      <c r="BE13"/>
    </row>
    <row r="14" spans="1:57" x14ac:dyDescent="0.3">
      <c r="A14" s="153" t="s">
        <v>19</v>
      </c>
      <c r="B14" s="109">
        <v>3</v>
      </c>
      <c r="C14" s="109">
        <v>49000</v>
      </c>
      <c r="D14" s="154">
        <v>3.1535082779592299E-2</v>
      </c>
      <c r="E14" s="154">
        <v>0.14583333333333334</v>
      </c>
      <c r="F14" s="154"/>
      <c r="G14" s="154"/>
      <c r="H14" s="154"/>
      <c r="J14" s="155" t="s">
        <v>646</v>
      </c>
      <c r="K14" s="109">
        <v>1</v>
      </c>
      <c r="N14" s="152" t="s">
        <v>743</v>
      </c>
      <c r="O14" s="109">
        <v>3</v>
      </c>
      <c r="S14" s="109">
        <v>3</v>
      </c>
      <c r="V14" s="152" t="s">
        <v>749</v>
      </c>
      <c r="W14" s="109">
        <v>9</v>
      </c>
      <c r="AE14"/>
      <c r="AF14"/>
      <c r="AG14"/>
      <c r="AH14"/>
      <c r="AI14"/>
      <c r="AJ14"/>
      <c r="AK14"/>
      <c r="AL14"/>
      <c r="AM14" s="152" t="s">
        <v>749</v>
      </c>
      <c r="AN14" s="109">
        <v>154700</v>
      </c>
      <c r="AO14" s="109">
        <v>1121050</v>
      </c>
      <c r="AP14" s="154">
        <v>0.72147764387881519</v>
      </c>
      <c r="AQ14" s="109">
        <v>-268275</v>
      </c>
      <c r="AR14" s="154">
        <v>-0.63425734381464627</v>
      </c>
      <c r="AS14"/>
      <c r="AT14"/>
      <c r="AU14"/>
      <c r="AV14"/>
      <c r="AW14"/>
      <c r="AX14"/>
      <c r="AY14"/>
      <c r="AZ14"/>
      <c r="BA14"/>
      <c r="BB14"/>
      <c r="BC14"/>
      <c r="BD14"/>
      <c r="BE14"/>
    </row>
    <row r="15" spans="1:57" x14ac:dyDescent="0.3">
      <c r="A15" s="153" t="s">
        <v>16</v>
      </c>
      <c r="B15" s="109">
        <v>1</v>
      </c>
      <c r="C15" s="109">
        <v>49000</v>
      </c>
      <c r="D15" s="154">
        <v>3.1535082779592299E-2</v>
      </c>
      <c r="E15" s="154">
        <v>0.14583333333333334</v>
      </c>
      <c r="F15" s="154" t="s">
        <v>811</v>
      </c>
      <c r="G15" s="154"/>
      <c r="H15" s="154"/>
      <c r="J15" s="152" t="s">
        <v>742</v>
      </c>
      <c r="K15" s="109">
        <v>6</v>
      </c>
      <c r="N15" s="153" t="s">
        <v>644</v>
      </c>
      <c r="O15" s="109">
        <v>3</v>
      </c>
      <c r="S15" s="109">
        <v>3</v>
      </c>
      <c r="V15" s="152" t="s">
        <v>750</v>
      </c>
      <c r="W15" s="109">
        <v>3</v>
      </c>
      <c r="AE15"/>
      <c r="AF15"/>
      <c r="AG15"/>
      <c r="AH15"/>
      <c r="AI15"/>
      <c r="AJ15"/>
      <c r="AK15"/>
      <c r="AL15"/>
      <c r="AM15" s="152" t="s">
        <v>750</v>
      </c>
      <c r="AN15" s="109">
        <v>45150</v>
      </c>
      <c r="AO15" s="109">
        <v>1166200</v>
      </c>
      <c r="AP15" s="154">
        <v>0.75053497015429671</v>
      </c>
      <c r="AQ15" s="109">
        <v>-109550</v>
      </c>
      <c r="AR15" s="154">
        <v>-0.70814479638009054</v>
      </c>
      <c r="AS15"/>
      <c r="AT15"/>
      <c r="AU15"/>
      <c r="AV15"/>
      <c r="AW15"/>
      <c r="AX15"/>
      <c r="AY15"/>
      <c r="AZ15"/>
      <c r="BA15"/>
      <c r="BB15"/>
      <c r="BC15"/>
      <c r="BD15"/>
      <c r="BE15"/>
    </row>
    <row r="16" spans="1:57" x14ac:dyDescent="0.3">
      <c r="A16" s="153" t="s">
        <v>13</v>
      </c>
      <c r="B16" s="109">
        <v>2</v>
      </c>
      <c r="C16" s="109">
        <v>32375</v>
      </c>
      <c r="D16" s="154">
        <v>2.0835679693659195E-2</v>
      </c>
      <c r="E16" s="154">
        <v>9.6354166666666671E-2</v>
      </c>
      <c r="F16" s="154"/>
      <c r="G16" s="154"/>
      <c r="H16" s="154"/>
      <c r="J16" s="153" t="s">
        <v>763</v>
      </c>
      <c r="K16" s="109">
        <v>6</v>
      </c>
      <c r="N16" s="152" t="s">
        <v>744</v>
      </c>
      <c r="R16" s="109">
        <v>4</v>
      </c>
      <c r="S16" s="109">
        <v>4</v>
      </c>
      <c r="V16" s="152" t="s">
        <v>751</v>
      </c>
      <c r="W16" s="109">
        <v>4</v>
      </c>
      <c r="AE16"/>
      <c r="AF16"/>
      <c r="AG16"/>
      <c r="AH16"/>
      <c r="AI16"/>
      <c r="AJ16"/>
      <c r="AK16"/>
      <c r="AL16"/>
      <c r="AM16" s="152" t="s">
        <v>751</v>
      </c>
      <c r="AN16" s="109">
        <v>48300</v>
      </c>
      <c r="AO16" s="109">
        <v>1214500</v>
      </c>
      <c r="AP16" s="154">
        <v>0.78161955175132336</v>
      </c>
      <c r="AQ16" s="109">
        <v>3150</v>
      </c>
      <c r="AR16" s="154">
        <v>6.9767441860465115E-2</v>
      </c>
      <c r="AS16"/>
      <c r="AT16"/>
      <c r="AU16"/>
      <c r="AV16"/>
      <c r="AW16"/>
      <c r="AX16"/>
      <c r="AY16"/>
      <c r="AZ16"/>
      <c r="BA16"/>
      <c r="BB16"/>
      <c r="BC16"/>
      <c r="BD16"/>
      <c r="BE16"/>
    </row>
    <row r="17" spans="1:57" x14ac:dyDescent="0.3">
      <c r="A17" s="153" t="s">
        <v>9</v>
      </c>
      <c r="B17" s="109">
        <v>4</v>
      </c>
      <c r="C17" s="109">
        <v>63350</v>
      </c>
      <c r="D17" s="154">
        <v>4.0770357022187183E-2</v>
      </c>
      <c r="E17" s="154">
        <v>0.18854166666666666</v>
      </c>
      <c r="F17" s="154"/>
      <c r="G17" s="154"/>
      <c r="H17" s="154"/>
      <c r="J17" s="155" t="s">
        <v>765</v>
      </c>
      <c r="K17" s="109">
        <v>6</v>
      </c>
      <c r="N17" s="153" t="s">
        <v>766</v>
      </c>
      <c r="R17" s="109">
        <v>4</v>
      </c>
      <c r="S17" s="109">
        <v>4</v>
      </c>
      <c r="V17" s="152" t="s">
        <v>752</v>
      </c>
      <c r="W17" s="109">
        <v>3</v>
      </c>
      <c r="AE17"/>
      <c r="AF17"/>
      <c r="AG17"/>
      <c r="AH17"/>
      <c r="AI17"/>
      <c r="AJ17"/>
      <c r="AK17"/>
      <c r="AL17"/>
      <c r="AM17" s="152" t="s">
        <v>752</v>
      </c>
      <c r="AN17" s="109">
        <v>37275</v>
      </c>
      <c r="AO17" s="109">
        <v>1251775</v>
      </c>
      <c r="AP17" s="154">
        <v>0.80560873972294178</v>
      </c>
      <c r="AQ17" s="109">
        <v>-11025</v>
      </c>
      <c r="AR17" s="154">
        <v>-0.22826086956521738</v>
      </c>
      <c r="AS17"/>
      <c r="AT17"/>
      <c r="AU17"/>
      <c r="AV17"/>
      <c r="AW17"/>
      <c r="AX17"/>
      <c r="AY17"/>
      <c r="AZ17"/>
      <c r="BA17"/>
      <c r="BB17"/>
      <c r="BC17"/>
      <c r="BD17"/>
      <c r="BE17"/>
    </row>
    <row r="18" spans="1:57" x14ac:dyDescent="0.3">
      <c r="A18" s="153" t="s">
        <v>493</v>
      </c>
      <c r="B18" s="109">
        <v>1</v>
      </c>
      <c r="C18" s="109">
        <v>17500</v>
      </c>
      <c r="D18" s="154">
        <v>1.1262529564140106E-2</v>
      </c>
      <c r="E18" s="154">
        <v>5.2083333333333336E-2</v>
      </c>
      <c r="F18" s="154"/>
      <c r="G18" s="154"/>
      <c r="H18" s="154"/>
      <c r="J18" s="152" t="s">
        <v>743</v>
      </c>
      <c r="K18" s="109">
        <v>3</v>
      </c>
      <c r="N18" s="152" t="s">
        <v>745</v>
      </c>
      <c r="R18" s="109">
        <v>1</v>
      </c>
      <c r="S18" s="109">
        <v>1</v>
      </c>
      <c r="V18" s="152" t="s">
        <v>753</v>
      </c>
      <c r="W18" s="109">
        <v>1</v>
      </c>
      <c r="AE18"/>
      <c r="AF18"/>
      <c r="AG18"/>
      <c r="AH18"/>
      <c r="AI18"/>
      <c r="AJ18"/>
      <c r="AK18"/>
      <c r="AL18"/>
      <c r="AM18" s="152" t="s">
        <v>753</v>
      </c>
      <c r="AN18" s="109">
        <v>14875</v>
      </c>
      <c r="AO18" s="109">
        <v>1266650</v>
      </c>
      <c r="AP18" s="154">
        <v>0.81518188985246087</v>
      </c>
      <c r="AQ18" s="109">
        <v>-22400</v>
      </c>
      <c r="AR18" s="154">
        <v>-0.60093896713615025</v>
      </c>
      <c r="AS18"/>
      <c r="AT18"/>
      <c r="AU18"/>
      <c r="AV18"/>
      <c r="AW18"/>
      <c r="AX18"/>
      <c r="AY18"/>
      <c r="AZ18"/>
      <c r="BA18"/>
      <c r="BB18"/>
      <c r="BC18"/>
      <c r="BD18"/>
      <c r="BE18"/>
    </row>
    <row r="19" spans="1:57" x14ac:dyDescent="0.3">
      <c r="A19" s="153" t="s">
        <v>27</v>
      </c>
      <c r="B19" s="109">
        <v>3</v>
      </c>
      <c r="C19" s="109">
        <v>42700</v>
      </c>
      <c r="D19" s="154">
        <v>2.7480572136501857E-2</v>
      </c>
      <c r="E19" s="154">
        <v>0.12708333333333333</v>
      </c>
      <c r="F19" s="154"/>
      <c r="G19" s="154"/>
      <c r="H19" s="154"/>
      <c r="J19" s="153" t="s">
        <v>760</v>
      </c>
      <c r="K19" s="109">
        <v>3</v>
      </c>
      <c r="N19" s="153" t="s">
        <v>766</v>
      </c>
      <c r="R19" s="109">
        <v>1</v>
      </c>
      <c r="S19" s="109">
        <v>1</v>
      </c>
      <c r="V19" s="152" t="s">
        <v>754</v>
      </c>
      <c r="W19" s="109">
        <v>1</v>
      </c>
      <c r="AE19"/>
      <c r="AF19"/>
      <c r="AG19"/>
      <c r="AH19"/>
      <c r="AI19"/>
      <c r="AJ19"/>
      <c r="AK19"/>
      <c r="AL19"/>
      <c r="AM19" s="152" t="s">
        <v>754</v>
      </c>
      <c r="AN19" s="109">
        <v>11725</v>
      </c>
      <c r="AO19" s="109">
        <v>1278375</v>
      </c>
      <c r="AP19" s="154">
        <v>0.82272778466043472</v>
      </c>
      <c r="AQ19" s="109">
        <v>-3150</v>
      </c>
      <c r="AR19" s="154">
        <v>-0.21176470588235294</v>
      </c>
      <c r="AS19"/>
      <c r="AT19"/>
      <c r="AU19"/>
      <c r="AV19"/>
      <c r="AW19"/>
      <c r="AX19"/>
      <c r="AY19"/>
      <c r="AZ19"/>
      <c r="BA19"/>
      <c r="BB19"/>
      <c r="BC19"/>
      <c r="BD19"/>
      <c r="BE19"/>
    </row>
    <row r="20" spans="1:57" x14ac:dyDescent="0.3">
      <c r="A20" s="153" t="s">
        <v>24</v>
      </c>
      <c r="B20" s="109">
        <v>4</v>
      </c>
      <c r="C20" s="109">
        <v>55825</v>
      </c>
      <c r="D20" s="154">
        <v>3.5927469309606941E-2</v>
      </c>
      <c r="E20" s="154">
        <v>0.16614583333333333</v>
      </c>
      <c r="F20" s="154"/>
      <c r="G20" s="154"/>
      <c r="H20" s="154"/>
      <c r="J20" s="155" t="s">
        <v>644</v>
      </c>
      <c r="K20" s="109">
        <v>3</v>
      </c>
      <c r="N20" s="152" t="s">
        <v>746</v>
      </c>
      <c r="Q20" s="109">
        <v>1</v>
      </c>
      <c r="R20" s="109">
        <v>1</v>
      </c>
      <c r="S20" s="109">
        <v>2</v>
      </c>
      <c r="V20" s="152" t="s">
        <v>755</v>
      </c>
      <c r="W20" s="109">
        <v>7</v>
      </c>
      <c r="AE20"/>
      <c r="AF20"/>
      <c r="AG20"/>
      <c r="AH20"/>
      <c r="AI20"/>
      <c r="AJ20"/>
      <c r="AK20"/>
      <c r="AL20"/>
      <c r="AM20" s="152" t="s">
        <v>755</v>
      </c>
      <c r="AN20" s="109">
        <v>98000</v>
      </c>
      <c r="AO20" s="109">
        <v>1376375</v>
      </c>
      <c r="AP20" s="154">
        <v>0.88579795021961938</v>
      </c>
      <c r="AQ20" s="109">
        <v>86275</v>
      </c>
      <c r="AR20" s="154">
        <v>7.3582089552238807</v>
      </c>
      <c r="AS20"/>
      <c r="AT20"/>
      <c r="AU20"/>
      <c r="AV20"/>
      <c r="AW20"/>
      <c r="AX20"/>
      <c r="AY20"/>
      <c r="AZ20"/>
      <c r="BA20"/>
      <c r="BB20"/>
      <c r="BC20"/>
      <c r="BD20"/>
      <c r="BE20"/>
    </row>
    <row r="21" spans="1:57" x14ac:dyDescent="0.3">
      <c r="A21" s="152" t="s">
        <v>10</v>
      </c>
      <c r="B21" s="109">
        <v>20</v>
      </c>
      <c r="C21" s="109">
        <v>307125</v>
      </c>
      <c r="D21" s="154">
        <v>0.19765739385065886</v>
      </c>
      <c r="E21" s="154">
        <v>1</v>
      </c>
      <c r="F21" s="154"/>
      <c r="G21" s="154"/>
      <c r="H21" s="154"/>
      <c r="J21" s="152" t="s">
        <v>744</v>
      </c>
      <c r="K21" s="109">
        <v>4</v>
      </c>
      <c r="N21" s="153" t="s">
        <v>767</v>
      </c>
      <c r="Q21" s="109">
        <v>1</v>
      </c>
      <c r="S21" s="109">
        <v>1</v>
      </c>
      <c r="V21" s="152" t="s">
        <v>756</v>
      </c>
      <c r="W21" s="109">
        <v>1</v>
      </c>
      <c r="AE21"/>
      <c r="AF21"/>
      <c r="AG21"/>
      <c r="AH21"/>
      <c r="AI21"/>
      <c r="AJ21"/>
      <c r="AK21"/>
      <c r="AL21"/>
      <c r="AM21" s="152" t="s">
        <v>756</v>
      </c>
      <c r="AN21" s="109">
        <v>9625</v>
      </c>
      <c r="AO21" s="109">
        <v>1386000</v>
      </c>
      <c r="AP21" s="154">
        <v>0.89199234147989637</v>
      </c>
      <c r="AQ21" s="109">
        <v>-88375</v>
      </c>
      <c r="AR21" s="154">
        <v>-0.9017857142857143</v>
      </c>
      <c r="AS21"/>
      <c r="AT21"/>
      <c r="AU21"/>
      <c r="AV21"/>
      <c r="AW21"/>
      <c r="AX21"/>
      <c r="AY21"/>
      <c r="AZ21"/>
      <c r="BA21"/>
      <c r="BB21"/>
      <c r="BC21"/>
    </row>
    <row r="22" spans="1:57" x14ac:dyDescent="0.3">
      <c r="A22" s="153" t="s">
        <v>47</v>
      </c>
      <c r="B22" s="109">
        <v>3</v>
      </c>
      <c r="C22" s="109">
        <v>41125</v>
      </c>
      <c r="D22" s="154">
        <v>2.646694447572925E-2</v>
      </c>
      <c r="E22" s="154">
        <v>0.13390313390313391</v>
      </c>
      <c r="F22" s="154"/>
      <c r="G22" s="154"/>
      <c r="H22" s="154"/>
      <c r="J22" s="153" t="s">
        <v>763</v>
      </c>
      <c r="K22" s="109">
        <v>4</v>
      </c>
      <c r="N22" s="153" t="s">
        <v>764</v>
      </c>
      <c r="R22" s="109">
        <v>1</v>
      </c>
      <c r="S22" s="109">
        <v>1</v>
      </c>
      <c r="V22" s="152" t="s">
        <v>757</v>
      </c>
      <c r="W22" s="109">
        <v>5</v>
      </c>
      <c r="Y22"/>
      <c r="Z22"/>
      <c r="AA22"/>
      <c r="AB22"/>
      <c r="AC22"/>
      <c r="AD22"/>
      <c r="AE22"/>
      <c r="AF22"/>
      <c r="AG22"/>
      <c r="AH22"/>
      <c r="AI22"/>
      <c r="AJ22"/>
      <c r="AK22"/>
      <c r="AL22"/>
      <c r="AM22" s="152" t="s">
        <v>757</v>
      </c>
      <c r="AN22" s="109">
        <v>44625</v>
      </c>
      <c r="AO22" s="109">
        <v>1430625</v>
      </c>
      <c r="AP22" s="154">
        <v>0.92071179186845364</v>
      </c>
      <c r="AQ22" s="109">
        <v>35000</v>
      </c>
      <c r="AR22" s="154">
        <v>3.6363636363636362</v>
      </c>
      <c r="AS22"/>
      <c r="AT22"/>
      <c r="AU22"/>
      <c r="AV22"/>
      <c r="AW22"/>
      <c r="AX22"/>
      <c r="AY22"/>
      <c r="AZ22"/>
      <c r="BA22"/>
      <c r="BB22"/>
      <c r="BC22"/>
    </row>
    <row r="23" spans="1:57" x14ac:dyDescent="0.3">
      <c r="A23" s="153" t="s">
        <v>19</v>
      </c>
      <c r="B23" s="109">
        <v>3</v>
      </c>
      <c r="C23" s="109">
        <v>49000</v>
      </c>
      <c r="D23" s="154">
        <v>3.1535082779592299E-2</v>
      </c>
      <c r="E23" s="154">
        <v>0.15954415954415954</v>
      </c>
      <c r="F23" s="154"/>
      <c r="G23" s="154"/>
      <c r="H23" s="154"/>
      <c r="J23" s="155" t="s">
        <v>766</v>
      </c>
      <c r="K23" s="109">
        <v>4</v>
      </c>
      <c r="N23" s="152" t="s">
        <v>747</v>
      </c>
      <c r="O23" s="109">
        <v>1</v>
      </c>
      <c r="R23" s="109">
        <v>3</v>
      </c>
      <c r="S23" s="109">
        <v>4</v>
      </c>
      <c r="V23" s="152" t="s">
        <v>758</v>
      </c>
      <c r="W23" s="109">
        <v>3</v>
      </c>
      <c r="Y23"/>
      <c r="Z23"/>
      <c r="AA23"/>
      <c r="AB23"/>
      <c r="AC23"/>
      <c r="AD23"/>
      <c r="AE23"/>
      <c r="AF23"/>
      <c r="AG23"/>
      <c r="AH23"/>
      <c r="AI23"/>
      <c r="AJ23"/>
      <c r="AK23"/>
      <c r="AL23"/>
      <c r="AM23" s="152" t="s">
        <v>758</v>
      </c>
      <c r="AN23" s="109">
        <v>42000</v>
      </c>
      <c r="AO23" s="109">
        <v>1472625</v>
      </c>
      <c r="AP23" s="154">
        <v>0.94774186282238992</v>
      </c>
      <c r="AQ23" s="109">
        <v>-2625</v>
      </c>
      <c r="AR23" s="154">
        <v>-5.8823529411764705E-2</v>
      </c>
      <c r="AS23"/>
      <c r="AT23"/>
      <c r="AU23"/>
      <c r="AV23"/>
      <c r="AW23"/>
      <c r="AX23"/>
      <c r="AY23"/>
      <c r="AZ23"/>
      <c r="BA23"/>
      <c r="BB23"/>
      <c r="BC23"/>
    </row>
    <row r="24" spans="1:57" x14ac:dyDescent="0.3">
      <c r="A24" s="153" t="s">
        <v>13</v>
      </c>
      <c r="B24" s="109">
        <v>1</v>
      </c>
      <c r="C24" s="109">
        <v>19250</v>
      </c>
      <c r="D24" s="154">
        <v>1.2388782520554116E-2</v>
      </c>
      <c r="E24" s="154">
        <v>6.2678062678062682E-2</v>
      </c>
      <c r="F24" s="154"/>
      <c r="G24" s="154"/>
      <c r="H24" s="154"/>
      <c r="J24" s="152" t="s">
        <v>745</v>
      </c>
      <c r="K24" s="109">
        <v>1</v>
      </c>
      <c r="N24" s="153" t="s">
        <v>642</v>
      </c>
      <c r="O24" s="109">
        <v>1</v>
      </c>
      <c r="S24" s="109">
        <v>1</v>
      </c>
      <c r="V24" s="152" t="s">
        <v>759</v>
      </c>
      <c r="W24" s="109">
        <v>10</v>
      </c>
      <c r="Y24"/>
      <c r="Z24"/>
      <c r="AA24"/>
      <c r="AB24"/>
      <c r="AC24"/>
      <c r="AD24"/>
      <c r="AE24"/>
      <c r="AF24"/>
      <c r="AG24"/>
      <c r="AH24"/>
      <c r="AI24"/>
      <c r="AJ24"/>
      <c r="AK24"/>
      <c r="AL24"/>
      <c r="AM24" s="152" t="s">
        <v>759</v>
      </c>
      <c r="AN24" s="109">
        <v>81200</v>
      </c>
      <c r="AO24" s="109">
        <v>1553825</v>
      </c>
      <c r="AP24" s="154">
        <v>1</v>
      </c>
      <c r="AQ24" s="109">
        <v>39200</v>
      </c>
      <c r="AR24" s="154">
        <v>0.93333333333333335</v>
      </c>
      <c r="AS24"/>
      <c r="AT24"/>
      <c r="AU24"/>
      <c r="AV24"/>
      <c r="AW24"/>
      <c r="AX24"/>
      <c r="AY24"/>
      <c r="AZ24"/>
      <c r="BA24"/>
      <c r="BB24"/>
      <c r="BC24"/>
    </row>
    <row r="25" spans="1:57" x14ac:dyDescent="0.3">
      <c r="A25" s="153" t="s">
        <v>9</v>
      </c>
      <c r="B25" s="109">
        <v>4</v>
      </c>
      <c r="C25" s="109">
        <v>54950</v>
      </c>
      <c r="D25" s="154">
        <v>3.5364342831399935E-2</v>
      </c>
      <c r="E25" s="154">
        <v>0.17891737891737891</v>
      </c>
      <c r="F25" s="154"/>
      <c r="G25" s="154"/>
      <c r="H25" s="154"/>
      <c r="J25" s="153" t="s">
        <v>763</v>
      </c>
      <c r="K25" s="109">
        <v>1</v>
      </c>
      <c r="N25" s="153" t="s">
        <v>764</v>
      </c>
      <c r="R25" s="109">
        <v>3</v>
      </c>
      <c r="S25" s="109">
        <v>3</v>
      </c>
      <c r="V25" s="152" t="s">
        <v>443</v>
      </c>
      <c r="W25" s="109">
        <v>100</v>
      </c>
      <c r="Y25"/>
      <c r="Z25"/>
      <c r="AA25"/>
      <c r="AB25"/>
      <c r="AC25"/>
      <c r="AD25"/>
      <c r="AE25"/>
      <c r="AF25"/>
      <c r="AG25"/>
      <c r="AH25"/>
      <c r="AI25"/>
      <c r="AJ25"/>
      <c r="AK25"/>
      <c r="AL25"/>
      <c r="AM25" s="152" t="s">
        <v>443</v>
      </c>
      <c r="AN25" s="109">
        <v>1553825</v>
      </c>
      <c r="AP25" s="154"/>
      <c r="AR25" s="154"/>
      <c r="AS25"/>
      <c r="AT25"/>
      <c r="AU25"/>
      <c r="AV25"/>
      <c r="AW25"/>
      <c r="AX25"/>
      <c r="AY25"/>
      <c r="AZ25"/>
      <c r="BA25"/>
      <c r="BB25"/>
      <c r="BC25"/>
    </row>
    <row r="26" spans="1:57" x14ac:dyDescent="0.3">
      <c r="A26" s="153" t="s">
        <v>493</v>
      </c>
      <c r="B26" s="109">
        <v>2</v>
      </c>
      <c r="C26" s="109">
        <v>28000</v>
      </c>
      <c r="D26" s="154">
        <v>1.802004730262417E-2</v>
      </c>
      <c r="E26" s="154">
        <v>9.1168091168091173E-2</v>
      </c>
      <c r="F26" s="154"/>
      <c r="G26" s="154"/>
      <c r="H26" s="154"/>
      <c r="J26" s="155" t="s">
        <v>766</v>
      </c>
      <c r="K26" s="109">
        <v>1</v>
      </c>
      <c r="N26" s="152" t="s">
        <v>748</v>
      </c>
      <c r="O26" s="109">
        <v>1</v>
      </c>
      <c r="Q26" s="109">
        <v>1</v>
      </c>
      <c r="R26" s="109">
        <v>23</v>
      </c>
      <c r="S26" s="109">
        <v>25</v>
      </c>
      <c r="V26"/>
      <c r="W26"/>
      <c r="Y26"/>
      <c r="Z26"/>
      <c r="AA26"/>
      <c r="AB26"/>
      <c r="AC26"/>
      <c r="AD26"/>
      <c r="AE26"/>
      <c r="AF26"/>
      <c r="AG26"/>
      <c r="AH26"/>
      <c r="AI26"/>
      <c r="AJ26"/>
      <c r="AK26"/>
      <c r="AL26"/>
      <c r="AM26"/>
      <c r="AN26"/>
      <c r="AO26"/>
      <c r="AP26"/>
      <c r="AQ26"/>
      <c r="AR26"/>
      <c r="AS26"/>
      <c r="AT26"/>
      <c r="AU26"/>
      <c r="AV26"/>
      <c r="AW26"/>
      <c r="AX26"/>
      <c r="AY26"/>
      <c r="AZ26"/>
      <c r="BA26"/>
      <c r="BB26"/>
      <c r="BC26"/>
    </row>
    <row r="27" spans="1:57" x14ac:dyDescent="0.3">
      <c r="A27" s="153" t="s">
        <v>27</v>
      </c>
      <c r="B27" s="109">
        <v>3</v>
      </c>
      <c r="C27" s="109">
        <v>37800</v>
      </c>
      <c r="D27" s="154">
        <v>2.4327063858542629E-2</v>
      </c>
      <c r="E27" s="154">
        <v>0.12307692307692308</v>
      </c>
      <c r="F27" s="154"/>
      <c r="G27" s="154"/>
      <c r="H27" s="154"/>
      <c r="J27" s="152" t="s">
        <v>746</v>
      </c>
      <c r="K27" s="109">
        <v>2</v>
      </c>
      <c r="N27" s="153" t="s">
        <v>643</v>
      </c>
      <c r="O27" s="109">
        <v>1</v>
      </c>
      <c r="S27" s="109">
        <v>1</v>
      </c>
      <c r="V27"/>
      <c r="W27"/>
      <c r="Y27"/>
      <c r="Z27"/>
      <c r="AA27"/>
      <c r="AB27"/>
      <c r="AC27"/>
      <c r="AD27"/>
      <c r="AE27"/>
      <c r="AF27"/>
      <c r="AG27"/>
      <c r="AH27"/>
      <c r="AI27"/>
      <c r="AJ27"/>
      <c r="AK27"/>
      <c r="AL27"/>
      <c r="AM27"/>
      <c r="AN27"/>
      <c r="AO27"/>
      <c r="AP27"/>
      <c r="AQ27"/>
      <c r="AR27"/>
      <c r="AS27"/>
      <c r="AT27"/>
      <c r="AU27"/>
      <c r="AV27"/>
      <c r="AW27"/>
      <c r="AX27"/>
      <c r="AY27"/>
      <c r="AZ27"/>
      <c r="BA27"/>
      <c r="BB27"/>
      <c r="BC27"/>
    </row>
    <row r="28" spans="1:57" x14ac:dyDescent="0.3">
      <c r="A28" s="153" t="s">
        <v>24</v>
      </c>
      <c r="B28" s="109">
        <v>4</v>
      </c>
      <c r="C28" s="109">
        <v>77000</v>
      </c>
      <c r="D28" s="154">
        <v>4.9555130082216466E-2</v>
      </c>
      <c r="E28" s="154">
        <v>0.25071225071225073</v>
      </c>
      <c r="F28" s="154"/>
      <c r="G28" s="154"/>
      <c r="H28" s="154"/>
      <c r="J28" s="153" t="s">
        <v>761</v>
      </c>
      <c r="K28" s="109">
        <v>1</v>
      </c>
      <c r="N28" s="153" t="s">
        <v>768</v>
      </c>
      <c r="Q28" s="109">
        <v>1</v>
      </c>
      <c r="S28" s="109">
        <v>1</v>
      </c>
      <c r="V28"/>
      <c r="W28"/>
      <c r="Y28"/>
      <c r="Z28"/>
      <c r="AA28"/>
      <c r="AB28"/>
      <c r="AC28"/>
      <c r="AD28"/>
      <c r="AE28"/>
      <c r="AF28"/>
      <c r="AG28"/>
      <c r="AH28"/>
      <c r="AI28"/>
      <c r="AJ28"/>
      <c r="AK28"/>
      <c r="AL28"/>
      <c r="AM28"/>
      <c r="AN28"/>
      <c r="AO28"/>
      <c r="AP28"/>
      <c r="AQ28"/>
      <c r="AR28"/>
      <c r="AS28"/>
      <c r="AT28"/>
      <c r="AU28"/>
      <c r="AV28"/>
      <c r="AW28"/>
      <c r="AX28"/>
      <c r="AY28"/>
      <c r="AZ28"/>
      <c r="BA28"/>
      <c r="BB28"/>
      <c r="BC28"/>
    </row>
    <row r="29" spans="1:57" x14ac:dyDescent="0.3">
      <c r="A29" s="152" t="s">
        <v>161</v>
      </c>
      <c r="B29" s="109">
        <v>20</v>
      </c>
      <c r="C29" s="109">
        <v>277200</v>
      </c>
      <c r="D29" s="154">
        <v>0.17839846829597927</v>
      </c>
      <c r="E29" s="154">
        <v>1</v>
      </c>
      <c r="F29" s="154"/>
      <c r="G29" s="154"/>
      <c r="H29" s="154"/>
      <c r="J29" s="155" t="s">
        <v>767</v>
      </c>
      <c r="K29" s="109">
        <v>1</v>
      </c>
      <c r="N29" s="153" t="s">
        <v>765</v>
      </c>
      <c r="R29" s="109">
        <v>22</v>
      </c>
      <c r="S29" s="109">
        <v>22</v>
      </c>
      <c r="V29"/>
      <c r="W29"/>
      <c r="Y29"/>
      <c r="Z29"/>
      <c r="AA29"/>
      <c r="AB29"/>
      <c r="AC29"/>
      <c r="AD29"/>
      <c r="AE29"/>
      <c r="AF29"/>
      <c r="AG29"/>
      <c r="AH29"/>
      <c r="AI29"/>
      <c r="AJ29"/>
      <c r="AK29"/>
      <c r="AL29"/>
      <c r="AM29"/>
      <c r="AN29"/>
      <c r="AO29"/>
      <c r="AP29"/>
      <c r="AQ29"/>
      <c r="AR29"/>
      <c r="AS29"/>
      <c r="AT29"/>
      <c r="AU29"/>
      <c r="AV29"/>
      <c r="AW29"/>
      <c r="AX29"/>
      <c r="AY29"/>
      <c r="AZ29"/>
      <c r="BA29"/>
      <c r="BB29"/>
      <c r="BC29"/>
    </row>
    <row r="30" spans="1:57" x14ac:dyDescent="0.3">
      <c r="A30" s="153" t="s">
        <v>47</v>
      </c>
      <c r="B30" s="109">
        <v>1</v>
      </c>
      <c r="C30" s="109">
        <v>15750</v>
      </c>
      <c r="D30" s="154">
        <v>1.0136276607726095E-2</v>
      </c>
      <c r="E30" s="154">
        <v>5.6818181818181816E-2</v>
      </c>
      <c r="F30" s="154"/>
      <c r="G30" s="154"/>
      <c r="H30" s="154"/>
      <c r="J30" s="153" t="s">
        <v>763</v>
      </c>
      <c r="K30" s="109">
        <v>1</v>
      </c>
      <c r="N30" s="153" t="s">
        <v>764</v>
      </c>
      <c r="R30" s="109">
        <v>1</v>
      </c>
      <c r="S30" s="109">
        <v>1</v>
      </c>
      <c r="V30"/>
      <c r="W30"/>
      <c r="Y30"/>
      <c r="Z30"/>
      <c r="AA30"/>
      <c r="AB30"/>
      <c r="AC30"/>
      <c r="AD30"/>
      <c r="AE30"/>
      <c r="AF30"/>
      <c r="AG30"/>
      <c r="AH30"/>
      <c r="AI30"/>
      <c r="AJ30"/>
      <c r="AK30"/>
      <c r="AL30"/>
      <c r="AM30"/>
      <c r="AN30"/>
      <c r="AO30"/>
      <c r="AP30"/>
      <c r="AQ30"/>
      <c r="AR30"/>
      <c r="AS30"/>
      <c r="AT30"/>
      <c r="AU30"/>
      <c r="AV30"/>
      <c r="AW30"/>
      <c r="AX30"/>
      <c r="AY30"/>
      <c r="AZ30"/>
      <c r="BA30"/>
      <c r="BB30"/>
      <c r="BC30"/>
    </row>
    <row r="31" spans="1:57" x14ac:dyDescent="0.3">
      <c r="A31" s="153" t="s">
        <v>19</v>
      </c>
      <c r="B31" s="109">
        <v>3</v>
      </c>
      <c r="C31" s="109">
        <v>49000</v>
      </c>
      <c r="D31" s="154">
        <v>3.1535082779592299E-2</v>
      </c>
      <c r="E31" s="154">
        <v>0.17676767676767677</v>
      </c>
      <c r="F31" s="154"/>
      <c r="G31" s="154"/>
      <c r="H31" s="154"/>
      <c r="J31" s="155" t="s">
        <v>764</v>
      </c>
      <c r="K31" s="109">
        <v>1</v>
      </c>
      <c r="N31" s="152" t="s">
        <v>749</v>
      </c>
      <c r="P31" s="109">
        <v>7</v>
      </c>
      <c r="Q31" s="109">
        <v>2</v>
      </c>
      <c r="S31" s="109">
        <v>9</v>
      </c>
      <c r="V31"/>
      <c r="W31"/>
      <c r="Y31"/>
      <c r="Z31"/>
      <c r="AA31"/>
      <c r="AB31"/>
      <c r="AC31"/>
      <c r="AD31"/>
      <c r="AE31"/>
      <c r="AF31"/>
      <c r="AG31"/>
      <c r="AH31"/>
      <c r="AI31"/>
      <c r="AJ31"/>
      <c r="AK31"/>
      <c r="AL31"/>
      <c r="AM31"/>
      <c r="AN31"/>
      <c r="AO31"/>
      <c r="AP31"/>
      <c r="AQ31"/>
      <c r="AR31"/>
      <c r="AS31"/>
      <c r="AT31"/>
      <c r="AU31"/>
      <c r="AV31"/>
      <c r="AW31"/>
      <c r="AX31"/>
      <c r="AY31"/>
      <c r="AZ31"/>
      <c r="BA31"/>
      <c r="BB31"/>
      <c r="BC31"/>
    </row>
    <row r="32" spans="1:57" x14ac:dyDescent="0.3">
      <c r="A32" s="153" t="s">
        <v>13</v>
      </c>
      <c r="B32" s="109">
        <v>2</v>
      </c>
      <c r="C32" s="109">
        <v>25375</v>
      </c>
      <c r="D32" s="154">
        <v>1.6330667868003152E-2</v>
      </c>
      <c r="E32" s="154">
        <v>9.1540404040404047E-2</v>
      </c>
      <c r="F32" s="154"/>
      <c r="G32" s="154"/>
      <c r="H32" s="154"/>
      <c r="J32" s="152" t="s">
        <v>747</v>
      </c>
      <c r="K32" s="109">
        <v>4</v>
      </c>
      <c r="N32" s="153" t="s">
        <v>645</v>
      </c>
      <c r="P32" s="109">
        <v>7</v>
      </c>
      <c r="S32" s="109">
        <v>7</v>
      </c>
      <c r="V32"/>
      <c r="W32"/>
      <c r="Y32"/>
      <c r="Z32"/>
      <c r="AA32"/>
      <c r="AB32"/>
      <c r="AC32"/>
      <c r="AD32"/>
      <c r="AE32"/>
      <c r="AF32"/>
      <c r="AG32"/>
      <c r="AH32"/>
      <c r="AI32"/>
      <c r="AJ32"/>
      <c r="AK32"/>
      <c r="AL32"/>
      <c r="AM32"/>
      <c r="AN32"/>
      <c r="AO32"/>
      <c r="AP32"/>
      <c r="AQ32"/>
      <c r="AR32"/>
      <c r="AS32"/>
      <c r="AT32"/>
      <c r="AU32"/>
      <c r="AV32"/>
      <c r="AW32"/>
      <c r="AX32"/>
      <c r="AY32"/>
      <c r="AZ32"/>
      <c r="BA32"/>
      <c r="BB32"/>
      <c r="BC32"/>
    </row>
    <row r="33" spans="1:55" x14ac:dyDescent="0.3">
      <c r="A33" s="153" t="s">
        <v>9</v>
      </c>
      <c r="B33" s="109">
        <v>4</v>
      </c>
      <c r="C33" s="109">
        <v>40950</v>
      </c>
      <c r="D33" s="154">
        <v>2.6354319180087848E-2</v>
      </c>
      <c r="E33" s="154">
        <v>0.14772727272727273</v>
      </c>
      <c r="F33" s="154"/>
      <c r="G33" s="154"/>
      <c r="H33" s="154"/>
      <c r="J33" s="153" t="s">
        <v>760</v>
      </c>
      <c r="K33" s="109">
        <v>1</v>
      </c>
      <c r="N33" s="153" t="s">
        <v>768</v>
      </c>
      <c r="Q33" s="109">
        <v>2</v>
      </c>
      <c r="S33" s="109">
        <v>2</v>
      </c>
      <c r="V33"/>
      <c r="W33"/>
      <c r="Y33"/>
      <c r="Z33"/>
      <c r="AA33"/>
      <c r="AB33"/>
      <c r="AC33"/>
      <c r="AD33"/>
      <c r="AE33"/>
      <c r="AF33"/>
      <c r="AG33"/>
      <c r="AH33"/>
      <c r="AI33"/>
      <c r="AJ33"/>
      <c r="AK33"/>
      <c r="AL33"/>
      <c r="AM33"/>
      <c r="AN33"/>
      <c r="AO33"/>
      <c r="AP33"/>
      <c r="AQ33"/>
      <c r="AR33"/>
      <c r="AS33"/>
      <c r="AT33"/>
      <c r="AU33"/>
      <c r="AV33"/>
      <c r="AW33"/>
      <c r="AX33"/>
      <c r="AY33"/>
      <c r="AZ33"/>
      <c r="BA33"/>
      <c r="BB33"/>
      <c r="BC33"/>
    </row>
    <row r="34" spans="1:55" x14ac:dyDescent="0.3">
      <c r="A34" s="153" t="s">
        <v>493</v>
      </c>
      <c r="B34" s="109">
        <v>4</v>
      </c>
      <c r="C34" s="109">
        <v>57050</v>
      </c>
      <c r="D34" s="154">
        <v>3.6715846379096743E-2</v>
      </c>
      <c r="E34" s="154">
        <v>0.2058080808080808</v>
      </c>
      <c r="F34" s="154"/>
      <c r="G34" s="154"/>
      <c r="H34" s="154"/>
      <c r="J34" s="155" t="s">
        <v>642</v>
      </c>
      <c r="K34" s="109">
        <v>1</v>
      </c>
      <c r="N34" s="152" t="s">
        <v>750</v>
      </c>
      <c r="Q34" s="109">
        <v>1</v>
      </c>
      <c r="R34" s="109">
        <v>2</v>
      </c>
      <c r="S34" s="109">
        <v>3</v>
      </c>
      <c r="V34"/>
      <c r="W34"/>
      <c r="Y34"/>
      <c r="Z34"/>
      <c r="AA34"/>
      <c r="AB34"/>
      <c r="AC34"/>
      <c r="AD34"/>
      <c r="AE34"/>
      <c r="AF34"/>
      <c r="AG34"/>
      <c r="AH34"/>
      <c r="AI34"/>
      <c r="AJ34"/>
      <c r="AK34"/>
      <c r="AL34"/>
      <c r="AM34"/>
      <c r="AN34"/>
      <c r="AO34"/>
      <c r="AP34"/>
      <c r="AQ34"/>
      <c r="AR34"/>
      <c r="AS34"/>
      <c r="AT34"/>
      <c r="AU34"/>
      <c r="AV34"/>
      <c r="AW34"/>
      <c r="AX34"/>
      <c r="AY34"/>
      <c r="AZ34"/>
      <c r="BA34"/>
      <c r="BB34"/>
      <c r="BC34"/>
    </row>
    <row r="35" spans="1:55" x14ac:dyDescent="0.3">
      <c r="A35" s="153" t="s">
        <v>27</v>
      </c>
      <c r="B35" s="109">
        <v>3</v>
      </c>
      <c r="C35" s="109">
        <v>41825</v>
      </c>
      <c r="D35" s="154">
        <v>2.6917445658294854E-2</v>
      </c>
      <c r="E35" s="154">
        <v>0.15088383838383837</v>
      </c>
      <c r="F35" s="154"/>
      <c r="G35" s="154"/>
      <c r="H35" s="154"/>
      <c r="J35" s="153" t="s">
        <v>763</v>
      </c>
      <c r="K35" s="109">
        <v>3</v>
      </c>
      <c r="N35" s="153" t="s">
        <v>767</v>
      </c>
      <c r="Q35" s="109">
        <v>1</v>
      </c>
      <c r="S35" s="109">
        <v>1</v>
      </c>
      <c r="V35"/>
      <c r="W35"/>
      <c r="Y35"/>
      <c r="Z35"/>
      <c r="AA35"/>
      <c r="AB35"/>
      <c r="AC35"/>
      <c r="AD35"/>
      <c r="AE35"/>
      <c r="AF35"/>
      <c r="AG35"/>
      <c r="AH35"/>
      <c r="AI35"/>
      <c r="AJ35"/>
      <c r="AK35"/>
      <c r="AL35"/>
      <c r="AM35"/>
      <c r="AN35"/>
      <c r="AO35"/>
      <c r="AP35"/>
      <c r="AQ35"/>
      <c r="AR35"/>
      <c r="AS35"/>
      <c r="AT35"/>
      <c r="AU35"/>
      <c r="AV35"/>
      <c r="AW35"/>
      <c r="AX35"/>
      <c r="AY35"/>
      <c r="AZ35"/>
      <c r="BA35"/>
      <c r="BB35"/>
      <c r="BC35"/>
    </row>
    <row r="36" spans="1:55" x14ac:dyDescent="0.3">
      <c r="A36" s="153" t="s">
        <v>24</v>
      </c>
      <c r="B36" s="109">
        <v>3</v>
      </c>
      <c r="C36" s="109">
        <v>47250</v>
      </c>
      <c r="D36" s="154">
        <v>3.0408829823178284E-2</v>
      </c>
      <c r="E36" s="154">
        <v>0.17045454545454544</v>
      </c>
      <c r="F36" s="154"/>
      <c r="G36" s="154"/>
      <c r="H36" s="154"/>
      <c r="J36" s="155" t="s">
        <v>764</v>
      </c>
      <c r="K36" s="109">
        <v>3</v>
      </c>
      <c r="N36" s="153" t="s">
        <v>764</v>
      </c>
      <c r="R36" s="109">
        <v>2</v>
      </c>
      <c r="S36" s="109">
        <v>2</v>
      </c>
      <c r="V36"/>
      <c r="W36"/>
      <c r="Y36"/>
      <c r="Z36"/>
      <c r="AA36"/>
      <c r="AB36"/>
      <c r="AC36"/>
      <c r="AD36"/>
      <c r="AE36"/>
      <c r="AF36"/>
      <c r="AG36"/>
      <c r="AH36"/>
      <c r="AI36"/>
      <c r="AJ36"/>
      <c r="AK36"/>
      <c r="AL36"/>
      <c r="AM36"/>
      <c r="AN36"/>
      <c r="AO36"/>
      <c r="AP36"/>
      <c r="AQ36"/>
      <c r="AR36"/>
      <c r="AS36"/>
      <c r="AT36"/>
      <c r="AU36"/>
      <c r="AV36"/>
      <c r="AW36"/>
      <c r="AX36"/>
      <c r="AY36"/>
      <c r="AZ36"/>
      <c r="BA36"/>
      <c r="BB36"/>
      <c r="BC36"/>
    </row>
    <row r="37" spans="1:55" x14ac:dyDescent="0.3">
      <c r="A37" s="152" t="s">
        <v>443</v>
      </c>
      <c r="B37" s="109">
        <v>100</v>
      </c>
      <c r="C37" s="109">
        <v>1553825</v>
      </c>
      <c r="D37" s="154">
        <v>1</v>
      </c>
      <c r="E37" s="154"/>
      <c r="F37" s="154"/>
      <c r="G37" s="154"/>
      <c r="H37" s="154"/>
      <c r="J37" s="152" t="s">
        <v>748</v>
      </c>
      <c r="K37" s="109">
        <v>25</v>
      </c>
      <c r="N37" s="152" t="s">
        <v>751</v>
      </c>
      <c r="Q37" s="109">
        <v>4</v>
      </c>
      <c r="S37" s="109">
        <v>4</v>
      </c>
      <c r="V37"/>
      <c r="W37"/>
      <c r="Y37"/>
      <c r="Z37"/>
      <c r="AA37"/>
      <c r="AB37"/>
      <c r="AC37"/>
      <c r="AD37"/>
      <c r="AE37"/>
      <c r="AF37"/>
      <c r="AG37"/>
      <c r="AH37"/>
      <c r="AI37"/>
      <c r="AJ37"/>
      <c r="AK37"/>
      <c r="AL37"/>
      <c r="AM37"/>
      <c r="AN37"/>
      <c r="AO37"/>
      <c r="AP37"/>
      <c r="AQ37"/>
      <c r="AR37"/>
      <c r="AS37"/>
      <c r="AT37"/>
      <c r="AU37"/>
      <c r="AV37"/>
      <c r="AW37"/>
      <c r="AX37"/>
      <c r="AY37"/>
      <c r="AZ37"/>
      <c r="BA37"/>
      <c r="BB37"/>
      <c r="BC37"/>
    </row>
    <row r="38" spans="1:55" x14ac:dyDescent="0.3">
      <c r="J38" s="153" t="s">
        <v>760</v>
      </c>
      <c r="K38" s="109">
        <v>1</v>
      </c>
      <c r="N38" s="153" t="s">
        <v>768</v>
      </c>
      <c r="Q38" s="109">
        <v>4</v>
      </c>
      <c r="S38" s="109">
        <v>4</v>
      </c>
      <c r="V38"/>
      <c r="W38"/>
      <c r="Y38"/>
      <c r="Z38"/>
      <c r="AA38"/>
      <c r="AB38"/>
      <c r="AC38"/>
      <c r="AD38"/>
      <c r="AE38"/>
      <c r="AF38"/>
      <c r="AG38"/>
      <c r="AH38"/>
      <c r="AI38"/>
      <c r="AJ38"/>
      <c r="AK38"/>
      <c r="AL38"/>
      <c r="AM38"/>
      <c r="AN38"/>
      <c r="AO38"/>
      <c r="AP38"/>
      <c r="AQ38"/>
      <c r="AR38"/>
      <c r="AS38"/>
      <c r="AT38"/>
      <c r="AU38"/>
      <c r="AV38"/>
      <c r="AW38"/>
      <c r="AX38"/>
      <c r="AY38"/>
      <c r="AZ38"/>
      <c r="BA38"/>
      <c r="BB38"/>
      <c r="BC38"/>
    </row>
    <row r="39" spans="1:55" x14ac:dyDescent="0.3">
      <c r="J39" s="155" t="s">
        <v>643</v>
      </c>
      <c r="K39" s="109">
        <v>1</v>
      </c>
      <c r="N39" s="152" t="s">
        <v>752</v>
      </c>
      <c r="P39" s="109">
        <v>1</v>
      </c>
      <c r="Q39" s="109">
        <v>1</v>
      </c>
      <c r="R39" s="109">
        <v>1</v>
      </c>
      <c r="S39" s="109">
        <v>3</v>
      </c>
      <c r="V39"/>
      <c r="W39"/>
      <c r="Y39"/>
      <c r="Z39"/>
      <c r="AA39"/>
      <c r="AB39"/>
      <c r="AC39"/>
      <c r="AD39"/>
      <c r="AE39"/>
      <c r="AF39"/>
      <c r="AG39"/>
      <c r="AH39"/>
      <c r="AI39"/>
      <c r="AJ39"/>
      <c r="AK39"/>
      <c r="AL39"/>
      <c r="AM39"/>
      <c r="AN39"/>
      <c r="AO39"/>
      <c r="AP39"/>
      <c r="AQ39"/>
      <c r="AR39"/>
      <c r="AS39"/>
      <c r="AT39"/>
      <c r="AU39"/>
      <c r="AV39"/>
      <c r="AW39"/>
      <c r="AX39"/>
      <c r="AY39"/>
      <c r="AZ39"/>
      <c r="BA39"/>
      <c r="BB39"/>
      <c r="BC39"/>
    </row>
    <row r="40" spans="1:55" x14ac:dyDescent="0.3">
      <c r="J40" s="153" t="s">
        <v>761</v>
      </c>
      <c r="K40" s="109">
        <v>1</v>
      </c>
      <c r="N40" s="153" t="s">
        <v>646</v>
      </c>
      <c r="P40" s="109">
        <v>1</v>
      </c>
      <c r="S40" s="109">
        <v>1</v>
      </c>
      <c r="V40"/>
      <c r="W40"/>
      <c r="Y40"/>
      <c r="Z40"/>
      <c r="AA40"/>
      <c r="AB40"/>
      <c r="AC40"/>
      <c r="AD40"/>
      <c r="AE40"/>
      <c r="AF40"/>
      <c r="AG40"/>
      <c r="AH40"/>
      <c r="AI40"/>
      <c r="AJ40"/>
      <c r="AK40"/>
      <c r="AL40"/>
      <c r="AM40"/>
      <c r="AN40"/>
      <c r="AO40"/>
      <c r="AP40"/>
      <c r="AQ40"/>
      <c r="AR40"/>
      <c r="AS40"/>
      <c r="AT40"/>
      <c r="AU40"/>
      <c r="AV40"/>
      <c r="AW40"/>
      <c r="AX40"/>
      <c r="AY40"/>
      <c r="AZ40"/>
      <c r="BA40"/>
      <c r="BB40"/>
      <c r="BC40"/>
    </row>
    <row r="41" spans="1:55" x14ac:dyDescent="0.3">
      <c r="J41" s="155" t="s">
        <v>768</v>
      </c>
      <c r="K41" s="109">
        <v>1</v>
      </c>
      <c r="N41" s="153" t="s">
        <v>762</v>
      </c>
      <c r="Q41" s="109">
        <v>1</v>
      </c>
      <c r="S41" s="109">
        <v>1</v>
      </c>
      <c r="V41"/>
      <c r="W41"/>
      <c r="Y41"/>
      <c r="Z41"/>
      <c r="AA41"/>
      <c r="AB41"/>
      <c r="AC41"/>
      <c r="AD41"/>
      <c r="AE41"/>
      <c r="AF41"/>
      <c r="AG41"/>
      <c r="AH41"/>
      <c r="AI41"/>
      <c r="AJ41"/>
      <c r="AK41"/>
      <c r="AL41"/>
      <c r="AM41"/>
      <c r="AN41"/>
      <c r="AO41"/>
      <c r="AP41"/>
      <c r="AQ41"/>
      <c r="AR41"/>
      <c r="AS41"/>
      <c r="AT41"/>
      <c r="AU41"/>
      <c r="AV41"/>
      <c r="AW41"/>
      <c r="AX41"/>
      <c r="AY41"/>
      <c r="AZ41"/>
      <c r="BA41"/>
      <c r="BB41"/>
      <c r="BC41"/>
    </row>
    <row r="42" spans="1:55" x14ac:dyDescent="0.3">
      <c r="J42" s="153" t="s">
        <v>763</v>
      </c>
      <c r="K42" s="109">
        <v>23</v>
      </c>
      <c r="N42" s="153" t="s">
        <v>765</v>
      </c>
      <c r="R42" s="109">
        <v>1</v>
      </c>
      <c r="S42" s="109">
        <v>1</v>
      </c>
      <c r="V42"/>
      <c r="W42"/>
      <c r="Y42"/>
      <c r="Z42"/>
      <c r="AA42"/>
      <c r="AB42"/>
      <c r="AC42"/>
      <c r="AD42"/>
      <c r="AE42"/>
      <c r="AF42"/>
      <c r="AG42"/>
      <c r="AH42"/>
      <c r="AI42"/>
      <c r="AJ42"/>
      <c r="AK42"/>
      <c r="AL42"/>
      <c r="AM42"/>
      <c r="AN42"/>
      <c r="AO42"/>
      <c r="AP42"/>
      <c r="AQ42"/>
      <c r="AR42"/>
      <c r="AS42"/>
      <c r="AT42"/>
      <c r="AU42"/>
      <c r="AV42"/>
      <c r="AW42"/>
      <c r="AX42"/>
      <c r="AY42"/>
      <c r="AZ42"/>
      <c r="BA42"/>
      <c r="BB42"/>
      <c r="BC42"/>
    </row>
    <row r="43" spans="1:55" x14ac:dyDescent="0.3">
      <c r="J43" s="155" t="s">
        <v>765</v>
      </c>
      <c r="K43" s="109">
        <v>22</v>
      </c>
      <c r="N43" s="152" t="s">
        <v>753</v>
      </c>
      <c r="P43" s="109">
        <v>1</v>
      </c>
      <c r="S43" s="109">
        <v>1</v>
      </c>
      <c r="V43"/>
      <c r="W43"/>
      <c r="Y43"/>
      <c r="Z43"/>
      <c r="AA43"/>
      <c r="AB43"/>
      <c r="AC43"/>
      <c r="AD43"/>
      <c r="AE43"/>
      <c r="AF43"/>
      <c r="AG43"/>
      <c r="AH43"/>
      <c r="AI43"/>
      <c r="AJ43"/>
      <c r="AK43"/>
      <c r="AL43"/>
      <c r="AM43"/>
      <c r="AN43"/>
      <c r="AO43"/>
      <c r="AP43"/>
      <c r="AQ43"/>
      <c r="AR43"/>
      <c r="AS43"/>
      <c r="AT43"/>
      <c r="AU43"/>
      <c r="AV43"/>
      <c r="AW43"/>
      <c r="AX43"/>
      <c r="AY43"/>
      <c r="AZ43"/>
      <c r="BA43"/>
      <c r="BB43"/>
      <c r="BC43"/>
    </row>
    <row r="44" spans="1:55" x14ac:dyDescent="0.3">
      <c r="J44" s="155" t="s">
        <v>764</v>
      </c>
      <c r="K44" s="109">
        <v>1</v>
      </c>
      <c r="N44" s="153" t="s">
        <v>646</v>
      </c>
      <c r="P44" s="109">
        <v>1</v>
      </c>
      <c r="S44" s="109">
        <v>1</v>
      </c>
      <c r="V44"/>
      <c r="W44"/>
      <c r="Y44"/>
      <c r="Z44"/>
      <c r="AA44"/>
      <c r="AB44"/>
      <c r="AC44"/>
      <c r="AD44"/>
      <c r="AE44"/>
      <c r="AF44"/>
      <c r="AG44"/>
      <c r="AH44"/>
      <c r="AI44"/>
      <c r="AJ44"/>
      <c r="AK44"/>
      <c r="AL44"/>
      <c r="AM44"/>
      <c r="AN44"/>
      <c r="AO44"/>
      <c r="AP44"/>
      <c r="AQ44"/>
      <c r="AR44"/>
      <c r="AS44"/>
      <c r="AT44"/>
      <c r="AU44"/>
      <c r="AV44"/>
      <c r="AW44"/>
      <c r="AX44"/>
      <c r="AY44"/>
      <c r="AZ44"/>
      <c r="BA44"/>
      <c r="BB44"/>
      <c r="BC44"/>
    </row>
    <row r="45" spans="1:55" x14ac:dyDescent="0.3">
      <c r="J45" s="152" t="s">
        <v>749</v>
      </c>
      <c r="K45" s="109">
        <v>9</v>
      </c>
      <c r="N45" s="152" t="s">
        <v>754</v>
      </c>
      <c r="Q45" s="109">
        <v>1</v>
      </c>
      <c r="S45" s="109">
        <v>1</v>
      </c>
      <c r="V45"/>
      <c r="W45"/>
      <c r="Y45"/>
      <c r="Z45"/>
      <c r="AA45"/>
      <c r="AB45"/>
      <c r="AC45"/>
      <c r="AD45"/>
      <c r="AE45"/>
      <c r="AF45"/>
      <c r="AG45"/>
      <c r="AH45"/>
      <c r="AI45"/>
      <c r="AJ45"/>
      <c r="AK45"/>
      <c r="AL45"/>
      <c r="AM45"/>
      <c r="AN45"/>
      <c r="AO45"/>
      <c r="AP45"/>
      <c r="AQ45"/>
      <c r="AR45"/>
      <c r="AS45"/>
      <c r="AT45"/>
      <c r="AU45"/>
      <c r="AV45"/>
      <c r="AW45"/>
      <c r="AX45"/>
      <c r="AY45"/>
      <c r="AZ45"/>
      <c r="BA45"/>
      <c r="BB45"/>
      <c r="BC45"/>
    </row>
    <row r="46" spans="1:55" x14ac:dyDescent="0.3">
      <c r="J46" s="153" t="s">
        <v>769</v>
      </c>
      <c r="K46" s="109">
        <v>7</v>
      </c>
      <c r="N46" s="153" t="s">
        <v>768</v>
      </c>
      <c r="Q46" s="109">
        <v>1</v>
      </c>
      <c r="S46" s="109">
        <v>1</v>
      </c>
      <c r="V46"/>
      <c r="W46"/>
      <c r="Y46"/>
      <c r="Z46"/>
      <c r="AA46"/>
      <c r="AB46"/>
      <c r="AC46"/>
      <c r="AD46"/>
      <c r="AE46"/>
      <c r="AF46"/>
      <c r="AG46"/>
      <c r="AH46"/>
      <c r="AI46"/>
      <c r="AJ46"/>
      <c r="AK46"/>
      <c r="AL46"/>
      <c r="AM46"/>
      <c r="AN46"/>
      <c r="AO46"/>
      <c r="AP46"/>
      <c r="AQ46"/>
      <c r="AR46"/>
      <c r="AS46"/>
      <c r="AT46"/>
      <c r="AU46"/>
      <c r="AV46"/>
      <c r="AW46"/>
      <c r="AX46"/>
      <c r="AY46"/>
      <c r="AZ46"/>
      <c r="BA46"/>
      <c r="BB46"/>
      <c r="BC46"/>
    </row>
    <row r="47" spans="1:55" x14ac:dyDescent="0.3">
      <c r="J47" s="155" t="s">
        <v>645</v>
      </c>
      <c r="K47" s="109">
        <v>7</v>
      </c>
      <c r="N47" s="152" t="s">
        <v>755</v>
      </c>
      <c r="O47" s="109">
        <v>5</v>
      </c>
      <c r="R47" s="109">
        <v>2</v>
      </c>
      <c r="S47" s="109">
        <v>7</v>
      </c>
      <c r="V47"/>
      <c r="W47"/>
      <c r="Y47"/>
      <c r="Z47"/>
      <c r="AA47"/>
      <c r="AB47"/>
      <c r="AC47"/>
      <c r="AD47"/>
      <c r="AE47"/>
      <c r="AF47"/>
      <c r="AG47"/>
      <c r="AH47"/>
      <c r="AI47"/>
      <c r="AJ47"/>
      <c r="AK47"/>
      <c r="AL47"/>
      <c r="AM47"/>
      <c r="AN47"/>
      <c r="AO47"/>
      <c r="AP47"/>
      <c r="AQ47"/>
      <c r="AR47"/>
      <c r="AS47"/>
      <c r="AT47"/>
      <c r="AU47"/>
      <c r="AV47"/>
      <c r="AW47"/>
      <c r="AX47"/>
      <c r="AY47"/>
      <c r="AZ47"/>
      <c r="BA47"/>
      <c r="BB47"/>
      <c r="BC47"/>
    </row>
    <row r="48" spans="1:55" x14ac:dyDescent="0.3">
      <c r="J48" s="153" t="s">
        <v>761</v>
      </c>
      <c r="K48" s="109">
        <v>2</v>
      </c>
      <c r="N48" s="153" t="s">
        <v>644</v>
      </c>
      <c r="O48" s="109">
        <v>5</v>
      </c>
      <c r="S48" s="109">
        <v>5</v>
      </c>
      <c r="V48"/>
      <c r="W48"/>
      <c r="Y48"/>
      <c r="Z48"/>
      <c r="AA48"/>
      <c r="AB48"/>
      <c r="AC48"/>
      <c r="AD48"/>
      <c r="AE48"/>
      <c r="AF48"/>
      <c r="AG48"/>
      <c r="AH48"/>
      <c r="AI48"/>
      <c r="AJ48"/>
      <c r="AK48"/>
      <c r="AL48"/>
      <c r="AM48"/>
      <c r="AN48"/>
      <c r="AO48"/>
      <c r="AP48"/>
      <c r="AQ48"/>
      <c r="AR48"/>
      <c r="AS48"/>
      <c r="AT48"/>
      <c r="AU48"/>
      <c r="AV48"/>
      <c r="AW48"/>
      <c r="AX48"/>
      <c r="AY48"/>
      <c r="AZ48"/>
      <c r="BA48"/>
      <c r="BB48"/>
      <c r="BC48"/>
    </row>
    <row r="49" spans="10:55" x14ac:dyDescent="0.3">
      <c r="J49" s="155" t="s">
        <v>768</v>
      </c>
      <c r="K49" s="109">
        <v>2</v>
      </c>
      <c r="N49" s="153" t="s">
        <v>766</v>
      </c>
      <c r="R49" s="109">
        <v>2</v>
      </c>
      <c r="S49" s="109">
        <v>2</v>
      </c>
      <c r="V49"/>
      <c r="W49"/>
      <c r="Y49"/>
      <c r="Z49"/>
      <c r="AA49"/>
      <c r="AB49"/>
      <c r="AC49"/>
      <c r="AD49"/>
      <c r="AE49"/>
      <c r="AF49"/>
      <c r="AG49"/>
      <c r="AH49"/>
      <c r="AI49"/>
      <c r="AJ49"/>
      <c r="AK49"/>
      <c r="AL49"/>
      <c r="AM49"/>
      <c r="AN49"/>
      <c r="AO49"/>
      <c r="AP49"/>
      <c r="AQ49"/>
      <c r="AR49"/>
      <c r="AS49"/>
      <c r="AT49"/>
      <c r="AU49"/>
      <c r="AV49"/>
      <c r="AW49"/>
      <c r="AX49"/>
      <c r="AY49"/>
      <c r="AZ49"/>
      <c r="BA49"/>
      <c r="BB49"/>
      <c r="BC49"/>
    </row>
    <row r="50" spans="10:55" x14ac:dyDescent="0.3">
      <c r="J50" s="152" t="s">
        <v>750</v>
      </c>
      <c r="K50" s="109">
        <v>3</v>
      </c>
      <c r="N50" s="152" t="s">
        <v>756</v>
      </c>
      <c r="P50" s="109">
        <v>1</v>
      </c>
      <c r="S50" s="109">
        <v>1</v>
      </c>
      <c r="V50"/>
      <c r="W50"/>
      <c r="Y50"/>
      <c r="Z50"/>
      <c r="AA50"/>
      <c r="AB50"/>
      <c r="AC50"/>
      <c r="AD50"/>
      <c r="AE50"/>
      <c r="AF50"/>
      <c r="AG50"/>
      <c r="AH50"/>
      <c r="AI50"/>
      <c r="AJ50"/>
      <c r="AK50"/>
      <c r="AL50"/>
      <c r="AM50"/>
      <c r="AN50"/>
      <c r="AO50"/>
      <c r="AP50"/>
      <c r="AQ50"/>
      <c r="AR50"/>
      <c r="AS50"/>
      <c r="AT50"/>
      <c r="AU50"/>
      <c r="AV50"/>
      <c r="AW50"/>
      <c r="AX50"/>
      <c r="AY50"/>
      <c r="AZ50"/>
      <c r="BA50"/>
      <c r="BB50"/>
      <c r="BC50"/>
    </row>
    <row r="51" spans="10:55" x14ac:dyDescent="0.3">
      <c r="J51" s="153" t="s">
        <v>761</v>
      </c>
      <c r="K51" s="109">
        <v>1</v>
      </c>
      <c r="N51" s="153" t="s">
        <v>646</v>
      </c>
      <c r="P51" s="109">
        <v>1</v>
      </c>
      <c r="S51" s="109">
        <v>1</v>
      </c>
      <c r="V51"/>
      <c r="W51"/>
      <c r="Y51"/>
      <c r="Z51"/>
      <c r="AA51"/>
      <c r="AB51"/>
      <c r="AC51"/>
      <c r="AD51"/>
      <c r="AE51"/>
      <c r="AF51"/>
      <c r="AG51"/>
      <c r="AH51"/>
      <c r="AI51"/>
      <c r="AJ51"/>
      <c r="AK51"/>
      <c r="AL51"/>
      <c r="AM51"/>
      <c r="AN51"/>
      <c r="AO51"/>
      <c r="AP51"/>
      <c r="AQ51"/>
      <c r="AR51"/>
      <c r="AS51"/>
      <c r="AT51"/>
      <c r="AU51"/>
      <c r="AV51"/>
      <c r="AW51"/>
      <c r="AX51"/>
      <c r="AY51"/>
      <c r="AZ51"/>
      <c r="BA51"/>
      <c r="BB51"/>
      <c r="BC51"/>
    </row>
    <row r="52" spans="10:55" x14ac:dyDescent="0.3">
      <c r="J52" s="155" t="s">
        <v>767</v>
      </c>
      <c r="K52" s="109">
        <v>1</v>
      </c>
      <c r="N52" s="152" t="s">
        <v>757</v>
      </c>
      <c r="P52" s="109">
        <v>1</v>
      </c>
      <c r="Q52" s="109">
        <v>2</v>
      </c>
      <c r="R52" s="109">
        <v>2</v>
      </c>
      <c r="S52" s="109">
        <v>5</v>
      </c>
      <c r="V52"/>
      <c r="W52"/>
      <c r="Y52"/>
      <c r="Z52"/>
      <c r="AA52"/>
      <c r="AB52"/>
      <c r="AC52"/>
      <c r="AD52"/>
      <c r="AE52"/>
      <c r="AF52"/>
      <c r="AG52"/>
      <c r="AH52"/>
      <c r="AI52"/>
      <c r="AJ52"/>
      <c r="AK52"/>
      <c r="AL52"/>
      <c r="AM52"/>
      <c r="AN52"/>
      <c r="AO52"/>
      <c r="AP52"/>
      <c r="AQ52"/>
      <c r="AR52"/>
      <c r="AS52"/>
      <c r="AT52"/>
      <c r="AU52"/>
      <c r="AV52"/>
      <c r="AW52"/>
      <c r="AX52"/>
      <c r="AY52"/>
      <c r="AZ52"/>
      <c r="BA52"/>
      <c r="BB52"/>
      <c r="BC52"/>
    </row>
    <row r="53" spans="10:55" x14ac:dyDescent="0.3">
      <c r="J53" s="153" t="s">
        <v>763</v>
      </c>
      <c r="K53" s="109">
        <v>2</v>
      </c>
      <c r="N53" s="153" t="s">
        <v>647</v>
      </c>
      <c r="P53" s="109">
        <v>1</v>
      </c>
      <c r="S53" s="109">
        <v>1</v>
      </c>
      <c r="V53"/>
      <c r="W53"/>
      <c r="Y53"/>
      <c r="Z53"/>
      <c r="AA53"/>
      <c r="AB53"/>
      <c r="AC53"/>
      <c r="AD53"/>
      <c r="AE53"/>
      <c r="AF53"/>
      <c r="AG53"/>
      <c r="AH53"/>
      <c r="AI53"/>
      <c r="AJ53"/>
      <c r="AK53"/>
      <c r="AL53"/>
      <c r="AM53"/>
      <c r="AN53"/>
      <c r="AO53"/>
      <c r="AP53"/>
      <c r="AQ53"/>
      <c r="AR53"/>
      <c r="AS53"/>
      <c r="AT53"/>
      <c r="AU53"/>
      <c r="AV53"/>
      <c r="AW53"/>
      <c r="AX53"/>
      <c r="AY53"/>
      <c r="AZ53"/>
      <c r="BA53"/>
      <c r="BB53"/>
      <c r="BC53"/>
    </row>
    <row r="54" spans="10:55" x14ac:dyDescent="0.3">
      <c r="J54" s="155" t="s">
        <v>764</v>
      </c>
      <c r="K54" s="109">
        <v>2</v>
      </c>
      <c r="N54" s="153" t="s">
        <v>762</v>
      </c>
      <c r="Q54" s="109">
        <v>2</v>
      </c>
      <c r="S54" s="109">
        <v>2</v>
      </c>
      <c r="V54"/>
      <c r="W54"/>
      <c r="Y54"/>
      <c r="Z54"/>
      <c r="AA54"/>
      <c r="AB54"/>
      <c r="AC54"/>
      <c r="AD54"/>
      <c r="AE54"/>
      <c r="AF54"/>
      <c r="AG54"/>
      <c r="AH54"/>
      <c r="AI54"/>
      <c r="AJ54"/>
      <c r="AK54"/>
      <c r="AL54"/>
      <c r="AM54"/>
      <c r="AN54"/>
      <c r="AO54"/>
      <c r="AP54"/>
      <c r="AQ54"/>
      <c r="AR54"/>
      <c r="AS54"/>
      <c r="AT54"/>
      <c r="AU54"/>
      <c r="AV54"/>
      <c r="AW54"/>
      <c r="AX54"/>
      <c r="AY54"/>
      <c r="AZ54"/>
      <c r="BA54"/>
      <c r="BB54"/>
      <c r="BC54"/>
    </row>
    <row r="55" spans="10:55" x14ac:dyDescent="0.3">
      <c r="J55" s="152" t="s">
        <v>751</v>
      </c>
      <c r="K55" s="109">
        <v>4</v>
      </c>
      <c r="N55" s="153" t="s">
        <v>766</v>
      </c>
      <c r="R55" s="109">
        <v>2</v>
      </c>
      <c r="S55" s="109">
        <v>2</v>
      </c>
      <c r="V55"/>
      <c r="W55"/>
      <c r="Y55"/>
      <c r="Z55"/>
      <c r="AA55"/>
      <c r="AB55"/>
      <c r="AC55"/>
      <c r="AD55"/>
      <c r="AE55"/>
      <c r="AF55"/>
      <c r="AG55"/>
      <c r="AH55"/>
      <c r="AI55"/>
      <c r="AJ55"/>
      <c r="AK55"/>
      <c r="AL55"/>
      <c r="AM55"/>
      <c r="AN55"/>
      <c r="AO55"/>
      <c r="AP55"/>
      <c r="AQ55"/>
      <c r="AR55"/>
      <c r="AS55"/>
      <c r="AT55"/>
      <c r="AU55"/>
      <c r="AV55"/>
      <c r="AW55"/>
      <c r="AX55"/>
      <c r="AY55"/>
      <c r="AZ55"/>
      <c r="BA55"/>
      <c r="BB55"/>
      <c r="BC55"/>
    </row>
    <row r="56" spans="10:55" x14ac:dyDescent="0.3">
      <c r="J56" s="153" t="s">
        <v>761</v>
      </c>
      <c r="K56" s="109">
        <v>4</v>
      </c>
      <c r="N56" s="152" t="s">
        <v>758</v>
      </c>
      <c r="O56" s="109">
        <v>3</v>
      </c>
      <c r="S56" s="109">
        <v>3</v>
      </c>
      <c r="V56"/>
      <c r="W56"/>
      <c r="Y56"/>
      <c r="Z56"/>
      <c r="AA56"/>
      <c r="AB56"/>
      <c r="AC56"/>
      <c r="AD56"/>
      <c r="AE56"/>
      <c r="AF56"/>
      <c r="AG56"/>
      <c r="AH56"/>
      <c r="AI56"/>
      <c r="AJ56"/>
      <c r="AK56"/>
      <c r="AL56"/>
      <c r="AM56"/>
      <c r="AN56"/>
      <c r="AO56"/>
      <c r="AP56"/>
      <c r="AQ56"/>
      <c r="AR56"/>
      <c r="AS56"/>
      <c r="AT56"/>
      <c r="AU56"/>
      <c r="AV56"/>
      <c r="AW56"/>
      <c r="AX56"/>
      <c r="AY56"/>
      <c r="AZ56"/>
      <c r="BA56"/>
      <c r="BB56"/>
      <c r="BC56"/>
    </row>
    <row r="57" spans="10:55" x14ac:dyDescent="0.3">
      <c r="J57" s="155" t="s">
        <v>768</v>
      </c>
      <c r="K57" s="109">
        <v>4</v>
      </c>
      <c r="N57" s="153" t="s">
        <v>642</v>
      </c>
      <c r="O57" s="109">
        <v>3</v>
      </c>
      <c r="S57" s="109">
        <v>3</v>
      </c>
      <c r="V57"/>
      <c r="W57"/>
      <c r="Y57"/>
      <c r="Z57"/>
      <c r="AA57"/>
      <c r="AB57"/>
      <c r="AC57"/>
      <c r="AD57"/>
      <c r="AE57"/>
      <c r="AF57"/>
      <c r="AG57"/>
      <c r="AH57"/>
      <c r="AI57"/>
      <c r="AJ57"/>
      <c r="AK57"/>
      <c r="AL57"/>
      <c r="AM57"/>
      <c r="AN57"/>
      <c r="AO57"/>
      <c r="AP57"/>
      <c r="AQ57"/>
      <c r="AR57"/>
      <c r="AS57"/>
      <c r="AT57"/>
      <c r="AU57"/>
      <c r="AV57"/>
      <c r="AW57"/>
      <c r="AX57"/>
      <c r="AY57"/>
      <c r="AZ57"/>
      <c r="BA57"/>
      <c r="BB57"/>
      <c r="BC57"/>
    </row>
    <row r="58" spans="10:55" x14ac:dyDescent="0.3">
      <c r="J58" s="152" t="s">
        <v>752</v>
      </c>
      <c r="K58" s="109">
        <v>3</v>
      </c>
      <c r="N58" s="152" t="s">
        <v>759</v>
      </c>
      <c r="O58" s="109">
        <v>4</v>
      </c>
      <c r="P58" s="109">
        <v>5</v>
      </c>
      <c r="R58" s="109">
        <v>1</v>
      </c>
      <c r="S58" s="109">
        <v>10</v>
      </c>
      <c r="V58"/>
      <c r="W58"/>
      <c r="Y58"/>
      <c r="Z58"/>
      <c r="AA58"/>
      <c r="AB58"/>
      <c r="AC58"/>
      <c r="AD58"/>
      <c r="AE58"/>
      <c r="AF58"/>
      <c r="AG58"/>
      <c r="AH58"/>
      <c r="AI58"/>
      <c r="AJ58"/>
      <c r="AK58"/>
      <c r="AL58"/>
      <c r="AM58"/>
      <c r="AN58"/>
      <c r="AO58"/>
      <c r="AP58"/>
      <c r="AQ58"/>
      <c r="AR58"/>
      <c r="AS58"/>
      <c r="AT58"/>
      <c r="AU58"/>
      <c r="AV58"/>
      <c r="AW58"/>
      <c r="AX58"/>
      <c r="AY58"/>
      <c r="AZ58"/>
      <c r="BA58"/>
      <c r="BB58"/>
      <c r="BC58"/>
    </row>
    <row r="59" spans="10:55" x14ac:dyDescent="0.3">
      <c r="J59" s="153" t="s">
        <v>769</v>
      </c>
      <c r="K59" s="109">
        <v>1</v>
      </c>
      <c r="N59" s="153" t="s">
        <v>643</v>
      </c>
      <c r="O59" s="109">
        <v>1</v>
      </c>
      <c r="S59" s="109">
        <v>1</v>
      </c>
      <c r="V59"/>
      <c r="W59"/>
      <c r="Y59"/>
      <c r="Z59"/>
      <c r="AA59"/>
      <c r="AB59"/>
      <c r="AC59"/>
      <c r="AD59"/>
      <c r="AE59"/>
      <c r="AF59"/>
      <c r="AG59"/>
      <c r="AH59"/>
      <c r="AI59"/>
      <c r="AJ59"/>
      <c r="AK59"/>
      <c r="AL59"/>
      <c r="AM59"/>
      <c r="AN59"/>
      <c r="AO59"/>
      <c r="AP59"/>
      <c r="AQ59"/>
      <c r="AR59"/>
      <c r="AS59"/>
      <c r="AT59"/>
      <c r="AU59"/>
      <c r="AV59"/>
      <c r="AW59"/>
      <c r="AX59"/>
      <c r="AY59"/>
      <c r="AZ59"/>
      <c r="BA59"/>
      <c r="BB59"/>
      <c r="BC59"/>
    </row>
    <row r="60" spans="10:55" x14ac:dyDescent="0.3">
      <c r="J60" s="155" t="s">
        <v>646</v>
      </c>
      <c r="K60" s="109">
        <v>1</v>
      </c>
      <c r="N60" s="153" t="s">
        <v>644</v>
      </c>
      <c r="O60" s="109">
        <v>3</v>
      </c>
      <c r="S60" s="109">
        <v>3</v>
      </c>
      <c r="V60"/>
      <c r="W60"/>
      <c r="Y60"/>
      <c r="Z60"/>
      <c r="AA60"/>
      <c r="AB60"/>
      <c r="AC60"/>
      <c r="AD60"/>
      <c r="AE60"/>
      <c r="AF60"/>
      <c r="AG60"/>
      <c r="AH60"/>
      <c r="AI60"/>
      <c r="AJ60"/>
      <c r="AK60"/>
      <c r="AL60"/>
      <c r="AM60"/>
      <c r="AN60"/>
      <c r="AO60"/>
      <c r="AP60"/>
      <c r="AQ60"/>
      <c r="AR60"/>
      <c r="AS60"/>
      <c r="AT60"/>
      <c r="AU60"/>
      <c r="AV60"/>
      <c r="AW60"/>
      <c r="AX60"/>
      <c r="AY60"/>
      <c r="AZ60"/>
      <c r="BA60"/>
      <c r="BB60"/>
      <c r="BC60"/>
    </row>
    <row r="61" spans="10:55" x14ac:dyDescent="0.3">
      <c r="J61" s="153" t="s">
        <v>761</v>
      </c>
      <c r="K61" s="109">
        <v>1</v>
      </c>
      <c r="N61" s="153" t="s">
        <v>645</v>
      </c>
      <c r="P61" s="109">
        <v>1</v>
      </c>
      <c r="S61" s="109">
        <v>1</v>
      </c>
      <c r="V61"/>
      <c r="W61"/>
      <c r="Y61"/>
      <c r="Z61"/>
      <c r="AA61"/>
      <c r="AB61"/>
      <c r="AC61"/>
      <c r="AD61"/>
      <c r="AE61"/>
      <c r="AF61"/>
      <c r="AG61"/>
      <c r="AH61"/>
      <c r="AI61"/>
      <c r="AJ61"/>
      <c r="AK61"/>
      <c r="AL61"/>
      <c r="AM61"/>
      <c r="AN61"/>
      <c r="AO61"/>
      <c r="AP61"/>
      <c r="AQ61"/>
      <c r="AR61"/>
      <c r="AS61"/>
      <c r="AT61"/>
      <c r="AU61"/>
      <c r="AV61"/>
      <c r="AW61"/>
      <c r="AX61"/>
      <c r="AY61"/>
      <c r="AZ61"/>
      <c r="BA61"/>
      <c r="BB61"/>
      <c r="BC61"/>
    </row>
    <row r="62" spans="10:55" x14ac:dyDescent="0.3">
      <c r="J62" s="155" t="s">
        <v>762</v>
      </c>
      <c r="K62" s="109">
        <v>1</v>
      </c>
      <c r="N62" s="153" t="s">
        <v>647</v>
      </c>
      <c r="P62" s="109">
        <v>4</v>
      </c>
      <c r="S62" s="109">
        <v>4</v>
      </c>
      <c r="V62"/>
      <c r="W62"/>
      <c r="Y62"/>
      <c r="Z62"/>
      <c r="AA62"/>
      <c r="AB62"/>
      <c r="AC62"/>
      <c r="AD62"/>
      <c r="AE62"/>
      <c r="AF62"/>
      <c r="AG62"/>
      <c r="AH62"/>
      <c r="AI62"/>
      <c r="AJ62"/>
      <c r="AK62"/>
      <c r="AL62"/>
      <c r="AM62"/>
      <c r="AN62"/>
      <c r="AO62"/>
      <c r="AP62"/>
      <c r="AQ62"/>
      <c r="AR62"/>
      <c r="AS62"/>
      <c r="AT62"/>
      <c r="AU62"/>
      <c r="AV62"/>
      <c r="AW62"/>
      <c r="AX62"/>
      <c r="AY62"/>
      <c r="AZ62"/>
      <c r="BA62"/>
      <c r="BB62"/>
      <c r="BC62"/>
    </row>
    <row r="63" spans="10:55" x14ac:dyDescent="0.3">
      <c r="J63" s="153" t="s">
        <v>763</v>
      </c>
      <c r="K63" s="109">
        <v>1</v>
      </c>
      <c r="N63" s="153" t="s">
        <v>766</v>
      </c>
      <c r="R63" s="109">
        <v>1</v>
      </c>
      <c r="S63" s="109">
        <v>1</v>
      </c>
      <c r="V63"/>
      <c r="W63"/>
      <c r="Y63"/>
      <c r="Z63"/>
      <c r="AA63"/>
      <c r="AB63"/>
      <c r="AC63"/>
      <c r="AD63"/>
      <c r="AE63"/>
      <c r="AF63"/>
      <c r="AG63"/>
      <c r="AH63"/>
      <c r="AI63"/>
      <c r="AJ63"/>
      <c r="AK63"/>
      <c r="AL63"/>
      <c r="AM63"/>
      <c r="AN63"/>
      <c r="AO63"/>
      <c r="AP63"/>
      <c r="AQ63"/>
      <c r="AR63"/>
      <c r="AS63"/>
      <c r="AT63"/>
      <c r="AU63"/>
      <c r="AV63"/>
      <c r="AW63"/>
      <c r="AX63"/>
      <c r="AY63"/>
      <c r="AZ63"/>
      <c r="BA63"/>
      <c r="BB63"/>
      <c r="BC63"/>
    </row>
    <row r="64" spans="10:55" x14ac:dyDescent="0.3">
      <c r="J64" s="155" t="s">
        <v>765</v>
      </c>
      <c r="K64" s="109">
        <v>1</v>
      </c>
      <c r="N64" s="152" t="s">
        <v>443</v>
      </c>
      <c r="O64" s="109">
        <v>21</v>
      </c>
      <c r="P64" s="109">
        <v>17</v>
      </c>
      <c r="Q64" s="109">
        <v>14</v>
      </c>
      <c r="R64" s="109">
        <v>48</v>
      </c>
      <c r="S64" s="109">
        <v>100</v>
      </c>
      <c r="V64"/>
      <c r="W64"/>
      <c r="Y64"/>
      <c r="Z64"/>
      <c r="AA64"/>
      <c r="AB64"/>
      <c r="AC64"/>
      <c r="AD64"/>
      <c r="AE64"/>
      <c r="AF64"/>
      <c r="AG64"/>
      <c r="AH64"/>
      <c r="AI64"/>
      <c r="AJ64"/>
      <c r="AK64"/>
      <c r="AL64"/>
      <c r="AM64"/>
      <c r="AN64"/>
      <c r="AO64"/>
      <c r="AP64"/>
      <c r="AQ64"/>
      <c r="AR64"/>
      <c r="AS64"/>
      <c r="AT64"/>
      <c r="AU64"/>
      <c r="AV64"/>
      <c r="AW64"/>
      <c r="AX64"/>
      <c r="AY64"/>
      <c r="AZ64"/>
      <c r="BA64"/>
      <c r="BB64"/>
      <c r="BC64"/>
    </row>
    <row r="65" spans="10:55" x14ac:dyDescent="0.3">
      <c r="J65" s="152" t="s">
        <v>753</v>
      </c>
      <c r="K65" s="109">
        <v>1</v>
      </c>
      <c r="V65"/>
      <c r="W65"/>
      <c r="Y65"/>
      <c r="Z65"/>
      <c r="AA65"/>
      <c r="AB65"/>
      <c r="AC65"/>
      <c r="AD65"/>
      <c r="AE65"/>
      <c r="AF65"/>
      <c r="AG65"/>
      <c r="AH65"/>
      <c r="AI65"/>
      <c r="AJ65"/>
      <c r="AK65"/>
      <c r="AL65"/>
      <c r="AM65"/>
      <c r="AN65"/>
      <c r="AO65"/>
      <c r="AP65"/>
      <c r="AQ65"/>
      <c r="AR65"/>
      <c r="AS65"/>
      <c r="AT65"/>
      <c r="AU65"/>
      <c r="AV65"/>
      <c r="AW65"/>
      <c r="AX65"/>
      <c r="AY65"/>
      <c r="AZ65"/>
      <c r="BA65"/>
      <c r="BB65"/>
      <c r="BC65"/>
    </row>
    <row r="66" spans="10:55" x14ac:dyDescent="0.3">
      <c r="J66" s="153" t="s">
        <v>769</v>
      </c>
      <c r="K66" s="109">
        <v>1</v>
      </c>
      <c r="V66"/>
      <c r="W66"/>
      <c r="Y66"/>
      <c r="Z66"/>
      <c r="AA66"/>
      <c r="AB66"/>
      <c r="AC66"/>
      <c r="AD66"/>
      <c r="AE66"/>
      <c r="AF66"/>
      <c r="AG66"/>
      <c r="AH66"/>
      <c r="AI66"/>
      <c r="AJ66"/>
      <c r="AK66"/>
      <c r="AL66"/>
      <c r="AM66"/>
      <c r="AN66"/>
      <c r="AO66"/>
      <c r="AP66"/>
      <c r="AQ66"/>
      <c r="AR66"/>
      <c r="AS66"/>
      <c r="AT66"/>
      <c r="AU66"/>
      <c r="AV66"/>
      <c r="AW66"/>
      <c r="AX66"/>
      <c r="AY66"/>
      <c r="AZ66"/>
      <c r="BA66"/>
      <c r="BB66"/>
      <c r="BC66"/>
    </row>
    <row r="67" spans="10:55" x14ac:dyDescent="0.3">
      <c r="J67" s="155" t="s">
        <v>646</v>
      </c>
      <c r="K67" s="109">
        <v>1</v>
      </c>
      <c r="V67"/>
      <c r="W67"/>
      <c r="Y67"/>
      <c r="Z67"/>
      <c r="AA67"/>
      <c r="AB67"/>
      <c r="AC67"/>
      <c r="AD67"/>
      <c r="AE67"/>
      <c r="AF67"/>
      <c r="AG67"/>
      <c r="AH67"/>
      <c r="AI67"/>
      <c r="AJ67"/>
      <c r="AK67"/>
      <c r="AL67"/>
      <c r="AM67"/>
      <c r="AN67"/>
      <c r="AO67"/>
      <c r="AP67"/>
      <c r="AQ67"/>
      <c r="AR67"/>
      <c r="AS67"/>
      <c r="AT67"/>
      <c r="AU67"/>
      <c r="AV67"/>
      <c r="AW67"/>
      <c r="AX67"/>
      <c r="AY67"/>
      <c r="AZ67"/>
      <c r="BA67"/>
      <c r="BB67"/>
      <c r="BC67"/>
    </row>
    <row r="68" spans="10:55" x14ac:dyDescent="0.3">
      <c r="J68" s="152" t="s">
        <v>754</v>
      </c>
      <c r="K68" s="109">
        <v>1</v>
      </c>
      <c r="V68"/>
      <c r="W68"/>
      <c r="Y68"/>
      <c r="Z68"/>
      <c r="AA68"/>
      <c r="AB68"/>
      <c r="AC68"/>
      <c r="AD68"/>
      <c r="AE68"/>
      <c r="AF68"/>
      <c r="AG68"/>
      <c r="AH68"/>
      <c r="AI68"/>
      <c r="AJ68"/>
      <c r="AK68"/>
      <c r="AL68"/>
      <c r="AM68"/>
      <c r="AN68"/>
      <c r="AO68"/>
      <c r="AP68"/>
      <c r="AQ68"/>
      <c r="AR68"/>
      <c r="AS68"/>
      <c r="AT68"/>
      <c r="AU68"/>
      <c r="AV68"/>
      <c r="AW68"/>
      <c r="AX68"/>
      <c r="AY68"/>
      <c r="AZ68"/>
      <c r="BA68"/>
      <c r="BB68"/>
      <c r="BC68"/>
    </row>
    <row r="69" spans="10:55" x14ac:dyDescent="0.3">
      <c r="J69" s="153" t="s">
        <v>761</v>
      </c>
      <c r="K69" s="109">
        <v>1</v>
      </c>
      <c r="V69"/>
      <c r="W69"/>
      <c r="Y69"/>
      <c r="Z69"/>
      <c r="AA69"/>
      <c r="AB69"/>
      <c r="AC69"/>
      <c r="AD69"/>
      <c r="AE69"/>
      <c r="AF69"/>
      <c r="AG69"/>
      <c r="AH69"/>
      <c r="AI69"/>
      <c r="AJ69"/>
      <c r="AK69"/>
      <c r="AL69"/>
      <c r="AM69"/>
      <c r="AN69"/>
      <c r="AO69"/>
      <c r="AP69"/>
      <c r="AQ69"/>
      <c r="AR69"/>
      <c r="AS69"/>
      <c r="AT69"/>
      <c r="AU69"/>
      <c r="AV69"/>
      <c r="AW69"/>
      <c r="AX69"/>
      <c r="AY69"/>
      <c r="AZ69"/>
      <c r="BA69"/>
      <c r="BB69"/>
      <c r="BC69"/>
    </row>
    <row r="70" spans="10:55" x14ac:dyDescent="0.3">
      <c r="J70" s="155" t="s">
        <v>768</v>
      </c>
      <c r="K70" s="109">
        <v>1</v>
      </c>
      <c r="V70"/>
      <c r="W70"/>
      <c r="Y70"/>
      <c r="Z70"/>
      <c r="AA70"/>
      <c r="AB70"/>
      <c r="AC70"/>
      <c r="AD70"/>
      <c r="AE70"/>
      <c r="AF70"/>
      <c r="AG70"/>
      <c r="AH70"/>
      <c r="AI70"/>
      <c r="AJ70"/>
      <c r="AK70"/>
      <c r="AL70"/>
      <c r="AM70"/>
      <c r="AN70"/>
      <c r="AO70"/>
      <c r="AP70"/>
      <c r="AQ70"/>
      <c r="AR70"/>
      <c r="AS70"/>
      <c r="AT70"/>
      <c r="AU70"/>
      <c r="AV70"/>
      <c r="AW70"/>
      <c r="AX70"/>
      <c r="AY70"/>
      <c r="AZ70"/>
      <c r="BA70"/>
      <c r="BB70"/>
      <c r="BC70"/>
    </row>
    <row r="71" spans="10:55" x14ac:dyDescent="0.3">
      <c r="J71" s="152" t="s">
        <v>755</v>
      </c>
      <c r="K71" s="109">
        <v>7</v>
      </c>
      <c r="V71"/>
      <c r="W71"/>
      <c r="Y71"/>
      <c r="Z71"/>
      <c r="AA71"/>
      <c r="AB71"/>
      <c r="AC71"/>
      <c r="AD71"/>
      <c r="AE71"/>
      <c r="AF71"/>
      <c r="AG71"/>
      <c r="AH71"/>
      <c r="AI71"/>
      <c r="AJ71"/>
      <c r="AK71"/>
      <c r="AL71"/>
      <c r="AM71"/>
      <c r="AN71"/>
      <c r="AO71"/>
      <c r="AP71"/>
      <c r="AQ71"/>
      <c r="AR71"/>
      <c r="AS71"/>
      <c r="AT71"/>
      <c r="AU71"/>
      <c r="AV71"/>
      <c r="AW71"/>
      <c r="AX71"/>
      <c r="AY71"/>
      <c r="AZ71"/>
      <c r="BA71"/>
      <c r="BB71"/>
      <c r="BC71"/>
    </row>
    <row r="72" spans="10:55" x14ac:dyDescent="0.3">
      <c r="J72" s="153" t="s">
        <v>760</v>
      </c>
      <c r="K72" s="109">
        <v>5</v>
      </c>
      <c r="V72"/>
      <c r="W72"/>
      <c r="Y72"/>
      <c r="Z72"/>
      <c r="AA72"/>
      <c r="AB72"/>
      <c r="AC72"/>
      <c r="AD72"/>
      <c r="AE72"/>
      <c r="AF72"/>
      <c r="AG72"/>
      <c r="AH72"/>
      <c r="AI72"/>
      <c r="AJ72"/>
      <c r="AK72"/>
      <c r="AL72"/>
      <c r="AM72"/>
      <c r="AN72"/>
      <c r="AO72"/>
      <c r="AP72"/>
      <c r="AQ72"/>
      <c r="AR72"/>
      <c r="AS72"/>
      <c r="AT72"/>
      <c r="AU72"/>
      <c r="AV72"/>
      <c r="AW72"/>
      <c r="AX72"/>
      <c r="AY72"/>
      <c r="AZ72"/>
      <c r="BA72"/>
      <c r="BB72"/>
      <c r="BC72"/>
    </row>
    <row r="73" spans="10:55" x14ac:dyDescent="0.3">
      <c r="J73" s="155" t="s">
        <v>644</v>
      </c>
      <c r="K73" s="109">
        <v>5</v>
      </c>
      <c r="V73"/>
      <c r="W73"/>
      <c r="Y73"/>
      <c r="Z73"/>
      <c r="AA73"/>
      <c r="AB73"/>
      <c r="AC73"/>
      <c r="AD73"/>
      <c r="AE73"/>
      <c r="AF73"/>
      <c r="AG73"/>
      <c r="AH73"/>
      <c r="AI73"/>
      <c r="AJ73"/>
      <c r="AK73"/>
      <c r="AL73"/>
      <c r="AM73"/>
      <c r="AN73"/>
      <c r="AO73"/>
      <c r="AP73"/>
      <c r="AQ73"/>
      <c r="AR73"/>
      <c r="AS73"/>
      <c r="AT73"/>
      <c r="AU73"/>
      <c r="AV73"/>
      <c r="AW73"/>
      <c r="AX73"/>
      <c r="AY73"/>
      <c r="AZ73"/>
      <c r="BA73"/>
      <c r="BB73"/>
      <c r="BC73"/>
    </row>
    <row r="74" spans="10:55" x14ac:dyDescent="0.3">
      <c r="J74" s="153" t="s">
        <v>763</v>
      </c>
      <c r="K74" s="109">
        <v>2</v>
      </c>
      <c r="V74"/>
      <c r="W74"/>
      <c r="Y74"/>
      <c r="Z74"/>
      <c r="AA74"/>
      <c r="AB74"/>
      <c r="AC74"/>
      <c r="AD74"/>
      <c r="AE74"/>
      <c r="AF74"/>
      <c r="AG74"/>
      <c r="AH74"/>
      <c r="AI74"/>
      <c r="AJ74"/>
      <c r="AK74"/>
      <c r="AL74"/>
      <c r="AM74"/>
      <c r="AN74"/>
      <c r="AO74"/>
      <c r="AP74"/>
      <c r="AQ74"/>
      <c r="AR74"/>
      <c r="AS74"/>
      <c r="AT74"/>
      <c r="AU74"/>
      <c r="AV74"/>
      <c r="AW74"/>
      <c r="AX74"/>
      <c r="AY74"/>
      <c r="AZ74"/>
      <c r="BA74"/>
      <c r="BB74"/>
      <c r="BC74"/>
    </row>
    <row r="75" spans="10:55" x14ac:dyDescent="0.3">
      <c r="J75" s="155" t="s">
        <v>766</v>
      </c>
      <c r="K75" s="109">
        <v>2</v>
      </c>
      <c r="V75"/>
      <c r="W75"/>
      <c r="Y75"/>
      <c r="Z75"/>
      <c r="AA75"/>
      <c r="AB75"/>
      <c r="AC75"/>
      <c r="AD75"/>
      <c r="AE75"/>
      <c r="AF75"/>
      <c r="AG75"/>
      <c r="AH75"/>
      <c r="AI75"/>
      <c r="AJ75"/>
      <c r="AK75"/>
      <c r="AL75"/>
      <c r="AM75"/>
      <c r="AN75"/>
      <c r="AO75"/>
      <c r="AP75"/>
      <c r="AQ75"/>
      <c r="AR75"/>
      <c r="AS75"/>
      <c r="AT75"/>
      <c r="AU75"/>
      <c r="AV75"/>
      <c r="AW75"/>
      <c r="AX75"/>
      <c r="AY75"/>
      <c r="AZ75"/>
      <c r="BA75"/>
      <c r="BB75"/>
      <c r="BC75"/>
    </row>
    <row r="76" spans="10:55" x14ac:dyDescent="0.3">
      <c r="J76" s="152" t="s">
        <v>756</v>
      </c>
      <c r="K76" s="109">
        <v>1</v>
      </c>
      <c r="V76"/>
      <c r="W76"/>
      <c r="Y76"/>
      <c r="Z76"/>
      <c r="AA76"/>
      <c r="AB76"/>
      <c r="AC76"/>
      <c r="AD76"/>
      <c r="AE76"/>
      <c r="AF76"/>
      <c r="AG76"/>
      <c r="AH76"/>
      <c r="AI76"/>
      <c r="AJ76"/>
      <c r="AK76"/>
      <c r="AL76"/>
      <c r="AM76"/>
      <c r="AN76"/>
      <c r="AO76"/>
      <c r="AP76"/>
      <c r="AQ76"/>
      <c r="AR76"/>
      <c r="AS76"/>
      <c r="AT76"/>
      <c r="AU76"/>
      <c r="AV76"/>
      <c r="AW76"/>
      <c r="AX76"/>
      <c r="AY76"/>
      <c r="AZ76"/>
      <c r="BA76"/>
      <c r="BB76"/>
      <c r="BC76"/>
    </row>
    <row r="77" spans="10:55" x14ac:dyDescent="0.3">
      <c r="J77" s="153" t="s">
        <v>769</v>
      </c>
      <c r="K77" s="109">
        <v>1</v>
      </c>
      <c r="V77"/>
      <c r="W77"/>
      <c r="Y77"/>
      <c r="Z77"/>
      <c r="AA77"/>
      <c r="AB77"/>
      <c r="AC77"/>
      <c r="AD77"/>
      <c r="AE77"/>
      <c r="AF77"/>
      <c r="AG77"/>
      <c r="AH77"/>
      <c r="AI77"/>
      <c r="AJ77"/>
      <c r="AK77"/>
      <c r="AL77"/>
      <c r="AM77"/>
      <c r="AN77"/>
      <c r="AO77"/>
      <c r="AP77"/>
      <c r="AQ77"/>
      <c r="AR77"/>
      <c r="AS77"/>
      <c r="AT77"/>
      <c r="AU77"/>
      <c r="AV77"/>
      <c r="AW77"/>
      <c r="AX77"/>
      <c r="AY77"/>
      <c r="AZ77"/>
      <c r="BA77"/>
      <c r="BB77"/>
      <c r="BC77"/>
    </row>
    <row r="78" spans="10:55" x14ac:dyDescent="0.3">
      <c r="J78" s="155" t="s">
        <v>646</v>
      </c>
      <c r="K78" s="109">
        <v>1</v>
      </c>
      <c r="V78"/>
      <c r="W78"/>
      <c r="Y78"/>
      <c r="Z78"/>
      <c r="AA78"/>
      <c r="AB78"/>
      <c r="AC78"/>
      <c r="AD78"/>
      <c r="AE78"/>
      <c r="AF78"/>
      <c r="AG78"/>
      <c r="AH78"/>
      <c r="AI78"/>
      <c r="AJ78"/>
      <c r="AK78"/>
      <c r="AL78"/>
      <c r="AM78"/>
      <c r="AN78"/>
      <c r="AO78"/>
      <c r="AP78"/>
      <c r="AQ78"/>
      <c r="AR78"/>
      <c r="AS78"/>
      <c r="AT78"/>
      <c r="AU78"/>
      <c r="AV78"/>
      <c r="AW78"/>
      <c r="AX78"/>
      <c r="AY78"/>
      <c r="AZ78"/>
      <c r="BA78"/>
      <c r="BB78"/>
      <c r="BC78"/>
    </row>
    <row r="79" spans="10:55" x14ac:dyDescent="0.3">
      <c r="J79" s="152" t="s">
        <v>757</v>
      </c>
      <c r="K79" s="109">
        <v>5</v>
      </c>
      <c r="V79"/>
      <c r="W79"/>
      <c r="Y79"/>
      <c r="Z79"/>
      <c r="AA79"/>
      <c r="AB79"/>
      <c r="AC79"/>
      <c r="AD79"/>
      <c r="AE79"/>
      <c r="AF79"/>
      <c r="AG79"/>
      <c r="AH79"/>
      <c r="AI79"/>
      <c r="AJ79"/>
      <c r="AK79"/>
      <c r="AL79"/>
      <c r="AM79"/>
      <c r="AN79"/>
      <c r="AO79"/>
      <c r="AP79"/>
      <c r="AQ79"/>
      <c r="AR79"/>
      <c r="AS79"/>
      <c r="AT79"/>
      <c r="AU79"/>
      <c r="AV79"/>
      <c r="AW79"/>
      <c r="AX79"/>
      <c r="AY79"/>
      <c r="AZ79"/>
      <c r="BA79"/>
      <c r="BB79"/>
      <c r="BC79"/>
    </row>
    <row r="80" spans="10:55" x14ac:dyDescent="0.3">
      <c r="J80" s="153" t="s">
        <v>769</v>
      </c>
      <c r="K80" s="109">
        <v>1</v>
      </c>
      <c r="V80"/>
      <c r="W80"/>
      <c r="Y80"/>
      <c r="Z80"/>
      <c r="AA80"/>
      <c r="AB80"/>
      <c r="AC80"/>
      <c r="AD80"/>
      <c r="AE80"/>
      <c r="AF80"/>
      <c r="AG80"/>
      <c r="AH80"/>
      <c r="AI80"/>
      <c r="AJ80"/>
      <c r="AK80"/>
      <c r="AL80"/>
      <c r="AM80"/>
      <c r="AN80"/>
      <c r="AO80"/>
      <c r="AP80"/>
      <c r="AQ80"/>
      <c r="AR80"/>
      <c r="AS80"/>
      <c r="AT80"/>
      <c r="AU80"/>
      <c r="AV80"/>
      <c r="AW80"/>
      <c r="AX80"/>
      <c r="AY80"/>
      <c r="AZ80"/>
      <c r="BA80"/>
      <c r="BB80"/>
      <c r="BC80"/>
    </row>
    <row r="81" spans="10:55" x14ac:dyDescent="0.3">
      <c r="J81" s="155" t="s">
        <v>647</v>
      </c>
      <c r="K81" s="109">
        <v>1</v>
      </c>
      <c r="V81"/>
      <c r="W81"/>
      <c r="Y81"/>
      <c r="Z81"/>
      <c r="AA81"/>
      <c r="AB81"/>
      <c r="AC81"/>
      <c r="AD81"/>
      <c r="AE81"/>
      <c r="AF81"/>
      <c r="AG81"/>
      <c r="AH81"/>
      <c r="AI81"/>
      <c r="AJ81"/>
      <c r="AK81"/>
      <c r="AL81"/>
      <c r="AM81"/>
      <c r="AN81"/>
      <c r="AO81"/>
      <c r="AP81"/>
      <c r="AQ81"/>
      <c r="AR81"/>
      <c r="AS81"/>
      <c r="AT81"/>
      <c r="AU81"/>
      <c r="AV81"/>
      <c r="AW81"/>
      <c r="AX81"/>
      <c r="AY81"/>
      <c r="AZ81"/>
      <c r="BA81"/>
      <c r="BB81"/>
      <c r="BC81"/>
    </row>
    <row r="82" spans="10:55" x14ac:dyDescent="0.3">
      <c r="J82" s="153" t="s">
        <v>761</v>
      </c>
      <c r="K82" s="109">
        <v>2</v>
      </c>
      <c r="V82"/>
      <c r="W82"/>
      <c r="Y82"/>
      <c r="Z82"/>
      <c r="AA82"/>
      <c r="AB82"/>
      <c r="AC82"/>
      <c r="AD82"/>
      <c r="AE82"/>
      <c r="AF82"/>
      <c r="AG82"/>
      <c r="AH82"/>
      <c r="AI82"/>
      <c r="AJ82"/>
      <c r="AK82"/>
      <c r="AL82"/>
      <c r="AM82"/>
      <c r="AN82"/>
      <c r="AO82"/>
      <c r="AP82"/>
      <c r="AQ82"/>
      <c r="AR82"/>
      <c r="AS82"/>
      <c r="AT82"/>
      <c r="AU82"/>
      <c r="AV82"/>
      <c r="AW82"/>
      <c r="AX82"/>
      <c r="AY82"/>
      <c r="AZ82"/>
      <c r="BA82"/>
      <c r="BB82"/>
      <c r="BC82"/>
    </row>
    <row r="83" spans="10:55" x14ac:dyDescent="0.3">
      <c r="J83" s="155" t="s">
        <v>762</v>
      </c>
      <c r="K83" s="109">
        <v>2</v>
      </c>
      <c r="V83"/>
      <c r="W83"/>
      <c r="Y83"/>
      <c r="Z83"/>
      <c r="AA83"/>
      <c r="AB83"/>
      <c r="AC83"/>
      <c r="AD83"/>
      <c r="AE83"/>
      <c r="AF83"/>
      <c r="AG83"/>
      <c r="AH83"/>
      <c r="AI83"/>
      <c r="AJ83"/>
      <c r="AK83"/>
      <c r="AL83"/>
      <c r="AM83"/>
      <c r="AN83"/>
      <c r="AO83"/>
      <c r="AP83"/>
      <c r="AQ83"/>
      <c r="AR83"/>
      <c r="AS83"/>
      <c r="AT83"/>
      <c r="AU83"/>
      <c r="AV83"/>
      <c r="AW83"/>
      <c r="AX83"/>
      <c r="AY83"/>
      <c r="AZ83"/>
      <c r="BA83"/>
      <c r="BB83"/>
      <c r="BC83"/>
    </row>
    <row r="84" spans="10:55" x14ac:dyDescent="0.3">
      <c r="J84" s="153" t="s">
        <v>763</v>
      </c>
      <c r="K84" s="109">
        <v>2</v>
      </c>
      <c r="V84"/>
      <c r="W84"/>
      <c r="Y84"/>
      <c r="Z84"/>
      <c r="AA84"/>
      <c r="AB84"/>
      <c r="AC84"/>
      <c r="AD84"/>
      <c r="AE84"/>
      <c r="AF84"/>
      <c r="AG84"/>
      <c r="AH84"/>
      <c r="AI84"/>
      <c r="AJ84"/>
      <c r="AK84"/>
      <c r="AL84"/>
      <c r="AM84"/>
      <c r="AN84"/>
      <c r="AO84"/>
      <c r="AP84"/>
      <c r="AQ84"/>
      <c r="AR84"/>
      <c r="AS84"/>
      <c r="AT84"/>
      <c r="AU84"/>
      <c r="AV84"/>
      <c r="AW84"/>
      <c r="AX84"/>
      <c r="AY84"/>
      <c r="AZ84"/>
      <c r="BA84"/>
      <c r="BB84"/>
      <c r="BC84"/>
    </row>
    <row r="85" spans="10:55" x14ac:dyDescent="0.3">
      <c r="J85" s="155" t="s">
        <v>766</v>
      </c>
      <c r="K85" s="109">
        <v>2</v>
      </c>
      <c r="V85"/>
      <c r="W85"/>
      <c r="Y85"/>
      <c r="Z85"/>
      <c r="AA85"/>
      <c r="AB85"/>
      <c r="AC85"/>
      <c r="AD85"/>
      <c r="AE85"/>
      <c r="AF85"/>
      <c r="AG85"/>
      <c r="AH85"/>
      <c r="AI85"/>
      <c r="AJ85"/>
      <c r="AK85"/>
      <c r="AL85"/>
      <c r="AM85"/>
      <c r="AN85"/>
      <c r="AO85"/>
      <c r="AP85"/>
      <c r="AQ85"/>
      <c r="AR85"/>
      <c r="AS85"/>
      <c r="AT85"/>
      <c r="AU85"/>
      <c r="AV85"/>
      <c r="AW85"/>
      <c r="AX85"/>
      <c r="AY85"/>
      <c r="AZ85"/>
      <c r="BA85"/>
      <c r="BB85"/>
      <c r="BC85"/>
    </row>
    <row r="86" spans="10:55" x14ac:dyDescent="0.3">
      <c r="J86" s="152" t="s">
        <v>758</v>
      </c>
      <c r="K86" s="109">
        <v>3</v>
      </c>
      <c r="V86"/>
      <c r="W86"/>
      <c r="Y86"/>
      <c r="Z86"/>
      <c r="AA86"/>
      <c r="AB86"/>
      <c r="AC86"/>
      <c r="AD86"/>
      <c r="AE86"/>
      <c r="AF86"/>
      <c r="AG86"/>
      <c r="AH86"/>
      <c r="AI86"/>
      <c r="AJ86"/>
      <c r="AK86"/>
      <c r="AL86"/>
      <c r="AM86"/>
      <c r="AN86"/>
      <c r="AO86"/>
      <c r="AP86"/>
      <c r="AQ86"/>
      <c r="AR86"/>
      <c r="AS86"/>
      <c r="AT86"/>
      <c r="AU86"/>
      <c r="AV86"/>
      <c r="AW86"/>
      <c r="AX86"/>
      <c r="AY86"/>
      <c r="AZ86"/>
      <c r="BA86"/>
      <c r="BB86"/>
      <c r="BC86"/>
    </row>
    <row r="87" spans="10:55" x14ac:dyDescent="0.3">
      <c r="J87" s="153" t="s">
        <v>760</v>
      </c>
      <c r="K87" s="109">
        <v>3</v>
      </c>
      <c r="V87"/>
      <c r="W87"/>
      <c r="Y87"/>
      <c r="Z87"/>
      <c r="AA87"/>
      <c r="AB87"/>
      <c r="AC87"/>
      <c r="AD87"/>
      <c r="AE87"/>
      <c r="AF87"/>
      <c r="AG87"/>
      <c r="AH87"/>
      <c r="AI87"/>
      <c r="AJ87"/>
      <c r="AK87"/>
      <c r="AL87"/>
      <c r="AM87"/>
      <c r="AN87"/>
      <c r="AO87"/>
      <c r="AP87"/>
      <c r="AQ87"/>
      <c r="AR87"/>
      <c r="AS87"/>
      <c r="AT87"/>
      <c r="AU87"/>
      <c r="AV87"/>
      <c r="AW87"/>
      <c r="AX87"/>
      <c r="AY87"/>
      <c r="AZ87"/>
      <c r="BA87"/>
      <c r="BB87"/>
      <c r="BC87"/>
    </row>
    <row r="88" spans="10:55" x14ac:dyDescent="0.3">
      <c r="J88" s="155" t="s">
        <v>642</v>
      </c>
      <c r="K88" s="109">
        <v>3</v>
      </c>
      <c r="V88"/>
      <c r="W88"/>
      <c r="Y88"/>
      <c r="Z88"/>
      <c r="AA88"/>
      <c r="AB88"/>
      <c r="AC88"/>
      <c r="AD88"/>
      <c r="AE88"/>
      <c r="AF88"/>
      <c r="AG88"/>
      <c r="AH88"/>
      <c r="AI88"/>
      <c r="AJ88"/>
      <c r="AK88"/>
      <c r="AL88"/>
      <c r="AM88"/>
      <c r="AN88"/>
      <c r="AO88"/>
      <c r="AP88"/>
      <c r="AQ88"/>
      <c r="AR88"/>
      <c r="AS88"/>
      <c r="AT88"/>
      <c r="AU88"/>
      <c r="AV88"/>
      <c r="AW88"/>
      <c r="AX88"/>
      <c r="AY88"/>
      <c r="AZ88"/>
      <c r="BA88"/>
      <c r="BB88"/>
      <c r="BC88"/>
    </row>
    <row r="89" spans="10:55" x14ac:dyDescent="0.3">
      <c r="J89" s="152" t="s">
        <v>759</v>
      </c>
      <c r="K89" s="109">
        <v>10</v>
      </c>
      <c r="V89"/>
      <c r="W89"/>
      <c r="Y89"/>
      <c r="Z89"/>
      <c r="AA89"/>
      <c r="AB89"/>
      <c r="AC89"/>
      <c r="AD89"/>
      <c r="AE89"/>
      <c r="AF89"/>
      <c r="AG89"/>
      <c r="AH89"/>
      <c r="AI89"/>
      <c r="AJ89"/>
      <c r="AK89"/>
      <c r="AL89"/>
      <c r="AM89"/>
      <c r="AN89"/>
      <c r="AO89"/>
      <c r="AP89"/>
      <c r="AQ89"/>
      <c r="AR89"/>
      <c r="AS89"/>
      <c r="AT89"/>
      <c r="AU89"/>
      <c r="AV89"/>
      <c r="AW89"/>
      <c r="AX89"/>
      <c r="AY89"/>
      <c r="AZ89"/>
      <c r="BA89"/>
      <c r="BB89"/>
      <c r="BC89"/>
    </row>
    <row r="90" spans="10:55" x14ac:dyDescent="0.3">
      <c r="J90" s="153" t="s">
        <v>760</v>
      </c>
      <c r="K90" s="109">
        <v>4</v>
      </c>
      <c r="V90"/>
      <c r="W90"/>
      <c r="Y90"/>
      <c r="Z90"/>
      <c r="AA90"/>
      <c r="AB90"/>
      <c r="AC90"/>
      <c r="AD90"/>
      <c r="AE90"/>
      <c r="AF90"/>
      <c r="AG90"/>
      <c r="AH90"/>
      <c r="AI90"/>
      <c r="AJ90"/>
      <c r="AK90"/>
      <c r="AL90"/>
      <c r="AM90"/>
      <c r="AN90"/>
      <c r="AO90"/>
      <c r="AP90"/>
      <c r="AQ90"/>
      <c r="AR90"/>
      <c r="AS90"/>
      <c r="AT90"/>
      <c r="AU90"/>
      <c r="AV90"/>
      <c r="AW90"/>
      <c r="AX90"/>
      <c r="AY90"/>
      <c r="AZ90"/>
      <c r="BA90"/>
      <c r="BB90"/>
      <c r="BC90"/>
    </row>
    <row r="91" spans="10:55" x14ac:dyDescent="0.3">
      <c r="J91" s="155" t="s">
        <v>643</v>
      </c>
      <c r="K91" s="109">
        <v>1</v>
      </c>
      <c r="V91"/>
      <c r="W91"/>
      <c r="Y91"/>
      <c r="Z91"/>
      <c r="AA91"/>
      <c r="AB91"/>
      <c r="AC91"/>
      <c r="AD91"/>
      <c r="AE91"/>
      <c r="AF91"/>
      <c r="AG91"/>
      <c r="AH91"/>
      <c r="AI91"/>
      <c r="AJ91"/>
      <c r="AK91"/>
      <c r="AL91"/>
      <c r="AM91"/>
      <c r="AN91"/>
      <c r="AO91"/>
      <c r="AP91"/>
      <c r="AQ91"/>
      <c r="AR91"/>
      <c r="AS91"/>
      <c r="AT91"/>
      <c r="AU91"/>
      <c r="AV91"/>
      <c r="AW91"/>
      <c r="AX91"/>
      <c r="AY91"/>
      <c r="AZ91"/>
      <c r="BA91"/>
      <c r="BB91"/>
      <c r="BC91"/>
    </row>
    <row r="92" spans="10:55" x14ac:dyDescent="0.3">
      <c r="J92" s="155" t="s">
        <v>644</v>
      </c>
      <c r="K92" s="109">
        <v>3</v>
      </c>
      <c r="V92"/>
      <c r="W92"/>
      <c r="Y92"/>
      <c r="Z92"/>
      <c r="AA92"/>
      <c r="AB92"/>
      <c r="AC92"/>
      <c r="AD92"/>
      <c r="AE92"/>
      <c r="AF92"/>
      <c r="AG92"/>
      <c r="AH92"/>
      <c r="AI92"/>
      <c r="AJ92"/>
      <c r="AK92"/>
      <c r="AL92"/>
      <c r="AM92"/>
      <c r="AN92"/>
      <c r="AO92"/>
      <c r="AP92"/>
      <c r="AQ92"/>
      <c r="AR92"/>
      <c r="AS92"/>
      <c r="AT92"/>
      <c r="AU92"/>
      <c r="AV92"/>
      <c r="AW92"/>
      <c r="AX92"/>
      <c r="AY92"/>
      <c r="AZ92"/>
      <c r="BA92"/>
      <c r="BB92"/>
      <c r="BC92"/>
    </row>
    <row r="93" spans="10:55" x14ac:dyDescent="0.3">
      <c r="J93" s="153" t="s">
        <v>769</v>
      </c>
      <c r="K93" s="109">
        <v>5</v>
      </c>
      <c r="V93"/>
      <c r="W93"/>
      <c r="Y93"/>
      <c r="Z93"/>
      <c r="AA93"/>
      <c r="AB93"/>
      <c r="AC93"/>
      <c r="AD93"/>
      <c r="AE93"/>
      <c r="AF93"/>
      <c r="AG93"/>
      <c r="AH93"/>
      <c r="AI93"/>
      <c r="AJ93"/>
      <c r="AK93"/>
      <c r="AL93"/>
      <c r="AM93"/>
      <c r="AN93"/>
      <c r="AO93"/>
      <c r="AP93"/>
      <c r="AQ93"/>
      <c r="AR93"/>
      <c r="AS93"/>
      <c r="AT93"/>
      <c r="AU93"/>
      <c r="AV93"/>
      <c r="AW93"/>
      <c r="AX93"/>
      <c r="AY93"/>
      <c r="AZ93"/>
      <c r="BA93"/>
      <c r="BB93"/>
      <c r="BC93"/>
    </row>
    <row r="94" spans="10:55" x14ac:dyDescent="0.3">
      <c r="J94" s="155" t="s">
        <v>645</v>
      </c>
      <c r="K94" s="109">
        <v>1</v>
      </c>
      <c r="V94"/>
      <c r="W94"/>
      <c r="Y94"/>
      <c r="Z94"/>
      <c r="AA94"/>
      <c r="AB94"/>
      <c r="AC94"/>
      <c r="AD94"/>
      <c r="AE94"/>
      <c r="AF94"/>
      <c r="AG94"/>
      <c r="AH94"/>
      <c r="AI94"/>
      <c r="AJ94"/>
      <c r="AK94"/>
      <c r="AL94"/>
      <c r="AM94"/>
      <c r="AN94"/>
      <c r="AO94"/>
      <c r="AP94"/>
      <c r="AQ94"/>
      <c r="AR94"/>
      <c r="AS94"/>
      <c r="AT94"/>
      <c r="AU94"/>
      <c r="AV94"/>
      <c r="AW94"/>
      <c r="AX94"/>
      <c r="AY94"/>
      <c r="AZ94"/>
      <c r="BA94"/>
      <c r="BB94"/>
      <c r="BC94"/>
    </row>
    <row r="95" spans="10:55" x14ac:dyDescent="0.3">
      <c r="J95" s="155" t="s">
        <v>647</v>
      </c>
      <c r="K95" s="109">
        <v>4</v>
      </c>
      <c r="V95"/>
      <c r="W95"/>
      <c r="Y95"/>
      <c r="Z95"/>
      <c r="AA95"/>
      <c r="AB95"/>
      <c r="AC95"/>
      <c r="AD95"/>
      <c r="AE95"/>
      <c r="AF95"/>
      <c r="AG95"/>
      <c r="AH95"/>
      <c r="AI95"/>
      <c r="AJ95"/>
      <c r="AK95"/>
      <c r="AL95"/>
      <c r="AM95"/>
      <c r="AN95"/>
      <c r="AO95"/>
      <c r="AP95"/>
      <c r="AQ95"/>
      <c r="AR95"/>
      <c r="AS95"/>
      <c r="AT95"/>
      <c r="AU95"/>
      <c r="AV95"/>
      <c r="AW95"/>
      <c r="AX95"/>
      <c r="AY95"/>
      <c r="AZ95"/>
      <c r="BA95"/>
      <c r="BB95"/>
      <c r="BC95"/>
    </row>
    <row r="96" spans="10:55" x14ac:dyDescent="0.3">
      <c r="J96" s="153" t="s">
        <v>763</v>
      </c>
      <c r="K96" s="109">
        <v>1</v>
      </c>
      <c r="V96"/>
      <c r="W96"/>
      <c r="Y96"/>
      <c r="Z96"/>
      <c r="AA96"/>
      <c r="AB96"/>
      <c r="AC96"/>
      <c r="AD96"/>
      <c r="AE96"/>
      <c r="AF96"/>
      <c r="AG96"/>
      <c r="AH96"/>
      <c r="AI96"/>
      <c r="AJ96"/>
      <c r="AK96"/>
      <c r="AL96"/>
      <c r="AM96"/>
      <c r="AN96"/>
      <c r="AO96"/>
      <c r="AP96"/>
      <c r="AQ96"/>
      <c r="AR96"/>
      <c r="AS96"/>
      <c r="AT96"/>
      <c r="AU96"/>
      <c r="AV96"/>
      <c r="AW96"/>
      <c r="AX96"/>
      <c r="AY96"/>
      <c r="AZ96"/>
      <c r="BA96"/>
      <c r="BB96"/>
      <c r="BC96"/>
    </row>
    <row r="97" spans="10:55" x14ac:dyDescent="0.3">
      <c r="J97" s="155" t="s">
        <v>766</v>
      </c>
      <c r="K97" s="109">
        <v>1</v>
      </c>
      <c r="V97"/>
      <c r="W97"/>
      <c r="Y97"/>
      <c r="Z97"/>
      <c r="AA97"/>
      <c r="AB97"/>
      <c r="AC97"/>
      <c r="AD97"/>
      <c r="AE97"/>
      <c r="AF97"/>
      <c r="AG97"/>
      <c r="AH97"/>
      <c r="AI97"/>
      <c r="AJ97"/>
      <c r="AK97"/>
      <c r="AL97"/>
      <c r="AM97"/>
      <c r="AN97"/>
      <c r="AO97"/>
      <c r="AP97"/>
      <c r="AQ97"/>
      <c r="AR97"/>
      <c r="AS97"/>
      <c r="AT97"/>
      <c r="AU97"/>
      <c r="AV97"/>
      <c r="AW97"/>
      <c r="AX97"/>
      <c r="AY97"/>
      <c r="AZ97"/>
      <c r="BA97"/>
      <c r="BB97"/>
      <c r="BC97"/>
    </row>
    <row r="98" spans="10:55" x14ac:dyDescent="0.3">
      <c r="J98" s="152" t="s">
        <v>443</v>
      </c>
      <c r="K98" s="109">
        <v>100</v>
      </c>
      <c r="V98"/>
      <c r="W98"/>
      <c r="Y98"/>
      <c r="Z98"/>
      <c r="AA98"/>
      <c r="AB98"/>
      <c r="AC98"/>
      <c r="AD98"/>
      <c r="AE98"/>
      <c r="AF98"/>
      <c r="AG98"/>
      <c r="AH98"/>
      <c r="AI98"/>
      <c r="AJ98"/>
      <c r="AK98"/>
      <c r="AL98"/>
      <c r="AM98"/>
      <c r="AN98"/>
      <c r="AO98"/>
      <c r="AP98"/>
      <c r="AQ98"/>
      <c r="AR98"/>
      <c r="AS98"/>
      <c r="AT98"/>
      <c r="AU98"/>
      <c r="AV98"/>
      <c r="AW98"/>
      <c r="AX98"/>
      <c r="AY98"/>
      <c r="AZ98"/>
      <c r="BA98"/>
      <c r="BB98"/>
      <c r="BC98"/>
    </row>
    <row r="99" spans="10:55" x14ac:dyDescent="0.3">
      <c r="W99"/>
      <c r="X99"/>
      <c r="Y99"/>
      <c r="Z99"/>
      <c r="AA99"/>
      <c r="AB99"/>
      <c r="AC99"/>
      <c r="AD99"/>
      <c r="AE99"/>
      <c r="AF99"/>
      <c r="AG99"/>
      <c r="AH99"/>
      <c r="AI99"/>
      <c r="AJ99"/>
      <c r="AK99"/>
      <c r="AL99"/>
      <c r="AM99"/>
      <c r="AN99"/>
      <c r="AO99"/>
      <c r="AP99"/>
      <c r="AQ99"/>
      <c r="AR99"/>
      <c r="AS99"/>
      <c r="AT99"/>
      <c r="AU99"/>
      <c r="AV99"/>
      <c r="AW99"/>
      <c r="AX99"/>
      <c r="AY99"/>
      <c r="AZ99"/>
      <c r="BA99"/>
    </row>
    <row r="100" spans="10:55" x14ac:dyDescent="0.3">
      <c r="W100"/>
      <c r="X100"/>
      <c r="Y100"/>
      <c r="Z100"/>
      <c r="AA100"/>
      <c r="AB100"/>
      <c r="AC100"/>
      <c r="AD100"/>
      <c r="AE100"/>
      <c r="AF100"/>
      <c r="AG100"/>
      <c r="AH100"/>
      <c r="AI100"/>
      <c r="AJ100"/>
      <c r="AK100"/>
      <c r="AL100"/>
      <c r="AM100"/>
      <c r="AN100"/>
      <c r="AO100"/>
      <c r="AP100"/>
      <c r="AQ100"/>
      <c r="AR100"/>
      <c r="AS100"/>
      <c r="AT100"/>
      <c r="AU100"/>
      <c r="AV100"/>
      <c r="AW100"/>
      <c r="AX100"/>
      <c r="AY100"/>
      <c r="AZ100"/>
      <c r="BA100"/>
    </row>
    <row r="101" spans="10:55" x14ac:dyDescent="0.3">
      <c r="W101"/>
      <c r="X101"/>
      <c r="Y101"/>
      <c r="Z101"/>
      <c r="AA101"/>
      <c r="AB101"/>
      <c r="AC101"/>
      <c r="AD101"/>
      <c r="AE101"/>
      <c r="AF101"/>
      <c r="AG101"/>
      <c r="AH101"/>
      <c r="AI101"/>
      <c r="AJ101"/>
      <c r="AK101"/>
      <c r="AL101"/>
      <c r="AM101"/>
      <c r="AN101"/>
      <c r="AO101"/>
      <c r="AP101"/>
      <c r="AQ101"/>
      <c r="AR101"/>
      <c r="AS101"/>
      <c r="AT101"/>
      <c r="AU101"/>
      <c r="AV101"/>
      <c r="AW101"/>
      <c r="AX101"/>
      <c r="AY101"/>
      <c r="AZ101"/>
      <c r="BA101"/>
    </row>
    <row r="102" spans="10:55" x14ac:dyDescent="0.3">
      <c r="W102"/>
      <c r="X102"/>
      <c r="Y102"/>
      <c r="Z102"/>
      <c r="AA102"/>
      <c r="AB102"/>
      <c r="AC102"/>
      <c r="AD102"/>
      <c r="AE102"/>
      <c r="AF102"/>
      <c r="AG102"/>
      <c r="AH102"/>
      <c r="AI102"/>
      <c r="AJ102"/>
      <c r="AK102"/>
      <c r="AL102"/>
      <c r="AM102"/>
      <c r="AN102"/>
      <c r="AO102"/>
      <c r="AP102"/>
      <c r="AQ102"/>
      <c r="AR102"/>
      <c r="AS102"/>
      <c r="AT102"/>
      <c r="AU102"/>
      <c r="AV102"/>
      <c r="AW102"/>
      <c r="AX102"/>
      <c r="AY102"/>
      <c r="AZ102"/>
      <c r="BA102"/>
    </row>
    <row r="103" spans="10:55" x14ac:dyDescent="0.3">
      <c r="W103"/>
      <c r="X103"/>
      <c r="Y103"/>
      <c r="Z103"/>
      <c r="AA103"/>
      <c r="AB103"/>
      <c r="AC103"/>
      <c r="AD103"/>
      <c r="AE103"/>
      <c r="AF103"/>
      <c r="AG103"/>
      <c r="AH103"/>
      <c r="AI103"/>
      <c r="AJ103"/>
      <c r="AK103"/>
      <c r="AL103"/>
      <c r="AM103"/>
      <c r="AN103"/>
      <c r="AO103"/>
      <c r="AP103"/>
      <c r="AQ103"/>
      <c r="AR103"/>
      <c r="AS103"/>
      <c r="AT103"/>
      <c r="AU103"/>
      <c r="AV103"/>
      <c r="AW103"/>
      <c r="AX103"/>
      <c r="AY103"/>
      <c r="AZ103"/>
      <c r="BA103"/>
    </row>
    <row r="104" spans="10:55" x14ac:dyDescent="0.3">
      <c r="W104"/>
      <c r="X104"/>
      <c r="Y104"/>
      <c r="Z104"/>
      <c r="AA104"/>
      <c r="AB104"/>
      <c r="AC104"/>
      <c r="AD104"/>
      <c r="AE104"/>
      <c r="AF104"/>
      <c r="AG104"/>
      <c r="AH104"/>
      <c r="AI104"/>
      <c r="AJ104"/>
      <c r="AK104"/>
      <c r="AL104"/>
      <c r="AM104"/>
      <c r="AN104"/>
      <c r="AO104"/>
      <c r="AP104"/>
      <c r="AQ104"/>
      <c r="AR104"/>
      <c r="AS104"/>
      <c r="AT104"/>
      <c r="AU104"/>
      <c r="AV104"/>
      <c r="AW104"/>
      <c r="AX104"/>
      <c r="AY104"/>
      <c r="AZ104"/>
      <c r="BA104"/>
    </row>
    <row r="105" spans="10:55" x14ac:dyDescent="0.3">
      <c r="W105"/>
      <c r="X105"/>
      <c r="Y105"/>
      <c r="Z105"/>
      <c r="AA105"/>
      <c r="AB105"/>
      <c r="AC105"/>
      <c r="AD105"/>
      <c r="AE105"/>
      <c r="AF105"/>
      <c r="AG105"/>
      <c r="AH105"/>
      <c r="AI105"/>
      <c r="AJ105"/>
      <c r="AK105"/>
      <c r="AL105"/>
      <c r="AM105"/>
      <c r="AN105"/>
      <c r="AO105"/>
      <c r="AP105"/>
      <c r="AQ105"/>
      <c r="AR105"/>
      <c r="AS105"/>
      <c r="AT105"/>
      <c r="AU105"/>
      <c r="AV105"/>
      <c r="AW105"/>
      <c r="AX105"/>
      <c r="AY105"/>
      <c r="AZ105"/>
      <c r="BA105"/>
    </row>
    <row r="106" spans="10:55" x14ac:dyDescent="0.3">
      <c r="W106"/>
    </row>
    <row r="107" spans="10:55" x14ac:dyDescent="0.3">
      <c r="W107"/>
    </row>
    <row r="108" spans="10:55" x14ac:dyDescent="0.3">
      <c r="W108"/>
    </row>
    <row r="109" spans="10:55" x14ac:dyDescent="0.3">
      <c r="W109"/>
    </row>
    <row r="110" spans="10:55" x14ac:dyDescent="0.3">
      <c r="W110"/>
    </row>
    <row r="111" spans="10:55" x14ac:dyDescent="0.3">
      <c r="W111"/>
    </row>
    <row r="112" spans="10:55" x14ac:dyDescent="0.3">
      <c r="W112"/>
    </row>
    <row r="113" spans="23:23" x14ac:dyDescent="0.3">
      <c r="W113"/>
    </row>
    <row r="114" spans="23:23" x14ac:dyDescent="0.3">
      <c r="W114"/>
    </row>
    <row r="115" spans="23:23" x14ac:dyDescent="0.3">
      <c r="W115"/>
    </row>
    <row r="116" spans="23:23" x14ac:dyDescent="0.3">
      <c r="W116"/>
    </row>
    <row r="117" spans="23:23" x14ac:dyDescent="0.3">
      <c r="W117"/>
    </row>
    <row r="118" spans="23:23" x14ac:dyDescent="0.3">
      <c r="W118"/>
    </row>
    <row r="119" spans="23:23" x14ac:dyDescent="0.3">
      <c r="W119"/>
    </row>
    <row r="120" spans="23:23" x14ac:dyDescent="0.3">
      <c r="W120"/>
    </row>
    <row r="121" spans="23:23" x14ac:dyDescent="0.3">
      <c r="W121"/>
    </row>
    <row r="122" spans="23:23" x14ac:dyDescent="0.3">
      <c r="W122"/>
    </row>
    <row r="123" spans="23:23" x14ac:dyDescent="0.3">
      <c r="W123"/>
    </row>
    <row r="124" spans="23:23" x14ac:dyDescent="0.3">
      <c r="W124"/>
    </row>
    <row r="125" spans="23:23" x14ac:dyDescent="0.3">
      <c r="W125"/>
    </row>
    <row r="126" spans="23:23" x14ac:dyDescent="0.3">
      <c r="W126"/>
    </row>
    <row r="127" spans="23:23" x14ac:dyDescent="0.3">
      <c r="W127"/>
    </row>
    <row r="128" spans="23:23" x14ac:dyDescent="0.3">
      <c r="W128"/>
    </row>
    <row r="129" spans="23:23" x14ac:dyDescent="0.3">
      <c r="W129"/>
    </row>
    <row r="130" spans="23:23" x14ac:dyDescent="0.3">
      <c r="W130"/>
    </row>
    <row r="131" spans="23:23" x14ac:dyDescent="0.3">
      <c r="W131"/>
    </row>
    <row r="132" spans="23:23" x14ac:dyDescent="0.3">
      <c r="W132"/>
    </row>
    <row r="133" spans="23:23" x14ac:dyDescent="0.3">
      <c r="W133"/>
    </row>
    <row r="134" spans="23:23" x14ac:dyDescent="0.3">
      <c r="W134"/>
    </row>
    <row r="135" spans="23:23" x14ac:dyDescent="0.3">
      <c r="W135"/>
    </row>
    <row r="136" spans="23:23" x14ac:dyDescent="0.3">
      <c r="W136"/>
    </row>
    <row r="137" spans="23:23" x14ac:dyDescent="0.3">
      <c r="W137"/>
    </row>
    <row r="138" spans="23:23" x14ac:dyDescent="0.3">
      <c r="W138"/>
    </row>
    <row r="139" spans="23:23" x14ac:dyDescent="0.3">
      <c r="W139"/>
    </row>
    <row r="140" spans="23:23" x14ac:dyDescent="0.3">
      <c r="W140"/>
    </row>
    <row r="141" spans="23:23" x14ac:dyDescent="0.3">
      <c r="W141"/>
    </row>
    <row r="142" spans="23:23" x14ac:dyDescent="0.3">
      <c r="W142"/>
    </row>
    <row r="143" spans="23:23" x14ac:dyDescent="0.3">
      <c r="W143"/>
    </row>
    <row r="144" spans="23:23" x14ac:dyDescent="0.3">
      <c r="W144"/>
    </row>
    <row r="145" spans="23:23" x14ac:dyDescent="0.3">
      <c r="W145"/>
    </row>
    <row r="146" spans="23:23" x14ac:dyDescent="0.3">
      <c r="W146"/>
    </row>
    <row r="147" spans="23:23" x14ac:dyDescent="0.3">
      <c r="W147"/>
    </row>
    <row r="148" spans="23:23" x14ac:dyDescent="0.3">
      <c r="W148"/>
    </row>
    <row r="149" spans="23:23" x14ac:dyDescent="0.3">
      <c r="W149"/>
    </row>
    <row r="150" spans="23:23" x14ac:dyDescent="0.3">
      <c r="W150"/>
    </row>
    <row r="151" spans="23:23" x14ac:dyDescent="0.3">
      <c r="W151"/>
    </row>
    <row r="152" spans="23:23" x14ac:dyDescent="0.3">
      <c r="W152"/>
    </row>
    <row r="153" spans="23:23" x14ac:dyDescent="0.3">
      <c r="W153"/>
    </row>
    <row r="154" spans="23:23" x14ac:dyDescent="0.3">
      <c r="W154"/>
    </row>
    <row r="155" spans="23:23" x14ac:dyDescent="0.3">
      <c r="W155"/>
    </row>
    <row r="156" spans="23:23" x14ac:dyDescent="0.3">
      <c r="W156"/>
    </row>
    <row r="157" spans="23:23" x14ac:dyDescent="0.3">
      <c r="W157"/>
    </row>
    <row r="158" spans="23:23" x14ac:dyDescent="0.3">
      <c r="W158"/>
    </row>
    <row r="159" spans="23:23" x14ac:dyDescent="0.3">
      <c r="W159"/>
    </row>
    <row r="160" spans="23:23" x14ac:dyDescent="0.3">
      <c r="W160"/>
    </row>
    <row r="161" spans="23:23" x14ac:dyDescent="0.3">
      <c r="W161"/>
    </row>
    <row r="162" spans="23:23" x14ac:dyDescent="0.3">
      <c r="W162"/>
    </row>
    <row r="163" spans="23:23" x14ac:dyDescent="0.3">
      <c r="W163"/>
    </row>
    <row r="164" spans="23:23" x14ac:dyDescent="0.3">
      <c r="W164"/>
    </row>
    <row r="165" spans="23:23" x14ac:dyDescent="0.3">
      <c r="W165"/>
    </row>
    <row r="166" spans="23:23" x14ac:dyDescent="0.3">
      <c r="W166"/>
    </row>
    <row r="167" spans="23:23" x14ac:dyDescent="0.3">
      <c r="W167"/>
    </row>
    <row r="168" spans="23:23" x14ac:dyDescent="0.3">
      <c r="W168"/>
    </row>
    <row r="169" spans="23:23" x14ac:dyDescent="0.3">
      <c r="W169"/>
    </row>
    <row r="170" spans="23:23" x14ac:dyDescent="0.3">
      <c r="W170"/>
    </row>
    <row r="171" spans="23:23" x14ac:dyDescent="0.3">
      <c r="W171"/>
    </row>
    <row r="172" spans="23:23" x14ac:dyDescent="0.3">
      <c r="W172"/>
    </row>
    <row r="173" spans="23:23" x14ac:dyDescent="0.3">
      <c r="W173"/>
    </row>
    <row r="174" spans="23:23" x14ac:dyDescent="0.3">
      <c r="W174"/>
    </row>
    <row r="175" spans="23:23" x14ac:dyDescent="0.3">
      <c r="W175"/>
    </row>
    <row r="176" spans="23:23" x14ac:dyDescent="0.3">
      <c r="W176"/>
    </row>
    <row r="177" spans="23:23" x14ac:dyDescent="0.3">
      <c r="W177"/>
    </row>
    <row r="178" spans="23:23" x14ac:dyDescent="0.3">
      <c r="W178"/>
    </row>
    <row r="179" spans="23:23" x14ac:dyDescent="0.3">
      <c r="W179"/>
    </row>
    <row r="180" spans="23:23" x14ac:dyDescent="0.3">
      <c r="W180"/>
    </row>
    <row r="181" spans="23:23" x14ac:dyDescent="0.3">
      <c r="W181"/>
    </row>
    <row r="182" spans="23:23" x14ac:dyDescent="0.3">
      <c r="W182"/>
    </row>
    <row r="183" spans="23:23" x14ac:dyDescent="0.3">
      <c r="W183"/>
    </row>
    <row r="184" spans="23:23" x14ac:dyDescent="0.3">
      <c r="W184"/>
    </row>
    <row r="185" spans="23:23" x14ac:dyDescent="0.3">
      <c r="W185"/>
    </row>
    <row r="186" spans="23:23" x14ac:dyDescent="0.3">
      <c r="W186"/>
    </row>
    <row r="187" spans="23:23" x14ac:dyDescent="0.3">
      <c r="W187"/>
    </row>
    <row r="188" spans="23:23" x14ac:dyDescent="0.3">
      <c r="W188"/>
    </row>
    <row r="189" spans="23:23" x14ac:dyDescent="0.3">
      <c r="W189"/>
    </row>
    <row r="190" spans="23:23" x14ac:dyDescent="0.3">
      <c r="W190"/>
    </row>
    <row r="191" spans="23:23" x14ac:dyDescent="0.3">
      <c r="W191"/>
    </row>
    <row r="192" spans="23:23" x14ac:dyDescent="0.3">
      <c r="W192"/>
    </row>
    <row r="193" spans="23:23" x14ac:dyDescent="0.3">
      <c r="W193"/>
    </row>
    <row r="194" spans="23:23" x14ac:dyDescent="0.3">
      <c r="W194"/>
    </row>
    <row r="195" spans="23:23" x14ac:dyDescent="0.3">
      <c r="W195"/>
    </row>
    <row r="196" spans="23:23" x14ac:dyDescent="0.3">
      <c r="W196"/>
    </row>
    <row r="197" spans="23:23" x14ac:dyDescent="0.3">
      <c r="W197"/>
    </row>
    <row r="198" spans="23:23" x14ac:dyDescent="0.3">
      <c r="W198"/>
    </row>
    <row r="199" spans="23:23" x14ac:dyDescent="0.3">
      <c r="W199"/>
    </row>
    <row r="200" spans="23:23" x14ac:dyDescent="0.3">
      <c r="W200"/>
    </row>
    <row r="201" spans="23:23" x14ac:dyDescent="0.3">
      <c r="W201"/>
    </row>
    <row r="202" spans="23:23" x14ac:dyDescent="0.3">
      <c r="W202"/>
    </row>
    <row r="203" spans="23:23" x14ac:dyDescent="0.3">
      <c r="W203"/>
    </row>
    <row r="204" spans="23:23" x14ac:dyDescent="0.3">
      <c r="W204"/>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59DC3-069F-45D9-873C-E30B15526ABD}">
  <dimension ref="A1:V68"/>
  <sheetViews>
    <sheetView showGridLines="0" zoomScale="147" workbookViewId="0">
      <selection activeCell="F1" sqref="F1"/>
    </sheetView>
  </sheetViews>
  <sheetFormatPr defaultRowHeight="13.8" x14ac:dyDescent="0.3"/>
  <cols>
    <col min="1" max="4" width="8.88671875" style="109"/>
    <col min="5" max="5" width="15.21875" style="109" bestFit="1" customWidth="1"/>
    <col min="6" max="16384" width="8.88671875" style="109"/>
  </cols>
  <sheetData>
    <row r="1" spans="1:22" x14ac:dyDescent="0.3">
      <c r="A1" s="156" t="s">
        <v>805</v>
      </c>
      <c r="B1" s="157"/>
      <c r="C1" s="157"/>
      <c r="D1" s="157"/>
      <c r="E1" s="157" t="s">
        <v>814</v>
      </c>
      <c r="F1" s="158">
        <f>GETPIVOTDATA("Empcode",'Report with slicer'!$BA$3)</f>
        <v>100</v>
      </c>
      <c r="G1" s="157"/>
      <c r="H1" s="157"/>
      <c r="I1" s="157"/>
      <c r="J1" s="157"/>
      <c r="K1" s="157"/>
      <c r="L1" s="157"/>
      <c r="M1" s="157"/>
      <c r="N1" s="157"/>
    </row>
    <row r="9" spans="1:22" x14ac:dyDescent="0.3">
      <c r="V9" s="109" t="s">
        <v>806</v>
      </c>
    </row>
    <row r="10" spans="1:22" x14ac:dyDescent="0.3">
      <c r="V10" s="109" t="s">
        <v>808</v>
      </c>
    </row>
    <row r="68" spans="11:11" x14ac:dyDescent="0.3">
      <c r="K68" s="109" t="s">
        <v>807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2164-099D-41D7-8788-D3198FDEB095}">
  <dimension ref="A1:U119"/>
  <sheetViews>
    <sheetView showGridLines="0" topLeftCell="I1" zoomScale="132" zoomScaleNormal="95" workbookViewId="0">
      <selection activeCell="O2" sqref="O2"/>
    </sheetView>
  </sheetViews>
  <sheetFormatPr defaultColWidth="9.109375" defaultRowHeight="13.2" x14ac:dyDescent="0.25"/>
  <cols>
    <col min="1" max="1" width="12" style="28" customWidth="1"/>
    <col min="2" max="2" width="12.33203125" style="28" customWidth="1"/>
    <col min="3" max="3" width="12.44140625" style="28" customWidth="1"/>
    <col min="4" max="4" width="9.33203125" style="28" bestFit="1" customWidth="1"/>
    <col min="5" max="5" width="9.6640625" style="28" customWidth="1"/>
    <col min="6" max="6" width="11" style="28" customWidth="1"/>
    <col min="7" max="7" width="11.33203125" style="28" customWidth="1"/>
    <col min="8" max="15" width="10.88671875" style="28" customWidth="1"/>
    <col min="16" max="16384" width="9.109375" style="28"/>
  </cols>
  <sheetData>
    <row r="1" spans="1:21" x14ac:dyDescent="0.25">
      <c r="A1" s="30" t="s">
        <v>0</v>
      </c>
      <c r="B1" s="30" t="s">
        <v>1</v>
      </c>
      <c r="C1" s="30" t="s">
        <v>2</v>
      </c>
      <c r="D1" s="30" t="s">
        <v>3</v>
      </c>
      <c r="E1" s="30" t="s">
        <v>4</v>
      </c>
      <c r="F1" s="30" t="s">
        <v>484</v>
      </c>
      <c r="G1" s="30" t="s">
        <v>5</v>
      </c>
      <c r="H1" s="30" t="s">
        <v>6</v>
      </c>
      <c r="I1" s="30" t="s">
        <v>485</v>
      </c>
      <c r="J1" s="30" t="s">
        <v>486</v>
      </c>
      <c r="K1" s="30" t="s">
        <v>694</v>
      </c>
      <c r="L1" s="30" t="s">
        <v>192</v>
      </c>
      <c r="M1" s="30" t="s">
        <v>695</v>
      </c>
      <c r="N1" s="30" t="s">
        <v>815</v>
      </c>
      <c r="O1" s="30" t="s">
        <v>816</v>
      </c>
    </row>
    <row r="2" spans="1:21" x14ac:dyDescent="0.25">
      <c r="A2" s="29">
        <v>1</v>
      </c>
      <c r="B2" s="29" t="s">
        <v>56</v>
      </c>
      <c r="C2" s="29" t="s">
        <v>57</v>
      </c>
      <c r="D2" s="29" t="s">
        <v>24</v>
      </c>
      <c r="E2" s="29" t="s">
        <v>58</v>
      </c>
      <c r="F2" s="29" t="s">
        <v>487</v>
      </c>
      <c r="G2" s="31">
        <v>28126</v>
      </c>
      <c r="H2" s="29">
        <v>21875</v>
      </c>
      <c r="I2" s="29">
        <f t="shared" ref="I2:I33" si="0">VLOOKUP(E2,$T$6:$U$9,2,0)</f>
        <v>500</v>
      </c>
      <c r="J2" s="160">
        <f>IFERROR(VLOOKUP(D2,$T$12:$U$14,2,0),30)</f>
        <v>0.5</v>
      </c>
      <c r="K2" s="29">
        <f>SUM(H2:J2)</f>
        <v>22375.5</v>
      </c>
      <c r="L2" s="160">
        <f>VLOOKUP(K2,$T$20:$U$23, 2, 1)</f>
        <v>0.15</v>
      </c>
      <c r="M2" s="161">
        <f>K2-L2*H2</f>
        <v>19094.25</v>
      </c>
      <c r="N2" s="29">
        <f xml:space="preserve"> YEAR(G2) - VLOOKUP(MONTH(G2), $T$27:$U$30, 2,1)</f>
        <v>1976</v>
      </c>
      <c r="O2" s="29" t="str">
        <f>VLOOKUP(MONTH(G2), $T$33:$U$36, 2, 1)</f>
        <v>fourth</v>
      </c>
    </row>
    <row r="3" spans="1:21" x14ac:dyDescent="0.25">
      <c r="A3" s="29">
        <v>2</v>
      </c>
      <c r="B3" s="29" t="s">
        <v>123</v>
      </c>
      <c r="C3" s="29" t="s">
        <v>124</v>
      </c>
      <c r="D3" s="29" t="s">
        <v>24</v>
      </c>
      <c r="E3" s="29" t="s">
        <v>10</v>
      </c>
      <c r="F3" s="29" t="s">
        <v>488</v>
      </c>
      <c r="G3" s="31">
        <v>28126</v>
      </c>
      <c r="H3" s="29">
        <v>17500</v>
      </c>
      <c r="I3" s="29">
        <f t="shared" si="0"/>
        <v>1000</v>
      </c>
      <c r="J3" s="160">
        <f t="shared" ref="J3:J66" si="1">IFERROR(VLOOKUP(D3,$T$12:$U$14,2,0),30)</f>
        <v>0.5</v>
      </c>
      <c r="K3" s="29">
        <f t="shared" ref="K3:K66" si="2">SUM(H3:J3)</f>
        <v>18500.5</v>
      </c>
      <c r="L3" s="160">
        <f t="shared" ref="L3:L66" si="3">VLOOKUP(K3,$T$20:$U$23, 2, 1)</f>
        <v>0.15</v>
      </c>
      <c r="M3" s="161">
        <f t="shared" ref="M3:M66" si="4">K3-L3*H3</f>
        <v>15875.5</v>
      </c>
      <c r="N3" s="29">
        <f t="shared" ref="N3:N66" si="5" xml:space="preserve"> YEAR(G3) - VLOOKUP(MONTH(G3), $T$27:$U$30, 2,1)</f>
        <v>1976</v>
      </c>
      <c r="O3" s="29" t="str">
        <f t="shared" ref="O3:O66" si="6">VLOOKUP(MONTH(G3), $T$33:$U$36, 2, 1)</f>
        <v>fourth</v>
      </c>
    </row>
    <row r="4" spans="1:21" x14ac:dyDescent="0.25">
      <c r="A4" s="29">
        <v>3</v>
      </c>
      <c r="B4" s="29" t="s">
        <v>112</v>
      </c>
      <c r="C4" s="29" t="s">
        <v>113</v>
      </c>
      <c r="D4" s="29" t="s">
        <v>47</v>
      </c>
      <c r="E4" s="29" t="s">
        <v>125</v>
      </c>
      <c r="F4" s="29" t="s">
        <v>489</v>
      </c>
      <c r="G4" s="31">
        <v>36220</v>
      </c>
      <c r="H4" s="29">
        <v>7000</v>
      </c>
      <c r="I4" s="29">
        <f t="shared" si="0"/>
        <v>350</v>
      </c>
      <c r="J4" s="160">
        <f t="shared" si="1"/>
        <v>30</v>
      </c>
      <c r="K4" s="29">
        <f t="shared" si="2"/>
        <v>7380</v>
      </c>
      <c r="L4" s="160">
        <f t="shared" si="3"/>
        <v>0.05</v>
      </c>
      <c r="M4" s="161">
        <f t="shared" si="4"/>
        <v>7030</v>
      </c>
      <c r="N4" s="29">
        <f t="shared" si="5"/>
        <v>1998</v>
      </c>
      <c r="O4" s="29" t="str">
        <f t="shared" si="6"/>
        <v>fourth</v>
      </c>
    </row>
    <row r="5" spans="1:21" x14ac:dyDescent="0.25">
      <c r="A5" s="29">
        <v>4</v>
      </c>
      <c r="B5" s="29" t="s">
        <v>7</v>
      </c>
      <c r="C5" s="29" t="s">
        <v>8</v>
      </c>
      <c r="D5" s="29" t="s">
        <v>9</v>
      </c>
      <c r="E5" s="29" t="s">
        <v>58</v>
      </c>
      <c r="F5" s="29" t="s">
        <v>490</v>
      </c>
      <c r="G5" s="31">
        <v>29183</v>
      </c>
      <c r="H5" s="29">
        <v>12250</v>
      </c>
      <c r="I5" s="29">
        <f t="shared" si="0"/>
        <v>500</v>
      </c>
      <c r="J5" s="160">
        <f t="shared" si="1"/>
        <v>0.5</v>
      </c>
      <c r="K5" s="29">
        <f t="shared" si="2"/>
        <v>12750.5</v>
      </c>
      <c r="L5" s="160">
        <f t="shared" si="3"/>
        <v>0.1</v>
      </c>
      <c r="M5" s="161">
        <f t="shared" si="4"/>
        <v>11525.5</v>
      </c>
      <c r="N5" s="29">
        <f t="shared" si="5"/>
        <v>1979</v>
      </c>
      <c r="O5" s="29" t="str">
        <f t="shared" si="6"/>
        <v>third</v>
      </c>
      <c r="Q5" s="58" t="s">
        <v>703</v>
      </c>
    </row>
    <row r="6" spans="1:21" x14ac:dyDescent="0.25">
      <c r="A6" s="29">
        <v>5</v>
      </c>
      <c r="B6" s="29" t="s">
        <v>59</v>
      </c>
      <c r="C6" s="29" t="s">
        <v>60</v>
      </c>
      <c r="D6" s="29" t="s">
        <v>27</v>
      </c>
      <c r="E6" s="29" t="s">
        <v>58</v>
      </c>
      <c r="F6" s="29" t="s">
        <v>491</v>
      </c>
      <c r="G6" s="31">
        <v>32755</v>
      </c>
      <c r="H6" s="29">
        <v>21000</v>
      </c>
      <c r="I6" s="29">
        <f t="shared" si="0"/>
        <v>500</v>
      </c>
      <c r="J6" s="160">
        <f t="shared" si="1"/>
        <v>30</v>
      </c>
      <c r="K6" s="29">
        <f t="shared" si="2"/>
        <v>21530</v>
      </c>
      <c r="L6" s="160">
        <f t="shared" si="3"/>
        <v>0.15</v>
      </c>
      <c r="M6" s="161">
        <f t="shared" si="4"/>
        <v>18380</v>
      </c>
      <c r="N6" s="29">
        <f t="shared" si="5"/>
        <v>1989</v>
      </c>
      <c r="O6" s="29" t="str">
        <f t="shared" si="6"/>
        <v>second</v>
      </c>
      <c r="Q6" s="28" t="s">
        <v>696</v>
      </c>
      <c r="T6" s="28" t="s">
        <v>10</v>
      </c>
      <c r="U6" s="28">
        <v>1000</v>
      </c>
    </row>
    <row r="7" spans="1:21" x14ac:dyDescent="0.25">
      <c r="A7" s="29">
        <v>6</v>
      </c>
      <c r="B7" s="29" t="s">
        <v>159</v>
      </c>
      <c r="C7" s="29" t="s">
        <v>160</v>
      </c>
      <c r="D7" s="29" t="s">
        <v>27</v>
      </c>
      <c r="E7" s="29" t="s">
        <v>58</v>
      </c>
      <c r="F7" s="29" t="s">
        <v>492</v>
      </c>
      <c r="G7" s="31">
        <v>32390</v>
      </c>
      <c r="H7" s="29">
        <v>12425</v>
      </c>
      <c r="I7" s="29">
        <f t="shared" si="0"/>
        <v>500</v>
      </c>
      <c r="J7" s="160">
        <f t="shared" si="1"/>
        <v>30</v>
      </c>
      <c r="K7" s="29">
        <f t="shared" si="2"/>
        <v>12955</v>
      </c>
      <c r="L7" s="160">
        <f t="shared" si="3"/>
        <v>0.1</v>
      </c>
      <c r="M7" s="161">
        <f t="shared" si="4"/>
        <v>11712.5</v>
      </c>
      <c r="N7" s="29">
        <f t="shared" si="5"/>
        <v>1988</v>
      </c>
      <c r="O7" s="29" t="str">
        <f t="shared" si="6"/>
        <v>second</v>
      </c>
      <c r="Q7" s="28" t="s">
        <v>697</v>
      </c>
      <c r="T7" s="28" t="s">
        <v>161</v>
      </c>
      <c r="U7" s="28">
        <v>750</v>
      </c>
    </row>
    <row r="8" spans="1:21" x14ac:dyDescent="0.25">
      <c r="A8" s="29">
        <v>7</v>
      </c>
      <c r="B8" s="29" t="s">
        <v>34</v>
      </c>
      <c r="C8" s="29" t="s">
        <v>35</v>
      </c>
      <c r="D8" s="29" t="s">
        <v>493</v>
      </c>
      <c r="E8" s="29" t="s">
        <v>161</v>
      </c>
      <c r="F8" s="29" t="s">
        <v>494</v>
      </c>
      <c r="G8" s="31">
        <v>33102</v>
      </c>
      <c r="H8" s="29">
        <v>13825</v>
      </c>
      <c r="I8" s="29">
        <f t="shared" si="0"/>
        <v>750</v>
      </c>
      <c r="J8" s="160">
        <f t="shared" si="1"/>
        <v>30</v>
      </c>
      <c r="K8" s="29">
        <f t="shared" si="2"/>
        <v>14605</v>
      </c>
      <c r="L8" s="160">
        <f t="shared" si="3"/>
        <v>0.1</v>
      </c>
      <c r="M8" s="161">
        <f t="shared" si="4"/>
        <v>13222.5</v>
      </c>
      <c r="N8" s="29">
        <f t="shared" si="5"/>
        <v>1990</v>
      </c>
      <c r="O8" s="29" t="str">
        <f t="shared" si="6"/>
        <v>second</v>
      </c>
      <c r="Q8" s="28" t="s">
        <v>698</v>
      </c>
      <c r="T8" s="28" t="s">
        <v>58</v>
      </c>
      <c r="U8" s="28">
        <v>500</v>
      </c>
    </row>
    <row r="9" spans="1:21" x14ac:dyDescent="0.25">
      <c r="A9" s="29">
        <v>8</v>
      </c>
      <c r="B9" s="29" t="s">
        <v>61</v>
      </c>
      <c r="C9" s="29" t="s">
        <v>62</v>
      </c>
      <c r="D9" s="29" t="s">
        <v>27</v>
      </c>
      <c r="E9" s="29" t="s">
        <v>58</v>
      </c>
      <c r="F9" s="29" t="s">
        <v>495</v>
      </c>
      <c r="G9" s="31">
        <v>32755</v>
      </c>
      <c r="H9" s="29">
        <v>12425</v>
      </c>
      <c r="I9" s="29">
        <f t="shared" si="0"/>
        <v>500</v>
      </c>
      <c r="J9" s="160">
        <f t="shared" si="1"/>
        <v>30</v>
      </c>
      <c r="K9" s="29">
        <f t="shared" si="2"/>
        <v>12955</v>
      </c>
      <c r="L9" s="160">
        <f t="shared" si="3"/>
        <v>0.1</v>
      </c>
      <c r="M9" s="161">
        <f t="shared" si="4"/>
        <v>11712.5</v>
      </c>
      <c r="N9" s="29">
        <f t="shared" si="5"/>
        <v>1989</v>
      </c>
      <c r="O9" s="29" t="str">
        <f t="shared" si="6"/>
        <v>second</v>
      </c>
      <c r="Q9" s="28" t="s">
        <v>699</v>
      </c>
      <c r="T9" s="28" t="s">
        <v>125</v>
      </c>
      <c r="U9" s="28">
        <v>350</v>
      </c>
    </row>
    <row r="10" spans="1:21" x14ac:dyDescent="0.25">
      <c r="A10" s="29">
        <v>9</v>
      </c>
      <c r="B10" s="29" t="s">
        <v>63</v>
      </c>
      <c r="C10" s="29" t="s">
        <v>64</v>
      </c>
      <c r="D10" s="29" t="s">
        <v>24</v>
      </c>
      <c r="E10" s="29" t="s">
        <v>58</v>
      </c>
      <c r="F10" s="29" t="s">
        <v>496</v>
      </c>
      <c r="G10" s="31">
        <v>36506</v>
      </c>
      <c r="H10" s="29">
        <v>14875</v>
      </c>
      <c r="I10" s="29">
        <f t="shared" si="0"/>
        <v>500</v>
      </c>
      <c r="J10" s="160">
        <f t="shared" si="1"/>
        <v>0.5</v>
      </c>
      <c r="K10" s="29">
        <f t="shared" si="2"/>
        <v>15375.5</v>
      </c>
      <c r="L10" s="160">
        <f t="shared" si="3"/>
        <v>0.15</v>
      </c>
      <c r="M10" s="161">
        <f t="shared" si="4"/>
        <v>13144.25</v>
      </c>
      <c r="N10" s="29">
        <f t="shared" si="5"/>
        <v>1999</v>
      </c>
      <c r="O10" s="29" t="str">
        <f t="shared" si="6"/>
        <v>third</v>
      </c>
    </row>
    <row r="11" spans="1:21" x14ac:dyDescent="0.25">
      <c r="A11" s="29">
        <v>10</v>
      </c>
      <c r="B11" s="29" t="s">
        <v>65</v>
      </c>
      <c r="C11" s="29" t="s">
        <v>66</v>
      </c>
      <c r="D11" s="29" t="s">
        <v>9</v>
      </c>
      <c r="E11" s="29" t="s">
        <v>10</v>
      </c>
      <c r="F11" s="29" t="s">
        <v>497</v>
      </c>
      <c r="G11" s="31">
        <v>28326</v>
      </c>
      <c r="H11" s="29">
        <v>15750</v>
      </c>
      <c r="I11" s="29">
        <f t="shared" si="0"/>
        <v>1000</v>
      </c>
      <c r="J11" s="160">
        <f t="shared" si="1"/>
        <v>0.5</v>
      </c>
      <c r="K11" s="29">
        <f t="shared" si="2"/>
        <v>16750.5</v>
      </c>
      <c r="L11" s="160">
        <f t="shared" si="3"/>
        <v>0.15</v>
      </c>
      <c r="M11" s="161">
        <f t="shared" si="4"/>
        <v>14388</v>
      </c>
      <c r="N11" s="29">
        <f t="shared" si="5"/>
        <v>1977</v>
      </c>
      <c r="O11" s="29" t="str">
        <f t="shared" si="6"/>
        <v>second</v>
      </c>
      <c r="Q11" s="58" t="s">
        <v>702</v>
      </c>
    </row>
    <row r="12" spans="1:21" x14ac:dyDescent="0.25">
      <c r="A12" s="29">
        <v>11</v>
      </c>
      <c r="B12" s="29" t="s">
        <v>11</v>
      </c>
      <c r="C12" s="29" t="s">
        <v>12</v>
      </c>
      <c r="D12" s="29" t="s">
        <v>13</v>
      </c>
      <c r="E12" s="29" t="s">
        <v>161</v>
      </c>
      <c r="F12" s="29" t="s">
        <v>494</v>
      </c>
      <c r="G12" s="31">
        <v>31402</v>
      </c>
      <c r="H12" s="29">
        <v>14875</v>
      </c>
      <c r="I12" s="29">
        <f t="shared" si="0"/>
        <v>750</v>
      </c>
      <c r="J12" s="160">
        <f t="shared" si="1"/>
        <v>0.5</v>
      </c>
      <c r="K12" s="29">
        <f t="shared" si="2"/>
        <v>15625.5</v>
      </c>
      <c r="L12" s="160">
        <f t="shared" si="3"/>
        <v>0.15</v>
      </c>
      <c r="M12" s="161">
        <f t="shared" si="4"/>
        <v>13394.25</v>
      </c>
      <c r="N12" s="29">
        <f t="shared" si="5"/>
        <v>1985</v>
      </c>
      <c r="O12" s="29" t="str">
        <f t="shared" si="6"/>
        <v>third</v>
      </c>
      <c r="Q12" s="28" t="s">
        <v>700</v>
      </c>
      <c r="T12" s="28" t="s">
        <v>9</v>
      </c>
      <c r="U12" s="159">
        <v>0.5</v>
      </c>
    </row>
    <row r="13" spans="1:21" x14ac:dyDescent="0.25">
      <c r="A13" s="29">
        <v>12</v>
      </c>
      <c r="B13" s="29" t="s">
        <v>162</v>
      </c>
      <c r="C13" s="29" t="s">
        <v>163</v>
      </c>
      <c r="D13" s="29" t="s">
        <v>47</v>
      </c>
      <c r="E13" s="29" t="s">
        <v>58</v>
      </c>
      <c r="F13" s="29" t="s">
        <v>498</v>
      </c>
      <c r="G13" s="31">
        <v>30376</v>
      </c>
      <c r="H13" s="29">
        <v>21000</v>
      </c>
      <c r="I13" s="29">
        <f t="shared" si="0"/>
        <v>500</v>
      </c>
      <c r="J13" s="160">
        <f t="shared" si="1"/>
        <v>30</v>
      </c>
      <c r="K13" s="29">
        <f t="shared" si="2"/>
        <v>21530</v>
      </c>
      <c r="L13" s="160">
        <f t="shared" si="3"/>
        <v>0.15</v>
      </c>
      <c r="M13" s="161">
        <f t="shared" si="4"/>
        <v>18380</v>
      </c>
      <c r="N13" s="29">
        <f t="shared" si="5"/>
        <v>1982</v>
      </c>
      <c r="O13" s="29" t="str">
        <f t="shared" si="6"/>
        <v>fourth</v>
      </c>
      <c r="Q13" s="28" t="s">
        <v>701</v>
      </c>
      <c r="T13" s="28" t="s">
        <v>24</v>
      </c>
      <c r="U13" s="159">
        <v>0.5</v>
      </c>
    </row>
    <row r="14" spans="1:21" x14ac:dyDescent="0.25">
      <c r="A14" s="29">
        <v>13</v>
      </c>
      <c r="B14" s="29" t="s">
        <v>67</v>
      </c>
      <c r="C14" s="29" t="s">
        <v>68</v>
      </c>
      <c r="D14" s="29" t="s">
        <v>13</v>
      </c>
      <c r="E14" s="29" t="s">
        <v>10</v>
      </c>
      <c r="F14" s="29" t="s">
        <v>499</v>
      </c>
      <c r="G14" s="31">
        <v>31027</v>
      </c>
      <c r="H14" s="29">
        <v>19250</v>
      </c>
      <c r="I14" s="29">
        <f t="shared" si="0"/>
        <v>1000</v>
      </c>
      <c r="J14" s="160">
        <f t="shared" si="1"/>
        <v>0.5</v>
      </c>
      <c r="K14" s="29">
        <f t="shared" si="2"/>
        <v>20250.5</v>
      </c>
      <c r="L14" s="160">
        <f t="shared" si="3"/>
        <v>0.15</v>
      </c>
      <c r="M14" s="161">
        <f t="shared" si="4"/>
        <v>17363</v>
      </c>
      <c r="N14" s="29">
        <f t="shared" si="5"/>
        <v>1984</v>
      </c>
      <c r="O14" s="29" t="str">
        <f t="shared" si="6"/>
        <v>third</v>
      </c>
      <c r="T14" s="28" t="s">
        <v>13</v>
      </c>
      <c r="U14" s="159">
        <v>0.5</v>
      </c>
    </row>
    <row r="15" spans="1:21" x14ac:dyDescent="0.25">
      <c r="A15" s="29">
        <v>14</v>
      </c>
      <c r="B15" s="29" t="s">
        <v>14</v>
      </c>
      <c r="C15" s="29" t="s">
        <v>15</v>
      </c>
      <c r="D15" s="29" t="s">
        <v>16</v>
      </c>
      <c r="E15" s="29" t="s">
        <v>125</v>
      </c>
      <c r="F15" s="29" t="s">
        <v>500</v>
      </c>
      <c r="G15" s="31">
        <v>31028</v>
      </c>
      <c r="H15" s="29">
        <v>49000</v>
      </c>
      <c r="I15" s="29">
        <f t="shared" si="0"/>
        <v>350</v>
      </c>
      <c r="J15" s="160">
        <f t="shared" si="1"/>
        <v>30</v>
      </c>
      <c r="K15" s="29">
        <f t="shared" si="2"/>
        <v>49380</v>
      </c>
      <c r="L15" s="160">
        <f t="shared" si="3"/>
        <v>0.15</v>
      </c>
      <c r="M15" s="161">
        <f t="shared" si="4"/>
        <v>42030</v>
      </c>
      <c r="N15" s="29">
        <f t="shared" si="5"/>
        <v>1984</v>
      </c>
      <c r="O15" s="29" t="str">
        <f t="shared" si="6"/>
        <v>third</v>
      </c>
    </row>
    <row r="16" spans="1:21" x14ac:dyDescent="0.25">
      <c r="A16" s="29">
        <v>15</v>
      </c>
      <c r="B16" s="29" t="s">
        <v>126</v>
      </c>
      <c r="C16" s="29" t="s">
        <v>127</v>
      </c>
      <c r="D16" s="29" t="s">
        <v>493</v>
      </c>
      <c r="E16" s="29" t="s">
        <v>58</v>
      </c>
      <c r="F16" s="29" t="s">
        <v>498</v>
      </c>
      <c r="G16" s="31">
        <v>31029</v>
      </c>
      <c r="H16" s="29">
        <v>14875</v>
      </c>
      <c r="I16" s="29">
        <f t="shared" si="0"/>
        <v>500</v>
      </c>
      <c r="J16" s="160">
        <f t="shared" si="1"/>
        <v>30</v>
      </c>
      <c r="K16" s="29">
        <f t="shared" si="2"/>
        <v>15405</v>
      </c>
      <c r="L16" s="160">
        <f t="shared" si="3"/>
        <v>0.15</v>
      </c>
      <c r="M16" s="161">
        <f t="shared" si="4"/>
        <v>13173.75</v>
      </c>
      <c r="N16" s="29">
        <f t="shared" si="5"/>
        <v>1984</v>
      </c>
      <c r="O16" s="29" t="str">
        <f t="shared" si="6"/>
        <v>third</v>
      </c>
      <c r="Q16" s="58" t="s">
        <v>704</v>
      </c>
    </row>
    <row r="17" spans="1:21" x14ac:dyDescent="0.25">
      <c r="A17" s="29">
        <v>16</v>
      </c>
      <c r="B17" s="29" t="s">
        <v>69</v>
      </c>
      <c r="C17" s="29" t="s">
        <v>70</v>
      </c>
      <c r="D17" s="29" t="s">
        <v>493</v>
      </c>
      <c r="E17" s="29" t="s">
        <v>58</v>
      </c>
      <c r="F17" s="29" t="s">
        <v>501</v>
      </c>
      <c r="G17" s="31">
        <v>31030</v>
      </c>
      <c r="H17" s="29">
        <v>14875</v>
      </c>
      <c r="I17" s="29">
        <f t="shared" si="0"/>
        <v>500</v>
      </c>
      <c r="J17" s="160">
        <f t="shared" si="1"/>
        <v>30</v>
      </c>
      <c r="K17" s="29">
        <f t="shared" si="2"/>
        <v>15405</v>
      </c>
      <c r="L17" s="160">
        <f t="shared" si="3"/>
        <v>0.15</v>
      </c>
      <c r="M17" s="161">
        <f t="shared" si="4"/>
        <v>13173.75</v>
      </c>
      <c r="N17" s="29">
        <f t="shared" si="5"/>
        <v>1984</v>
      </c>
      <c r="O17" s="29" t="str">
        <f t="shared" si="6"/>
        <v>third</v>
      </c>
      <c r="Q17" s="28" t="s">
        <v>705</v>
      </c>
    </row>
    <row r="18" spans="1:21" x14ac:dyDescent="0.25">
      <c r="A18" s="29">
        <v>17</v>
      </c>
      <c r="B18" s="29" t="s">
        <v>71</v>
      </c>
      <c r="C18" s="29" t="s">
        <v>72</v>
      </c>
      <c r="D18" s="29" t="s">
        <v>47</v>
      </c>
      <c r="E18" s="29" t="s">
        <v>10</v>
      </c>
      <c r="F18" s="29" t="s">
        <v>488</v>
      </c>
      <c r="G18" s="31">
        <v>30376</v>
      </c>
      <c r="H18" s="29">
        <v>15750</v>
      </c>
      <c r="I18" s="29">
        <f t="shared" si="0"/>
        <v>1000</v>
      </c>
      <c r="J18" s="160">
        <f t="shared" si="1"/>
        <v>30</v>
      </c>
      <c r="K18" s="29">
        <f t="shared" si="2"/>
        <v>16780</v>
      </c>
      <c r="L18" s="160">
        <f t="shared" si="3"/>
        <v>0.15</v>
      </c>
      <c r="M18" s="161">
        <f t="shared" si="4"/>
        <v>14417.5</v>
      </c>
      <c r="N18" s="29">
        <f t="shared" si="5"/>
        <v>1982</v>
      </c>
      <c r="O18" s="29" t="str">
        <f t="shared" si="6"/>
        <v>fourth</v>
      </c>
    </row>
    <row r="19" spans="1:21" s="32" customFormat="1" x14ac:dyDescent="0.25">
      <c r="A19" s="29">
        <v>18</v>
      </c>
      <c r="B19" s="29" t="s">
        <v>17</v>
      </c>
      <c r="C19" s="29" t="s">
        <v>18</v>
      </c>
      <c r="D19" s="29" t="s">
        <v>47</v>
      </c>
      <c r="E19" s="29" t="s">
        <v>161</v>
      </c>
      <c r="F19" s="29" t="s">
        <v>502</v>
      </c>
      <c r="G19" s="31">
        <v>30376</v>
      </c>
      <c r="H19" s="29">
        <v>15750</v>
      </c>
      <c r="I19" s="29">
        <f t="shared" si="0"/>
        <v>750</v>
      </c>
      <c r="J19" s="160">
        <f t="shared" si="1"/>
        <v>30</v>
      </c>
      <c r="K19" s="29">
        <f t="shared" si="2"/>
        <v>16530</v>
      </c>
      <c r="L19" s="160">
        <f t="shared" si="3"/>
        <v>0.15</v>
      </c>
      <c r="M19" s="161">
        <f t="shared" si="4"/>
        <v>14167.5</v>
      </c>
      <c r="N19" s="29">
        <f t="shared" si="5"/>
        <v>1982</v>
      </c>
      <c r="O19" s="29" t="str">
        <f t="shared" si="6"/>
        <v>fourth</v>
      </c>
      <c r="Q19" s="58" t="s">
        <v>706</v>
      </c>
    </row>
    <row r="20" spans="1:21" x14ac:dyDescent="0.25">
      <c r="A20" s="29">
        <v>19</v>
      </c>
      <c r="B20" s="29" t="s">
        <v>164</v>
      </c>
      <c r="C20" s="29" t="s">
        <v>165</v>
      </c>
      <c r="D20" s="29" t="s">
        <v>9</v>
      </c>
      <c r="E20" s="29" t="s">
        <v>58</v>
      </c>
      <c r="F20" s="29" t="s">
        <v>492</v>
      </c>
      <c r="G20" s="31">
        <v>31637</v>
      </c>
      <c r="H20" s="29">
        <v>10500</v>
      </c>
      <c r="I20" s="29">
        <f t="shared" si="0"/>
        <v>500</v>
      </c>
      <c r="J20" s="160">
        <f t="shared" si="1"/>
        <v>0.5</v>
      </c>
      <c r="K20" s="29">
        <f t="shared" si="2"/>
        <v>11000.5</v>
      </c>
      <c r="L20" s="160">
        <f t="shared" si="3"/>
        <v>0.1</v>
      </c>
      <c r="M20" s="161">
        <f t="shared" si="4"/>
        <v>9950.5</v>
      </c>
      <c r="N20" s="29">
        <f t="shared" si="5"/>
        <v>1986</v>
      </c>
      <c r="O20" s="29" t="str">
        <f t="shared" si="6"/>
        <v>second</v>
      </c>
      <c r="Q20" s="28" t="s">
        <v>707</v>
      </c>
      <c r="T20" s="28">
        <v>0</v>
      </c>
      <c r="U20" s="159">
        <v>0</v>
      </c>
    </row>
    <row r="21" spans="1:21" x14ac:dyDescent="0.25">
      <c r="A21" s="29">
        <v>20</v>
      </c>
      <c r="B21" s="29" t="s">
        <v>73</v>
      </c>
      <c r="C21" s="29" t="s">
        <v>74</v>
      </c>
      <c r="D21" s="29" t="s">
        <v>9</v>
      </c>
      <c r="E21" s="29" t="s">
        <v>58</v>
      </c>
      <c r="F21" s="29" t="s">
        <v>501</v>
      </c>
      <c r="G21" s="31">
        <v>36316</v>
      </c>
      <c r="H21" s="29">
        <v>5950</v>
      </c>
      <c r="I21" s="29">
        <f t="shared" si="0"/>
        <v>500</v>
      </c>
      <c r="J21" s="160">
        <f t="shared" si="1"/>
        <v>0.5</v>
      </c>
      <c r="K21" s="29">
        <f t="shared" si="2"/>
        <v>6450.5</v>
      </c>
      <c r="L21" s="160">
        <f t="shared" si="3"/>
        <v>0.05</v>
      </c>
      <c r="M21" s="161">
        <f t="shared" si="4"/>
        <v>6153</v>
      </c>
      <c r="N21" s="29">
        <f t="shared" si="5"/>
        <v>1999</v>
      </c>
      <c r="O21" s="29" t="str">
        <f t="shared" si="6"/>
        <v>first</v>
      </c>
      <c r="Q21" s="28" t="s">
        <v>708</v>
      </c>
      <c r="T21" s="28">
        <v>5000</v>
      </c>
      <c r="U21" s="159">
        <v>0.05</v>
      </c>
    </row>
    <row r="22" spans="1:21" x14ac:dyDescent="0.25">
      <c r="A22" s="29">
        <v>21</v>
      </c>
      <c r="B22" s="29" t="s">
        <v>75</v>
      </c>
      <c r="C22" s="29" t="s">
        <v>76</v>
      </c>
      <c r="D22" s="29" t="s">
        <v>9</v>
      </c>
      <c r="E22" s="29" t="s">
        <v>10</v>
      </c>
      <c r="F22" s="29" t="s">
        <v>503</v>
      </c>
      <c r="G22" s="31">
        <v>36317</v>
      </c>
      <c r="H22" s="29">
        <v>7875</v>
      </c>
      <c r="I22" s="29">
        <f t="shared" si="0"/>
        <v>1000</v>
      </c>
      <c r="J22" s="160">
        <f t="shared" si="1"/>
        <v>0.5</v>
      </c>
      <c r="K22" s="29">
        <f t="shared" si="2"/>
        <v>8875.5</v>
      </c>
      <c r="L22" s="160">
        <f t="shared" si="3"/>
        <v>0.05</v>
      </c>
      <c r="M22" s="161">
        <f t="shared" si="4"/>
        <v>8481.75</v>
      </c>
      <c r="N22" s="29">
        <f t="shared" si="5"/>
        <v>1999</v>
      </c>
      <c r="O22" s="29" t="str">
        <f t="shared" si="6"/>
        <v>first</v>
      </c>
      <c r="Q22" s="28" t="s">
        <v>709</v>
      </c>
      <c r="T22" s="28">
        <v>10000</v>
      </c>
      <c r="U22" s="159">
        <v>0.1</v>
      </c>
    </row>
    <row r="23" spans="1:21" x14ac:dyDescent="0.25">
      <c r="A23" s="29">
        <v>22</v>
      </c>
      <c r="B23" s="29" t="s">
        <v>20</v>
      </c>
      <c r="C23" s="29" t="s">
        <v>21</v>
      </c>
      <c r="D23" s="29" t="s">
        <v>9</v>
      </c>
      <c r="E23" s="29" t="s">
        <v>161</v>
      </c>
      <c r="F23" s="29" t="s">
        <v>502</v>
      </c>
      <c r="G23" s="31">
        <v>36318</v>
      </c>
      <c r="H23" s="29">
        <v>7875</v>
      </c>
      <c r="I23" s="29">
        <f t="shared" si="0"/>
        <v>750</v>
      </c>
      <c r="J23" s="160">
        <f t="shared" si="1"/>
        <v>0.5</v>
      </c>
      <c r="K23" s="29">
        <f t="shared" si="2"/>
        <v>8625.5</v>
      </c>
      <c r="L23" s="160">
        <f t="shared" si="3"/>
        <v>0.05</v>
      </c>
      <c r="M23" s="161">
        <f t="shared" si="4"/>
        <v>8231.75</v>
      </c>
      <c r="N23" s="29">
        <f t="shared" si="5"/>
        <v>1999</v>
      </c>
      <c r="O23" s="29" t="str">
        <f t="shared" si="6"/>
        <v>first</v>
      </c>
      <c r="Q23" s="28" t="s">
        <v>710</v>
      </c>
      <c r="T23" s="28">
        <v>15000</v>
      </c>
      <c r="U23" s="159">
        <v>0.15</v>
      </c>
    </row>
    <row r="24" spans="1:21" x14ac:dyDescent="0.25">
      <c r="A24" s="29">
        <v>23</v>
      </c>
      <c r="B24" s="29" t="s">
        <v>166</v>
      </c>
      <c r="C24" s="29" t="s">
        <v>99</v>
      </c>
      <c r="D24" s="29" t="s">
        <v>9</v>
      </c>
      <c r="E24" s="29" t="s">
        <v>161</v>
      </c>
      <c r="F24" s="29" t="s">
        <v>494</v>
      </c>
      <c r="G24" s="31">
        <v>36319</v>
      </c>
      <c r="H24" s="29">
        <v>7875</v>
      </c>
      <c r="I24" s="29">
        <f t="shared" si="0"/>
        <v>750</v>
      </c>
      <c r="J24" s="160">
        <f t="shared" si="1"/>
        <v>0.5</v>
      </c>
      <c r="K24" s="29">
        <f t="shared" si="2"/>
        <v>8625.5</v>
      </c>
      <c r="L24" s="160">
        <f t="shared" si="3"/>
        <v>0.05</v>
      </c>
      <c r="M24" s="161">
        <f t="shared" si="4"/>
        <v>8231.75</v>
      </c>
      <c r="N24" s="29">
        <f t="shared" si="5"/>
        <v>1999</v>
      </c>
      <c r="O24" s="29" t="str">
        <f t="shared" si="6"/>
        <v>first</v>
      </c>
    </row>
    <row r="25" spans="1:21" x14ac:dyDescent="0.25">
      <c r="A25" s="29">
        <v>24</v>
      </c>
      <c r="B25" s="29" t="s">
        <v>30</v>
      </c>
      <c r="C25" s="29" t="s">
        <v>167</v>
      </c>
      <c r="D25" s="29" t="s">
        <v>24</v>
      </c>
      <c r="E25" s="29" t="s">
        <v>161</v>
      </c>
      <c r="F25" s="29" t="s">
        <v>502</v>
      </c>
      <c r="G25" s="31">
        <v>29362</v>
      </c>
      <c r="H25" s="29">
        <v>14875</v>
      </c>
      <c r="I25" s="29">
        <f t="shared" si="0"/>
        <v>750</v>
      </c>
      <c r="J25" s="160">
        <f t="shared" si="1"/>
        <v>0.5</v>
      </c>
      <c r="K25" s="29">
        <f t="shared" si="2"/>
        <v>15625.5</v>
      </c>
      <c r="L25" s="160">
        <f t="shared" si="3"/>
        <v>0.15</v>
      </c>
      <c r="M25" s="161">
        <f t="shared" si="4"/>
        <v>13394.25</v>
      </c>
      <c r="N25" s="29">
        <f t="shared" si="5"/>
        <v>1980</v>
      </c>
      <c r="O25" s="29" t="str">
        <f t="shared" si="6"/>
        <v>first</v>
      </c>
      <c r="Q25" s="58" t="s">
        <v>711</v>
      </c>
    </row>
    <row r="26" spans="1:21" x14ac:dyDescent="0.25">
      <c r="A26" s="29">
        <v>25</v>
      </c>
      <c r="B26" s="29" t="s">
        <v>168</v>
      </c>
      <c r="C26" s="29" t="s">
        <v>169</v>
      </c>
      <c r="D26" s="29" t="s">
        <v>27</v>
      </c>
      <c r="E26" s="29" t="s">
        <v>125</v>
      </c>
      <c r="F26" s="29" t="s">
        <v>504</v>
      </c>
      <c r="G26" s="31">
        <v>36274</v>
      </c>
      <c r="H26" s="29">
        <v>7875</v>
      </c>
      <c r="I26" s="29">
        <f t="shared" si="0"/>
        <v>350</v>
      </c>
      <c r="J26" s="160">
        <f t="shared" si="1"/>
        <v>30</v>
      </c>
      <c r="K26" s="29">
        <f t="shared" si="2"/>
        <v>8255</v>
      </c>
      <c r="L26" s="160">
        <f t="shared" si="3"/>
        <v>0.05</v>
      </c>
      <c r="M26" s="161">
        <f t="shared" si="4"/>
        <v>7861.25</v>
      </c>
      <c r="N26" s="29">
        <f t="shared" si="5"/>
        <v>1999</v>
      </c>
      <c r="O26" s="29" t="str">
        <f t="shared" si="6"/>
        <v>first</v>
      </c>
    </row>
    <row r="27" spans="1:21" x14ac:dyDescent="0.25">
      <c r="A27" s="29">
        <v>26</v>
      </c>
      <c r="B27" s="29" t="s">
        <v>128</v>
      </c>
      <c r="C27" s="29" t="s">
        <v>129</v>
      </c>
      <c r="D27" s="29" t="s">
        <v>24</v>
      </c>
      <c r="E27" s="29" t="s">
        <v>10</v>
      </c>
      <c r="F27" s="29" t="s">
        <v>488</v>
      </c>
      <c r="G27" s="31">
        <v>30225</v>
      </c>
      <c r="H27" s="29">
        <v>19250</v>
      </c>
      <c r="I27" s="29">
        <f t="shared" si="0"/>
        <v>1000</v>
      </c>
      <c r="J27" s="160">
        <f t="shared" si="1"/>
        <v>0.5</v>
      </c>
      <c r="K27" s="29">
        <f t="shared" si="2"/>
        <v>20250.5</v>
      </c>
      <c r="L27" s="160">
        <f t="shared" si="3"/>
        <v>0.15</v>
      </c>
      <c r="M27" s="161">
        <f t="shared" si="4"/>
        <v>17363</v>
      </c>
      <c r="N27" s="29">
        <f t="shared" si="5"/>
        <v>1982</v>
      </c>
      <c r="O27" s="29" t="str">
        <f t="shared" si="6"/>
        <v>third</v>
      </c>
      <c r="Q27" s="58" t="s">
        <v>821</v>
      </c>
      <c r="T27" s="28">
        <v>1</v>
      </c>
      <c r="U27" s="28">
        <v>1</v>
      </c>
    </row>
    <row r="28" spans="1:21" x14ac:dyDescent="0.25">
      <c r="A28" s="29">
        <v>27</v>
      </c>
      <c r="B28" s="29" t="s">
        <v>22</v>
      </c>
      <c r="C28" s="29" t="s">
        <v>23</v>
      </c>
      <c r="D28" s="29" t="s">
        <v>24</v>
      </c>
      <c r="E28" s="29" t="s">
        <v>125</v>
      </c>
      <c r="F28" s="29" t="s">
        <v>505</v>
      </c>
      <c r="G28" s="31">
        <v>33787</v>
      </c>
      <c r="H28" s="29">
        <v>13125</v>
      </c>
      <c r="I28" s="29">
        <f t="shared" si="0"/>
        <v>350</v>
      </c>
      <c r="J28" s="160">
        <f t="shared" si="1"/>
        <v>0.5</v>
      </c>
      <c r="K28" s="29">
        <f t="shared" si="2"/>
        <v>13475.5</v>
      </c>
      <c r="L28" s="160">
        <f t="shared" si="3"/>
        <v>0.1</v>
      </c>
      <c r="M28" s="161">
        <f t="shared" si="4"/>
        <v>12163</v>
      </c>
      <c r="N28" s="29">
        <f t="shared" si="5"/>
        <v>1992</v>
      </c>
      <c r="O28" s="29" t="str">
        <f t="shared" si="6"/>
        <v>second</v>
      </c>
      <c r="T28" s="28">
        <v>4</v>
      </c>
      <c r="U28" s="28">
        <v>0</v>
      </c>
    </row>
    <row r="29" spans="1:21" x14ac:dyDescent="0.25">
      <c r="A29" s="29">
        <v>28</v>
      </c>
      <c r="B29" s="29" t="s">
        <v>130</v>
      </c>
      <c r="C29" s="29" t="s">
        <v>131</v>
      </c>
      <c r="D29" s="29" t="s">
        <v>27</v>
      </c>
      <c r="E29" s="29" t="s">
        <v>161</v>
      </c>
      <c r="F29" s="29" t="s">
        <v>506</v>
      </c>
      <c r="G29" s="31">
        <v>34777</v>
      </c>
      <c r="H29" s="29">
        <v>10500</v>
      </c>
      <c r="I29" s="29">
        <f t="shared" si="0"/>
        <v>750</v>
      </c>
      <c r="J29" s="160">
        <f t="shared" si="1"/>
        <v>30</v>
      </c>
      <c r="K29" s="29">
        <f t="shared" si="2"/>
        <v>11280</v>
      </c>
      <c r="L29" s="160">
        <f t="shared" si="3"/>
        <v>0.1</v>
      </c>
      <c r="M29" s="161">
        <f t="shared" si="4"/>
        <v>10230</v>
      </c>
      <c r="N29" s="29">
        <f t="shared" si="5"/>
        <v>1994</v>
      </c>
      <c r="O29" s="29" t="str">
        <f t="shared" si="6"/>
        <v>fourth</v>
      </c>
      <c r="T29" s="28">
        <v>7</v>
      </c>
      <c r="U29" s="28">
        <v>0</v>
      </c>
    </row>
    <row r="30" spans="1:21" x14ac:dyDescent="0.25">
      <c r="A30" s="29">
        <v>29</v>
      </c>
      <c r="B30" s="29" t="s">
        <v>170</v>
      </c>
      <c r="C30" s="29" t="s">
        <v>171</v>
      </c>
      <c r="D30" s="29" t="s">
        <v>47</v>
      </c>
      <c r="E30" s="29" t="s">
        <v>58</v>
      </c>
      <c r="F30" s="29" t="s">
        <v>501</v>
      </c>
      <c r="G30" s="31">
        <v>35189</v>
      </c>
      <c r="H30" s="29">
        <v>9625</v>
      </c>
      <c r="I30" s="29">
        <f t="shared" si="0"/>
        <v>500</v>
      </c>
      <c r="J30" s="160">
        <f t="shared" si="1"/>
        <v>30</v>
      </c>
      <c r="K30" s="29">
        <f t="shared" si="2"/>
        <v>10155</v>
      </c>
      <c r="L30" s="160">
        <f t="shared" si="3"/>
        <v>0.1</v>
      </c>
      <c r="M30" s="161">
        <f t="shared" si="4"/>
        <v>9192.5</v>
      </c>
      <c r="N30" s="29">
        <f t="shared" si="5"/>
        <v>1996</v>
      </c>
      <c r="O30" s="29" t="str">
        <f t="shared" si="6"/>
        <v>first</v>
      </c>
      <c r="T30" s="28">
        <v>10</v>
      </c>
      <c r="U30" s="28">
        <v>0</v>
      </c>
    </row>
    <row r="31" spans="1:21" x14ac:dyDescent="0.25">
      <c r="A31" s="29">
        <v>30</v>
      </c>
      <c r="B31" s="29" t="s">
        <v>77</v>
      </c>
      <c r="C31" s="29" t="s">
        <v>78</v>
      </c>
      <c r="D31" s="29" t="s">
        <v>493</v>
      </c>
      <c r="E31" s="29" t="s">
        <v>10</v>
      </c>
      <c r="F31" s="29" t="s">
        <v>503</v>
      </c>
      <c r="G31" s="31">
        <v>32435</v>
      </c>
      <c r="H31" s="29">
        <v>14175</v>
      </c>
      <c r="I31" s="29">
        <f t="shared" si="0"/>
        <v>1000</v>
      </c>
      <c r="J31" s="160">
        <f t="shared" si="1"/>
        <v>30</v>
      </c>
      <c r="K31" s="29">
        <f t="shared" si="2"/>
        <v>15205</v>
      </c>
      <c r="L31" s="160">
        <f t="shared" si="3"/>
        <v>0.15</v>
      </c>
      <c r="M31" s="161">
        <f t="shared" si="4"/>
        <v>13078.75</v>
      </c>
      <c r="N31" s="29">
        <f t="shared" si="5"/>
        <v>1988</v>
      </c>
      <c r="O31" s="29" t="str">
        <f t="shared" si="6"/>
        <v>third</v>
      </c>
    </row>
    <row r="32" spans="1:21" x14ac:dyDescent="0.25">
      <c r="A32" s="29">
        <v>31</v>
      </c>
      <c r="B32" s="29" t="s">
        <v>25</v>
      </c>
      <c r="C32" s="29" t="s">
        <v>26</v>
      </c>
      <c r="D32" s="29" t="s">
        <v>27</v>
      </c>
      <c r="E32" s="29" t="s">
        <v>58</v>
      </c>
      <c r="F32" s="29" t="s">
        <v>495</v>
      </c>
      <c r="G32" s="31">
        <v>30225</v>
      </c>
      <c r="H32" s="29">
        <v>15750</v>
      </c>
      <c r="I32" s="29">
        <f t="shared" si="0"/>
        <v>500</v>
      </c>
      <c r="J32" s="160">
        <f t="shared" si="1"/>
        <v>30</v>
      </c>
      <c r="K32" s="29">
        <f t="shared" si="2"/>
        <v>16280</v>
      </c>
      <c r="L32" s="160">
        <f t="shared" si="3"/>
        <v>0.15</v>
      </c>
      <c r="M32" s="161">
        <f t="shared" si="4"/>
        <v>13917.5</v>
      </c>
      <c r="N32" s="29">
        <f t="shared" si="5"/>
        <v>1982</v>
      </c>
      <c r="O32" s="29" t="str">
        <f t="shared" si="6"/>
        <v>third</v>
      </c>
    </row>
    <row r="33" spans="1:21" x14ac:dyDescent="0.25">
      <c r="A33" s="29">
        <v>32</v>
      </c>
      <c r="B33" s="29" t="s">
        <v>28</v>
      </c>
      <c r="C33" s="29" t="s">
        <v>29</v>
      </c>
      <c r="D33" s="29" t="s">
        <v>19</v>
      </c>
      <c r="E33" s="29" t="s">
        <v>125</v>
      </c>
      <c r="F33" s="29" t="s">
        <v>504</v>
      </c>
      <c r="G33" s="31">
        <v>30225</v>
      </c>
      <c r="H33" s="29">
        <v>15750</v>
      </c>
      <c r="I33" s="29">
        <f t="shared" si="0"/>
        <v>350</v>
      </c>
      <c r="J33" s="160">
        <f t="shared" si="1"/>
        <v>30</v>
      </c>
      <c r="K33" s="29">
        <f t="shared" si="2"/>
        <v>16130</v>
      </c>
      <c r="L33" s="160">
        <f t="shared" si="3"/>
        <v>0.15</v>
      </c>
      <c r="M33" s="161">
        <f t="shared" si="4"/>
        <v>13767.5</v>
      </c>
      <c r="N33" s="29">
        <f t="shared" si="5"/>
        <v>1982</v>
      </c>
      <c r="O33" s="29" t="str">
        <f t="shared" si="6"/>
        <v>third</v>
      </c>
      <c r="Q33" s="58" t="s">
        <v>822</v>
      </c>
      <c r="T33" s="28">
        <v>1</v>
      </c>
      <c r="U33" s="162" t="s">
        <v>820</v>
      </c>
    </row>
    <row r="34" spans="1:21" x14ac:dyDescent="0.25">
      <c r="A34" s="29">
        <v>33</v>
      </c>
      <c r="B34" s="29" t="s">
        <v>132</v>
      </c>
      <c r="C34" s="29" t="s">
        <v>133</v>
      </c>
      <c r="D34" s="29" t="s">
        <v>19</v>
      </c>
      <c r="E34" s="29" t="s">
        <v>58</v>
      </c>
      <c r="F34" s="29" t="s">
        <v>496</v>
      </c>
      <c r="G34" s="31">
        <v>35618</v>
      </c>
      <c r="H34" s="29">
        <v>7000</v>
      </c>
      <c r="I34" s="29">
        <f t="shared" ref="I34:I65" si="7">VLOOKUP(E34,$T$6:$U$9,2,0)</f>
        <v>500</v>
      </c>
      <c r="J34" s="160">
        <f t="shared" si="1"/>
        <v>30</v>
      </c>
      <c r="K34" s="29">
        <f t="shared" si="2"/>
        <v>7530</v>
      </c>
      <c r="L34" s="160">
        <f t="shared" si="3"/>
        <v>0.05</v>
      </c>
      <c r="M34" s="161">
        <f t="shared" si="4"/>
        <v>7180</v>
      </c>
      <c r="N34" s="29">
        <f t="shared" si="5"/>
        <v>1997</v>
      </c>
      <c r="O34" s="29" t="str">
        <f t="shared" si="6"/>
        <v>second</v>
      </c>
      <c r="T34" s="28">
        <v>4</v>
      </c>
      <c r="U34" s="162" t="s">
        <v>817</v>
      </c>
    </row>
    <row r="35" spans="1:21" s="32" customFormat="1" x14ac:dyDescent="0.25">
      <c r="A35" s="29">
        <v>34</v>
      </c>
      <c r="B35" s="29" t="s">
        <v>79</v>
      </c>
      <c r="C35" s="29" t="s">
        <v>80</v>
      </c>
      <c r="D35" s="29" t="s">
        <v>19</v>
      </c>
      <c r="E35" s="29" t="s">
        <v>58</v>
      </c>
      <c r="F35" s="29" t="s">
        <v>507</v>
      </c>
      <c r="G35" s="31">
        <v>33510</v>
      </c>
      <c r="H35" s="29">
        <v>8750</v>
      </c>
      <c r="I35" s="29">
        <f t="shared" si="7"/>
        <v>500</v>
      </c>
      <c r="J35" s="160">
        <f t="shared" si="1"/>
        <v>30</v>
      </c>
      <c r="K35" s="29">
        <f t="shared" si="2"/>
        <v>9280</v>
      </c>
      <c r="L35" s="160">
        <f t="shared" si="3"/>
        <v>0.05</v>
      </c>
      <c r="M35" s="161">
        <f t="shared" si="4"/>
        <v>8842.5</v>
      </c>
      <c r="N35" s="29">
        <f t="shared" si="5"/>
        <v>1991</v>
      </c>
      <c r="O35" s="29" t="str">
        <f t="shared" si="6"/>
        <v>second</v>
      </c>
      <c r="Q35" s="28"/>
      <c r="R35" s="28"/>
      <c r="S35" s="28"/>
      <c r="T35" s="28">
        <v>7</v>
      </c>
      <c r="U35" s="162" t="s">
        <v>818</v>
      </c>
    </row>
    <row r="36" spans="1:21" s="32" customFormat="1" x14ac:dyDescent="0.25">
      <c r="A36" s="29">
        <v>35</v>
      </c>
      <c r="B36" s="29" t="s">
        <v>81</v>
      </c>
      <c r="C36" s="29" t="s">
        <v>29</v>
      </c>
      <c r="D36" s="29" t="s">
        <v>9</v>
      </c>
      <c r="E36" s="29" t="s">
        <v>125</v>
      </c>
      <c r="F36" s="29" t="s">
        <v>504</v>
      </c>
      <c r="G36" s="31">
        <v>33729</v>
      </c>
      <c r="H36" s="29">
        <v>9275</v>
      </c>
      <c r="I36" s="29">
        <f t="shared" si="7"/>
        <v>350</v>
      </c>
      <c r="J36" s="160">
        <f t="shared" si="1"/>
        <v>0.5</v>
      </c>
      <c r="K36" s="29">
        <f t="shared" si="2"/>
        <v>9625.5</v>
      </c>
      <c r="L36" s="160">
        <f t="shared" si="3"/>
        <v>0.05</v>
      </c>
      <c r="M36" s="161">
        <f t="shared" si="4"/>
        <v>9161.75</v>
      </c>
      <c r="N36" s="29">
        <f t="shared" si="5"/>
        <v>1992</v>
      </c>
      <c r="O36" s="29" t="str">
        <f t="shared" si="6"/>
        <v>first</v>
      </c>
      <c r="Q36" s="28"/>
      <c r="R36" s="28"/>
      <c r="S36" s="28"/>
      <c r="T36" s="28">
        <v>10</v>
      </c>
      <c r="U36" s="162" t="s">
        <v>819</v>
      </c>
    </row>
    <row r="37" spans="1:21" x14ac:dyDescent="0.25">
      <c r="A37" s="29">
        <v>36</v>
      </c>
      <c r="B37" s="29" t="s">
        <v>30</v>
      </c>
      <c r="C37" s="29" t="s">
        <v>134</v>
      </c>
      <c r="D37" s="29" t="s">
        <v>493</v>
      </c>
      <c r="E37" s="29" t="s">
        <v>161</v>
      </c>
      <c r="F37" s="29" t="s">
        <v>508</v>
      </c>
      <c r="G37" s="31">
        <v>34580</v>
      </c>
      <c r="H37" s="29">
        <v>11725</v>
      </c>
      <c r="I37" s="29">
        <f t="shared" si="7"/>
        <v>750</v>
      </c>
      <c r="J37" s="160">
        <f t="shared" si="1"/>
        <v>30</v>
      </c>
      <c r="K37" s="29">
        <f t="shared" si="2"/>
        <v>12505</v>
      </c>
      <c r="L37" s="160">
        <f t="shared" si="3"/>
        <v>0.1</v>
      </c>
      <c r="M37" s="161">
        <f t="shared" si="4"/>
        <v>11332.5</v>
      </c>
      <c r="N37" s="29">
        <f t="shared" si="5"/>
        <v>1994</v>
      </c>
      <c r="O37" s="29" t="str">
        <f t="shared" si="6"/>
        <v>second</v>
      </c>
    </row>
    <row r="38" spans="1:21" x14ac:dyDescent="0.25">
      <c r="A38" s="29">
        <v>37</v>
      </c>
      <c r="B38" s="29" t="s">
        <v>162</v>
      </c>
      <c r="C38" s="29" t="s">
        <v>172</v>
      </c>
      <c r="D38" s="29" t="s">
        <v>13</v>
      </c>
      <c r="E38" s="29" t="s">
        <v>125</v>
      </c>
      <c r="F38" s="29" t="s">
        <v>509</v>
      </c>
      <c r="G38" s="31">
        <v>30225</v>
      </c>
      <c r="H38" s="29">
        <v>24500</v>
      </c>
      <c r="I38" s="29">
        <f t="shared" si="7"/>
        <v>350</v>
      </c>
      <c r="J38" s="160">
        <f t="shared" si="1"/>
        <v>0.5</v>
      </c>
      <c r="K38" s="29">
        <f t="shared" si="2"/>
        <v>24850.5</v>
      </c>
      <c r="L38" s="160">
        <f t="shared" si="3"/>
        <v>0.15</v>
      </c>
      <c r="M38" s="161">
        <f t="shared" si="4"/>
        <v>21175.5</v>
      </c>
      <c r="N38" s="29">
        <f t="shared" si="5"/>
        <v>1982</v>
      </c>
      <c r="O38" s="29" t="str">
        <f t="shared" si="6"/>
        <v>third</v>
      </c>
    </row>
    <row r="39" spans="1:21" x14ac:dyDescent="0.25">
      <c r="A39" s="29">
        <v>38</v>
      </c>
      <c r="B39" s="29" t="s">
        <v>135</v>
      </c>
      <c r="C39" s="29" t="s">
        <v>136</v>
      </c>
      <c r="D39" s="29" t="s">
        <v>13</v>
      </c>
      <c r="E39" s="29" t="s">
        <v>58</v>
      </c>
      <c r="F39" s="29" t="s">
        <v>510</v>
      </c>
      <c r="G39" s="31">
        <v>30225</v>
      </c>
      <c r="H39" s="29">
        <v>24500</v>
      </c>
      <c r="I39" s="29">
        <f t="shared" si="7"/>
        <v>500</v>
      </c>
      <c r="J39" s="160">
        <f t="shared" si="1"/>
        <v>0.5</v>
      </c>
      <c r="K39" s="29">
        <f t="shared" si="2"/>
        <v>25000.5</v>
      </c>
      <c r="L39" s="160">
        <f t="shared" si="3"/>
        <v>0.15</v>
      </c>
      <c r="M39" s="161">
        <f t="shared" si="4"/>
        <v>21325.5</v>
      </c>
      <c r="N39" s="29">
        <f t="shared" si="5"/>
        <v>1982</v>
      </c>
      <c r="O39" s="29" t="str">
        <f t="shared" si="6"/>
        <v>third</v>
      </c>
    </row>
    <row r="40" spans="1:21" x14ac:dyDescent="0.25">
      <c r="A40" s="29">
        <v>39</v>
      </c>
      <c r="B40" s="29" t="s">
        <v>14</v>
      </c>
      <c r="C40" s="29" t="s">
        <v>82</v>
      </c>
      <c r="D40" s="29" t="s">
        <v>13</v>
      </c>
      <c r="E40" s="29" t="s">
        <v>58</v>
      </c>
      <c r="F40" s="29" t="s">
        <v>511</v>
      </c>
      <c r="G40" s="31">
        <v>30225</v>
      </c>
      <c r="H40" s="29">
        <v>24500</v>
      </c>
      <c r="I40" s="29">
        <f t="shared" si="7"/>
        <v>500</v>
      </c>
      <c r="J40" s="160">
        <f t="shared" si="1"/>
        <v>0.5</v>
      </c>
      <c r="K40" s="29">
        <f t="shared" si="2"/>
        <v>25000.5</v>
      </c>
      <c r="L40" s="160">
        <f t="shared" si="3"/>
        <v>0.15</v>
      </c>
      <c r="M40" s="161">
        <f t="shared" si="4"/>
        <v>21325.5</v>
      </c>
      <c r="N40" s="29">
        <f t="shared" si="5"/>
        <v>1982</v>
      </c>
      <c r="O40" s="29" t="str">
        <f t="shared" si="6"/>
        <v>third</v>
      </c>
    </row>
    <row r="41" spans="1:21" x14ac:dyDescent="0.25">
      <c r="A41" s="29">
        <v>40</v>
      </c>
      <c r="B41" s="29" t="s">
        <v>83</v>
      </c>
      <c r="C41" s="29" t="s">
        <v>84</v>
      </c>
      <c r="D41" s="29" t="s">
        <v>24</v>
      </c>
      <c r="E41" s="29" t="s">
        <v>125</v>
      </c>
      <c r="F41" s="29" t="s">
        <v>504</v>
      </c>
      <c r="G41" s="31">
        <v>33510</v>
      </c>
      <c r="H41" s="29">
        <v>10500</v>
      </c>
      <c r="I41" s="29">
        <f t="shared" si="7"/>
        <v>350</v>
      </c>
      <c r="J41" s="160">
        <f t="shared" si="1"/>
        <v>0.5</v>
      </c>
      <c r="K41" s="29">
        <f t="shared" si="2"/>
        <v>10850.5</v>
      </c>
      <c r="L41" s="160">
        <f t="shared" si="3"/>
        <v>0.1</v>
      </c>
      <c r="M41" s="161">
        <f t="shared" si="4"/>
        <v>9800.5</v>
      </c>
      <c r="N41" s="29">
        <f t="shared" si="5"/>
        <v>1991</v>
      </c>
      <c r="O41" s="29" t="str">
        <f t="shared" si="6"/>
        <v>second</v>
      </c>
    </row>
    <row r="42" spans="1:21" x14ac:dyDescent="0.25">
      <c r="A42" s="29">
        <v>41</v>
      </c>
      <c r="B42" s="29" t="s">
        <v>137</v>
      </c>
      <c r="C42" s="29" t="s">
        <v>138</v>
      </c>
      <c r="D42" s="29" t="s">
        <v>47</v>
      </c>
      <c r="E42" s="29" t="s">
        <v>10</v>
      </c>
      <c r="F42" s="29" t="s">
        <v>497</v>
      </c>
      <c r="G42" s="31">
        <v>35595</v>
      </c>
      <c r="H42" s="29">
        <v>7875</v>
      </c>
      <c r="I42" s="29">
        <f t="shared" si="7"/>
        <v>1000</v>
      </c>
      <c r="J42" s="160">
        <f t="shared" si="1"/>
        <v>30</v>
      </c>
      <c r="K42" s="29">
        <f t="shared" si="2"/>
        <v>8905</v>
      </c>
      <c r="L42" s="160">
        <f t="shared" si="3"/>
        <v>0.05</v>
      </c>
      <c r="M42" s="161">
        <f t="shared" si="4"/>
        <v>8511.25</v>
      </c>
      <c r="N42" s="29">
        <f t="shared" si="5"/>
        <v>1997</v>
      </c>
      <c r="O42" s="29" t="str">
        <f t="shared" si="6"/>
        <v>first</v>
      </c>
    </row>
    <row r="43" spans="1:21" x14ac:dyDescent="0.25">
      <c r="A43" s="29">
        <v>42</v>
      </c>
      <c r="B43" s="29" t="s">
        <v>30</v>
      </c>
      <c r="C43" s="29" t="s">
        <v>31</v>
      </c>
      <c r="D43" s="29" t="s">
        <v>27</v>
      </c>
      <c r="E43" s="29" t="s">
        <v>10</v>
      </c>
      <c r="F43" s="29" t="s">
        <v>499</v>
      </c>
      <c r="G43" s="31">
        <v>33510</v>
      </c>
      <c r="H43" s="29">
        <v>13300</v>
      </c>
      <c r="I43" s="29">
        <f t="shared" si="7"/>
        <v>1000</v>
      </c>
      <c r="J43" s="160">
        <f t="shared" si="1"/>
        <v>30</v>
      </c>
      <c r="K43" s="29">
        <f t="shared" si="2"/>
        <v>14330</v>
      </c>
      <c r="L43" s="160">
        <f t="shared" si="3"/>
        <v>0.1</v>
      </c>
      <c r="M43" s="161">
        <f t="shared" si="4"/>
        <v>13000</v>
      </c>
      <c r="N43" s="29">
        <f t="shared" si="5"/>
        <v>1991</v>
      </c>
      <c r="O43" s="29" t="str">
        <f t="shared" si="6"/>
        <v>second</v>
      </c>
    </row>
    <row r="44" spans="1:21" s="32" customFormat="1" x14ac:dyDescent="0.25">
      <c r="A44" s="29">
        <v>43</v>
      </c>
      <c r="B44" s="29" t="s">
        <v>32</v>
      </c>
      <c r="C44" s="29" t="s">
        <v>33</v>
      </c>
      <c r="D44" s="29" t="s">
        <v>493</v>
      </c>
      <c r="E44" s="29" t="s">
        <v>161</v>
      </c>
      <c r="F44" s="29" t="s">
        <v>506</v>
      </c>
      <c r="G44" s="31">
        <v>32435</v>
      </c>
      <c r="H44" s="29">
        <v>15750</v>
      </c>
      <c r="I44" s="29">
        <f t="shared" si="7"/>
        <v>750</v>
      </c>
      <c r="J44" s="160">
        <f t="shared" si="1"/>
        <v>30</v>
      </c>
      <c r="K44" s="29">
        <f t="shared" si="2"/>
        <v>16530</v>
      </c>
      <c r="L44" s="160">
        <f t="shared" si="3"/>
        <v>0.15</v>
      </c>
      <c r="M44" s="161">
        <f t="shared" si="4"/>
        <v>14167.5</v>
      </c>
      <c r="N44" s="29">
        <f t="shared" si="5"/>
        <v>1988</v>
      </c>
      <c r="O44" s="29" t="str">
        <f t="shared" si="6"/>
        <v>third</v>
      </c>
    </row>
    <row r="45" spans="1:21" x14ac:dyDescent="0.25">
      <c r="A45" s="29">
        <v>44</v>
      </c>
      <c r="B45" s="29" t="s">
        <v>173</v>
      </c>
      <c r="C45" s="29" t="s">
        <v>174</v>
      </c>
      <c r="D45" s="29" t="s">
        <v>493</v>
      </c>
      <c r="E45" s="29" t="s">
        <v>10</v>
      </c>
      <c r="F45" s="29" t="s">
        <v>488</v>
      </c>
      <c r="G45" s="31">
        <v>33194</v>
      </c>
      <c r="H45" s="29">
        <v>13825</v>
      </c>
      <c r="I45" s="29">
        <f t="shared" si="7"/>
        <v>1000</v>
      </c>
      <c r="J45" s="160">
        <f t="shared" si="1"/>
        <v>30</v>
      </c>
      <c r="K45" s="29">
        <f t="shared" si="2"/>
        <v>14855</v>
      </c>
      <c r="L45" s="160">
        <f t="shared" si="3"/>
        <v>0.1</v>
      </c>
      <c r="M45" s="161">
        <f t="shared" si="4"/>
        <v>13472.5</v>
      </c>
      <c r="N45" s="29">
        <f t="shared" si="5"/>
        <v>1990</v>
      </c>
      <c r="O45" s="29" t="str">
        <f t="shared" si="6"/>
        <v>third</v>
      </c>
    </row>
    <row r="46" spans="1:21" x14ac:dyDescent="0.25">
      <c r="A46" s="29">
        <v>45</v>
      </c>
      <c r="B46" s="29" t="s">
        <v>85</v>
      </c>
      <c r="C46" s="29" t="s">
        <v>86</v>
      </c>
      <c r="D46" s="29" t="s">
        <v>27</v>
      </c>
      <c r="E46" s="29" t="s">
        <v>58</v>
      </c>
      <c r="F46" s="29" t="s">
        <v>487</v>
      </c>
      <c r="G46" s="31">
        <v>35618</v>
      </c>
      <c r="H46" s="29">
        <v>11375</v>
      </c>
      <c r="I46" s="29">
        <f t="shared" si="7"/>
        <v>500</v>
      </c>
      <c r="J46" s="160">
        <f t="shared" si="1"/>
        <v>30</v>
      </c>
      <c r="K46" s="29">
        <f t="shared" si="2"/>
        <v>11905</v>
      </c>
      <c r="L46" s="160">
        <f t="shared" si="3"/>
        <v>0.1</v>
      </c>
      <c r="M46" s="161">
        <f t="shared" si="4"/>
        <v>10767.5</v>
      </c>
      <c r="N46" s="29">
        <f t="shared" si="5"/>
        <v>1997</v>
      </c>
      <c r="O46" s="29" t="str">
        <f t="shared" si="6"/>
        <v>second</v>
      </c>
    </row>
    <row r="47" spans="1:21" x14ac:dyDescent="0.25">
      <c r="A47" s="29">
        <v>46</v>
      </c>
      <c r="B47" s="29" t="s">
        <v>87</v>
      </c>
      <c r="C47" s="29" t="s">
        <v>88</v>
      </c>
      <c r="D47" s="29" t="s">
        <v>24</v>
      </c>
      <c r="E47" s="29" t="s">
        <v>58</v>
      </c>
      <c r="F47" s="29" t="s">
        <v>507</v>
      </c>
      <c r="G47" s="31">
        <v>33510</v>
      </c>
      <c r="H47" s="29">
        <v>15750</v>
      </c>
      <c r="I47" s="29">
        <f t="shared" si="7"/>
        <v>500</v>
      </c>
      <c r="J47" s="160">
        <f t="shared" si="1"/>
        <v>0.5</v>
      </c>
      <c r="K47" s="29">
        <f t="shared" si="2"/>
        <v>16250.5</v>
      </c>
      <c r="L47" s="160">
        <f t="shared" si="3"/>
        <v>0.15</v>
      </c>
      <c r="M47" s="161">
        <f t="shared" si="4"/>
        <v>13888</v>
      </c>
      <c r="N47" s="29">
        <f t="shared" si="5"/>
        <v>1991</v>
      </c>
      <c r="O47" s="29" t="str">
        <f t="shared" si="6"/>
        <v>second</v>
      </c>
    </row>
    <row r="48" spans="1:21" x14ac:dyDescent="0.25">
      <c r="A48" s="29">
        <v>47</v>
      </c>
      <c r="B48" s="29" t="s">
        <v>89</v>
      </c>
      <c r="C48" s="29" t="s">
        <v>29</v>
      </c>
      <c r="D48" s="29" t="s">
        <v>47</v>
      </c>
      <c r="E48" s="29" t="s">
        <v>58</v>
      </c>
      <c r="F48" s="29" t="s">
        <v>491</v>
      </c>
      <c r="G48" s="31">
        <v>32180</v>
      </c>
      <c r="H48" s="29">
        <v>15750</v>
      </c>
      <c r="I48" s="29">
        <f t="shared" si="7"/>
        <v>500</v>
      </c>
      <c r="J48" s="160">
        <f t="shared" si="1"/>
        <v>30</v>
      </c>
      <c r="K48" s="29">
        <f t="shared" si="2"/>
        <v>16280</v>
      </c>
      <c r="L48" s="160">
        <f t="shared" si="3"/>
        <v>0.15</v>
      </c>
      <c r="M48" s="161">
        <f t="shared" si="4"/>
        <v>13917.5</v>
      </c>
      <c r="N48" s="29">
        <f t="shared" si="5"/>
        <v>1987</v>
      </c>
      <c r="O48" s="29" t="str">
        <f t="shared" si="6"/>
        <v>fourth</v>
      </c>
    </row>
    <row r="49" spans="1:15" x14ac:dyDescent="0.25">
      <c r="A49" s="29">
        <v>48</v>
      </c>
      <c r="B49" s="29" t="s">
        <v>175</v>
      </c>
      <c r="C49" s="29" t="s">
        <v>29</v>
      </c>
      <c r="D49" s="29" t="s">
        <v>19</v>
      </c>
      <c r="E49" s="29" t="s">
        <v>161</v>
      </c>
      <c r="F49" s="29" t="s">
        <v>512</v>
      </c>
      <c r="G49" s="31">
        <v>32435</v>
      </c>
      <c r="H49" s="29">
        <v>15750</v>
      </c>
      <c r="I49" s="29">
        <f t="shared" si="7"/>
        <v>750</v>
      </c>
      <c r="J49" s="160">
        <f t="shared" si="1"/>
        <v>30</v>
      </c>
      <c r="K49" s="29">
        <f t="shared" si="2"/>
        <v>16530</v>
      </c>
      <c r="L49" s="160">
        <f t="shared" si="3"/>
        <v>0.15</v>
      </c>
      <c r="M49" s="161">
        <f t="shared" si="4"/>
        <v>14167.5</v>
      </c>
      <c r="N49" s="29">
        <f t="shared" si="5"/>
        <v>1988</v>
      </c>
      <c r="O49" s="29" t="str">
        <f t="shared" si="6"/>
        <v>third</v>
      </c>
    </row>
    <row r="50" spans="1:15" x14ac:dyDescent="0.25">
      <c r="A50" s="29">
        <v>49</v>
      </c>
      <c r="B50" s="29" t="s">
        <v>139</v>
      </c>
      <c r="C50" s="29" t="s">
        <v>140</v>
      </c>
      <c r="D50" s="29" t="s">
        <v>19</v>
      </c>
      <c r="E50" s="29" t="s">
        <v>125</v>
      </c>
      <c r="F50" s="29" t="s">
        <v>500</v>
      </c>
      <c r="G50" s="31">
        <v>32435</v>
      </c>
      <c r="H50" s="29">
        <v>15750</v>
      </c>
      <c r="I50" s="29">
        <f t="shared" si="7"/>
        <v>350</v>
      </c>
      <c r="J50" s="160">
        <f t="shared" si="1"/>
        <v>30</v>
      </c>
      <c r="K50" s="29">
        <f t="shared" si="2"/>
        <v>16130</v>
      </c>
      <c r="L50" s="160">
        <f t="shared" si="3"/>
        <v>0.15</v>
      </c>
      <c r="M50" s="161">
        <f t="shared" si="4"/>
        <v>13767.5</v>
      </c>
      <c r="N50" s="29">
        <f t="shared" si="5"/>
        <v>1988</v>
      </c>
      <c r="O50" s="29" t="str">
        <f t="shared" si="6"/>
        <v>third</v>
      </c>
    </row>
    <row r="51" spans="1:15" x14ac:dyDescent="0.25">
      <c r="A51" s="29">
        <v>50</v>
      </c>
      <c r="B51" s="29" t="s">
        <v>176</v>
      </c>
      <c r="C51" s="29" t="s">
        <v>88</v>
      </c>
      <c r="D51" s="29" t="s">
        <v>493</v>
      </c>
      <c r="E51" s="29" t="s">
        <v>161</v>
      </c>
      <c r="F51" s="29" t="s">
        <v>512</v>
      </c>
      <c r="G51" s="31">
        <v>32435</v>
      </c>
      <c r="H51" s="29">
        <v>15750</v>
      </c>
      <c r="I51" s="29">
        <f t="shared" si="7"/>
        <v>750</v>
      </c>
      <c r="J51" s="160">
        <f t="shared" si="1"/>
        <v>30</v>
      </c>
      <c r="K51" s="29">
        <f t="shared" si="2"/>
        <v>16530</v>
      </c>
      <c r="L51" s="160">
        <f t="shared" si="3"/>
        <v>0.15</v>
      </c>
      <c r="M51" s="161">
        <f t="shared" si="4"/>
        <v>14167.5</v>
      </c>
      <c r="N51" s="29">
        <f t="shared" si="5"/>
        <v>1988</v>
      </c>
      <c r="O51" s="29" t="str">
        <f t="shared" si="6"/>
        <v>third</v>
      </c>
    </row>
    <row r="52" spans="1:15" x14ac:dyDescent="0.25">
      <c r="A52" s="29">
        <v>51</v>
      </c>
      <c r="B52" s="29" t="s">
        <v>90</v>
      </c>
      <c r="C52" s="29" t="s">
        <v>91</v>
      </c>
      <c r="D52" s="29" t="s">
        <v>24</v>
      </c>
      <c r="E52" s="29" t="s">
        <v>58</v>
      </c>
      <c r="F52" s="29" t="s">
        <v>498</v>
      </c>
      <c r="G52" s="31">
        <v>32436</v>
      </c>
      <c r="H52" s="29">
        <v>15750</v>
      </c>
      <c r="I52" s="29">
        <f t="shared" si="7"/>
        <v>500</v>
      </c>
      <c r="J52" s="160">
        <f t="shared" si="1"/>
        <v>0.5</v>
      </c>
      <c r="K52" s="29">
        <f t="shared" si="2"/>
        <v>16250.5</v>
      </c>
      <c r="L52" s="160">
        <f t="shared" si="3"/>
        <v>0.15</v>
      </c>
      <c r="M52" s="161">
        <f t="shared" si="4"/>
        <v>13888</v>
      </c>
      <c r="N52" s="29">
        <f t="shared" si="5"/>
        <v>1988</v>
      </c>
      <c r="O52" s="29" t="str">
        <f t="shared" si="6"/>
        <v>third</v>
      </c>
    </row>
    <row r="53" spans="1:15" x14ac:dyDescent="0.25">
      <c r="A53" s="29">
        <v>52</v>
      </c>
      <c r="B53" s="29" t="s">
        <v>92</v>
      </c>
      <c r="C53" s="29" t="s">
        <v>93</v>
      </c>
      <c r="D53" s="29" t="s">
        <v>19</v>
      </c>
      <c r="E53" s="29" t="s">
        <v>58</v>
      </c>
      <c r="F53" s="29" t="s">
        <v>507</v>
      </c>
      <c r="G53" s="31">
        <v>32437</v>
      </c>
      <c r="H53" s="29">
        <v>19250</v>
      </c>
      <c r="I53" s="29">
        <f t="shared" si="7"/>
        <v>500</v>
      </c>
      <c r="J53" s="160">
        <f t="shared" si="1"/>
        <v>30</v>
      </c>
      <c r="K53" s="29">
        <f t="shared" si="2"/>
        <v>19780</v>
      </c>
      <c r="L53" s="160">
        <f t="shared" si="3"/>
        <v>0.15</v>
      </c>
      <c r="M53" s="161">
        <f t="shared" si="4"/>
        <v>16892.5</v>
      </c>
      <c r="N53" s="29">
        <f t="shared" si="5"/>
        <v>1988</v>
      </c>
      <c r="O53" s="29" t="str">
        <f t="shared" si="6"/>
        <v>third</v>
      </c>
    </row>
    <row r="54" spans="1:15" x14ac:dyDescent="0.25">
      <c r="A54" s="29">
        <v>53</v>
      </c>
      <c r="B54" s="29" t="s">
        <v>177</v>
      </c>
      <c r="C54" s="29" t="s">
        <v>178</v>
      </c>
      <c r="D54" s="29" t="s">
        <v>19</v>
      </c>
      <c r="E54" s="29" t="s">
        <v>161</v>
      </c>
      <c r="F54" s="29" t="s">
        <v>513</v>
      </c>
      <c r="G54" s="31">
        <v>35034</v>
      </c>
      <c r="H54" s="29">
        <v>15750</v>
      </c>
      <c r="I54" s="29">
        <f t="shared" si="7"/>
        <v>750</v>
      </c>
      <c r="J54" s="160">
        <f t="shared" si="1"/>
        <v>30</v>
      </c>
      <c r="K54" s="29">
        <f t="shared" si="2"/>
        <v>16530</v>
      </c>
      <c r="L54" s="160">
        <f t="shared" si="3"/>
        <v>0.15</v>
      </c>
      <c r="M54" s="161">
        <f t="shared" si="4"/>
        <v>14167.5</v>
      </c>
      <c r="N54" s="29">
        <f t="shared" si="5"/>
        <v>1995</v>
      </c>
      <c r="O54" s="29" t="str">
        <f t="shared" si="6"/>
        <v>third</v>
      </c>
    </row>
    <row r="55" spans="1:15" x14ac:dyDescent="0.25">
      <c r="A55" s="29">
        <v>54</v>
      </c>
      <c r="B55" s="29" t="s">
        <v>36</v>
      </c>
      <c r="C55" s="29" t="s">
        <v>37</v>
      </c>
      <c r="D55" s="29" t="s">
        <v>19</v>
      </c>
      <c r="E55" s="29" t="s">
        <v>10</v>
      </c>
      <c r="F55" s="29" t="s">
        <v>514</v>
      </c>
      <c r="G55" s="31">
        <v>34761</v>
      </c>
      <c r="H55" s="29">
        <v>15750</v>
      </c>
      <c r="I55" s="29">
        <f t="shared" si="7"/>
        <v>1000</v>
      </c>
      <c r="J55" s="160">
        <f t="shared" si="1"/>
        <v>30</v>
      </c>
      <c r="K55" s="29">
        <f t="shared" si="2"/>
        <v>16780</v>
      </c>
      <c r="L55" s="160">
        <f t="shared" si="3"/>
        <v>0.15</v>
      </c>
      <c r="M55" s="161">
        <f t="shared" si="4"/>
        <v>14417.5</v>
      </c>
      <c r="N55" s="29">
        <f t="shared" si="5"/>
        <v>1994</v>
      </c>
      <c r="O55" s="29" t="str">
        <f t="shared" si="6"/>
        <v>fourth</v>
      </c>
    </row>
    <row r="56" spans="1:15" x14ac:dyDescent="0.25">
      <c r="A56" s="29">
        <v>55</v>
      </c>
      <c r="B56" s="29" t="s">
        <v>38</v>
      </c>
      <c r="C56" s="29" t="s">
        <v>39</v>
      </c>
      <c r="D56" s="29" t="s">
        <v>19</v>
      </c>
      <c r="E56" s="29" t="s">
        <v>10</v>
      </c>
      <c r="F56" s="29" t="s">
        <v>515</v>
      </c>
      <c r="G56" s="31">
        <v>31717</v>
      </c>
      <c r="H56" s="29">
        <v>15750</v>
      </c>
      <c r="I56" s="29">
        <f t="shared" si="7"/>
        <v>1000</v>
      </c>
      <c r="J56" s="160">
        <f t="shared" si="1"/>
        <v>30</v>
      </c>
      <c r="K56" s="29">
        <f t="shared" si="2"/>
        <v>16780</v>
      </c>
      <c r="L56" s="160">
        <f t="shared" si="3"/>
        <v>0.15</v>
      </c>
      <c r="M56" s="161">
        <f t="shared" si="4"/>
        <v>14417.5</v>
      </c>
      <c r="N56" s="29">
        <f t="shared" si="5"/>
        <v>1986</v>
      </c>
      <c r="O56" s="29" t="str">
        <f t="shared" si="6"/>
        <v>third</v>
      </c>
    </row>
    <row r="57" spans="1:15" x14ac:dyDescent="0.25">
      <c r="A57" s="29">
        <v>56</v>
      </c>
      <c r="B57" s="29" t="s">
        <v>179</v>
      </c>
      <c r="C57" s="29" t="s">
        <v>180</v>
      </c>
      <c r="D57" s="29" t="s">
        <v>24</v>
      </c>
      <c r="E57" s="29" t="s">
        <v>161</v>
      </c>
      <c r="F57" s="29" t="s">
        <v>513</v>
      </c>
      <c r="G57" s="31">
        <v>33878</v>
      </c>
      <c r="H57" s="29">
        <v>14875</v>
      </c>
      <c r="I57" s="29">
        <f t="shared" si="7"/>
        <v>750</v>
      </c>
      <c r="J57" s="160">
        <f t="shared" si="1"/>
        <v>0.5</v>
      </c>
      <c r="K57" s="29">
        <f t="shared" si="2"/>
        <v>15625.5</v>
      </c>
      <c r="L57" s="160">
        <f t="shared" si="3"/>
        <v>0.15</v>
      </c>
      <c r="M57" s="161">
        <f t="shared" si="4"/>
        <v>13394.25</v>
      </c>
      <c r="N57" s="29">
        <f t="shared" si="5"/>
        <v>1992</v>
      </c>
      <c r="O57" s="29" t="str">
        <f t="shared" si="6"/>
        <v>third</v>
      </c>
    </row>
    <row r="58" spans="1:15" x14ac:dyDescent="0.25">
      <c r="A58" s="29">
        <v>57</v>
      </c>
      <c r="B58" s="29" t="s">
        <v>141</v>
      </c>
      <c r="C58" s="29" t="s">
        <v>33</v>
      </c>
      <c r="D58" s="29" t="s">
        <v>24</v>
      </c>
      <c r="E58" s="29" t="s">
        <v>125</v>
      </c>
      <c r="F58" s="29" t="s">
        <v>516</v>
      </c>
      <c r="G58" s="31">
        <v>34098</v>
      </c>
      <c r="H58" s="29">
        <v>14875</v>
      </c>
      <c r="I58" s="29">
        <f t="shared" si="7"/>
        <v>350</v>
      </c>
      <c r="J58" s="160">
        <f t="shared" si="1"/>
        <v>0.5</v>
      </c>
      <c r="K58" s="29">
        <f t="shared" si="2"/>
        <v>15225.5</v>
      </c>
      <c r="L58" s="160">
        <f t="shared" si="3"/>
        <v>0.15</v>
      </c>
      <c r="M58" s="161">
        <f t="shared" si="4"/>
        <v>12994.25</v>
      </c>
      <c r="N58" s="29">
        <f t="shared" si="5"/>
        <v>1993</v>
      </c>
      <c r="O58" s="29" t="str">
        <f t="shared" si="6"/>
        <v>first</v>
      </c>
    </row>
    <row r="59" spans="1:15" x14ac:dyDescent="0.25">
      <c r="A59" s="29">
        <v>58</v>
      </c>
      <c r="B59" s="29" t="s">
        <v>94</v>
      </c>
      <c r="C59" s="29" t="s">
        <v>21</v>
      </c>
      <c r="D59" s="29" t="s">
        <v>9</v>
      </c>
      <c r="E59" s="29" t="s">
        <v>58</v>
      </c>
      <c r="F59" s="29" t="s">
        <v>495</v>
      </c>
      <c r="G59" s="31">
        <v>33182</v>
      </c>
      <c r="H59" s="29">
        <v>17500</v>
      </c>
      <c r="I59" s="29">
        <f t="shared" si="7"/>
        <v>500</v>
      </c>
      <c r="J59" s="160">
        <f t="shared" si="1"/>
        <v>0.5</v>
      </c>
      <c r="K59" s="29">
        <f t="shared" si="2"/>
        <v>18000.5</v>
      </c>
      <c r="L59" s="160">
        <f t="shared" si="3"/>
        <v>0.15</v>
      </c>
      <c r="M59" s="161">
        <f t="shared" si="4"/>
        <v>15375.5</v>
      </c>
      <c r="N59" s="29">
        <f t="shared" si="5"/>
        <v>1990</v>
      </c>
      <c r="O59" s="29" t="str">
        <f t="shared" si="6"/>
        <v>third</v>
      </c>
    </row>
    <row r="60" spans="1:15" x14ac:dyDescent="0.25">
      <c r="A60" s="29">
        <v>59</v>
      </c>
      <c r="B60" s="29" t="s">
        <v>142</v>
      </c>
      <c r="C60" s="29" t="s">
        <v>143</v>
      </c>
      <c r="D60" s="29" t="s">
        <v>47</v>
      </c>
      <c r="E60" s="29" t="s">
        <v>125</v>
      </c>
      <c r="F60" s="29" t="s">
        <v>505</v>
      </c>
      <c r="G60" s="31">
        <v>31791</v>
      </c>
      <c r="H60" s="29">
        <v>19250</v>
      </c>
      <c r="I60" s="29">
        <f t="shared" si="7"/>
        <v>350</v>
      </c>
      <c r="J60" s="160">
        <f t="shared" si="1"/>
        <v>30</v>
      </c>
      <c r="K60" s="29">
        <f t="shared" si="2"/>
        <v>19630</v>
      </c>
      <c r="L60" s="160">
        <f t="shared" si="3"/>
        <v>0.15</v>
      </c>
      <c r="M60" s="161">
        <f t="shared" si="4"/>
        <v>16742.5</v>
      </c>
      <c r="N60" s="29">
        <f t="shared" si="5"/>
        <v>1986</v>
      </c>
      <c r="O60" s="29" t="str">
        <f t="shared" si="6"/>
        <v>fourth</v>
      </c>
    </row>
    <row r="61" spans="1:15" x14ac:dyDescent="0.25">
      <c r="A61" s="29">
        <v>60</v>
      </c>
      <c r="B61" s="29" t="s">
        <v>144</v>
      </c>
      <c r="C61" s="29" t="s">
        <v>145</v>
      </c>
      <c r="D61" s="29" t="s">
        <v>9</v>
      </c>
      <c r="E61" s="29" t="s">
        <v>125</v>
      </c>
      <c r="F61" s="29" t="s">
        <v>517</v>
      </c>
      <c r="G61" s="31">
        <v>32105</v>
      </c>
      <c r="H61" s="29">
        <v>19250</v>
      </c>
      <c r="I61" s="29">
        <f t="shared" si="7"/>
        <v>350</v>
      </c>
      <c r="J61" s="160">
        <f t="shared" si="1"/>
        <v>0.5</v>
      </c>
      <c r="K61" s="29">
        <f t="shared" si="2"/>
        <v>19600.5</v>
      </c>
      <c r="L61" s="160">
        <f t="shared" si="3"/>
        <v>0.15</v>
      </c>
      <c r="M61" s="161">
        <f t="shared" si="4"/>
        <v>16713</v>
      </c>
      <c r="N61" s="29">
        <f t="shared" si="5"/>
        <v>1987</v>
      </c>
      <c r="O61" s="29" t="str">
        <f t="shared" si="6"/>
        <v>third</v>
      </c>
    </row>
    <row r="62" spans="1:15" s="32" customFormat="1" x14ac:dyDescent="0.25">
      <c r="A62" s="29">
        <v>61</v>
      </c>
      <c r="B62" s="29" t="s">
        <v>95</v>
      </c>
      <c r="C62" s="29" t="s">
        <v>96</v>
      </c>
      <c r="D62" s="29" t="s">
        <v>47</v>
      </c>
      <c r="E62" s="29" t="s">
        <v>58</v>
      </c>
      <c r="F62" s="29" t="s">
        <v>495</v>
      </c>
      <c r="G62" s="31">
        <v>32106</v>
      </c>
      <c r="H62" s="29">
        <v>19250</v>
      </c>
      <c r="I62" s="29">
        <f t="shared" si="7"/>
        <v>500</v>
      </c>
      <c r="J62" s="160">
        <f t="shared" si="1"/>
        <v>30</v>
      </c>
      <c r="K62" s="29">
        <f t="shared" si="2"/>
        <v>19780</v>
      </c>
      <c r="L62" s="160">
        <f t="shared" si="3"/>
        <v>0.15</v>
      </c>
      <c r="M62" s="161">
        <f t="shared" si="4"/>
        <v>16892.5</v>
      </c>
      <c r="N62" s="29">
        <f t="shared" si="5"/>
        <v>1987</v>
      </c>
      <c r="O62" s="29" t="str">
        <f t="shared" si="6"/>
        <v>third</v>
      </c>
    </row>
    <row r="63" spans="1:15" x14ac:dyDescent="0.25">
      <c r="A63" s="29">
        <v>62</v>
      </c>
      <c r="B63" s="29" t="s">
        <v>97</v>
      </c>
      <c r="C63" s="29" t="s">
        <v>72</v>
      </c>
      <c r="D63" s="29" t="s">
        <v>24</v>
      </c>
      <c r="E63" s="29" t="s">
        <v>58</v>
      </c>
      <c r="F63" s="29" t="s">
        <v>491</v>
      </c>
      <c r="G63" s="31">
        <v>32107</v>
      </c>
      <c r="H63" s="29">
        <v>19250</v>
      </c>
      <c r="I63" s="29">
        <f t="shared" si="7"/>
        <v>500</v>
      </c>
      <c r="J63" s="160">
        <f t="shared" si="1"/>
        <v>0.5</v>
      </c>
      <c r="K63" s="29">
        <f t="shared" si="2"/>
        <v>19750.5</v>
      </c>
      <c r="L63" s="160">
        <f t="shared" si="3"/>
        <v>0.15</v>
      </c>
      <c r="M63" s="161">
        <f t="shared" si="4"/>
        <v>16863</v>
      </c>
      <c r="N63" s="29">
        <f t="shared" si="5"/>
        <v>1987</v>
      </c>
      <c r="O63" s="29" t="str">
        <f t="shared" si="6"/>
        <v>third</v>
      </c>
    </row>
    <row r="64" spans="1:15" x14ac:dyDescent="0.25">
      <c r="A64" s="29">
        <v>63</v>
      </c>
      <c r="B64" s="29" t="s">
        <v>98</v>
      </c>
      <c r="C64" s="29" t="s">
        <v>99</v>
      </c>
      <c r="D64" s="29" t="s">
        <v>27</v>
      </c>
      <c r="E64" s="29" t="s">
        <v>58</v>
      </c>
      <c r="F64" s="29" t="s">
        <v>498</v>
      </c>
      <c r="G64" s="31">
        <v>32440</v>
      </c>
      <c r="H64" s="29">
        <v>17500</v>
      </c>
      <c r="I64" s="29">
        <f t="shared" si="7"/>
        <v>500</v>
      </c>
      <c r="J64" s="160">
        <f t="shared" si="1"/>
        <v>30</v>
      </c>
      <c r="K64" s="29">
        <f t="shared" si="2"/>
        <v>18030</v>
      </c>
      <c r="L64" s="160">
        <f t="shared" si="3"/>
        <v>0.15</v>
      </c>
      <c r="M64" s="161">
        <f t="shared" si="4"/>
        <v>15405</v>
      </c>
      <c r="N64" s="29">
        <f t="shared" si="5"/>
        <v>1988</v>
      </c>
      <c r="O64" s="29" t="str">
        <f t="shared" si="6"/>
        <v>third</v>
      </c>
    </row>
    <row r="65" spans="1:15" x14ac:dyDescent="0.25">
      <c r="A65" s="29">
        <v>64</v>
      </c>
      <c r="B65" s="29" t="s">
        <v>146</v>
      </c>
      <c r="C65" s="29" t="s">
        <v>147</v>
      </c>
      <c r="D65" s="29" t="s">
        <v>493</v>
      </c>
      <c r="E65" s="29" t="s">
        <v>125</v>
      </c>
      <c r="F65" s="29" t="s">
        <v>489</v>
      </c>
      <c r="G65" s="31">
        <v>32441</v>
      </c>
      <c r="H65" s="29">
        <v>17500</v>
      </c>
      <c r="I65" s="29">
        <f t="shared" si="7"/>
        <v>350</v>
      </c>
      <c r="J65" s="160">
        <f t="shared" si="1"/>
        <v>30</v>
      </c>
      <c r="K65" s="29">
        <f t="shared" si="2"/>
        <v>17880</v>
      </c>
      <c r="L65" s="160">
        <f t="shared" si="3"/>
        <v>0.15</v>
      </c>
      <c r="M65" s="161">
        <f t="shared" si="4"/>
        <v>15255</v>
      </c>
      <c r="N65" s="29">
        <f t="shared" si="5"/>
        <v>1988</v>
      </c>
      <c r="O65" s="29" t="str">
        <f t="shared" si="6"/>
        <v>third</v>
      </c>
    </row>
    <row r="66" spans="1:15" x14ac:dyDescent="0.25">
      <c r="A66" s="29">
        <v>65</v>
      </c>
      <c r="B66" s="29" t="s">
        <v>40</v>
      </c>
      <c r="C66" s="29" t="s">
        <v>15</v>
      </c>
      <c r="D66" s="29" t="s">
        <v>19</v>
      </c>
      <c r="E66" s="29" t="s">
        <v>10</v>
      </c>
      <c r="F66" s="29" t="s">
        <v>499</v>
      </c>
      <c r="G66" s="31">
        <v>32442</v>
      </c>
      <c r="H66" s="29">
        <v>17500</v>
      </c>
      <c r="I66" s="29">
        <f t="shared" ref="I66:I101" si="8">VLOOKUP(E66,$T$6:$U$9,2,0)</f>
        <v>1000</v>
      </c>
      <c r="J66" s="160">
        <f t="shared" si="1"/>
        <v>30</v>
      </c>
      <c r="K66" s="29">
        <f t="shared" si="2"/>
        <v>18530</v>
      </c>
      <c r="L66" s="160">
        <f t="shared" si="3"/>
        <v>0.15</v>
      </c>
      <c r="M66" s="161">
        <f t="shared" si="4"/>
        <v>15905</v>
      </c>
      <c r="N66" s="29">
        <f t="shared" si="5"/>
        <v>1988</v>
      </c>
      <c r="O66" s="29" t="str">
        <f t="shared" si="6"/>
        <v>third</v>
      </c>
    </row>
    <row r="67" spans="1:15" x14ac:dyDescent="0.25">
      <c r="A67" s="29">
        <v>66</v>
      </c>
      <c r="B67" s="29" t="s">
        <v>100</v>
      </c>
      <c r="C67" s="29" t="s">
        <v>101</v>
      </c>
      <c r="D67" s="29" t="s">
        <v>493</v>
      </c>
      <c r="E67" s="29" t="s">
        <v>58</v>
      </c>
      <c r="F67" s="29" t="s">
        <v>495</v>
      </c>
      <c r="G67" s="31">
        <v>32443</v>
      </c>
      <c r="H67" s="29">
        <v>17500</v>
      </c>
      <c r="I67" s="29">
        <f t="shared" si="8"/>
        <v>500</v>
      </c>
      <c r="J67" s="160">
        <f t="shared" ref="J67:J101" si="9">IFERROR(VLOOKUP(D67,$T$12:$U$14,2,0),30)</f>
        <v>30</v>
      </c>
      <c r="K67" s="29">
        <f t="shared" ref="K67:K101" si="10">SUM(H67:J67)</f>
        <v>18030</v>
      </c>
      <c r="L67" s="160">
        <f t="shared" ref="L67:L101" si="11">VLOOKUP(K67,$T$20:$U$23, 2, 1)</f>
        <v>0.15</v>
      </c>
      <c r="M67" s="161">
        <f t="shared" ref="M67:M101" si="12">K67-L67*H67</f>
        <v>15405</v>
      </c>
      <c r="N67" s="29">
        <f t="shared" ref="N67:N101" si="13" xml:space="preserve"> YEAR(G67) - VLOOKUP(MONTH(G67), $T$27:$U$30, 2,1)</f>
        <v>1988</v>
      </c>
      <c r="O67" s="29" t="str">
        <f t="shared" ref="O67:O101" si="14">VLOOKUP(MONTH(G67), $T$33:$U$36, 2, 1)</f>
        <v>third</v>
      </c>
    </row>
    <row r="68" spans="1:15" x14ac:dyDescent="0.25">
      <c r="A68" s="29">
        <v>67</v>
      </c>
      <c r="B68" s="29" t="s">
        <v>102</v>
      </c>
      <c r="C68" s="29" t="s">
        <v>42</v>
      </c>
      <c r="D68" s="29" t="s">
        <v>493</v>
      </c>
      <c r="E68" s="29" t="s">
        <v>58</v>
      </c>
      <c r="F68" s="29" t="s">
        <v>507</v>
      </c>
      <c r="G68" s="31">
        <v>32444</v>
      </c>
      <c r="H68" s="29">
        <v>20125</v>
      </c>
      <c r="I68" s="29">
        <f t="shared" si="8"/>
        <v>500</v>
      </c>
      <c r="J68" s="160">
        <f t="shared" si="9"/>
        <v>30</v>
      </c>
      <c r="K68" s="29">
        <f t="shared" si="10"/>
        <v>20655</v>
      </c>
      <c r="L68" s="160">
        <f t="shared" si="11"/>
        <v>0.15</v>
      </c>
      <c r="M68" s="161">
        <f t="shared" si="12"/>
        <v>17636.25</v>
      </c>
      <c r="N68" s="29">
        <f t="shared" si="13"/>
        <v>1988</v>
      </c>
      <c r="O68" s="29" t="str">
        <f t="shared" si="14"/>
        <v>third</v>
      </c>
    </row>
    <row r="69" spans="1:15" x14ac:dyDescent="0.25">
      <c r="A69" s="29">
        <v>68</v>
      </c>
      <c r="B69" s="29" t="s">
        <v>103</v>
      </c>
      <c r="C69" s="29" t="s">
        <v>15</v>
      </c>
      <c r="D69" s="29" t="s">
        <v>24</v>
      </c>
      <c r="E69" s="29" t="s">
        <v>58</v>
      </c>
      <c r="F69" s="29" t="s">
        <v>511</v>
      </c>
      <c r="G69" s="31">
        <v>35034</v>
      </c>
      <c r="H69" s="29">
        <v>14000</v>
      </c>
      <c r="I69" s="29">
        <f t="shared" si="8"/>
        <v>500</v>
      </c>
      <c r="J69" s="160">
        <f t="shared" si="9"/>
        <v>0.5</v>
      </c>
      <c r="K69" s="29">
        <f t="shared" si="10"/>
        <v>14500.5</v>
      </c>
      <c r="L69" s="160">
        <f t="shared" si="11"/>
        <v>0.1</v>
      </c>
      <c r="M69" s="161">
        <f t="shared" si="12"/>
        <v>13100.5</v>
      </c>
      <c r="N69" s="29">
        <f t="shared" si="13"/>
        <v>1995</v>
      </c>
      <c r="O69" s="29" t="str">
        <f t="shared" si="14"/>
        <v>third</v>
      </c>
    </row>
    <row r="70" spans="1:15" x14ac:dyDescent="0.25">
      <c r="A70" s="29">
        <v>69</v>
      </c>
      <c r="B70" s="29" t="s">
        <v>104</v>
      </c>
      <c r="C70" s="29" t="s">
        <v>29</v>
      </c>
      <c r="D70" s="29" t="s">
        <v>493</v>
      </c>
      <c r="E70" s="29" t="s">
        <v>58</v>
      </c>
      <c r="F70" s="29" t="s">
        <v>511</v>
      </c>
      <c r="G70" s="31">
        <v>34761</v>
      </c>
      <c r="H70" s="29">
        <v>14000</v>
      </c>
      <c r="I70" s="29">
        <f t="shared" si="8"/>
        <v>500</v>
      </c>
      <c r="J70" s="160">
        <f t="shared" si="9"/>
        <v>30</v>
      </c>
      <c r="K70" s="29">
        <f t="shared" si="10"/>
        <v>14530</v>
      </c>
      <c r="L70" s="160">
        <f t="shared" si="11"/>
        <v>0.1</v>
      </c>
      <c r="M70" s="161">
        <f t="shared" si="12"/>
        <v>13130</v>
      </c>
      <c r="N70" s="29">
        <f t="shared" si="13"/>
        <v>1994</v>
      </c>
      <c r="O70" s="29" t="str">
        <f t="shared" si="14"/>
        <v>fourth</v>
      </c>
    </row>
    <row r="71" spans="1:15" x14ac:dyDescent="0.25">
      <c r="A71" s="29">
        <v>70</v>
      </c>
      <c r="B71" s="29" t="s">
        <v>41</v>
      </c>
      <c r="C71" s="29" t="s">
        <v>42</v>
      </c>
      <c r="D71" s="29" t="s">
        <v>9</v>
      </c>
      <c r="E71" s="29" t="s">
        <v>10</v>
      </c>
      <c r="F71" s="29" t="s">
        <v>499</v>
      </c>
      <c r="G71" s="31">
        <v>34762</v>
      </c>
      <c r="H71" s="29">
        <v>14000</v>
      </c>
      <c r="I71" s="29">
        <f t="shared" si="8"/>
        <v>1000</v>
      </c>
      <c r="J71" s="160">
        <f t="shared" si="9"/>
        <v>0.5</v>
      </c>
      <c r="K71" s="29">
        <f t="shared" si="10"/>
        <v>15000.5</v>
      </c>
      <c r="L71" s="160">
        <f t="shared" si="11"/>
        <v>0.15</v>
      </c>
      <c r="M71" s="161">
        <f t="shared" si="12"/>
        <v>12900.5</v>
      </c>
      <c r="N71" s="29">
        <f t="shared" si="13"/>
        <v>1994</v>
      </c>
      <c r="O71" s="29" t="str">
        <f t="shared" si="14"/>
        <v>fourth</v>
      </c>
    </row>
    <row r="72" spans="1:15" x14ac:dyDescent="0.25">
      <c r="A72" s="29">
        <v>71</v>
      </c>
      <c r="B72" s="29" t="s">
        <v>181</v>
      </c>
      <c r="C72" s="29" t="s">
        <v>182</v>
      </c>
      <c r="D72" s="29" t="s">
        <v>27</v>
      </c>
      <c r="E72" s="29" t="s">
        <v>161</v>
      </c>
      <c r="F72" s="29" t="s">
        <v>518</v>
      </c>
      <c r="G72" s="31">
        <v>34763</v>
      </c>
      <c r="H72" s="29">
        <v>14000</v>
      </c>
      <c r="I72" s="29">
        <f t="shared" si="8"/>
        <v>750</v>
      </c>
      <c r="J72" s="160">
        <f t="shared" si="9"/>
        <v>30</v>
      </c>
      <c r="K72" s="29">
        <f t="shared" si="10"/>
        <v>14780</v>
      </c>
      <c r="L72" s="160">
        <f t="shared" si="11"/>
        <v>0.1</v>
      </c>
      <c r="M72" s="161">
        <f t="shared" si="12"/>
        <v>13380</v>
      </c>
      <c r="N72" s="29">
        <f t="shared" si="13"/>
        <v>1994</v>
      </c>
      <c r="O72" s="29" t="str">
        <f t="shared" si="14"/>
        <v>fourth</v>
      </c>
    </row>
    <row r="73" spans="1:15" x14ac:dyDescent="0.25">
      <c r="A73" s="29">
        <v>72</v>
      </c>
      <c r="B73" s="29" t="s">
        <v>148</v>
      </c>
      <c r="C73" s="29" t="s">
        <v>26</v>
      </c>
      <c r="D73" s="29" t="s">
        <v>27</v>
      </c>
      <c r="E73" s="29" t="s">
        <v>125</v>
      </c>
      <c r="F73" s="29" t="s">
        <v>509</v>
      </c>
      <c r="G73" s="31">
        <v>32438</v>
      </c>
      <c r="H73" s="29">
        <v>17500</v>
      </c>
      <c r="I73" s="29">
        <f t="shared" si="8"/>
        <v>350</v>
      </c>
      <c r="J73" s="160">
        <f t="shared" si="9"/>
        <v>30</v>
      </c>
      <c r="K73" s="29">
        <f t="shared" si="10"/>
        <v>17880</v>
      </c>
      <c r="L73" s="160">
        <f t="shared" si="11"/>
        <v>0.15</v>
      </c>
      <c r="M73" s="161">
        <f t="shared" si="12"/>
        <v>15255</v>
      </c>
      <c r="N73" s="29">
        <f t="shared" si="13"/>
        <v>1988</v>
      </c>
      <c r="O73" s="29" t="str">
        <f t="shared" si="14"/>
        <v>third</v>
      </c>
    </row>
    <row r="74" spans="1:15" s="32" customFormat="1" x14ac:dyDescent="0.25">
      <c r="A74" s="29">
        <v>73</v>
      </c>
      <c r="B74" s="29" t="s">
        <v>105</v>
      </c>
      <c r="C74" s="29" t="s">
        <v>106</v>
      </c>
      <c r="D74" s="29" t="s">
        <v>19</v>
      </c>
      <c r="E74" s="29" t="s">
        <v>58</v>
      </c>
      <c r="F74" s="29" t="s">
        <v>501</v>
      </c>
      <c r="G74" s="31">
        <v>32439</v>
      </c>
      <c r="H74" s="29">
        <v>17500</v>
      </c>
      <c r="I74" s="29">
        <f t="shared" si="8"/>
        <v>500</v>
      </c>
      <c r="J74" s="160">
        <f t="shared" si="9"/>
        <v>30</v>
      </c>
      <c r="K74" s="29">
        <f t="shared" si="10"/>
        <v>18030</v>
      </c>
      <c r="L74" s="160">
        <f t="shared" si="11"/>
        <v>0.15</v>
      </c>
      <c r="M74" s="161">
        <f t="shared" si="12"/>
        <v>15405</v>
      </c>
      <c r="N74" s="29">
        <f t="shared" si="13"/>
        <v>1988</v>
      </c>
      <c r="O74" s="29" t="str">
        <f t="shared" si="14"/>
        <v>third</v>
      </c>
    </row>
    <row r="75" spans="1:15" x14ac:dyDescent="0.25">
      <c r="A75" s="29">
        <v>74</v>
      </c>
      <c r="B75" s="29" t="s">
        <v>43</v>
      </c>
      <c r="C75" s="29" t="s">
        <v>44</v>
      </c>
      <c r="D75" s="29" t="s">
        <v>24</v>
      </c>
      <c r="E75" s="29" t="s">
        <v>10</v>
      </c>
      <c r="F75" s="29" t="s">
        <v>497</v>
      </c>
      <c r="G75" s="31">
        <v>32440</v>
      </c>
      <c r="H75" s="29">
        <v>17500</v>
      </c>
      <c r="I75" s="29">
        <f t="shared" si="8"/>
        <v>1000</v>
      </c>
      <c r="J75" s="160">
        <f t="shared" si="9"/>
        <v>0.5</v>
      </c>
      <c r="K75" s="29">
        <f t="shared" si="10"/>
        <v>18500.5</v>
      </c>
      <c r="L75" s="160">
        <f t="shared" si="11"/>
        <v>0.15</v>
      </c>
      <c r="M75" s="161">
        <f t="shared" si="12"/>
        <v>15875.5</v>
      </c>
      <c r="N75" s="29">
        <f t="shared" si="13"/>
        <v>1988</v>
      </c>
      <c r="O75" s="29" t="str">
        <f t="shared" si="14"/>
        <v>third</v>
      </c>
    </row>
    <row r="76" spans="1:15" x14ac:dyDescent="0.25">
      <c r="A76" s="29">
        <v>75</v>
      </c>
      <c r="B76" s="29" t="s">
        <v>45</v>
      </c>
      <c r="C76" s="29" t="s">
        <v>46</v>
      </c>
      <c r="D76" s="29" t="s">
        <v>47</v>
      </c>
      <c r="E76" s="29" t="s">
        <v>10</v>
      </c>
      <c r="F76" s="29" t="s">
        <v>499</v>
      </c>
      <c r="G76" s="31">
        <v>32441</v>
      </c>
      <c r="H76" s="29">
        <v>17500</v>
      </c>
      <c r="I76" s="29">
        <f t="shared" si="8"/>
        <v>1000</v>
      </c>
      <c r="J76" s="160">
        <f t="shared" si="9"/>
        <v>30</v>
      </c>
      <c r="K76" s="29">
        <f t="shared" si="10"/>
        <v>18530</v>
      </c>
      <c r="L76" s="160">
        <f t="shared" si="11"/>
        <v>0.15</v>
      </c>
      <c r="M76" s="161">
        <f t="shared" si="12"/>
        <v>15905</v>
      </c>
      <c r="N76" s="29">
        <f t="shared" si="13"/>
        <v>1988</v>
      </c>
      <c r="O76" s="29" t="str">
        <f t="shared" si="14"/>
        <v>third</v>
      </c>
    </row>
    <row r="77" spans="1:15" x14ac:dyDescent="0.25">
      <c r="A77" s="29">
        <v>76</v>
      </c>
      <c r="B77" s="29" t="s">
        <v>183</v>
      </c>
      <c r="C77" s="29" t="s">
        <v>174</v>
      </c>
      <c r="D77" s="29" t="s">
        <v>19</v>
      </c>
      <c r="E77" s="29" t="s">
        <v>161</v>
      </c>
      <c r="F77" s="29" t="s">
        <v>518</v>
      </c>
      <c r="G77" s="31">
        <v>32442</v>
      </c>
      <c r="H77" s="29">
        <v>17500</v>
      </c>
      <c r="I77" s="29">
        <f t="shared" si="8"/>
        <v>750</v>
      </c>
      <c r="J77" s="160">
        <f t="shared" si="9"/>
        <v>30</v>
      </c>
      <c r="K77" s="29">
        <f t="shared" si="10"/>
        <v>18280</v>
      </c>
      <c r="L77" s="160">
        <f t="shared" si="11"/>
        <v>0.15</v>
      </c>
      <c r="M77" s="161">
        <f t="shared" si="12"/>
        <v>15655</v>
      </c>
      <c r="N77" s="29">
        <f t="shared" si="13"/>
        <v>1988</v>
      </c>
      <c r="O77" s="29" t="str">
        <f t="shared" si="14"/>
        <v>third</v>
      </c>
    </row>
    <row r="78" spans="1:15" x14ac:dyDescent="0.25">
      <c r="A78" s="29">
        <v>77</v>
      </c>
      <c r="B78" s="29" t="s">
        <v>107</v>
      </c>
      <c r="C78" s="29" t="s">
        <v>101</v>
      </c>
      <c r="D78" s="29" t="s">
        <v>27</v>
      </c>
      <c r="E78" s="29" t="s">
        <v>58</v>
      </c>
      <c r="F78" s="29" t="s">
        <v>490</v>
      </c>
      <c r="G78" s="31">
        <v>32443</v>
      </c>
      <c r="H78" s="29">
        <v>17500</v>
      </c>
      <c r="I78" s="29">
        <f t="shared" si="8"/>
        <v>500</v>
      </c>
      <c r="J78" s="160">
        <f t="shared" si="9"/>
        <v>30</v>
      </c>
      <c r="K78" s="29">
        <f t="shared" si="10"/>
        <v>18030</v>
      </c>
      <c r="L78" s="160">
        <f t="shared" si="11"/>
        <v>0.15</v>
      </c>
      <c r="M78" s="161">
        <f t="shared" si="12"/>
        <v>15405</v>
      </c>
      <c r="N78" s="29">
        <f t="shared" si="13"/>
        <v>1988</v>
      </c>
      <c r="O78" s="29" t="str">
        <f t="shared" si="14"/>
        <v>third</v>
      </c>
    </row>
    <row r="79" spans="1:15" x14ac:dyDescent="0.25">
      <c r="A79" s="29">
        <v>78</v>
      </c>
      <c r="B79" s="29" t="s">
        <v>184</v>
      </c>
      <c r="C79" s="29" t="s">
        <v>185</v>
      </c>
      <c r="D79" s="29" t="s">
        <v>24</v>
      </c>
      <c r="E79" s="29" t="s">
        <v>161</v>
      </c>
      <c r="F79" s="29" t="s">
        <v>506</v>
      </c>
      <c r="G79" s="31">
        <v>32444</v>
      </c>
      <c r="H79" s="29">
        <v>17500</v>
      </c>
      <c r="I79" s="29">
        <f t="shared" si="8"/>
        <v>750</v>
      </c>
      <c r="J79" s="160">
        <f t="shared" si="9"/>
        <v>0.5</v>
      </c>
      <c r="K79" s="29">
        <f t="shared" si="10"/>
        <v>18250.5</v>
      </c>
      <c r="L79" s="160">
        <f t="shared" si="11"/>
        <v>0.15</v>
      </c>
      <c r="M79" s="161">
        <f t="shared" si="12"/>
        <v>15625.5</v>
      </c>
      <c r="N79" s="29">
        <f t="shared" si="13"/>
        <v>1988</v>
      </c>
      <c r="O79" s="29" t="str">
        <f t="shared" si="14"/>
        <v>third</v>
      </c>
    </row>
    <row r="80" spans="1:15" x14ac:dyDescent="0.25">
      <c r="A80" s="29">
        <v>79</v>
      </c>
      <c r="B80" s="29" t="s">
        <v>108</v>
      </c>
      <c r="C80" s="29" t="s">
        <v>109</v>
      </c>
      <c r="D80" s="29" t="s">
        <v>9</v>
      </c>
      <c r="E80" s="29" t="s">
        <v>58</v>
      </c>
      <c r="F80" s="29" t="s">
        <v>490</v>
      </c>
      <c r="G80" s="31">
        <v>32445</v>
      </c>
      <c r="H80" s="29">
        <v>17500</v>
      </c>
      <c r="I80" s="29">
        <f t="shared" si="8"/>
        <v>500</v>
      </c>
      <c r="J80" s="160">
        <f t="shared" si="9"/>
        <v>0.5</v>
      </c>
      <c r="K80" s="29">
        <f t="shared" si="10"/>
        <v>18000.5</v>
      </c>
      <c r="L80" s="160">
        <f t="shared" si="11"/>
        <v>0.15</v>
      </c>
      <c r="M80" s="161">
        <f t="shared" si="12"/>
        <v>15375.5</v>
      </c>
      <c r="N80" s="29">
        <f t="shared" si="13"/>
        <v>1988</v>
      </c>
      <c r="O80" s="29" t="str">
        <f t="shared" si="14"/>
        <v>third</v>
      </c>
    </row>
    <row r="81" spans="1:15" x14ac:dyDescent="0.25">
      <c r="A81" s="29">
        <v>80</v>
      </c>
      <c r="B81" s="29" t="s">
        <v>110</v>
      </c>
      <c r="C81" s="29" t="s">
        <v>111</v>
      </c>
      <c r="D81" s="29" t="s">
        <v>9</v>
      </c>
      <c r="E81" s="29" t="s">
        <v>58</v>
      </c>
      <c r="F81" s="29" t="s">
        <v>487</v>
      </c>
      <c r="G81" s="31">
        <v>32446</v>
      </c>
      <c r="H81" s="29">
        <v>17500</v>
      </c>
      <c r="I81" s="29">
        <f t="shared" si="8"/>
        <v>500</v>
      </c>
      <c r="J81" s="160">
        <f t="shared" si="9"/>
        <v>0.5</v>
      </c>
      <c r="K81" s="29">
        <f t="shared" si="10"/>
        <v>18000.5</v>
      </c>
      <c r="L81" s="160">
        <f t="shared" si="11"/>
        <v>0.15</v>
      </c>
      <c r="M81" s="161">
        <f t="shared" si="12"/>
        <v>15375.5</v>
      </c>
      <c r="N81" s="29">
        <f t="shared" si="13"/>
        <v>1988</v>
      </c>
      <c r="O81" s="29" t="str">
        <f t="shared" si="14"/>
        <v>third</v>
      </c>
    </row>
    <row r="82" spans="1:15" x14ac:dyDescent="0.25">
      <c r="A82" s="29">
        <v>81</v>
      </c>
      <c r="B82" s="29" t="s">
        <v>149</v>
      </c>
      <c r="C82" s="29" t="s">
        <v>150</v>
      </c>
      <c r="D82" s="29" t="s">
        <v>19</v>
      </c>
      <c r="E82" s="29" t="s">
        <v>125</v>
      </c>
      <c r="F82" s="29" t="s">
        <v>516</v>
      </c>
      <c r="G82" s="31">
        <v>32447</v>
      </c>
      <c r="H82" s="29">
        <v>17500</v>
      </c>
      <c r="I82" s="29">
        <f t="shared" si="8"/>
        <v>350</v>
      </c>
      <c r="J82" s="160">
        <f t="shared" si="9"/>
        <v>30</v>
      </c>
      <c r="K82" s="29">
        <f t="shared" si="10"/>
        <v>17880</v>
      </c>
      <c r="L82" s="160">
        <f t="shared" si="11"/>
        <v>0.15</v>
      </c>
      <c r="M82" s="161">
        <f t="shared" si="12"/>
        <v>15255</v>
      </c>
      <c r="N82" s="29">
        <f t="shared" si="13"/>
        <v>1988</v>
      </c>
      <c r="O82" s="29" t="str">
        <f t="shared" si="14"/>
        <v>third</v>
      </c>
    </row>
    <row r="83" spans="1:15" x14ac:dyDescent="0.25">
      <c r="A83" s="29">
        <v>82</v>
      </c>
      <c r="B83" s="29" t="s">
        <v>48</v>
      </c>
      <c r="C83" s="29" t="s">
        <v>49</v>
      </c>
      <c r="D83" s="29" t="s">
        <v>27</v>
      </c>
      <c r="E83" s="29" t="s">
        <v>10</v>
      </c>
      <c r="F83" s="29" t="s">
        <v>488</v>
      </c>
      <c r="G83" s="31">
        <v>32448</v>
      </c>
      <c r="H83" s="29">
        <v>17500</v>
      </c>
      <c r="I83" s="29">
        <f t="shared" si="8"/>
        <v>1000</v>
      </c>
      <c r="J83" s="160">
        <f t="shared" si="9"/>
        <v>30</v>
      </c>
      <c r="K83" s="29">
        <f t="shared" si="10"/>
        <v>18530</v>
      </c>
      <c r="L83" s="160">
        <f t="shared" si="11"/>
        <v>0.15</v>
      </c>
      <c r="M83" s="161">
        <f t="shared" si="12"/>
        <v>15905</v>
      </c>
      <c r="N83" s="29">
        <f t="shared" si="13"/>
        <v>1988</v>
      </c>
      <c r="O83" s="29" t="str">
        <f t="shared" si="14"/>
        <v>third</v>
      </c>
    </row>
    <row r="84" spans="1:15" x14ac:dyDescent="0.25">
      <c r="A84" s="29">
        <v>83</v>
      </c>
      <c r="B84" s="29" t="s">
        <v>114</v>
      </c>
      <c r="C84" s="29" t="s">
        <v>101</v>
      </c>
      <c r="D84" s="29" t="s">
        <v>19</v>
      </c>
      <c r="E84" s="29" t="s">
        <v>58</v>
      </c>
      <c r="F84" s="29" t="s">
        <v>510</v>
      </c>
      <c r="G84" s="31">
        <v>36221</v>
      </c>
      <c r="H84" s="29">
        <v>7000</v>
      </c>
      <c r="I84" s="29">
        <f t="shared" si="8"/>
        <v>500</v>
      </c>
      <c r="J84" s="160">
        <f t="shared" si="9"/>
        <v>30</v>
      </c>
      <c r="K84" s="29">
        <f t="shared" si="10"/>
        <v>7530</v>
      </c>
      <c r="L84" s="160">
        <f t="shared" si="11"/>
        <v>0.05</v>
      </c>
      <c r="M84" s="161">
        <f t="shared" si="12"/>
        <v>7180</v>
      </c>
      <c r="N84" s="29">
        <f t="shared" si="13"/>
        <v>1998</v>
      </c>
      <c r="O84" s="29" t="str">
        <f t="shared" si="14"/>
        <v>fourth</v>
      </c>
    </row>
    <row r="85" spans="1:15" x14ac:dyDescent="0.25">
      <c r="A85" s="29">
        <v>84</v>
      </c>
      <c r="B85" s="29" t="s">
        <v>50</v>
      </c>
      <c r="C85" s="29" t="s">
        <v>51</v>
      </c>
      <c r="D85" s="29" t="s">
        <v>27</v>
      </c>
      <c r="E85" s="29" t="s">
        <v>10</v>
      </c>
      <c r="F85" s="29" t="s">
        <v>499</v>
      </c>
      <c r="G85" s="31">
        <v>36222</v>
      </c>
      <c r="H85" s="29">
        <v>7000</v>
      </c>
      <c r="I85" s="29">
        <f t="shared" si="8"/>
        <v>1000</v>
      </c>
      <c r="J85" s="160">
        <f t="shared" si="9"/>
        <v>30</v>
      </c>
      <c r="K85" s="29">
        <f t="shared" si="10"/>
        <v>8030</v>
      </c>
      <c r="L85" s="160">
        <f t="shared" si="11"/>
        <v>0.05</v>
      </c>
      <c r="M85" s="161">
        <f t="shared" si="12"/>
        <v>7680</v>
      </c>
      <c r="N85" s="29">
        <f t="shared" si="13"/>
        <v>1998</v>
      </c>
      <c r="O85" s="29" t="str">
        <f t="shared" si="14"/>
        <v>fourth</v>
      </c>
    </row>
    <row r="86" spans="1:15" x14ac:dyDescent="0.25">
      <c r="A86" s="29">
        <v>85</v>
      </c>
      <c r="B86" s="29" t="s">
        <v>115</v>
      </c>
      <c r="C86" s="29" t="s">
        <v>116</v>
      </c>
      <c r="D86" s="29" t="s">
        <v>27</v>
      </c>
      <c r="E86" s="29" t="s">
        <v>58</v>
      </c>
      <c r="F86" s="29" t="s">
        <v>495</v>
      </c>
      <c r="G86" s="31">
        <v>35809</v>
      </c>
      <c r="H86" s="29">
        <v>7000</v>
      </c>
      <c r="I86" s="29">
        <f t="shared" si="8"/>
        <v>500</v>
      </c>
      <c r="J86" s="160">
        <f t="shared" si="9"/>
        <v>30</v>
      </c>
      <c r="K86" s="29">
        <f t="shared" si="10"/>
        <v>7530</v>
      </c>
      <c r="L86" s="160">
        <f t="shared" si="11"/>
        <v>0.05</v>
      </c>
      <c r="M86" s="161">
        <f t="shared" si="12"/>
        <v>7180</v>
      </c>
      <c r="N86" s="29">
        <f t="shared" si="13"/>
        <v>1997</v>
      </c>
      <c r="O86" s="29" t="str">
        <f t="shared" si="14"/>
        <v>fourth</v>
      </c>
    </row>
    <row r="87" spans="1:15" x14ac:dyDescent="0.25">
      <c r="A87" s="29">
        <v>86</v>
      </c>
      <c r="B87" s="29" t="s">
        <v>117</v>
      </c>
      <c r="C87" s="29" t="s">
        <v>76</v>
      </c>
      <c r="D87" s="29" t="s">
        <v>19</v>
      </c>
      <c r="E87" s="29" t="s">
        <v>58</v>
      </c>
      <c r="F87" s="29" t="s">
        <v>498</v>
      </c>
      <c r="G87" s="31">
        <v>35810</v>
      </c>
      <c r="H87" s="29">
        <v>17500</v>
      </c>
      <c r="I87" s="29">
        <f t="shared" si="8"/>
        <v>500</v>
      </c>
      <c r="J87" s="160">
        <f t="shared" si="9"/>
        <v>30</v>
      </c>
      <c r="K87" s="29">
        <f t="shared" si="10"/>
        <v>18030</v>
      </c>
      <c r="L87" s="160">
        <f t="shared" si="11"/>
        <v>0.15</v>
      </c>
      <c r="M87" s="161">
        <f t="shared" si="12"/>
        <v>15405</v>
      </c>
      <c r="N87" s="29">
        <f t="shared" si="13"/>
        <v>1997</v>
      </c>
      <c r="O87" s="29" t="str">
        <f t="shared" si="14"/>
        <v>fourth</v>
      </c>
    </row>
    <row r="88" spans="1:15" x14ac:dyDescent="0.25">
      <c r="A88" s="29">
        <v>87</v>
      </c>
      <c r="B88" s="29" t="s">
        <v>151</v>
      </c>
      <c r="C88" s="29" t="s">
        <v>152</v>
      </c>
      <c r="D88" s="29" t="s">
        <v>9</v>
      </c>
      <c r="E88" s="29" t="s">
        <v>125</v>
      </c>
      <c r="F88" s="29" t="s">
        <v>489</v>
      </c>
      <c r="G88" s="31">
        <v>35811</v>
      </c>
      <c r="H88" s="29">
        <v>17500</v>
      </c>
      <c r="I88" s="29">
        <f t="shared" si="8"/>
        <v>350</v>
      </c>
      <c r="J88" s="160">
        <f t="shared" si="9"/>
        <v>0.5</v>
      </c>
      <c r="K88" s="29">
        <f t="shared" si="10"/>
        <v>17850.5</v>
      </c>
      <c r="L88" s="160">
        <f t="shared" si="11"/>
        <v>0.15</v>
      </c>
      <c r="M88" s="161">
        <f t="shared" si="12"/>
        <v>15225.5</v>
      </c>
      <c r="N88" s="29">
        <f t="shared" si="13"/>
        <v>1997</v>
      </c>
      <c r="O88" s="29" t="str">
        <f t="shared" si="14"/>
        <v>fourth</v>
      </c>
    </row>
    <row r="89" spans="1:15" x14ac:dyDescent="0.25">
      <c r="A89" s="29">
        <v>88</v>
      </c>
      <c r="B89" s="29" t="s">
        <v>186</v>
      </c>
      <c r="C89" s="29" t="s">
        <v>187</v>
      </c>
      <c r="D89" s="29" t="s">
        <v>9</v>
      </c>
      <c r="E89" s="29" t="s">
        <v>161</v>
      </c>
      <c r="F89" s="29" t="s">
        <v>494</v>
      </c>
      <c r="G89" s="31">
        <v>35794</v>
      </c>
      <c r="H89" s="29">
        <v>7875</v>
      </c>
      <c r="I89" s="29">
        <f t="shared" si="8"/>
        <v>750</v>
      </c>
      <c r="J89" s="160">
        <f t="shared" si="9"/>
        <v>0.5</v>
      </c>
      <c r="K89" s="29">
        <f t="shared" si="10"/>
        <v>8625.5</v>
      </c>
      <c r="L89" s="160">
        <f t="shared" si="11"/>
        <v>0.05</v>
      </c>
      <c r="M89" s="161">
        <f t="shared" si="12"/>
        <v>8231.75</v>
      </c>
      <c r="N89" s="29">
        <f t="shared" si="13"/>
        <v>1997</v>
      </c>
      <c r="O89" s="29" t="str">
        <f t="shared" si="14"/>
        <v>third</v>
      </c>
    </row>
    <row r="90" spans="1:15" x14ac:dyDescent="0.25">
      <c r="A90" s="29">
        <v>89</v>
      </c>
      <c r="B90" s="29" t="s">
        <v>118</v>
      </c>
      <c r="C90" s="29" t="s">
        <v>119</v>
      </c>
      <c r="D90" s="29" t="s">
        <v>24</v>
      </c>
      <c r="E90" s="29" t="s">
        <v>58</v>
      </c>
      <c r="F90" s="29" t="s">
        <v>510</v>
      </c>
      <c r="G90" s="31">
        <v>28907</v>
      </c>
      <c r="H90" s="29">
        <v>22750</v>
      </c>
      <c r="I90" s="29">
        <f t="shared" si="8"/>
        <v>500</v>
      </c>
      <c r="J90" s="160">
        <f t="shared" si="9"/>
        <v>0.5</v>
      </c>
      <c r="K90" s="29">
        <f t="shared" si="10"/>
        <v>23250.5</v>
      </c>
      <c r="L90" s="160">
        <f t="shared" si="11"/>
        <v>0.15</v>
      </c>
      <c r="M90" s="161">
        <f t="shared" si="12"/>
        <v>19838</v>
      </c>
      <c r="N90" s="29">
        <f t="shared" si="13"/>
        <v>1978</v>
      </c>
      <c r="O90" s="29" t="str">
        <f t="shared" si="14"/>
        <v>fourth</v>
      </c>
    </row>
    <row r="91" spans="1:15" x14ac:dyDescent="0.25">
      <c r="A91" s="29">
        <v>90</v>
      </c>
      <c r="B91" s="29" t="s">
        <v>120</v>
      </c>
      <c r="C91" s="29" t="s">
        <v>86</v>
      </c>
      <c r="D91" s="29" t="s">
        <v>27</v>
      </c>
      <c r="E91" s="29" t="s">
        <v>58</v>
      </c>
      <c r="F91" s="29" t="s">
        <v>501</v>
      </c>
      <c r="G91" s="31">
        <v>29226</v>
      </c>
      <c r="H91" s="29">
        <v>22750</v>
      </c>
      <c r="I91" s="29">
        <f t="shared" si="8"/>
        <v>500</v>
      </c>
      <c r="J91" s="160">
        <f t="shared" si="9"/>
        <v>30</v>
      </c>
      <c r="K91" s="29">
        <f t="shared" si="10"/>
        <v>23280</v>
      </c>
      <c r="L91" s="160">
        <f t="shared" si="11"/>
        <v>0.15</v>
      </c>
      <c r="M91" s="161">
        <f t="shared" si="12"/>
        <v>19867.5</v>
      </c>
      <c r="N91" s="29">
        <f t="shared" si="13"/>
        <v>1979</v>
      </c>
      <c r="O91" s="29" t="str">
        <f t="shared" si="14"/>
        <v>fourth</v>
      </c>
    </row>
    <row r="92" spans="1:15" s="32" customFormat="1" x14ac:dyDescent="0.25">
      <c r="A92" s="29">
        <v>91</v>
      </c>
      <c r="B92" s="29" t="s">
        <v>52</v>
      </c>
      <c r="C92" s="29" t="s">
        <v>53</v>
      </c>
      <c r="D92" s="29" t="s">
        <v>24</v>
      </c>
      <c r="E92" s="29" t="s">
        <v>10</v>
      </c>
      <c r="F92" s="29" t="s">
        <v>499</v>
      </c>
      <c r="G92" s="31">
        <v>29172</v>
      </c>
      <c r="H92" s="29">
        <v>22750</v>
      </c>
      <c r="I92" s="29">
        <f t="shared" si="8"/>
        <v>1000</v>
      </c>
      <c r="J92" s="160">
        <f t="shared" si="9"/>
        <v>0.5</v>
      </c>
      <c r="K92" s="29">
        <f t="shared" si="10"/>
        <v>23750.5</v>
      </c>
      <c r="L92" s="160">
        <f t="shared" si="11"/>
        <v>0.15</v>
      </c>
      <c r="M92" s="161">
        <f t="shared" si="12"/>
        <v>20338</v>
      </c>
      <c r="N92" s="29">
        <f t="shared" si="13"/>
        <v>1979</v>
      </c>
      <c r="O92" s="29" t="str">
        <f t="shared" si="14"/>
        <v>third</v>
      </c>
    </row>
    <row r="93" spans="1:15" x14ac:dyDescent="0.25">
      <c r="A93" s="29">
        <v>92</v>
      </c>
      <c r="B93" s="29" t="s">
        <v>54</v>
      </c>
      <c r="C93" s="29" t="s">
        <v>55</v>
      </c>
      <c r="D93" s="29" t="s">
        <v>9</v>
      </c>
      <c r="E93" s="29" t="s">
        <v>10</v>
      </c>
      <c r="F93" s="29" t="s">
        <v>514</v>
      </c>
      <c r="G93" s="31">
        <v>32603</v>
      </c>
      <c r="H93" s="29">
        <v>17325</v>
      </c>
      <c r="I93" s="29">
        <f t="shared" si="8"/>
        <v>1000</v>
      </c>
      <c r="J93" s="160">
        <f t="shared" si="9"/>
        <v>0.5</v>
      </c>
      <c r="K93" s="29">
        <f t="shared" si="10"/>
        <v>18325.5</v>
      </c>
      <c r="L93" s="160">
        <f t="shared" si="11"/>
        <v>0.15</v>
      </c>
      <c r="M93" s="161">
        <f t="shared" si="12"/>
        <v>15726.75</v>
      </c>
      <c r="N93" s="29">
        <f t="shared" si="13"/>
        <v>1989</v>
      </c>
      <c r="O93" s="29" t="str">
        <f t="shared" si="14"/>
        <v>first</v>
      </c>
    </row>
    <row r="94" spans="1:15" x14ac:dyDescent="0.25">
      <c r="A94" s="29">
        <v>93</v>
      </c>
      <c r="B94" s="29" t="s">
        <v>153</v>
      </c>
      <c r="C94" s="29" t="s">
        <v>72</v>
      </c>
      <c r="D94" s="29" t="s">
        <v>24</v>
      </c>
      <c r="E94" s="29" t="s">
        <v>125</v>
      </c>
      <c r="F94" s="29" t="s">
        <v>505</v>
      </c>
      <c r="G94" s="31">
        <v>32604</v>
      </c>
      <c r="H94" s="29">
        <v>17325</v>
      </c>
      <c r="I94" s="29">
        <f t="shared" si="8"/>
        <v>350</v>
      </c>
      <c r="J94" s="160">
        <f t="shared" si="9"/>
        <v>0.5</v>
      </c>
      <c r="K94" s="29">
        <f t="shared" si="10"/>
        <v>17675.5</v>
      </c>
      <c r="L94" s="160">
        <f t="shared" si="11"/>
        <v>0.15</v>
      </c>
      <c r="M94" s="161">
        <f t="shared" si="12"/>
        <v>15076.75</v>
      </c>
      <c r="N94" s="29">
        <f t="shared" si="13"/>
        <v>1989</v>
      </c>
      <c r="O94" s="29" t="str">
        <f t="shared" si="14"/>
        <v>first</v>
      </c>
    </row>
    <row r="95" spans="1:15" x14ac:dyDescent="0.25">
      <c r="A95" s="29">
        <v>94</v>
      </c>
      <c r="B95" s="29" t="s">
        <v>188</v>
      </c>
      <c r="C95" s="29" t="s">
        <v>189</v>
      </c>
      <c r="D95" s="29" t="s">
        <v>9</v>
      </c>
      <c r="E95" s="29" t="s">
        <v>161</v>
      </c>
      <c r="F95" s="29" t="s">
        <v>508</v>
      </c>
      <c r="G95" s="31">
        <v>32605</v>
      </c>
      <c r="H95" s="29">
        <v>17325</v>
      </c>
      <c r="I95" s="29">
        <f t="shared" si="8"/>
        <v>750</v>
      </c>
      <c r="J95" s="160">
        <f t="shared" si="9"/>
        <v>0.5</v>
      </c>
      <c r="K95" s="29">
        <f t="shared" si="10"/>
        <v>18075.5</v>
      </c>
      <c r="L95" s="160">
        <f t="shared" si="11"/>
        <v>0.15</v>
      </c>
      <c r="M95" s="161">
        <f t="shared" si="12"/>
        <v>15476.75</v>
      </c>
      <c r="N95" s="29">
        <f t="shared" si="13"/>
        <v>1989</v>
      </c>
      <c r="O95" s="29" t="str">
        <f t="shared" si="14"/>
        <v>first</v>
      </c>
    </row>
    <row r="96" spans="1:15" x14ac:dyDescent="0.25">
      <c r="A96" s="29">
        <v>95</v>
      </c>
      <c r="B96" s="29" t="s">
        <v>154</v>
      </c>
      <c r="C96" s="29" t="s">
        <v>80</v>
      </c>
      <c r="D96" s="29" t="s">
        <v>9</v>
      </c>
      <c r="E96" s="29" t="s">
        <v>125</v>
      </c>
      <c r="F96" s="29" t="s">
        <v>505</v>
      </c>
      <c r="G96" s="31">
        <v>32606</v>
      </c>
      <c r="H96" s="29">
        <v>17325</v>
      </c>
      <c r="I96" s="29">
        <f t="shared" si="8"/>
        <v>350</v>
      </c>
      <c r="J96" s="160">
        <f t="shared" si="9"/>
        <v>0.5</v>
      </c>
      <c r="K96" s="29">
        <f t="shared" si="10"/>
        <v>17675.5</v>
      </c>
      <c r="L96" s="160">
        <f t="shared" si="11"/>
        <v>0.15</v>
      </c>
      <c r="M96" s="161">
        <f t="shared" si="12"/>
        <v>15076.75</v>
      </c>
      <c r="N96" s="29">
        <f t="shared" si="13"/>
        <v>1989</v>
      </c>
      <c r="O96" s="29" t="str">
        <f t="shared" si="14"/>
        <v>first</v>
      </c>
    </row>
    <row r="97" spans="1:15" x14ac:dyDescent="0.25">
      <c r="A97" s="29">
        <v>96</v>
      </c>
      <c r="B97" s="29" t="s">
        <v>7</v>
      </c>
      <c r="C97" s="29" t="s">
        <v>113</v>
      </c>
      <c r="D97" s="29" t="s">
        <v>27</v>
      </c>
      <c r="E97" s="29" t="s">
        <v>161</v>
      </c>
      <c r="F97" s="29" t="s">
        <v>513</v>
      </c>
      <c r="G97" s="31">
        <v>32607</v>
      </c>
      <c r="H97" s="29">
        <v>17325</v>
      </c>
      <c r="I97" s="29">
        <f t="shared" si="8"/>
        <v>750</v>
      </c>
      <c r="J97" s="160">
        <f t="shared" si="9"/>
        <v>30</v>
      </c>
      <c r="K97" s="29">
        <f t="shared" si="10"/>
        <v>18105</v>
      </c>
      <c r="L97" s="160">
        <f t="shared" si="11"/>
        <v>0.15</v>
      </c>
      <c r="M97" s="161">
        <f t="shared" si="12"/>
        <v>15506.25</v>
      </c>
      <c r="N97" s="29">
        <f t="shared" si="13"/>
        <v>1989</v>
      </c>
      <c r="O97" s="29" t="str">
        <f t="shared" si="14"/>
        <v>first</v>
      </c>
    </row>
    <row r="98" spans="1:15" x14ac:dyDescent="0.25">
      <c r="A98" s="29">
        <v>97</v>
      </c>
      <c r="B98" s="29" t="s">
        <v>155</v>
      </c>
      <c r="C98" s="29" t="s">
        <v>156</v>
      </c>
      <c r="D98" s="29" t="s">
        <v>27</v>
      </c>
      <c r="E98" s="29" t="s">
        <v>125</v>
      </c>
      <c r="F98" s="29" t="s">
        <v>517</v>
      </c>
      <c r="G98" s="31">
        <v>32608</v>
      </c>
      <c r="H98" s="29">
        <v>17325</v>
      </c>
      <c r="I98" s="29">
        <f t="shared" si="8"/>
        <v>350</v>
      </c>
      <c r="J98" s="160">
        <f t="shared" si="9"/>
        <v>30</v>
      </c>
      <c r="K98" s="29">
        <f t="shared" si="10"/>
        <v>17705</v>
      </c>
      <c r="L98" s="160">
        <f t="shared" si="11"/>
        <v>0.15</v>
      </c>
      <c r="M98" s="161">
        <f t="shared" si="12"/>
        <v>15106.25</v>
      </c>
      <c r="N98" s="29">
        <f t="shared" si="13"/>
        <v>1989</v>
      </c>
      <c r="O98" s="29" t="str">
        <f t="shared" si="14"/>
        <v>first</v>
      </c>
    </row>
    <row r="99" spans="1:15" x14ac:dyDescent="0.25">
      <c r="A99" s="29">
        <v>98</v>
      </c>
      <c r="B99" s="29" t="s">
        <v>121</v>
      </c>
      <c r="C99" s="29" t="s">
        <v>122</v>
      </c>
      <c r="D99" s="29" t="s">
        <v>19</v>
      </c>
      <c r="E99" s="29" t="s">
        <v>58</v>
      </c>
      <c r="F99" s="29" t="s">
        <v>490</v>
      </c>
      <c r="G99" s="31">
        <v>32609</v>
      </c>
      <c r="H99" s="29">
        <v>17325</v>
      </c>
      <c r="I99" s="29">
        <f t="shared" si="8"/>
        <v>500</v>
      </c>
      <c r="J99" s="160">
        <f t="shared" si="9"/>
        <v>30</v>
      </c>
      <c r="K99" s="29">
        <f t="shared" si="10"/>
        <v>17855</v>
      </c>
      <c r="L99" s="160">
        <f t="shared" si="11"/>
        <v>0.15</v>
      </c>
      <c r="M99" s="161">
        <f t="shared" si="12"/>
        <v>15256.25</v>
      </c>
      <c r="N99" s="29">
        <f t="shared" si="13"/>
        <v>1989</v>
      </c>
      <c r="O99" s="29" t="str">
        <f t="shared" si="14"/>
        <v>first</v>
      </c>
    </row>
    <row r="100" spans="1:15" x14ac:dyDescent="0.25">
      <c r="A100" s="29">
        <v>99</v>
      </c>
      <c r="B100" s="29" t="s">
        <v>190</v>
      </c>
      <c r="C100" s="29" t="s">
        <v>101</v>
      </c>
      <c r="D100" s="29" t="s">
        <v>13</v>
      </c>
      <c r="E100" s="29" t="s">
        <v>161</v>
      </c>
      <c r="F100" s="29" t="s">
        <v>506</v>
      </c>
      <c r="G100" s="31">
        <v>35794</v>
      </c>
      <c r="H100" s="29">
        <v>10500</v>
      </c>
      <c r="I100" s="29">
        <f t="shared" si="8"/>
        <v>750</v>
      </c>
      <c r="J100" s="160">
        <f t="shared" si="9"/>
        <v>0.5</v>
      </c>
      <c r="K100" s="29">
        <f t="shared" si="10"/>
        <v>11250.5</v>
      </c>
      <c r="L100" s="160">
        <f t="shared" si="11"/>
        <v>0.1</v>
      </c>
      <c r="M100" s="161">
        <f t="shared" si="12"/>
        <v>10200.5</v>
      </c>
      <c r="N100" s="29">
        <f t="shared" si="13"/>
        <v>1997</v>
      </c>
      <c r="O100" s="29" t="str">
        <f t="shared" si="14"/>
        <v>third</v>
      </c>
    </row>
    <row r="101" spans="1:15" x14ac:dyDescent="0.25">
      <c r="A101" s="29">
        <v>100</v>
      </c>
      <c r="B101" s="29" t="s">
        <v>157</v>
      </c>
      <c r="C101" s="29" t="s">
        <v>158</v>
      </c>
      <c r="D101" s="29" t="s">
        <v>13</v>
      </c>
      <c r="E101" s="29" t="s">
        <v>125</v>
      </c>
      <c r="F101" s="29" t="s">
        <v>489</v>
      </c>
      <c r="G101" s="31">
        <v>36193</v>
      </c>
      <c r="H101" s="29">
        <v>7875</v>
      </c>
      <c r="I101" s="29">
        <f t="shared" si="8"/>
        <v>350</v>
      </c>
      <c r="J101" s="160">
        <f t="shared" si="9"/>
        <v>0.5</v>
      </c>
      <c r="K101" s="29">
        <f t="shared" si="10"/>
        <v>8225.5</v>
      </c>
      <c r="L101" s="160">
        <f t="shared" si="11"/>
        <v>0.05</v>
      </c>
      <c r="M101" s="161">
        <f t="shared" si="12"/>
        <v>7831.75</v>
      </c>
      <c r="N101" s="29">
        <f t="shared" si="13"/>
        <v>1998</v>
      </c>
      <c r="O101" s="29" t="str">
        <f t="shared" si="14"/>
        <v>fourth</v>
      </c>
    </row>
    <row r="109" spans="1:15" x14ac:dyDescent="0.25">
      <c r="G109" s="33"/>
      <c r="H109" s="34"/>
      <c r="I109" s="34"/>
      <c r="J109" s="34"/>
      <c r="K109" s="34"/>
      <c r="L109" s="34"/>
      <c r="M109" s="34"/>
      <c r="N109" s="34"/>
      <c r="O109" s="34"/>
    </row>
    <row r="110" spans="1:15" x14ac:dyDescent="0.25">
      <c r="G110" s="33"/>
      <c r="H110" s="34"/>
      <c r="I110" s="34"/>
      <c r="J110" s="34"/>
      <c r="K110" s="34"/>
      <c r="L110" s="34"/>
      <c r="M110" s="34"/>
      <c r="N110" s="34"/>
      <c r="O110" s="34"/>
    </row>
    <row r="111" spans="1:15" x14ac:dyDescent="0.25">
      <c r="G111" s="33"/>
      <c r="H111" s="34"/>
      <c r="I111" s="34"/>
      <c r="J111" s="34"/>
      <c r="K111" s="34"/>
      <c r="L111" s="34"/>
      <c r="M111" s="34"/>
      <c r="N111" s="34"/>
      <c r="O111" s="34"/>
    </row>
    <row r="115" spans="5:15" x14ac:dyDescent="0.25">
      <c r="E115" s="35"/>
      <c r="G115" s="33"/>
      <c r="H115" s="34"/>
      <c r="I115" s="34"/>
      <c r="J115" s="34"/>
      <c r="K115" s="34"/>
      <c r="L115" s="34"/>
      <c r="M115" s="34"/>
      <c r="N115" s="34"/>
      <c r="O115" s="34"/>
    </row>
    <row r="116" spans="5:15" x14ac:dyDescent="0.25">
      <c r="E116" s="35"/>
      <c r="G116" s="33"/>
      <c r="H116" s="34"/>
      <c r="I116" s="34"/>
      <c r="J116" s="34"/>
      <c r="K116" s="34"/>
      <c r="L116" s="34"/>
      <c r="M116" s="34"/>
      <c r="N116" s="34"/>
      <c r="O116" s="34"/>
    </row>
    <row r="117" spans="5:15" x14ac:dyDescent="0.25">
      <c r="E117" s="35"/>
      <c r="G117" s="33"/>
      <c r="H117" s="34"/>
      <c r="I117" s="34"/>
      <c r="J117" s="34"/>
      <c r="K117" s="34"/>
      <c r="L117" s="34"/>
      <c r="M117" s="34"/>
      <c r="N117" s="34"/>
      <c r="O117" s="34"/>
    </row>
    <row r="118" spans="5:15" x14ac:dyDescent="0.25">
      <c r="E118" s="35"/>
      <c r="G118" s="33"/>
      <c r="H118" s="34"/>
      <c r="I118" s="34"/>
      <c r="J118" s="34"/>
      <c r="K118" s="34"/>
      <c r="L118" s="34"/>
      <c r="M118" s="34"/>
      <c r="N118" s="34"/>
      <c r="O118" s="34"/>
    </row>
    <row r="119" spans="5:15" x14ac:dyDescent="0.25">
      <c r="E119" s="35"/>
      <c r="G119" s="33"/>
      <c r="H119" s="34"/>
      <c r="I119" s="34"/>
      <c r="J119" s="34"/>
      <c r="K119" s="34"/>
      <c r="L119" s="34"/>
      <c r="M119" s="34"/>
      <c r="N119" s="34"/>
      <c r="O119" s="34"/>
    </row>
  </sheetData>
  <printOptions headings="1" gridLines="1"/>
  <pageMargins left="0.75" right="0.75" top="1" bottom="1" header="0.5" footer="0.5"/>
  <pageSetup scale="90" orientation="landscape" horizontalDpi="300" verticalDpi="300" r:id="rId1"/>
  <headerFooter alignWithMargins="0">
    <oddFooter>&amp;L&amp;A&amp;C&amp;BPragati Software Pvt. Ltd. Confidential&amp;B&amp;RPage &amp;P</oddFooter>
  </headerFooter>
  <customProperties>
    <customPr name="LastActive"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A1:G14"/>
  <sheetViews>
    <sheetView showGridLines="0" zoomScale="152" zoomScaleNormal="106" workbookViewId="0">
      <selection activeCell="B4" sqref="B4"/>
    </sheetView>
  </sheetViews>
  <sheetFormatPr defaultColWidth="8.88671875" defaultRowHeight="13.2" x14ac:dyDescent="0.25"/>
  <cols>
    <col min="1" max="1" width="15.33203125" style="1" bestFit="1" customWidth="1"/>
    <col min="2" max="7" width="8.88671875" style="1" customWidth="1"/>
    <col min="8" max="8" width="11.44140625" style="1" customWidth="1"/>
    <col min="9" max="16384" width="8.88671875" style="1"/>
  </cols>
  <sheetData>
    <row r="1" spans="1:7" ht="23.4" thickBot="1" x14ac:dyDescent="0.45">
      <c r="A1" s="180" t="s">
        <v>197</v>
      </c>
      <c r="B1" s="181"/>
      <c r="C1" s="181"/>
      <c r="D1" s="181"/>
      <c r="E1" s="181"/>
      <c r="F1" s="181"/>
      <c r="G1" s="182"/>
    </row>
    <row r="2" spans="1:7" ht="13.8" thickTop="1" x14ac:dyDescent="0.25">
      <c r="A2" s="3"/>
      <c r="B2" s="4"/>
      <c r="C2" s="4"/>
      <c r="D2" s="4"/>
      <c r="E2" s="4"/>
      <c r="F2" s="4"/>
      <c r="G2" s="5"/>
    </row>
    <row r="3" spans="1:7" ht="13.8" thickBot="1" x14ac:dyDescent="0.3">
      <c r="A3" s="6" t="s">
        <v>198</v>
      </c>
      <c r="B3" s="179">
        <v>5</v>
      </c>
      <c r="C3" s="179"/>
      <c r="D3" s="4"/>
      <c r="E3" s="4"/>
      <c r="F3" s="4"/>
      <c r="G3" s="5"/>
    </row>
    <row r="4" spans="1:7" ht="13.8" thickTop="1" x14ac:dyDescent="0.25">
      <c r="A4" s="6"/>
      <c r="B4" s="4"/>
      <c r="C4" s="4"/>
      <c r="D4" s="4"/>
      <c r="E4" s="4"/>
      <c r="F4" s="4"/>
      <c r="G4" s="5"/>
    </row>
    <row r="5" spans="1:7" ht="13.8" thickBot="1" x14ac:dyDescent="0.3">
      <c r="A5" s="6" t="s">
        <v>1</v>
      </c>
      <c r="B5" s="179" t="str">
        <f>VLOOKUP(B3,Sdata[],2,0)</f>
        <v>Seema</v>
      </c>
      <c r="C5" s="179"/>
      <c r="D5" s="4"/>
      <c r="E5" s="4"/>
      <c r="F5" s="4"/>
      <c r="G5" s="5"/>
    </row>
    <row r="6" spans="1:7" ht="13.8" thickTop="1" x14ac:dyDescent="0.25">
      <c r="A6" s="6"/>
      <c r="B6" s="4"/>
      <c r="C6" s="4"/>
      <c r="D6" s="4"/>
      <c r="E6" s="4"/>
      <c r="F6" s="4"/>
      <c r="G6" s="5"/>
    </row>
    <row r="7" spans="1:7" ht="16.5" customHeight="1" thickBot="1" x14ac:dyDescent="0.3">
      <c r="A7" s="6" t="s">
        <v>4</v>
      </c>
      <c r="B7" s="179" t="str">
        <f>VLOOKUP(B3,Sdata[],5,0)</f>
        <v>north</v>
      </c>
      <c r="C7" s="179"/>
      <c r="D7" s="4"/>
      <c r="E7" s="4"/>
      <c r="F7" s="4"/>
      <c r="G7" s="5"/>
    </row>
    <row r="8" spans="1:7" ht="13.8" thickTop="1" x14ac:dyDescent="0.25">
      <c r="A8" s="6"/>
      <c r="B8" s="4"/>
      <c r="C8" s="4"/>
      <c r="D8" s="4"/>
      <c r="E8" s="4"/>
      <c r="F8" s="4"/>
      <c r="G8" s="5"/>
    </row>
    <row r="9" spans="1:7" ht="13.8" thickBot="1" x14ac:dyDescent="0.3">
      <c r="A9" s="6" t="s">
        <v>3</v>
      </c>
      <c r="B9" s="179" t="str">
        <f>VLOOKUP(B3,Sdata[],4,0)</f>
        <v>R&amp;D</v>
      </c>
      <c r="C9" s="179"/>
      <c r="D9" s="4"/>
      <c r="E9" s="4"/>
      <c r="F9" s="4"/>
      <c r="G9" s="5"/>
    </row>
    <row r="10" spans="1:7" ht="13.8" thickTop="1" x14ac:dyDescent="0.25">
      <c r="A10" s="6"/>
      <c r="B10" s="4"/>
      <c r="C10" s="4"/>
      <c r="D10" s="4"/>
      <c r="E10" s="4"/>
      <c r="F10" s="4"/>
      <c r="G10" s="5"/>
    </row>
    <row r="11" spans="1:7" ht="13.8" thickBot="1" x14ac:dyDescent="0.3">
      <c r="A11" s="6" t="s">
        <v>6</v>
      </c>
      <c r="B11" s="179">
        <f>VLOOKUP(B3,Sdata[],8,0)</f>
        <v>21000</v>
      </c>
      <c r="C11" s="179"/>
      <c r="D11" s="4"/>
      <c r="E11" s="4"/>
      <c r="F11" s="4"/>
      <c r="G11" s="5"/>
    </row>
    <row r="12" spans="1:7" ht="13.8" thickTop="1" x14ac:dyDescent="0.25">
      <c r="A12" s="4"/>
      <c r="B12" s="4"/>
      <c r="C12" s="4"/>
      <c r="D12" s="4"/>
      <c r="E12" s="4"/>
      <c r="F12" s="4"/>
      <c r="G12" s="5"/>
    </row>
    <row r="13" spans="1:7" x14ac:dyDescent="0.25">
      <c r="A13" s="3"/>
      <c r="B13" s="4"/>
      <c r="C13" s="4"/>
      <c r="D13" s="4"/>
      <c r="E13" s="4"/>
      <c r="F13" s="4"/>
      <c r="G13" s="5"/>
    </row>
    <row r="14" spans="1:7" ht="13.8" thickBot="1" x14ac:dyDescent="0.3">
      <c r="A14" s="7"/>
      <c r="B14" s="8"/>
      <c r="C14" s="8"/>
      <c r="D14" s="8"/>
      <c r="E14" s="8"/>
      <c r="F14" s="8"/>
      <c r="G14" s="9"/>
    </row>
  </sheetData>
  <mergeCells count="6">
    <mergeCell ref="B11:C11"/>
    <mergeCell ref="A1:G1"/>
    <mergeCell ref="B3:C3"/>
    <mergeCell ref="B5:C5"/>
    <mergeCell ref="B7:C7"/>
    <mergeCell ref="B9:C9"/>
  </mergeCells>
  <phoneticPr fontId="2" type="noConversion"/>
  <pageMargins left="0.75" right="0.75" top="1" bottom="1" header="0.5" footer="0.5"/>
  <pageSetup orientation="portrait" horizontalDpi="180" verticalDpi="180" r:id="rId1"/>
  <headerFooter alignWithMargins="0"/>
  <customProperties>
    <customPr name="LastActive"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1E74-B501-4AC6-9193-069A73911C37}">
  <dimension ref="A1:AA21"/>
  <sheetViews>
    <sheetView showGridLines="0" topLeftCell="P1" zoomScale="135" zoomScaleNormal="124" workbookViewId="0">
      <selection activeCell="X17" sqref="X17"/>
    </sheetView>
  </sheetViews>
  <sheetFormatPr defaultColWidth="9.109375" defaultRowHeight="13.8" x14ac:dyDescent="0.3"/>
  <cols>
    <col min="1" max="1" width="11.6640625" style="94" bestFit="1" customWidth="1"/>
    <col min="2" max="19" width="9.109375" style="94"/>
    <col min="20" max="20" width="10.5546875" style="94" bestFit="1" customWidth="1"/>
    <col min="21" max="21" width="12.33203125" style="94" bestFit="1" customWidth="1"/>
    <col min="22" max="25" width="9.109375" style="94"/>
    <col min="26" max="26" width="9.77734375" style="94" bestFit="1" customWidth="1"/>
    <col min="27" max="16384" width="9.109375" style="94"/>
  </cols>
  <sheetData>
    <row r="1" spans="1:27" x14ac:dyDescent="0.3">
      <c r="A1" s="96" t="s">
        <v>641</v>
      </c>
      <c r="B1" s="96" t="s">
        <v>642</v>
      </c>
      <c r="C1" s="96" t="s">
        <v>643</v>
      </c>
      <c r="D1" s="96" t="s">
        <v>644</v>
      </c>
      <c r="E1" s="96" t="s">
        <v>645</v>
      </c>
      <c r="F1" s="96" t="s">
        <v>646</v>
      </c>
      <c r="G1" s="96" t="s">
        <v>647</v>
      </c>
      <c r="J1" s="30" t="s">
        <v>0</v>
      </c>
      <c r="K1" s="30" t="s">
        <v>1</v>
      </c>
      <c r="L1" s="30" t="s">
        <v>2</v>
      </c>
      <c r="M1" s="30" t="s">
        <v>3</v>
      </c>
      <c r="N1" s="30" t="s">
        <v>4</v>
      </c>
      <c r="O1" s="30" t="s">
        <v>484</v>
      </c>
      <c r="P1" s="30" t="s">
        <v>5</v>
      </c>
      <c r="Q1" s="30" t="s">
        <v>6</v>
      </c>
      <c r="T1" s="30" t="s">
        <v>1</v>
      </c>
      <c r="U1" s="30" t="s">
        <v>2</v>
      </c>
      <c r="V1" s="30" t="s">
        <v>3</v>
      </c>
      <c r="W1" s="30" t="s">
        <v>4</v>
      </c>
      <c r="X1" s="30" t="s">
        <v>0</v>
      </c>
      <c r="Y1" s="30" t="s">
        <v>484</v>
      </c>
      <c r="Z1" s="30" t="s">
        <v>5</v>
      </c>
      <c r="AA1" s="30" t="s">
        <v>6</v>
      </c>
    </row>
    <row r="2" spans="1:27" x14ac:dyDescent="0.3">
      <c r="A2" s="95" t="s">
        <v>648</v>
      </c>
      <c r="B2" s="95">
        <v>906</v>
      </c>
      <c r="C2" s="95">
        <v>989</v>
      </c>
      <c r="D2" s="95">
        <v>718</v>
      </c>
      <c r="E2" s="95">
        <v>163</v>
      </c>
      <c r="F2" s="95">
        <v>360</v>
      </c>
      <c r="G2" s="95">
        <v>672</v>
      </c>
      <c r="J2" s="29">
        <v>1</v>
      </c>
      <c r="K2" s="29" t="s">
        <v>56</v>
      </c>
      <c r="L2" s="29" t="s">
        <v>57</v>
      </c>
      <c r="M2" s="29" t="s">
        <v>24</v>
      </c>
      <c r="N2" s="29" t="s">
        <v>58</v>
      </c>
      <c r="O2" s="29" t="s">
        <v>487</v>
      </c>
      <c r="P2" s="31">
        <v>28126</v>
      </c>
      <c r="Q2" s="29">
        <v>21875</v>
      </c>
      <c r="T2" s="29" t="s">
        <v>56</v>
      </c>
      <c r="U2" s="29" t="s">
        <v>57</v>
      </c>
      <c r="V2" s="29" t="s">
        <v>24</v>
      </c>
      <c r="W2" s="29" t="s">
        <v>58</v>
      </c>
      <c r="X2" s="29">
        <v>1</v>
      </c>
      <c r="Y2" s="29" t="s">
        <v>487</v>
      </c>
      <c r="Z2" s="31">
        <v>28126</v>
      </c>
      <c r="AA2" s="29">
        <v>21875</v>
      </c>
    </row>
    <row r="3" spans="1:27" x14ac:dyDescent="0.3">
      <c r="A3" s="95" t="s">
        <v>649</v>
      </c>
      <c r="B3" s="95">
        <v>428</v>
      </c>
      <c r="C3" s="95">
        <v>583</v>
      </c>
      <c r="D3" s="95">
        <v>488</v>
      </c>
      <c r="E3" s="95">
        <v>583</v>
      </c>
      <c r="F3" s="95">
        <v>384</v>
      </c>
      <c r="G3" s="95">
        <v>390</v>
      </c>
      <c r="J3" s="29">
        <v>2</v>
      </c>
      <c r="K3" s="29" t="s">
        <v>123</v>
      </c>
      <c r="L3" s="29" t="s">
        <v>124</v>
      </c>
      <c r="M3" s="29" t="s">
        <v>24</v>
      </c>
      <c r="N3" s="29" t="s">
        <v>10</v>
      </c>
      <c r="O3" s="29" t="s">
        <v>488</v>
      </c>
      <c r="P3" s="31">
        <v>28126</v>
      </c>
      <c r="Q3" s="29">
        <v>17500</v>
      </c>
      <c r="T3" s="29" t="s">
        <v>123</v>
      </c>
      <c r="U3" s="29" t="s">
        <v>124</v>
      </c>
      <c r="V3" s="29" t="s">
        <v>24</v>
      </c>
      <c r="W3" s="29" t="s">
        <v>10</v>
      </c>
      <c r="X3" s="29">
        <v>2</v>
      </c>
      <c r="Y3" s="29" t="s">
        <v>488</v>
      </c>
      <c r="Z3" s="31">
        <v>28126</v>
      </c>
      <c r="AA3" s="29">
        <v>17500</v>
      </c>
    </row>
    <row r="4" spans="1:27" x14ac:dyDescent="0.3">
      <c r="A4" s="95" t="s">
        <v>650</v>
      </c>
      <c r="B4" s="95">
        <v>451</v>
      </c>
      <c r="C4" s="95">
        <v>614</v>
      </c>
      <c r="D4" s="95">
        <v>574</v>
      </c>
      <c r="E4" s="95">
        <v>935</v>
      </c>
      <c r="F4" s="95">
        <v>947</v>
      </c>
      <c r="G4" s="95">
        <v>963</v>
      </c>
      <c r="J4" s="29">
        <v>3</v>
      </c>
      <c r="K4" s="29" t="s">
        <v>112</v>
      </c>
      <c r="L4" s="29" t="s">
        <v>113</v>
      </c>
      <c r="M4" s="29" t="s">
        <v>47</v>
      </c>
      <c r="N4" s="29" t="s">
        <v>125</v>
      </c>
      <c r="O4" s="29" t="s">
        <v>489</v>
      </c>
      <c r="P4" s="31">
        <v>36220</v>
      </c>
      <c r="Q4" s="29">
        <v>7000</v>
      </c>
      <c r="T4" s="29" t="s">
        <v>112</v>
      </c>
      <c r="U4" s="29" t="s">
        <v>113</v>
      </c>
      <c r="V4" s="29" t="s">
        <v>47</v>
      </c>
      <c r="W4" s="29" t="s">
        <v>125</v>
      </c>
      <c r="X4" s="29">
        <v>3</v>
      </c>
      <c r="Y4" s="29" t="s">
        <v>489</v>
      </c>
      <c r="Z4" s="31">
        <v>36220</v>
      </c>
      <c r="AA4" s="29">
        <v>7000</v>
      </c>
    </row>
    <row r="5" spans="1:27" x14ac:dyDescent="0.3">
      <c r="A5" s="95" t="s">
        <v>651</v>
      </c>
      <c r="B5" s="95">
        <v>574</v>
      </c>
      <c r="C5" s="95">
        <v>169</v>
      </c>
      <c r="D5" s="95">
        <v>482</v>
      </c>
      <c r="E5" s="95">
        <v>615</v>
      </c>
      <c r="F5" s="95">
        <v>448</v>
      </c>
      <c r="G5" s="95">
        <v>553</v>
      </c>
      <c r="J5" s="29">
        <v>4</v>
      </c>
      <c r="K5" s="29" t="s">
        <v>7</v>
      </c>
      <c r="L5" s="29" t="s">
        <v>8</v>
      </c>
      <c r="M5" s="29" t="s">
        <v>9</v>
      </c>
      <c r="N5" s="29" t="s">
        <v>58</v>
      </c>
      <c r="O5" s="29" t="s">
        <v>490</v>
      </c>
      <c r="P5" s="31">
        <v>29183</v>
      </c>
      <c r="Q5" s="29">
        <v>12250</v>
      </c>
      <c r="T5" s="29" t="s">
        <v>7</v>
      </c>
      <c r="U5" s="29" t="s">
        <v>8</v>
      </c>
      <c r="V5" s="29" t="s">
        <v>9</v>
      </c>
      <c r="W5" s="29" t="s">
        <v>58</v>
      </c>
      <c r="X5" s="29">
        <v>4</v>
      </c>
      <c r="Y5" s="29" t="s">
        <v>490</v>
      </c>
      <c r="Z5" s="31">
        <v>29183</v>
      </c>
      <c r="AA5" s="29">
        <v>12250</v>
      </c>
    </row>
    <row r="6" spans="1:27" x14ac:dyDescent="0.3">
      <c r="A6" s="95" t="s">
        <v>652</v>
      </c>
      <c r="B6" s="95">
        <v>950</v>
      </c>
      <c r="C6" s="95">
        <v>475</v>
      </c>
      <c r="D6" s="95">
        <v>982</v>
      </c>
      <c r="E6" s="95">
        <v>109</v>
      </c>
      <c r="F6" s="95">
        <v>897</v>
      </c>
      <c r="G6" s="95">
        <v>964</v>
      </c>
      <c r="J6" s="29">
        <v>5</v>
      </c>
      <c r="K6" s="29" t="s">
        <v>59</v>
      </c>
      <c r="L6" s="29" t="s">
        <v>60</v>
      </c>
      <c r="M6" s="29" t="s">
        <v>27</v>
      </c>
      <c r="N6" s="29" t="s">
        <v>58</v>
      </c>
      <c r="O6" s="29" t="s">
        <v>491</v>
      </c>
      <c r="P6" s="31">
        <v>32755</v>
      </c>
      <c r="Q6" s="29">
        <v>21000</v>
      </c>
      <c r="T6" s="29" t="s">
        <v>59</v>
      </c>
      <c r="U6" s="29" t="s">
        <v>60</v>
      </c>
      <c r="V6" s="29" t="s">
        <v>27</v>
      </c>
      <c r="W6" s="29" t="s">
        <v>58</v>
      </c>
      <c r="X6" s="29">
        <v>5</v>
      </c>
      <c r="Y6" s="29" t="s">
        <v>491</v>
      </c>
      <c r="Z6" s="31">
        <v>32755</v>
      </c>
      <c r="AA6" s="29">
        <v>21000</v>
      </c>
    </row>
    <row r="7" spans="1:27" x14ac:dyDescent="0.3">
      <c r="A7" s="95" t="s">
        <v>653</v>
      </c>
      <c r="B7" s="95">
        <v>883</v>
      </c>
      <c r="C7" s="95">
        <v>483</v>
      </c>
      <c r="D7" s="95">
        <v>256</v>
      </c>
      <c r="E7" s="95">
        <v>240</v>
      </c>
      <c r="F7" s="95">
        <v>543</v>
      </c>
      <c r="G7" s="95">
        <v>331</v>
      </c>
      <c r="J7" s="29">
        <v>6</v>
      </c>
      <c r="K7" s="29" t="s">
        <v>159</v>
      </c>
      <c r="L7" s="29" t="s">
        <v>160</v>
      </c>
      <c r="M7" s="29" t="s">
        <v>27</v>
      </c>
      <c r="N7" s="29" t="s">
        <v>58</v>
      </c>
      <c r="O7" s="29" t="s">
        <v>492</v>
      </c>
      <c r="P7" s="31">
        <v>32390</v>
      </c>
      <c r="Q7" s="29">
        <v>12425</v>
      </c>
      <c r="T7" s="29" t="s">
        <v>159</v>
      </c>
      <c r="U7" s="29" t="s">
        <v>160</v>
      </c>
      <c r="V7" s="29" t="s">
        <v>27</v>
      </c>
      <c r="W7" s="29" t="s">
        <v>58</v>
      </c>
      <c r="X7" s="29">
        <v>6</v>
      </c>
      <c r="Y7" s="29" t="s">
        <v>492</v>
      </c>
      <c r="Z7" s="31">
        <v>32390</v>
      </c>
      <c r="AA7" s="29">
        <v>12425</v>
      </c>
    </row>
    <row r="8" spans="1:27" x14ac:dyDescent="0.3">
      <c r="A8" s="95" t="s">
        <v>654</v>
      </c>
      <c r="B8" s="95">
        <v>495</v>
      </c>
      <c r="C8" s="95">
        <v>206</v>
      </c>
      <c r="D8" s="95">
        <v>880</v>
      </c>
      <c r="E8" s="95">
        <v>719</v>
      </c>
      <c r="F8" s="95">
        <v>100</v>
      </c>
      <c r="G8" s="95">
        <v>439</v>
      </c>
      <c r="J8" s="29">
        <v>7</v>
      </c>
      <c r="K8" s="29" t="s">
        <v>34</v>
      </c>
      <c r="L8" s="29" t="s">
        <v>35</v>
      </c>
      <c r="M8" s="29" t="s">
        <v>493</v>
      </c>
      <c r="N8" s="29" t="s">
        <v>161</v>
      </c>
      <c r="O8" s="29" t="s">
        <v>494</v>
      </c>
      <c r="P8" s="31">
        <v>33102</v>
      </c>
      <c r="Q8" s="29">
        <v>13825</v>
      </c>
      <c r="T8" s="29" t="s">
        <v>34</v>
      </c>
      <c r="U8" s="29" t="s">
        <v>35</v>
      </c>
      <c r="V8" s="29" t="s">
        <v>493</v>
      </c>
      <c r="W8" s="29" t="s">
        <v>161</v>
      </c>
      <c r="X8" s="29">
        <v>7</v>
      </c>
      <c r="Y8" s="29" t="s">
        <v>494</v>
      </c>
      <c r="Z8" s="31">
        <v>33102</v>
      </c>
      <c r="AA8" s="29">
        <v>13825</v>
      </c>
    </row>
    <row r="9" spans="1:27" x14ac:dyDescent="0.3">
      <c r="A9" s="95" t="s">
        <v>655</v>
      </c>
      <c r="B9" s="95">
        <v>515</v>
      </c>
      <c r="C9" s="95">
        <v>718</v>
      </c>
      <c r="D9" s="95">
        <v>169</v>
      </c>
      <c r="E9" s="95">
        <v>966</v>
      </c>
      <c r="F9" s="95">
        <v>301</v>
      </c>
      <c r="G9" s="95">
        <v>144</v>
      </c>
      <c r="J9" s="29">
        <v>8</v>
      </c>
      <c r="K9" s="29" t="s">
        <v>61</v>
      </c>
      <c r="L9" s="29" t="s">
        <v>62</v>
      </c>
      <c r="M9" s="29" t="s">
        <v>27</v>
      </c>
      <c r="N9" s="29" t="s">
        <v>58</v>
      </c>
      <c r="O9" s="29" t="s">
        <v>495</v>
      </c>
      <c r="P9" s="31">
        <v>32755</v>
      </c>
      <c r="Q9" s="29">
        <v>12425</v>
      </c>
      <c r="T9" s="29" t="s">
        <v>61</v>
      </c>
      <c r="U9" s="29" t="s">
        <v>62</v>
      </c>
      <c r="V9" s="29" t="s">
        <v>27</v>
      </c>
      <c r="W9" s="29" t="s">
        <v>58</v>
      </c>
      <c r="X9" s="29">
        <v>8</v>
      </c>
      <c r="Y9" s="29" t="s">
        <v>495</v>
      </c>
      <c r="Z9" s="31">
        <v>32755</v>
      </c>
      <c r="AA9" s="29">
        <v>12425</v>
      </c>
    </row>
    <row r="10" spans="1:27" x14ac:dyDescent="0.3">
      <c r="A10" s="95" t="s">
        <v>656</v>
      </c>
      <c r="B10" s="95">
        <v>103</v>
      </c>
      <c r="C10" s="95">
        <v>896</v>
      </c>
      <c r="D10" s="95">
        <v>270</v>
      </c>
      <c r="E10" s="95">
        <v>385</v>
      </c>
      <c r="F10" s="95">
        <v>367</v>
      </c>
      <c r="G10" s="95">
        <v>203</v>
      </c>
      <c r="J10" s="29">
        <v>9</v>
      </c>
      <c r="K10" s="29" t="s">
        <v>63</v>
      </c>
      <c r="L10" s="29" t="s">
        <v>64</v>
      </c>
      <c r="M10" s="29" t="s">
        <v>24</v>
      </c>
      <c r="N10" s="29" t="s">
        <v>58</v>
      </c>
      <c r="O10" s="29" t="s">
        <v>496</v>
      </c>
      <c r="P10" s="31">
        <v>36506</v>
      </c>
      <c r="Q10" s="29">
        <v>14875</v>
      </c>
      <c r="T10" s="29" t="s">
        <v>63</v>
      </c>
      <c r="U10" s="29" t="s">
        <v>64</v>
      </c>
      <c r="V10" s="29" t="s">
        <v>24</v>
      </c>
      <c r="W10" s="29" t="s">
        <v>58</v>
      </c>
      <c r="X10" s="29">
        <v>9</v>
      </c>
      <c r="Y10" s="29" t="s">
        <v>496</v>
      </c>
      <c r="Z10" s="31">
        <v>36506</v>
      </c>
      <c r="AA10" s="29">
        <v>14875</v>
      </c>
    </row>
    <row r="11" spans="1:27" x14ac:dyDescent="0.3">
      <c r="A11" s="95" t="s">
        <v>657</v>
      </c>
      <c r="B11" s="95">
        <v>130</v>
      </c>
      <c r="C11" s="95">
        <v>903</v>
      </c>
      <c r="D11" s="95">
        <v>590</v>
      </c>
      <c r="E11" s="95">
        <v>272</v>
      </c>
      <c r="F11" s="95">
        <v>565</v>
      </c>
      <c r="G11" s="95">
        <v>791</v>
      </c>
      <c r="J11" s="29">
        <v>10</v>
      </c>
      <c r="K11" s="29" t="s">
        <v>65</v>
      </c>
      <c r="L11" s="29" t="s">
        <v>66</v>
      </c>
      <c r="M11" s="29" t="s">
        <v>9</v>
      </c>
      <c r="N11" s="29" t="s">
        <v>10</v>
      </c>
      <c r="O11" s="29" t="s">
        <v>497</v>
      </c>
      <c r="P11" s="31">
        <v>28326</v>
      </c>
      <c r="Q11" s="29">
        <v>15750</v>
      </c>
      <c r="T11" s="29" t="s">
        <v>65</v>
      </c>
      <c r="U11" s="29" t="s">
        <v>66</v>
      </c>
      <c r="V11" s="29" t="s">
        <v>9</v>
      </c>
      <c r="W11" s="29" t="s">
        <v>10</v>
      </c>
      <c r="X11" s="29">
        <v>10</v>
      </c>
      <c r="Y11" s="29" t="s">
        <v>497</v>
      </c>
      <c r="Z11" s="31">
        <v>28326</v>
      </c>
      <c r="AA11" s="29">
        <v>15750</v>
      </c>
    </row>
    <row r="13" spans="1:27" x14ac:dyDescent="0.3">
      <c r="J13" s="105" t="s">
        <v>712</v>
      </c>
      <c r="T13" s="105" t="s">
        <v>713</v>
      </c>
    </row>
    <row r="14" spans="1:27" x14ac:dyDescent="0.3">
      <c r="A14" s="96" t="s">
        <v>641</v>
      </c>
      <c r="B14" s="96" t="s">
        <v>473</v>
      </c>
      <c r="C14" s="96" t="s">
        <v>658</v>
      </c>
      <c r="J14" s="30" t="s">
        <v>0</v>
      </c>
      <c r="K14" s="30" t="s">
        <v>1</v>
      </c>
      <c r="L14" s="30" t="s">
        <v>3</v>
      </c>
      <c r="M14" s="30" t="s">
        <v>6</v>
      </c>
      <c r="N14" s="30" t="s">
        <v>484</v>
      </c>
      <c r="T14" s="30" t="s">
        <v>0</v>
      </c>
      <c r="U14" s="30" t="s">
        <v>1</v>
      </c>
      <c r="V14" s="30" t="s">
        <v>3</v>
      </c>
      <c r="W14" s="30" t="s">
        <v>6</v>
      </c>
    </row>
    <row r="15" spans="1:27" x14ac:dyDescent="0.3">
      <c r="A15" s="95" t="s">
        <v>651</v>
      </c>
      <c r="B15" s="95" t="s">
        <v>646</v>
      </c>
      <c r="C15" s="95">
        <f>VLOOKUP(A15, $A$2:$G$11, MATCH(B15, A1:G1, 0), 0)</f>
        <v>448</v>
      </c>
      <c r="J15" s="95">
        <v>1</v>
      </c>
      <c r="K15" s="95" t="str">
        <f>VLOOKUP($J15, $J$2:$Q$11, MATCH(K$14,$J$1:$Q$1,0), 0)</f>
        <v>Raja</v>
      </c>
      <c r="L15" s="95" t="str">
        <f t="shared" ref="L15:N19" si="0">VLOOKUP($J15, $J$2:$Q$11, MATCH(L$14,$J$1:$Q$1,0), 0)</f>
        <v>Sales</v>
      </c>
      <c r="M15" s="95">
        <f t="shared" si="0"/>
        <v>21875</v>
      </c>
      <c r="N15" s="95" t="str">
        <f t="shared" si="0"/>
        <v>Ferozepur</v>
      </c>
      <c r="T15" s="95">
        <v>1</v>
      </c>
      <c r="U15" s="95" t="str">
        <f>INDEX($T$2:$T$11, MATCH($T15, $X$2:$X$11, 0))</f>
        <v>Raja</v>
      </c>
      <c r="V15" s="95" t="str">
        <f>INDEX($V$2:$V$11, MATCH($T15,$X$2:$X$11,0))</f>
        <v>Sales</v>
      </c>
      <c r="W15" s="95">
        <f>INDEX($AA$2:$AA$11, MATCH(T15, $X$2:$X$11, 0))</f>
        <v>21875</v>
      </c>
    </row>
    <row r="16" spans="1:27" x14ac:dyDescent="0.3">
      <c r="J16" s="95">
        <v>3</v>
      </c>
      <c r="K16" s="95" t="str">
        <f t="shared" ref="K16:K19" si="1">VLOOKUP($J16, $J$2:$Q$11, MATCH(K$14,$J$1:$Q$1,0), 0)</f>
        <v>Kuldeep</v>
      </c>
      <c r="L16" s="95" t="str">
        <f t="shared" si="0"/>
        <v>Admin</v>
      </c>
      <c r="M16" s="95">
        <f t="shared" si="0"/>
        <v>7000</v>
      </c>
      <c r="N16" s="95" t="str">
        <f t="shared" si="0"/>
        <v>Hydrabad</v>
      </c>
      <c r="T16" s="95">
        <v>3</v>
      </c>
      <c r="U16" s="95" t="str">
        <f t="shared" ref="U16:U19" si="2">INDEX($T$2:$T$11, MATCH($T16, $X$2:$X$11, 0))</f>
        <v>Kuldeep</v>
      </c>
      <c r="V16" s="95" t="str">
        <f t="shared" ref="V16:V19" si="3">INDEX($V$2:$V$11, MATCH($T16,$X$2:$X$11,0))</f>
        <v>Admin</v>
      </c>
      <c r="W16" s="95">
        <f t="shared" ref="W16:W19" si="4">INDEX($AA$2:$AA$11, MATCH(T16, $X$2:$X$11, 0))</f>
        <v>7000</v>
      </c>
    </row>
    <row r="17" spans="1:23" x14ac:dyDescent="0.3">
      <c r="A17" s="105" t="s">
        <v>712</v>
      </c>
      <c r="J17" s="95">
        <v>5</v>
      </c>
      <c r="K17" s="95" t="str">
        <f t="shared" si="1"/>
        <v>Seema</v>
      </c>
      <c r="L17" s="95" t="str">
        <f t="shared" si="0"/>
        <v>R&amp;D</v>
      </c>
      <c r="M17" s="95">
        <f t="shared" si="0"/>
        <v>21000</v>
      </c>
      <c r="N17" s="95" t="str">
        <f t="shared" si="0"/>
        <v>Kanpur</v>
      </c>
      <c r="T17" s="95">
        <v>5</v>
      </c>
      <c r="U17" s="95" t="str">
        <f t="shared" si="2"/>
        <v>Seema</v>
      </c>
      <c r="V17" s="95" t="str">
        <f t="shared" si="3"/>
        <v>R&amp;D</v>
      </c>
      <c r="W17" s="95">
        <f t="shared" si="4"/>
        <v>21000</v>
      </c>
    </row>
    <row r="18" spans="1:23" x14ac:dyDescent="0.3">
      <c r="J18" s="95">
        <v>20</v>
      </c>
      <c r="K18" s="95" t="e">
        <f t="shared" si="1"/>
        <v>#N/A</v>
      </c>
      <c r="L18" s="95" t="e">
        <f t="shared" si="0"/>
        <v>#N/A</v>
      </c>
      <c r="M18" s="95" t="e">
        <f t="shared" si="0"/>
        <v>#N/A</v>
      </c>
      <c r="N18" s="95" t="e">
        <f t="shared" si="0"/>
        <v>#N/A</v>
      </c>
      <c r="T18" s="95">
        <v>20</v>
      </c>
      <c r="U18" s="95" t="e">
        <f t="shared" si="2"/>
        <v>#N/A</v>
      </c>
      <c r="V18" s="95" t="e">
        <f t="shared" si="3"/>
        <v>#N/A</v>
      </c>
      <c r="W18" s="95" t="e">
        <f t="shared" si="4"/>
        <v>#N/A</v>
      </c>
    </row>
    <row r="19" spans="1:23" x14ac:dyDescent="0.3">
      <c r="J19" s="95">
        <v>10</v>
      </c>
      <c r="K19" s="95" t="str">
        <f t="shared" si="1"/>
        <v>Andre</v>
      </c>
      <c r="L19" s="95" t="str">
        <f t="shared" si="0"/>
        <v>Mktg</v>
      </c>
      <c r="M19" s="95">
        <f t="shared" si="0"/>
        <v>15750</v>
      </c>
      <c r="N19" s="95" t="str">
        <f t="shared" si="0"/>
        <v>Darjeeling</v>
      </c>
      <c r="T19" s="95">
        <v>10</v>
      </c>
      <c r="U19" s="95" t="str">
        <f t="shared" si="2"/>
        <v>Andre</v>
      </c>
      <c r="V19" s="95" t="str">
        <f t="shared" si="3"/>
        <v>Mktg</v>
      </c>
      <c r="W19" s="95">
        <f t="shared" si="4"/>
        <v>15750</v>
      </c>
    </row>
    <row r="21" spans="1:23" x14ac:dyDescent="0.3">
      <c r="T21" s="94" t="s">
        <v>728</v>
      </c>
    </row>
  </sheetData>
  <phoneticPr fontId="24" type="noConversion"/>
  <dataValidations count="2">
    <dataValidation type="list" allowBlank="1" showInputMessage="1" showErrorMessage="1" sqref="A15" xr:uid="{D7AD2B8C-751B-46A6-B271-CE5754540AC9}">
      <formula1>$A$2:$A$11</formula1>
    </dataValidation>
    <dataValidation type="list" allowBlank="1" showInputMessage="1" showErrorMessage="1" sqref="B15" xr:uid="{35572646-7FE7-429A-BD37-E1942798AE33}">
      <formula1>$B$1:$G$1</formula1>
    </dataValidation>
  </dataValidations>
  <pageMargins left="0.7" right="0.7" top="0.75" bottom="0.75" header="0.3" footer="0.3"/>
  <customProperties>
    <customPr name="LastActive"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7CCD-352A-405F-9420-324C4E488889}">
  <dimension ref="A1:J38"/>
  <sheetViews>
    <sheetView showGridLines="0" topLeftCell="A2" zoomScale="127" workbookViewId="0">
      <selection activeCell="F13" sqref="F13"/>
    </sheetView>
  </sheetViews>
  <sheetFormatPr defaultColWidth="9.109375" defaultRowHeight="13.2" x14ac:dyDescent="0.25"/>
  <cols>
    <col min="1" max="1" width="16.44140625" style="28" customWidth="1"/>
    <col min="2" max="2" width="12.33203125" style="28" bestFit="1" customWidth="1"/>
    <col min="3" max="16384" width="9.109375" style="28"/>
  </cols>
  <sheetData>
    <row r="1" spans="1:10" ht="17.399999999999999" x14ac:dyDescent="0.3">
      <c r="A1" s="36" t="s">
        <v>519</v>
      </c>
      <c r="B1" s="37"/>
      <c r="C1" s="37"/>
      <c r="D1" s="37"/>
    </row>
    <row r="2" spans="1:10" x14ac:dyDescent="0.25">
      <c r="G2" s="38" t="s">
        <v>520</v>
      </c>
      <c r="H2" s="38" t="s">
        <v>521</v>
      </c>
      <c r="I2" s="38" t="s">
        <v>522</v>
      </c>
      <c r="J2" s="38" t="s">
        <v>523</v>
      </c>
    </row>
    <row r="3" spans="1:10" x14ac:dyDescent="0.25">
      <c r="G3" s="39">
        <v>1</v>
      </c>
      <c r="H3" s="39"/>
      <c r="I3" s="39"/>
      <c r="J3" s="39"/>
    </row>
    <row r="4" spans="1:10" x14ac:dyDescent="0.25">
      <c r="A4" s="40" t="s">
        <v>524</v>
      </c>
      <c r="B4" s="41">
        <v>100000</v>
      </c>
      <c r="G4" s="39"/>
      <c r="H4" s="39"/>
      <c r="I4" s="39"/>
      <c r="J4" s="39"/>
    </row>
    <row r="5" spans="1:10" x14ac:dyDescent="0.25">
      <c r="A5" s="40" t="s">
        <v>525</v>
      </c>
      <c r="B5" s="42">
        <v>0.105</v>
      </c>
      <c r="G5" s="39"/>
      <c r="H5" s="39"/>
      <c r="I5" s="39"/>
      <c r="J5" s="39"/>
    </row>
    <row r="6" spans="1:10" x14ac:dyDescent="0.25">
      <c r="A6" s="40" t="s">
        <v>526</v>
      </c>
      <c r="B6" s="41">
        <v>36</v>
      </c>
      <c r="G6" s="39"/>
      <c r="H6" s="39"/>
      <c r="I6" s="39"/>
      <c r="J6" s="39"/>
    </row>
    <row r="7" spans="1:10" ht="13.8" thickBot="1" x14ac:dyDescent="0.3">
      <c r="A7" s="43" t="s">
        <v>527</v>
      </c>
      <c r="B7" s="44"/>
      <c r="C7" s="45">
        <v>100000</v>
      </c>
      <c r="D7" s="45">
        <v>150000</v>
      </c>
      <c r="E7" s="45">
        <v>200000</v>
      </c>
      <c r="G7" s="39"/>
      <c r="H7" s="39"/>
      <c r="I7" s="39"/>
      <c r="J7" s="39"/>
    </row>
    <row r="8" spans="1:10" ht="13.8" thickTop="1" x14ac:dyDescent="0.25">
      <c r="A8" s="183" t="s">
        <v>528</v>
      </c>
      <c r="B8" s="45">
        <v>12</v>
      </c>
      <c r="C8" s="46"/>
      <c r="D8" s="46"/>
      <c r="E8" s="46"/>
      <c r="G8" s="39"/>
      <c r="H8" s="39"/>
      <c r="I8" s="39"/>
      <c r="J8" s="39"/>
    </row>
    <row r="9" spans="1:10" x14ac:dyDescent="0.25">
      <c r="A9" s="183"/>
      <c r="B9" s="45">
        <v>24</v>
      </c>
      <c r="C9" s="46"/>
      <c r="D9" s="46"/>
      <c r="E9" s="46"/>
      <c r="G9" s="39"/>
      <c r="H9" s="39"/>
      <c r="I9" s="39"/>
      <c r="J9" s="39"/>
    </row>
    <row r="10" spans="1:10" x14ac:dyDescent="0.25">
      <c r="A10" s="183"/>
      <c r="B10" s="45">
        <v>36</v>
      </c>
      <c r="C10" s="46"/>
      <c r="D10" s="46"/>
      <c r="E10" s="46"/>
      <c r="G10" s="39"/>
      <c r="H10" s="39"/>
      <c r="I10" s="39"/>
      <c r="J10" s="39"/>
    </row>
    <row r="11" spans="1:10" x14ac:dyDescent="0.25">
      <c r="A11" s="183"/>
      <c r="B11" s="45">
        <v>48</v>
      </c>
      <c r="C11" s="46"/>
      <c r="D11" s="46"/>
      <c r="E11" s="46"/>
      <c r="G11" s="39"/>
      <c r="H11" s="39"/>
      <c r="I11" s="39"/>
      <c r="J11" s="39"/>
    </row>
    <row r="12" spans="1:10" ht="13.8" thickBot="1" x14ac:dyDescent="0.3">
      <c r="A12" s="184"/>
      <c r="B12" s="47">
        <v>60</v>
      </c>
      <c r="C12" s="48"/>
      <c r="D12" s="48"/>
      <c r="E12" s="48"/>
      <c r="G12" s="39"/>
      <c r="H12" s="39"/>
      <c r="I12" s="39"/>
      <c r="J12" s="39"/>
    </row>
    <row r="13" spans="1:10" ht="13.8" thickTop="1" x14ac:dyDescent="0.25">
      <c r="G13" s="39"/>
      <c r="H13" s="39"/>
      <c r="I13" s="39"/>
      <c r="J13" s="39"/>
    </row>
    <row r="14" spans="1:10" x14ac:dyDescent="0.25">
      <c r="G14" s="39"/>
      <c r="H14" s="39"/>
      <c r="I14" s="39"/>
      <c r="J14" s="39"/>
    </row>
    <row r="15" spans="1:10" x14ac:dyDescent="0.25">
      <c r="G15" s="39"/>
      <c r="H15" s="39"/>
      <c r="I15" s="39"/>
      <c r="J15" s="39"/>
    </row>
    <row r="16" spans="1:10" x14ac:dyDescent="0.25">
      <c r="G16" s="39"/>
      <c r="H16" s="39"/>
      <c r="I16" s="39"/>
      <c r="J16" s="39"/>
    </row>
    <row r="17" spans="7:10" x14ac:dyDescent="0.25">
      <c r="G17" s="39"/>
      <c r="H17" s="39"/>
      <c r="I17" s="39"/>
      <c r="J17" s="39"/>
    </row>
    <row r="18" spans="7:10" x14ac:dyDescent="0.25">
      <c r="G18" s="39"/>
      <c r="H18" s="39"/>
      <c r="I18" s="39"/>
      <c r="J18" s="39"/>
    </row>
    <row r="19" spans="7:10" x14ac:dyDescent="0.25">
      <c r="G19" s="39"/>
      <c r="H19" s="39"/>
      <c r="I19" s="39"/>
      <c r="J19" s="39"/>
    </row>
    <row r="20" spans="7:10" x14ac:dyDescent="0.25">
      <c r="G20" s="39"/>
      <c r="H20" s="39"/>
      <c r="I20" s="39"/>
      <c r="J20" s="39"/>
    </row>
    <row r="21" spans="7:10" x14ac:dyDescent="0.25">
      <c r="G21" s="39"/>
      <c r="H21" s="39"/>
      <c r="I21" s="39"/>
      <c r="J21" s="39"/>
    </row>
    <row r="22" spans="7:10" x14ac:dyDescent="0.25">
      <c r="G22" s="39"/>
      <c r="H22" s="39"/>
      <c r="I22" s="39"/>
      <c r="J22" s="39"/>
    </row>
    <row r="23" spans="7:10" x14ac:dyDescent="0.25">
      <c r="G23" s="39"/>
      <c r="H23" s="39"/>
      <c r="I23" s="39"/>
      <c r="J23" s="39"/>
    </row>
    <row r="24" spans="7:10" x14ac:dyDescent="0.25">
      <c r="G24" s="39"/>
      <c r="H24" s="39"/>
      <c r="I24" s="39"/>
      <c r="J24" s="39"/>
    </row>
    <row r="25" spans="7:10" x14ac:dyDescent="0.25">
      <c r="G25" s="39"/>
      <c r="H25" s="39"/>
      <c r="I25" s="39"/>
      <c r="J25" s="39"/>
    </row>
    <row r="26" spans="7:10" x14ac:dyDescent="0.25">
      <c r="G26" s="39"/>
      <c r="H26" s="39"/>
      <c r="I26" s="39"/>
      <c r="J26" s="39"/>
    </row>
    <row r="27" spans="7:10" x14ac:dyDescent="0.25">
      <c r="G27" s="39"/>
      <c r="H27" s="39"/>
      <c r="I27" s="39"/>
      <c r="J27" s="39"/>
    </row>
    <row r="28" spans="7:10" x14ac:dyDescent="0.25">
      <c r="G28" s="39"/>
      <c r="H28" s="39"/>
      <c r="I28" s="39"/>
      <c r="J28" s="39"/>
    </row>
    <row r="29" spans="7:10" x14ac:dyDescent="0.25">
      <c r="G29" s="39"/>
      <c r="H29" s="39"/>
      <c r="I29" s="39"/>
      <c r="J29" s="39"/>
    </row>
    <row r="30" spans="7:10" x14ac:dyDescent="0.25">
      <c r="G30" s="39"/>
      <c r="H30" s="39"/>
      <c r="I30" s="39"/>
      <c r="J30" s="39"/>
    </row>
    <row r="31" spans="7:10" x14ac:dyDescent="0.25">
      <c r="G31" s="39"/>
      <c r="H31" s="39"/>
      <c r="I31" s="39"/>
      <c r="J31" s="39"/>
    </row>
    <row r="32" spans="7:10" x14ac:dyDescent="0.25">
      <c r="G32" s="39"/>
      <c r="H32" s="39"/>
      <c r="I32" s="39"/>
      <c r="J32" s="39"/>
    </row>
    <row r="33" spans="7:10" x14ac:dyDescent="0.25">
      <c r="G33" s="39"/>
      <c r="H33" s="39"/>
      <c r="I33" s="39"/>
      <c r="J33" s="39"/>
    </row>
    <row r="34" spans="7:10" x14ac:dyDescent="0.25">
      <c r="G34" s="39"/>
      <c r="H34" s="39"/>
      <c r="I34" s="39"/>
      <c r="J34" s="39"/>
    </row>
    <row r="35" spans="7:10" x14ac:dyDescent="0.25">
      <c r="G35" s="39"/>
      <c r="H35" s="39"/>
      <c r="I35" s="39"/>
      <c r="J35" s="39"/>
    </row>
    <row r="36" spans="7:10" x14ac:dyDescent="0.25">
      <c r="G36" s="39"/>
      <c r="H36" s="39"/>
      <c r="I36" s="39"/>
      <c r="J36" s="39"/>
    </row>
    <row r="37" spans="7:10" x14ac:dyDescent="0.25">
      <c r="G37" s="39"/>
      <c r="H37" s="39"/>
      <c r="I37" s="39"/>
      <c r="J37" s="39"/>
    </row>
    <row r="38" spans="7:10" x14ac:dyDescent="0.25">
      <c r="G38" s="39"/>
      <c r="H38" s="39"/>
      <c r="I38" s="39"/>
      <c r="J38" s="39"/>
    </row>
  </sheetData>
  <dataConsolidate/>
  <mergeCells count="1">
    <mergeCell ref="A8:A12"/>
  </mergeCells>
  <pageMargins left="0.75" right="0.75" top="1" bottom="1" header="0.5" footer="0.5"/>
  <pageSetup orientation="portrait" horizontalDpi="180" verticalDpi="180" r:id="rId1"/>
  <headerFooter alignWithMargins="0"/>
  <customProperties>
    <customPr name="LastActive"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AC66-AEC0-45E8-B344-D7366DD34779}">
  <dimension ref="A1:F56"/>
  <sheetViews>
    <sheetView showGridLines="0" topLeftCell="A25" workbookViewId="0">
      <selection activeCell="C31" sqref="C31"/>
    </sheetView>
  </sheetViews>
  <sheetFormatPr defaultColWidth="9.109375" defaultRowHeight="13.2" x14ac:dyDescent="0.25"/>
  <cols>
    <col min="1" max="1" width="21" style="28" customWidth="1"/>
    <col min="2" max="2" width="41.109375" style="28" customWidth="1"/>
    <col min="3" max="3" width="20.6640625" style="28" customWidth="1"/>
    <col min="4" max="4" width="6.109375" style="28" customWidth="1"/>
    <col min="5" max="5" width="8.5546875" style="28" customWidth="1"/>
    <col min="6" max="6" width="6.109375" style="28" customWidth="1"/>
    <col min="7" max="16384" width="9.109375" style="28"/>
  </cols>
  <sheetData>
    <row r="1" spans="1:3" ht="20.25" customHeight="1" x14ac:dyDescent="0.25">
      <c r="A1" s="49" t="s">
        <v>529</v>
      </c>
      <c r="B1" s="49" t="s">
        <v>530</v>
      </c>
      <c r="C1" s="49">
        <v>101</v>
      </c>
    </row>
    <row r="3" spans="1:3" ht="21" x14ac:dyDescent="0.4">
      <c r="A3" s="50" t="s">
        <v>531</v>
      </c>
    </row>
    <row r="5" spans="1:3" x14ac:dyDescent="0.25">
      <c r="A5" s="51" t="s">
        <v>449</v>
      </c>
      <c r="B5" s="51" t="s">
        <v>450</v>
      </c>
      <c r="C5" s="51" t="s">
        <v>451</v>
      </c>
    </row>
    <row r="6" spans="1:3" x14ac:dyDescent="0.25">
      <c r="A6" s="52" t="s">
        <v>452</v>
      </c>
      <c r="B6" s="53" t="s">
        <v>453</v>
      </c>
      <c r="C6" s="54" t="str">
        <f>UPPER(A1)</f>
        <v>RAJESH</v>
      </c>
    </row>
    <row r="7" spans="1:3" x14ac:dyDescent="0.25">
      <c r="A7" s="52" t="s">
        <v>454</v>
      </c>
      <c r="B7" s="53" t="s">
        <v>455</v>
      </c>
      <c r="C7" s="54" t="str">
        <f>LOWER(A1)</f>
        <v>rajesh</v>
      </c>
    </row>
    <row r="8" spans="1:3" x14ac:dyDescent="0.25">
      <c r="A8" s="52" t="s">
        <v>456</v>
      </c>
      <c r="B8" s="53" t="s">
        <v>457</v>
      </c>
      <c r="C8" s="54" t="str">
        <f>PROPER(A1)</f>
        <v>Rajesh</v>
      </c>
    </row>
    <row r="9" spans="1:3" x14ac:dyDescent="0.25">
      <c r="A9" s="52" t="s">
        <v>458</v>
      </c>
      <c r="B9" s="53" t="s">
        <v>459</v>
      </c>
      <c r="C9" s="54" t="str">
        <f>LEFT(A1,3)</f>
        <v>RAj</v>
      </c>
    </row>
    <row r="10" spans="1:3" x14ac:dyDescent="0.25">
      <c r="A10" s="52" t="s">
        <v>460</v>
      </c>
      <c r="B10" s="53" t="s">
        <v>461</v>
      </c>
      <c r="C10" s="54" t="str">
        <f>RIGHT(A1,3)</f>
        <v>esh</v>
      </c>
    </row>
    <row r="11" spans="1:3" x14ac:dyDescent="0.25">
      <c r="A11" s="52" t="s">
        <v>462</v>
      </c>
      <c r="B11" s="53" t="s">
        <v>463</v>
      </c>
      <c r="C11" s="54" t="str">
        <f>MID(A1,3,3)</f>
        <v>jes</v>
      </c>
    </row>
    <row r="12" spans="1:3" x14ac:dyDescent="0.25">
      <c r="A12" s="52" t="s">
        <v>464</v>
      </c>
      <c r="B12" s="53" t="s">
        <v>465</v>
      </c>
      <c r="C12" s="54" t="str">
        <f>CONCATENATE("Hello ",A1,B1)</f>
        <v>Hello RAjeshDeshmukh</v>
      </c>
    </row>
    <row r="13" spans="1:3" x14ac:dyDescent="0.25">
      <c r="A13" s="52" t="s">
        <v>466</v>
      </c>
      <c r="B13" s="53" t="s">
        <v>467</v>
      </c>
      <c r="C13" s="54">
        <f>LEN(A1)</f>
        <v>6</v>
      </c>
    </row>
    <row r="14" spans="1:3" x14ac:dyDescent="0.25">
      <c r="A14" s="52" t="s">
        <v>468</v>
      </c>
      <c r="B14" s="53" t="s">
        <v>469</v>
      </c>
      <c r="C14" s="54" t="b">
        <f>EXACT(A1,A1)</f>
        <v>1</v>
      </c>
    </row>
    <row r="15" spans="1:3" x14ac:dyDescent="0.25">
      <c r="A15" s="52" t="s">
        <v>532</v>
      </c>
      <c r="B15" s="53" t="s">
        <v>533</v>
      </c>
      <c r="C15" s="54">
        <f>SEARCH("is","India is my country",1)</f>
        <v>7</v>
      </c>
    </row>
    <row r="16" spans="1:3" x14ac:dyDescent="0.25">
      <c r="A16" s="52" t="s">
        <v>534</v>
      </c>
      <c r="B16" s="53" t="s">
        <v>535</v>
      </c>
      <c r="C16" s="54" t="str">
        <f>REPLACE("India is my country",C15,2,"was")</f>
        <v>India was my country</v>
      </c>
    </row>
    <row r="17" spans="1:6" x14ac:dyDescent="0.25">
      <c r="A17" s="52" t="s">
        <v>470</v>
      </c>
      <c r="B17" s="53" t="s">
        <v>471</v>
      </c>
      <c r="C17" s="54" t="str">
        <f>TEXT(C1,"$###.00")</f>
        <v>$101.00</v>
      </c>
    </row>
    <row r="20" spans="1:6" x14ac:dyDescent="0.25">
      <c r="A20" s="51" t="s">
        <v>536</v>
      </c>
      <c r="B20" s="51" t="s">
        <v>450</v>
      </c>
      <c r="C20" s="51" t="s">
        <v>451</v>
      </c>
    </row>
    <row r="21" spans="1:6" x14ac:dyDescent="0.25">
      <c r="A21" s="52" t="s">
        <v>537</v>
      </c>
      <c r="B21" s="53" t="s">
        <v>538</v>
      </c>
      <c r="C21" s="54">
        <f>ABS(-25)</f>
        <v>25</v>
      </c>
    </row>
    <row r="22" spans="1:6" x14ac:dyDescent="0.25">
      <c r="A22" s="52" t="s">
        <v>539</v>
      </c>
      <c r="B22" s="53" t="s">
        <v>540</v>
      </c>
      <c r="C22" s="54">
        <f>INT(1236.76)</f>
        <v>1236</v>
      </c>
    </row>
    <row r="23" spans="1:6" x14ac:dyDescent="0.25">
      <c r="A23" s="52" t="s">
        <v>541</v>
      </c>
      <c r="B23" s="53" t="s">
        <v>542</v>
      </c>
      <c r="C23" s="54">
        <f>MOD(15,4)</f>
        <v>3</v>
      </c>
    </row>
    <row r="24" spans="1:6" x14ac:dyDescent="0.25">
      <c r="A24" s="52" t="s">
        <v>543</v>
      </c>
      <c r="B24" s="53" t="s">
        <v>544</v>
      </c>
      <c r="C24" s="54">
        <f>SQRT(81)</f>
        <v>9</v>
      </c>
    </row>
    <row r="25" spans="1:6" x14ac:dyDescent="0.25">
      <c r="A25" s="52" t="s">
        <v>545</v>
      </c>
      <c r="B25" s="53" t="s">
        <v>546</v>
      </c>
      <c r="C25" s="54">
        <f>POWER(2,3)</f>
        <v>8</v>
      </c>
    </row>
    <row r="26" spans="1:6" x14ac:dyDescent="0.25">
      <c r="A26" s="52" t="s">
        <v>547</v>
      </c>
      <c r="B26" s="53" t="s">
        <v>548</v>
      </c>
      <c r="C26" s="54">
        <f>ROUND(1236.5678,2)</f>
        <v>1236.57</v>
      </c>
    </row>
    <row r="27" spans="1:6" x14ac:dyDescent="0.25">
      <c r="A27" s="52" t="s">
        <v>549</v>
      </c>
      <c r="B27" s="53" t="s">
        <v>550</v>
      </c>
      <c r="C27" s="54">
        <f>TRUNC(1236.5678,2)</f>
        <v>1236.56</v>
      </c>
    </row>
    <row r="30" spans="1:6" x14ac:dyDescent="0.25">
      <c r="A30" s="51" t="s">
        <v>551</v>
      </c>
      <c r="B30" s="51" t="s">
        <v>450</v>
      </c>
      <c r="C30" s="51" t="s">
        <v>451</v>
      </c>
    </row>
    <row r="31" spans="1:6" x14ac:dyDescent="0.25">
      <c r="A31" s="52" t="s">
        <v>552</v>
      </c>
      <c r="B31" s="53" t="s">
        <v>553</v>
      </c>
      <c r="C31" s="54">
        <f>COUNTA(E31:E34)</f>
        <v>3</v>
      </c>
      <c r="E31" s="53">
        <v>12</v>
      </c>
      <c r="F31" s="53">
        <v>10</v>
      </c>
    </row>
    <row r="32" spans="1:6" x14ac:dyDescent="0.25">
      <c r="A32" s="52" t="s">
        <v>554</v>
      </c>
      <c r="B32" s="53" t="s">
        <v>555</v>
      </c>
      <c r="C32" s="54">
        <f>COUNTBLANK(E31:E34)</f>
        <v>1</v>
      </c>
      <c r="E32" s="53" t="s">
        <v>556</v>
      </c>
      <c r="F32" s="53">
        <v>20</v>
      </c>
    </row>
    <row r="33" spans="1:6" x14ac:dyDescent="0.25">
      <c r="A33" s="52" t="s">
        <v>557</v>
      </c>
      <c r="B33" s="53" t="s">
        <v>558</v>
      </c>
      <c r="C33" s="54">
        <f>SMALL(F31:F35,2)</f>
        <v>20</v>
      </c>
      <c r="E33" s="53" t="s">
        <v>559</v>
      </c>
      <c r="F33" s="53">
        <v>30</v>
      </c>
    </row>
    <row r="34" spans="1:6" x14ac:dyDescent="0.25">
      <c r="A34" s="52" t="s">
        <v>560</v>
      </c>
      <c r="B34" s="53" t="s">
        <v>561</v>
      </c>
      <c r="C34" s="54">
        <f>LARGE(F31:F35,2)</f>
        <v>40</v>
      </c>
      <c r="E34" s="53"/>
      <c r="F34" s="53">
        <v>40</v>
      </c>
    </row>
    <row r="35" spans="1:6" x14ac:dyDescent="0.25">
      <c r="E35" s="53"/>
      <c r="F35" s="53">
        <v>50</v>
      </c>
    </row>
    <row r="37" spans="1:6" x14ac:dyDescent="0.25">
      <c r="A37" s="51" t="s">
        <v>562</v>
      </c>
      <c r="B37" s="51" t="s">
        <v>450</v>
      </c>
      <c r="C37" s="51" t="s">
        <v>451</v>
      </c>
    </row>
    <row r="38" spans="1:6" x14ac:dyDescent="0.25">
      <c r="A38" s="52" t="s">
        <v>472</v>
      </c>
      <c r="B38" s="53" t="s">
        <v>563</v>
      </c>
      <c r="C38" s="55">
        <f>DATE(2004,1,14)</f>
        <v>38000</v>
      </c>
    </row>
    <row r="39" spans="1:6" x14ac:dyDescent="0.25">
      <c r="A39" s="52" t="s">
        <v>564</v>
      </c>
      <c r="B39" s="53" t="s">
        <v>565</v>
      </c>
      <c r="C39" s="55">
        <f ca="1">TODAY()</f>
        <v>46018</v>
      </c>
    </row>
    <row r="40" spans="1:6" x14ac:dyDescent="0.25">
      <c r="A40" s="52" t="s">
        <v>566</v>
      </c>
      <c r="B40" s="53" t="s">
        <v>567</v>
      </c>
      <c r="C40" s="56">
        <f ca="1">NOW()</f>
        <v>46018.470186458333</v>
      </c>
    </row>
    <row r="41" spans="1:6" x14ac:dyDescent="0.25">
      <c r="A41" s="52" t="s">
        <v>568</v>
      </c>
      <c r="B41" s="53" t="s">
        <v>569</v>
      </c>
      <c r="C41" s="54">
        <f ca="1">DAY(TODAY())</f>
        <v>27</v>
      </c>
    </row>
    <row r="42" spans="1:6" x14ac:dyDescent="0.25">
      <c r="A42" s="52" t="s">
        <v>473</v>
      </c>
      <c r="B42" s="53" t="s">
        <v>570</v>
      </c>
      <c r="C42" s="54">
        <f ca="1">MONTH(TODAY())</f>
        <v>12</v>
      </c>
    </row>
    <row r="43" spans="1:6" x14ac:dyDescent="0.25">
      <c r="A43" s="52" t="s">
        <v>474</v>
      </c>
      <c r="B43" s="53" t="s">
        <v>571</v>
      </c>
      <c r="C43" s="54">
        <f ca="1">YEAR(TODAY())</f>
        <v>2025</v>
      </c>
    </row>
    <row r="44" spans="1:6" x14ac:dyDescent="0.25">
      <c r="A44" s="52" t="s">
        <v>572</v>
      </c>
      <c r="B44" s="53" t="s">
        <v>573</v>
      </c>
      <c r="C44" s="57">
        <f>TIME(12,30,45)</f>
        <v>0.52135416666666667</v>
      </c>
    </row>
    <row r="45" spans="1:6" x14ac:dyDescent="0.25">
      <c r="A45" s="52" t="s">
        <v>574</v>
      </c>
      <c r="B45" s="53" t="s">
        <v>575</v>
      </c>
      <c r="C45" s="54">
        <f>HOUR(C44)</f>
        <v>12</v>
      </c>
    </row>
    <row r="46" spans="1:6" x14ac:dyDescent="0.25">
      <c r="A46" s="52" t="s">
        <v>576</v>
      </c>
      <c r="B46" s="53" t="s">
        <v>577</v>
      </c>
      <c r="C46" s="54">
        <f>MINUTE(C44)</f>
        <v>30</v>
      </c>
    </row>
    <row r="47" spans="1:6" x14ac:dyDescent="0.25">
      <c r="A47" s="52" t="s">
        <v>578</v>
      </c>
      <c r="B47" s="53" t="s">
        <v>579</v>
      </c>
      <c r="C47" s="54">
        <f>SECOND(C44)</f>
        <v>45</v>
      </c>
    </row>
    <row r="48" spans="1:6" x14ac:dyDescent="0.25">
      <c r="A48" s="52" t="s">
        <v>580</v>
      </c>
      <c r="B48" s="53" t="s">
        <v>581</v>
      </c>
      <c r="C48" s="54" t="str">
        <f ca="1">TEXT(WEEKDAY(TODAY()),"dddd")</f>
        <v>Saturday</v>
      </c>
    </row>
    <row r="51" spans="1:5" x14ac:dyDescent="0.25">
      <c r="A51" s="51" t="s">
        <v>582</v>
      </c>
      <c r="B51" s="51" t="s">
        <v>450</v>
      </c>
      <c r="C51" s="51" t="s">
        <v>451</v>
      </c>
      <c r="E51" s="58"/>
    </row>
    <row r="52" spans="1:5" x14ac:dyDescent="0.25">
      <c r="A52" s="52" t="s">
        <v>583</v>
      </c>
      <c r="B52" s="53" t="s">
        <v>584</v>
      </c>
      <c r="C52" s="54" t="str">
        <f>IF(ISBLANK(D52),"Blank cell", D52)</f>
        <v>Blank cell</v>
      </c>
      <c r="E52" s="53" t="s">
        <v>585</v>
      </c>
    </row>
    <row r="53" spans="1:5" x14ac:dyDescent="0.25">
      <c r="A53" s="52" t="s">
        <v>586</v>
      </c>
      <c r="B53" s="53" t="s">
        <v>587</v>
      </c>
      <c r="C53" s="54" t="str">
        <f>IF(ISERROR(E55),"Error data",E55)</f>
        <v>#NA</v>
      </c>
      <c r="E53" s="53" t="s">
        <v>588</v>
      </c>
    </row>
    <row r="54" spans="1:5" x14ac:dyDescent="0.25">
      <c r="A54" s="52" t="s">
        <v>589</v>
      </c>
      <c r="B54" s="53" t="s">
        <v>590</v>
      </c>
      <c r="C54" s="54">
        <f>IF(ISNUMBER(E56),E56,"Not a number")</f>
        <v>450.75</v>
      </c>
      <c r="E54" s="53" t="s">
        <v>591</v>
      </c>
    </row>
    <row r="55" spans="1:5" x14ac:dyDescent="0.25">
      <c r="A55" s="52" t="s">
        <v>592</v>
      </c>
      <c r="B55" s="53" t="s">
        <v>593</v>
      </c>
      <c r="C55" s="54" t="str">
        <f>IF(ISTEXT(E52),E52,"Not text data")</f>
        <v>apple</v>
      </c>
      <c r="E55" s="53" t="s">
        <v>594</v>
      </c>
    </row>
    <row r="56" spans="1:5" x14ac:dyDescent="0.25">
      <c r="E56" s="53">
        <v>450.75</v>
      </c>
    </row>
  </sheetData>
  <pageMargins left="0.75" right="0.75" top="1" bottom="1" header="0.5" footer="0.5"/>
  <headerFooter alignWithMargins="0"/>
  <customProperties>
    <customPr name="LastActive"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2"/>
  <sheetViews>
    <sheetView showGridLines="0" workbookViewId="0">
      <selection activeCell="H22" sqref="H22"/>
    </sheetView>
  </sheetViews>
  <sheetFormatPr defaultColWidth="9.109375" defaultRowHeight="13.2" x14ac:dyDescent="0.25"/>
  <cols>
    <col min="1" max="1" width="64.109375" style="12" customWidth="1"/>
    <col min="2" max="2" width="25.44140625" style="2" bestFit="1" customWidth="1"/>
    <col min="3" max="16384" width="9.109375" style="1"/>
  </cols>
  <sheetData>
    <row r="1" spans="1:2" ht="24.6" x14ac:dyDescent="0.4">
      <c r="A1" s="10" t="s">
        <v>199</v>
      </c>
      <c r="B1" s="11"/>
    </row>
    <row r="2" spans="1:2" ht="12.75" customHeight="1" x14ac:dyDescent="0.4">
      <c r="A2" s="10"/>
      <c r="B2" s="11"/>
    </row>
    <row r="3" spans="1:2" ht="12.75" customHeight="1" x14ac:dyDescent="0.25"/>
    <row r="5" spans="1:2" x14ac:dyDescent="0.25">
      <c r="A5" s="13" t="s">
        <v>200</v>
      </c>
      <c r="B5" s="14"/>
    </row>
    <row r="6" spans="1:2" x14ac:dyDescent="0.25">
      <c r="A6" s="15"/>
      <c r="B6" s="16"/>
    </row>
    <row r="7" spans="1:2" ht="26.4" x14ac:dyDescent="0.25">
      <c r="A7" s="15" t="s">
        <v>201</v>
      </c>
      <c r="B7" s="16" t="s">
        <v>202</v>
      </c>
    </row>
    <row r="8" spans="1:2" x14ac:dyDescent="0.25">
      <c r="A8" s="15" t="s">
        <v>203</v>
      </c>
      <c r="B8" s="16" t="s">
        <v>204</v>
      </c>
    </row>
    <row r="9" spans="1:2" ht="26.4" x14ac:dyDescent="0.25">
      <c r="A9" s="15" t="s">
        <v>205</v>
      </c>
      <c r="B9" s="16" t="s">
        <v>206</v>
      </c>
    </row>
    <row r="10" spans="1:2" x14ac:dyDescent="0.25">
      <c r="A10" s="15" t="s">
        <v>207</v>
      </c>
      <c r="B10" s="16" t="s">
        <v>208</v>
      </c>
    </row>
    <row r="11" spans="1:2" x14ac:dyDescent="0.25">
      <c r="A11" s="15" t="s">
        <v>209</v>
      </c>
      <c r="B11" s="16" t="s">
        <v>210</v>
      </c>
    </row>
    <row r="12" spans="1:2" ht="26.4" x14ac:dyDescent="0.25">
      <c r="A12" s="15" t="s">
        <v>211</v>
      </c>
      <c r="B12" s="16" t="s">
        <v>212</v>
      </c>
    </row>
    <row r="13" spans="1:2" x14ac:dyDescent="0.25">
      <c r="A13" s="15" t="s">
        <v>213</v>
      </c>
      <c r="B13" s="16" t="s">
        <v>214</v>
      </c>
    </row>
    <row r="14" spans="1:2" x14ac:dyDescent="0.25">
      <c r="A14" s="15" t="s">
        <v>215</v>
      </c>
      <c r="B14" s="16" t="s">
        <v>216</v>
      </c>
    </row>
    <row r="15" spans="1:2" x14ac:dyDescent="0.25">
      <c r="A15" s="15" t="s">
        <v>217</v>
      </c>
      <c r="B15" s="16" t="s">
        <v>218</v>
      </c>
    </row>
    <row r="16" spans="1:2" x14ac:dyDescent="0.25">
      <c r="A16" s="15" t="s">
        <v>219</v>
      </c>
      <c r="B16" s="16" t="s">
        <v>220</v>
      </c>
    </row>
    <row r="17" spans="1:2" x14ac:dyDescent="0.25">
      <c r="A17" s="15" t="s">
        <v>221</v>
      </c>
      <c r="B17" s="16" t="s">
        <v>222</v>
      </c>
    </row>
    <row r="18" spans="1:2" x14ac:dyDescent="0.25">
      <c r="A18" s="15" t="s">
        <v>223</v>
      </c>
      <c r="B18" s="16" t="s">
        <v>224</v>
      </c>
    </row>
    <row r="19" spans="1:2" x14ac:dyDescent="0.25">
      <c r="A19" s="15" t="s">
        <v>225</v>
      </c>
      <c r="B19" s="16" t="s">
        <v>226</v>
      </c>
    </row>
    <row r="20" spans="1:2" ht="26.4" x14ac:dyDescent="0.25">
      <c r="A20" s="15" t="s">
        <v>227</v>
      </c>
      <c r="B20" s="16" t="s">
        <v>228</v>
      </c>
    </row>
    <row r="21" spans="1:2" x14ac:dyDescent="0.25">
      <c r="A21" s="15" t="s">
        <v>229</v>
      </c>
      <c r="B21" s="16" t="s">
        <v>230</v>
      </c>
    </row>
    <row r="22" spans="1:2" x14ac:dyDescent="0.25">
      <c r="A22" s="15" t="s">
        <v>231</v>
      </c>
      <c r="B22" s="16" t="s">
        <v>232</v>
      </c>
    </row>
    <row r="23" spans="1:2" x14ac:dyDescent="0.25">
      <c r="A23" s="15" t="s">
        <v>233</v>
      </c>
      <c r="B23" s="16" t="s">
        <v>234</v>
      </c>
    </row>
    <row r="24" spans="1:2" ht="26.4" x14ac:dyDescent="0.25">
      <c r="A24" s="15" t="s">
        <v>205</v>
      </c>
      <c r="B24" s="16" t="s">
        <v>235</v>
      </c>
    </row>
    <row r="25" spans="1:2" ht="26.4" x14ac:dyDescent="0.25">
      <c r="A25" s="15" t="s">
        <v>211</v>
      </c>
      <c r="B25" s="16" t="s">
        <v>236</v>
      </c>
    </row>
    <row r="26" spans="1:2" ht="39.6" x14ac:dyDescent="0.25">
      <c r="A26" s="15" t="s">
        <v>237</v>
      </c>
      <c r="B26" s="16" t="s">
        <v>238</v>
      </c>
    </row>
    <row r="27" spans="1:2" x14ac:dyDescent="0.25">
      <c r="A27" s="15" t="s">
        <v>239</v>
      </c>
      <c r="B27" s="16" t="s">
        <v>232</v>
      </c>
    </row>
    <row r="28" spans="1:2" x14ac:dyDescent="0.25">
      <c r="A28" s="15" t="s">
        <v>240</v>
      </c>
      <c r="B28" s="16" t="s">
        <v>241</v>
      </c>
    </row>
    <row r="29" spans="1:2" x14ac:dyDescent="0.25">
      <c r="A29" s="15" t="s">
        <v>242</v>
      </c>
      <c r="B29" s="16" t="s">
        <v>243</v>
      </c>
    </row>
    <row r="30" spans="1:2" x14ac:dyDescent="0.25">
      <c r="A30" s="15" t="s">
        <v>244</v>
      </c>
      <c r="B30" s="16" t="s">
        <v>245</v>
      </c>
    </row>
    <row r="31" spans="1:2" x14ac:dyDescent="0.25">
      <c r="A31" s="15" t="s">
        <v>246</v>
      </c>
      <c r="B31" s="16" t="s">
        <v>208</v>
      </c>
    </row>
    <row r="32" spans="1:2" x14ac:dyDescent="0.25">
      <c r="A32" s="17" t="s">
        <v>247</v>
      </c>
      <c r="B32" s="18" t="s">
        <v>248</v>
      </c>
    </row>
    <row r="33" spans="1:2" x14ac:dyDescent="0.25">
      <c r="A33" s="19"/>
      <c r="B33" s="20"/>
    </row>
    <row r="34" spans="1:2" x14ac:dyDescent="0.25">
      <c r="A34" s="21"/>
      <c r="B34" s="22"/>
    </row>
    <row r="35" spans="1:2" x14ac:dyDescent="0.25">
      <c r="A35" s="23" t="s">
        <v>249</v>
      </c>
      <c r="B35" s="14"/>
    </row>
    <row r="36" spans="1:2" x14ac:dyDescent="0.25">
      <c r="A36" s="15"/>
      <c r="B36" s="16"/>
    </row>
    <row r="37" spans="1:2" ht="26.4" x14ac:dyDescent="0.25">
      <c r="A37" s="15" t="s">
        <v>201</v>
      </c>
      <c r="B37" s="16" t="s">
        <v>202</v>
      </c>
    </row>
    <row r="38" spans="1:2" x14ac:dyDescent="0.25">
      <c r="A38" s="15" t="s">
        <v>250</v>
      </c>
      <c r="B38" s="16" t="s">
        <v>251</v>
      </c>
    </row>
    <row r="39" spans="1:2" x14ac:dyDescent="0.25">
      <c r="A39" s="15" t="s">
        <v>252</v>
      </c>
      <c r="B39" s="16" t="s">
        <v>253</v>
      </c>
    </row>
    <row r="40" spans="1:2" ht="39.6" x14ac:dyDescent="0.25">
      <c r="A40" s="15" t="s">
        <v>254</v>
      </c>
      <c r="B40" s="16" t="s">
        <v>255</v>
      </c>
    </row>
    <row r="41" spans="1:2" ht="39.6" x14ac:dyDescent="0.25">
      <c r="A41" s="15" t="s">
        <v>256</v>
      </c>
      <c r="B41" s="16" t="s">
        <v>257</v>
      </c>
    </row>
    <row r="42" spans="1:2" x14ac:dyDescent="0.25">
      <c r="A42" s="15" t="s">
        <v>258</v>
      </c>
      <c r="B42" s="16" t="s">
        <v>259</v>
      </c>
    </row>
    <row r="43" spans="1:2" ht="26.4" x14ac:dyDescent="0.25">
      <c r="A43" s="15" t="s">
        <v>260</v>
      </c>
      <c r="B43" s="16" t="s">
        <v>261</v>
      </c>
    </row>
    <row r="44" spans="1:2" x14ac:dyDescent="0.25">
      <c r="A44" s="15" t="s">
        <v>262</v>
      </c>
      <c r="B44" s="16" t="s">
        <v>263</v>
      </c>
    </row>
    <row r="45" spans="1:2" x14ac:dyDescent="0.25">
      <c r="A45" s="15" t="s">
        <v>264</v>
      </c>
      <c r="B45" s="16" t="s">
        <v>265</v>
      </c>
    </row>
    <row r="46" spans="1:2" x14ac:dyDescent="0.25">
      <c r="A46" s="17" t="s">
        <v>266</v>
      </c>
      <c r="B46" s="18" t="s">
        <v>267</v>
      </c>
    </row>
    <row r="47" spans="1:2" x14ac:dyDescent="0.25">
      <c r="A47" s="19"/>
      <c r="B47" s="20"/>
    </row>
    <row r="48" spans="1:2" x14ac:dyDescent="0.25">
      <c r="A48" s="21"/>
      <c r="B48" s="22"/>
    </row>
    <row r="49" spans="1:2" x14ac:dyDescent="0.25">
      <c r="A49" s="23" t="s">
        <v>268</v>
      </c>
      <c r="B49" s="14"/>
    </row>
    <row r="50" spans="1:2" x14ac:dyDescent="0.25">
      <c r="A50" s="15"/>
      <c r="B50" s="16"/>
    </row>
    <row r="51" spans="1:2" x14ac:dyDescent="0.25">
      <c r="A51" s="15" t="s">
        <v>269</v>
      </c>
      <c r="B51" s="16" t="s">
        <v>270</v>
      </c>
    </row>
    <row r="52" spans="1:2" x14ac:dyDescent="0.25">
      <c r="A52" s="15" t="s">
        <v>271</v>
      </c>
      <c r="B52" s="16" t="s">
        <v>272</v>
      </c>
    </row>
    <row r="53" spans="1:2" x14ac:dyDescent="0.25">
      <c r="A53" s="15" t="s">
        <v>273</v>
      </c>
      <c r="B53" s="16" t="s">
        <v>274</v>
      </c>
    </row>
    <row r="54" spans="1:2" x14ac:dyDescent="0.25">
      <c r="A54" s="15" t="s">
        <v>275</v>
      </c>
      <c r="B54" s="16" t="s">
        <v>276</v>
      </c>
    </row>
    <row r="55" spans="1:2" x14ac:dyDescent="0.25">
      <c r="A55" s="15" t="s">
        <v>277</v>
      </c>
      <c r="B55" s="16" t="s">
        <v>278</v>
      </c>
    </row>
    <row r="56" spans="1:2" x14ac:dyDescent="0.25">
      <c r="A56" s="15" t="s">
        <v>279</v>
      </c>
      <c r="B56" s="16" t="s">
        <v>280</v>
      </c>
    </row>
    <row r="57" spans="1:2" x14ac:dyDescent="0.25">
      <c r="A57" s="15" t="s">
        <v>281</v>
      </c>
      <c r="B57" s="16" t="s">
        <v>282</v>
      </c>
    </row>
    <row r="58" spans="1:2" x14ac:dyDescent="0.25">
      <c r="A58" s="15" t="s">
        <v>283</v>
      </c>
      <c r="B58" s="16" t="s">
        <v>284</v>
      </c>
    </row>
    <row r="59" spans="1:2" x14ac:dyDescent="0.25">
      <c r="A59" s="15" t="s">
        <v>285</v>
      </c>
      <c r="B59" s="16" t="s">
        <v>286</v>
      </c>
    </row>
    <row r="60" spans="1:2" x14ac:dyDescent="0.25">
      <c r="A60" s="15" t="s">
        <v>287</v>
      </c>
      <c r="B60" s="16" t="s">
        <v>288</v>
      </c>
    </row>
    <row r="61" spans="1:2" x14ac:dyDescent="0.25">
      <c r="A61" s="15" t="s">
        <v>289</v>
      </c>
      <c r="B61" s="16" t="s">
        <v>290</v>
      </c>
    </row>
    <row r="62" spans="1:2" x14ac:dyDescent="0.25">
      <c r="A62" s="15" t="s">
        <v>291</v>
      </c>
      <c r="B62" s="16" t="s">
        <v>292</v>
      </c>
    </row>
    <row r="63" spans="1:2" x14ac:dyDescent="0.25">
      <c r="A63" s="15" t="s">
        <v>293</v>
      </c>
      <c r="B63" s="16" t="s">
        <v>294</v>
      </c>
    </row>
    <row r="64" spans="1:2" x14ac:dyDescent="0.25">
      <c r="A64" s="15" t="s">
        <v>295</v>
      </c>
      <c r="B64" s="16" t="s">
        <v>296</v>
      </c>
    </row>
    <row r="65" spans="1:2" x14ac:dyDescent="0.25">
      <c r="A65" s="15" t="s">
        <v>297</v>
      </c>
      <c r="B65" s="16" t="s">
        <v>298</v>
      </c>
    </row>
    <row r="66" spans="1:2" x14ac:dyDescent="0.25">
      <c r="A66" s="15" t="s">
        <v>299</v>
      </c>
      <c r="B66" s="16" t="s">
        <v>300</v>
      </c>
    </row>
    <row r="67" spans="1:2" x14ac:dyDescent="0.25">
      <c r="A67" s="15" t="s">
        <v>301</v>
      </c>
      <c r="B67" s="16" t="s">
        <v>302</v>
      </c>
    </row>
    <row r="68" spans="1:2" x14ac:dyDescent="0.25">
      <c r="A68" s="15" t="s">
        <v>231</v>
      </c>
      <c r="B68" s="16" t="s">
        <v>232</v>
      </c>
    </row>
    <row r="69" spans="1:2" x14ac:dyDescent="0.25">
      <c r="A69" s="15" t="s">
        <v>233</v>
      </c>
      <c r="B69" s="16" t="s">
        <v>234</v>
      </c>
    </row>
    <row r="70" spans="1:2" x14ac:dyDescent="0.25">
      <c r="A70" s="15" t="s">
        <v>303</v>
      </c>
      <c r="B70" s="16" t="s">
        <v>304</v>
      </c>
    </row>
    <row r="71" spans="1:2" x14ac:dyDescent="0.25">
      <c r="A71" s="15" t="s">
        <v>279</v>
      </c>
      <c r="B71" s="16" t="s">
        <v>305</v>
      </c>
    </row>
    <row r="72" spans="1:2" x14ac:dyDescent="0.25">
      <c r="A72" s="15" t="s">
        <v>306</v>
      </c>
      <c r="B72" s="16" t="s">
        <v>307</v>
      </c>
    </row>
    <row r="73" spans="1:2" x14ac:dyDescent="0.25">
      <c r="A73" s="15" t="s">
        <v>308</v>
      </c>
      <c r="B73" s="16" t="s">
        <v>232</v>
      </c>
    </row>
    <row r="74" spans="1:2" x14ac:dyDescent="0.25">
      <c r="A74" s="15" t="s">
        <v>240</v>
      </c>
      <c r="B74" s="16" t="s">
        <v>241</v>
      </c>
    </row>
    <row r="75" spans="1:2" x14ac:dyDescent="0.25">
      <c r="A75" s="15" t="s">
        <v>309</v>
      </c>
      <c r="B75" s="16" t="s">
        <v>276</v>
      </c>
    </row>
    <row r="76" spans="1:2" x14ac:dyDescent="0.25">
      <c r="A76" s="15" t="s">
        <v>310</v>
      </c>
      <c r="B76" s="16" t="s">
        <v>234</v>
      </c>
    </row>
    <row r="77" spans="1:2" x14ac:dyDescent="0.25">
      <c r="A77" s="15" t="s">
        <v>311</v>
      </c>
      <c r="B77" s="16" t="s">
        <v>312</v>
      </c>
    </row>
    <row r="78" spans="1:2" x14ac:dyDescent="0.25">
      <c r="A78" s="17" t="s">
        <v>313</v>
      </c>
      <c r="B78" s="18" t="s">
        <v>314</v>
      </c>
    </row>
    <row r="79" spans="1:2" x14ac:dyDescent="0.25">
      <c r="A79" s="24"/>
      <c r="B79" s="25"/>
    </row>
    <row r="80" spans="1:2" x14ac:dyDescent="0.25">
      <c r="A80" s="23" t="s">
        <v>315</v>
      </c>
      <c r="B80" s="14"/>
    </row>
    <row r="81" spans="1:2" x14ac:dyDescent="0.25">
      <c r="A81" s="15"/>
      <c r="B81" s="16"/>
    </row>
    <row r="82" spans="1:2" x14ac:dyDescent="0.25">
      <c r="A82" s="15" t="s">
        <v>316</v>
      </c>
      <c r="B82" s="16" t="s">
        <v>317</v>
      </c>
    </row>
    <row r="83" spans="1:2" x14ac:dyDescent="0.25">
      <c r="A83" s="15" t="s">
        <v>318</v>
      </c>
      <c r="B83" s="16" t="s">
        <v>319</v>
      </c>
    </row>
    <row r="84" spans="1:2" x14ac:dyDescent="0.25">
      <c r="A84" s="15" t="s">
        <v>320</v>
      </c>
      <c r="B84" s="16" t="s">
        <v>321</v>
      </c>
    </row>
    <row r="85" spans="1:2" ht="26.4" x14ac:dyDescent="0.25">
      <c r="A85" s="15" t="s">
        <v>322</v>
      </c>
      <c r="B85" s="16" t="s">
        <v>323</v>
      </c>
    </row>
    <row r="86" spans="1:2" x14ac:dyDescent="0.25">
      <c r="A86" s="15" t="s">
        <v>324</v>
      </c>
      <c r="B86" s="16" t="s">
        <v>325</v>
      </c>
    </row>
    <row r="87" spans="1:2" x14ac:dyDescent="0.25">
      <c r="A87" s="15" t="s">
        <v>326</v>
      </c>
      <c r="B87" s="16" t="s">
        <v>327</v>
      </c>
    </row>
    <row r="88" spans="1:2" x14ac:dyDescent="0.25">
      <c r="A88" s="15" t="s">
        <v>328</v>
      </c>
      <c r="B88" s="16" t="s">
        <v>329</v>
      </c>
    </row>
    <row r="89" spans="1:2" x14ac:dyDescent="0.25">
      <c r="A89" s="15" t="s">
        <v>330</v>
      </c>
      <c r="B89" s="16" t="s">
        <v>331</v>
      </c>
    </row>
    <row r="90" spans="1:2" ht="26.4" x14ac:dyDescent="0.25">
      <c r="A90" s="15" t="s">
        <v>332</v>
      </c>
      <c r="B90" s="16" t="s">
        <v>333</v>
      </c>
    </row>
    <row r="91" spans="1:2" x14ac:dyDescent="0.25">
      <c r="A91" s="15" t="s">
        <v>334</v>
      </c>
      <c r="B91" s="16" t="s">
        <v>335</v>
      </c>
    </row>
    <row r="92" spans="1:2" x14ac:dyDescent="0.25">
      <c r="A92" s="15" t="s">
        <v>336</v>
      </c>
      <c r="B92" s="16" t="s">
        <v>337</v>
      </c>
    </row>
    <row r="93" spans="1:2" x14ac:dyDescent="0.25">
      <c r="A93" s="15" t="s">
        <v>338</v>
      </c>
      <c r="B93" s="16" t="s">
        <v>339</v>
      </c>
    </row>
    <row r="94" spans="1:2" x14ac:dyDescent="0.25">
      <c r="A94" s="15" t="s">
        <v>340</v>
      </c>
      <c r="B94" s="16" t="s">
        <v>341</v>
      </c>
    </row>
    <row r="95" spans="1:2" x14ac:dyDescent="0.25">
      <c r="A95" s="15" t="s">
        <v>342</v>
      </c>
      <c r="B95" s="16" t="s">
        <v>343</v>
      </c>
    </row>
    <row r="96" spans="1:2" x14ac:dyDescent="0.25">
      <c r="A96" s="15" t="s">
        <v>344</v>
      </c>
      <c r="B96" s="16" t="s">
        <v>345</v>
      </c>
    </row>
    <row r="97" spans="1:2" x14ac:dyDescent="0.25">
      <c r="A97" s="15" t="s">
        <v>346</v>
      </c>
      <c r="B97" s="16" t="s">
        <v>347</v>
      </c>
    </row>
    <row r="98" spans="1:2" x14ac:dyDescent="0.25">
      <c r="A98" s="15" t="s">
        <v>348</v>
      </c>
      <c r="B98" s="16" t="s">
        <v>349</v>
      </c>
    </row>
    <row r="99" spans="1:2" x14ac:dyDescent="0.25">
      <c r="A99" s="15" t="s">
        <v>350</v>
      </c>
      <c r="B99" s="16" t="s">
        <v>351</v>
      </c>
    </row>
    <row r="100" spans="1:2" x14ac:dyDescent="0.25">
      <c r="A100" s="17" t="s">
        <v>352</v>
      </c>
      <c r="B100" s="18" t="s">
        <v>353</v>
      </c>
    </row>
    <row r="101" spans="1:2" x14ac:dyDescent="0.25">
      <c r="A101" s="19"/>
      <c r="B101" s="20"/>
    </row>
    <row r="102" spans="1:2" x14ac:dyDescent="0.25">
      <c r="A102" s="21"/>
      <c r="B102" s="22"/>
    </row>
    <row r="103" spans="1:2" x14ac:dyDescent="0.25">
      <c r="A103" s="23" t="s">
        <v>354</v>
      </c>
      <c r="B103" s="14"/>
    </row>
    <row r="104" spans="1:2" x14ac:dyDescent="0.25">
      <c r="A104" s="15"/>
      <c r="B104" s="16"/>
    </row>
    <row r="105" spans="1:2" x14ac:dyDescent="0.25">
      <c r="A105" s="15" t="s">
        <v>355</v>
      </c>
      <c r="B105" s="16" t="s">
        <v>356</v>
      </c>
    </row>
    <row r="106" spans="1:2" x14ac:dyDescent="0.25">
      <c r="A106" s="15" t="s">
        <v>357</v>
      </c>
      <c r="B106" s="16" t="s">
        <v>358</v>
      </c>
    </row>
    <row r="107" spans="1:2" x14ac:dyDescent="0.25">
      <c r="A107" s="15" t="s">
        <v>359</v>
      </c>
      <c r="B107" s="16" t="s">
        <v>360</v>
      </c>
    </row>
    <row r="108" spans="1:2" x14ac:dyDescent="0.25">
      <c r="A108" s="15" t="s">
        <v>361</v>
      </c>
      <c r="B108" s="16" t="s">
        <v>362</v>
      </c>
    </row>
    <row r="109" spans="1:2" x14ac:dyDescent="0.25">
      <c r="A109" s="17" t="s">
        <v>363</v>
      </c>
      <c r="B109" s="18" t="s">
        <v>364</v>
      </c>
    </row>
    <row r="110" spans="1:2" x14ac:dyDescent="0.25">
      <c r="A110" s="19"/>
      <c r="B110" s="20"/>
    </row>
    <row r="111" spans="1:2" x14ac:dyDescent="0.25">
      <c r="A111" s="21"/>
      <c r="B111" s="22"/>
    </row>
    <row r="112" spans="1:2" x14ac:dyDescent="0.25">
      <c r="A112" s="23" t="s">
        <v>365</v>
      </c>
      <c r="B112" s="14"/>
    </row>
    <row r="113" spans="1:2" x14ac:dyDescent="0.25">
      <c r="A113" s="15"/>
      <c r="B113" s="16"/>
    </row>
    <row r="114" spans="1:2" x14ac:dyDescent="0.25">
      <c r="A114" s="15" t="s">
        <v>366</v>
      </c>
      <c r="B114" s="16" t="s">
        <v>367</v>
      </c>
    </row>
    <row r="115" spans="1:2" x14ac:dyDescent="0.25">
      <c r="A115" s="15" t="s">
        <v>368</v>
      </c>
      <c r="B115" s="16" t="s">
        <v>369</v>
      </c>
    </row>
    <row r="116" spans="1:2" x14ac:dyDescent="0.25">
      <c r="A116" s="15" t="s">
        <v>370</v>
      </c>
      <c r="B116" s="16" t="s">
        <v>371</v>
      </c>
    </row>
    <row r="117" spans="1:2" x14ac:dyDescent="0.25">
      <c r="A117" s="15" t="s">
        <v>372</v>
      </c>
      <c r="B117" s="16" t="s">
        <v>373</v>
      </c>
    </row>
    <row r="118" spans="1:2" ht="26.4" x14ac:dyDescent="0.25">
      <c r="A118" s="15" t="s">
        <v>374</v>
      </c>
      <c r="B118" s="16" t="s">
        <v>375</v>
      </c>
    </row>
    <row r="119" spans="1:2" x14ac:dyDescent="0.25">
      <c r="A119" s="15" t="s">
        <v>376</v>
      </c>
      <c r="B119" s="16" t="s">
        <v>377</v>
      </c>
    </row>
    <row r="120" spans="1:2" x14ac:dyDescent="0.25">
      <c r="A120" s="15" t="s">
        <v>378</v>
      </c>
      <c r="B120" s="16" t="s">
        <v>379</v>
      </c>
    </row>
    <row r="121" spans="1:2" x14ac:dyDescent="0.25">
      <c r="A121" s="17" t="s">
        <v>380</v>
      </c>
      <c r="B121" s="18" t="s">
        <v>381</v>
      </c>
    </row>
    <row r="122" spans="1:2" x14ac:dyDescent="0.25">
      <c r="A122" s="24"/>
      <c r="B122" s="25"/>
    </row>
    <row r="123" spans="1:2" x14ac:dyDescent="0.25">
      <c r="A123" s="23" t="s">
        <v>382</v>
      </c>
      <c r="B123" s="14"/>
    </row>
    <row r="124" spans="1:2" x14ac:dyDescent="0.25">
      <c r="A124" s="15"/>
      <c r="B124" s="16"/>
    </row>
    <row r="125" spans="1:2" x14ac:dyDescent="0.25">
      <c r="A125" s="15" t="s">
        <v>383</v>
      </c>
      <c r="B125" s="16" t="s">
        <v>384</v>
      </c>
    </row>
    <row r="126" spans="1:2" x14ac:dyDescent="0.25">
      <c r="A126" s="15" t="s">
        <v>385</v>
      </c>
      <c r="B126" s="16" t="s">
        <v>381</v>
      </c>
    </row>
    <row r="127" spans="1:2" ht="26.4" x14ac:dyDescent="0.25">
      <c r="A127" s="15" t="s">
        <v>386</v>
      </c>
      <c r="B127" s="16" t="s">
        <v>387</v>
      </c>
    </row>
    <row r="128" spans="1:2" x14ac:dyDescent="0.25">
      <c r="A128" s="15" t="s">
        <v>388</v>
      </c>
      <c r="B128" s="16" t="s">
        <v>389</v>
      </c>
    </row>
    <row r="129" spans="1:2" x14ac:dyDescent="0.25">
      <c r="A129" s="15" t="s">
        <v>390</v>
      </c>
      <c r="B129" s="16" t="s">
        <v>391</v>
      </c>
    </row>
    <row r="130" spans="1:2" x14ac:dyDescent="0.25">
      <c r="A130" s="15" t="s">
        <v>392</v>
      </c>
      <c r="B130" s="16" t="s">
        <v>218</v>
      </c>
    </row>
    <row r="131" spans="1:2" ht="26.4" x14ac:dyDescent="0.25">
      <c r="A131" s="17" t="s">
        <v>393</v>
      </c>
      <c r="B131" s="18" t="s">
        <v>394</v>
      </c>
    </row>
    <row r="132" spans="1:2" x14ac:dyDescent="0.25">
      <c r="A132" s="19"/>
      <c r="B132" s="20"/>
    </row>
    <row r="133" spans="1:2" x14ac:dyDescent="0.25">
      <c r="A133" s="21"/>
      <c r="B133" s="22"/>
    </row>
    <row r="134" spans="1:2" x14ac:dyDescent="0.25">
      <c r="A134" s="23" t="s">
        <v>395</v>
      </c>
      <c r="B134" s="14"/>
    </row>
    <row r="135" spans="1:2" x14ac:dyDescent="0.25">
      <c r="A135" s="15"/>
      <c r="B135" s="16"/>
    </row>
    <row r="136" spans="1:2" x14ac:dyDescent="0.25">
      <c r="A136" s="15" t="s">
        <v>396</v>
      </c>
      <c r="B136" s="16" t="s">
        <v>397</v>
      </c>
    </row>
    <row r="137" spans="1:2" x14ac:dyDescent="0.25">
      <c r="A137" s="15" t="s">
        <v>398</v>
      </c>
      <c r="B137" s="16" t="s">
        <v>399</v>
      </c>
    </row>
    <row r="138" spans="1:2" x14ac:dyDescent="0.25">
      <c r="A138" s="15" t="s">
        <v>400</v>
      </c>
      <c r="B138" s="16" t="s">
        <v>401</v>
      </c>
    </row>
    <row r="139" spans="1:2" x14ac:dyDescent="0.25">
      <c r="A139" s="15" t="s">
        <v>402</v>
      </c>
      <c r="B139" s="16" t="s">
        <v>403</v>
      </c>
    </row>
    <row r="140" spans="1:2" x14ac:dyDescent="0.25">
      <c r="A140" s="15" t="s">
        <v>404</v>
      </c>
      <c r="B140" s="16" t="s">
        <v>405</v>
      </c>
    </row>
    <row r="141" spans="1:2" x14ac:dyDescent="0.25">
      <c r="A141" s="15" t="s">
        <v>406</v>
      </c>
      <c r="B141" s="16" t="s">
        <v>407</v>
      </c>
    </row>
    <row r="142" spans="1:2" x14ac:dyDescent="0.25">
      <c r="A142" s="17" t="s">
        <v>408</v>
      </c>
      <c r="B142" s="18" t="s">
        <v>409</v>
      </c>
    </row>
    <row r="143" spans="1:2" x14ac:dyDescent="0.25">
      <c r="A143" s="24"/>
      <c r="B143" s="25"/>
    </row>
    <row r="144" spans="1:2" x14ac:dyDescent="0.25">
      <c r="A144" s="23" t="s">
        <v>410</v>
      </c>
      <c r="B144" s="14"/>
    </row>
    <row r="145" spans="1:2" x14ac:dyDescent="0.25">
      <c r="A145" s="15"/>
      <c r="B145" s="16"/>
    </row>
    <row r="146" spans="1:2" ht="26.4" x14ac:dyDescent="0.25">
      <c r="A146" s="15" t="s">
        <v>411</v>
      </c>
      <c r="B146" s="16" t="s">
        <v>412</v>
      </c>
    </row>
    <row r="147" spans="1:2" ht="26.4" x14ac:dyDescent="0.25">
      <c r="A147" s="15" t="s">
        <v>413</v>
      </c>
      <c r="B147" s="16" t="s">
        <v>414</v>
      </c>
    </row>
    <row r="148" spans="1:2" ht="26.4" x14ac:dyDescent="0.25">
      <c r="A148" s="15" t="s">
        <v>415</v>
      </c>
      <c r="B148" s="16" t="s">
        <v>274</v>
      </c>
    </row>
    <row r="149" spans="1:2" ht="26.4" x14ac:dyDescent="0.25">
      <c r="A149" s="15" t="s">
        <v>416</v>
      </c>
      <c r="B149" s="16" t="s">
        <v>417</v>
      </c>
    </row>
    <row r="150" spans="1:2" x14ac:dyDescent="0.25">
      <c r="A150" s="15" t="s">
        <v>418</v>
      </c>
      <c r="B150" s="16" t="s">
        <v>419</v>
      </c>
    </row>
    <row r="151" spans="1:2" x14ac:dyDescent="0.25">
      <c r="A151" s="15" t="s">
        <v>420</v>
      </c>
      <c r="B151" s="16" t="s">
        <v>421</v>
      </c>
    </row>
    <row r="152" spans="1:2" x14ac:dyDescent="0.25">
      <c r="A152" s="17" t="s">
        <v>422</v>
      </c>
      <c r="B152" s="18" t="s">
        <v>423</v>
      </c>
    </row>
  </sheetData>
  <phoneticPr fontId="2" type="noConversion"/>
  <printOptions horizontalCentered="1"/>
  <pageMargins left="0.75" right="0.75" top="1" bottom="1" header="0.5" footer="0.5"/>
  <pageSetup orientation="portrait" horizontalDpi="300" verticalDpi="300" copies="0" r:id="rId1"/>
  <headerFooter alignWithMargins="0">
    <oddFooter>Page &amp;P of &amp;N</oddFooter>
  </headerFooter>
  <customProperties>
    <customPr name="LastActive"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8CBD-C089-412A-9AB7-73E97CB64A86}">
  <dimension ref="A2:E61"/>
  <sheetViews>
    <sheetView showGridLines="0" zoomScale="91" zoomScaleNormal="91" workbookViewId="0">
      <selection activeCell="C9" sqref="C9"/>
    </sheetView>
  </sheetViews>
  <sheetFormatPr defaultColWidth="9.88671875" defaultRowHeight="13.8" x14ac:dyDescent="0.3"/>
  <cols>
    <col min="1" max="1" width="26.44140625" style="94" bestFit="1" customWidth="1"/>
    <col min="2" max="2" width="14.6640625" style="94" customWidth="1"/>
    <col min="3" max="3" width="9.88671875" style="94"/>
    <col min="4" max="4" width="12" style="94" bestFit="1" customWidth="1"/>
    <col min="5" max="16384" width="9.88671875" style="94"/>
  </cols>
  <sheetData>
    <row r="2" spans="1:4" x14ac:dyDescent="0.3">
      <c r="A2" s="98" t="s">
        <v>669</v>
      </c>
    </row>
    <row r="3" spans="1:4" x14ac:dyDescent="0.3">
      <c r="A3" s="96" t="s">
        <v>659</v>
      </c>
      <c r="B3" s="96" t="s">
        <v>660</v>
      </c>
      <c r="C3" s="96" t="s">
        <v>661</v>
      </c>
      <c r="D3" s="96" t="s">
        <v>662</v>
      </c>
    </row>
    <row r="4" spans="1:4" x14ac:dyDescent="0.3">
      <c r="A4" s="95" t="s">
        <v>663</v>
      </c>
      <c r="B4" s="95">
        <v>71614</v>
      </c>
      <c r="C4" s="95">
        <v>71614</v>
      </c>
      <c r="D4" s="95">
        <f>C4/$B$8</f>
        <v>5.1105402126596733</v>
      </c>
    </row>
    <row r="5" spans="1:4" x14ac:dyDescent="0.3">
      <c r="A5" s="95" t="s">
        <v>664</v>
      </c>
      <c r="B5" s="95">
        <v>35739</v>
      </c>
      <c r="C5" s="95">
        <v>107353</v>
      </c>
      <c r="D5" s="95">
        <f t="shared" ref="D5:D9" si="0">C5/$B$8</f>
        <v>7.6609576821522873</v>
      </c>
    </row>
    <row r="6" spans="1:4" x14ac:dyDescent="0.3">
      <c r="A6" s="95" t="s">
        <v>665</v>
      </c>
      <c r="B6" s="95">
        <v>30358</v>
      </c>
      <c r="C6" s="95">
        <v>137711</v>
      </c>
      <c r="D6" s="95">
        <f t="shared" si="0"/>
        <v>9.827374580746449</v>
      </c>
    </row>
    <row r="7" spans="1:4" x14ac:dyDescent="0.3">
      <c r="A7" s="95" t="s">
        <v>666</v>
      </c>
      <c r="B7" s="95">
        <v>20622</v>
      </c>
      <c r="C7" s="95">
        <v>158333</v>
      </c>
      <c r="D7" s="95">
        <f t="shared" si="0"/>
        <v>11.299008063940626</v>
      </c>
    </row>
    <row r="8" spans="1:4" x14ac:dyDescent="0.3">
      <c r="A8" s="95" t="s">
        <v>667</v>
      </c>
      <c r="B8" s="95">
        <v>14013</v>
      </c>
      <c r="C8" s="95">
        <v>172346</v>
      </c>
      <c r="D8" s="95">
        <f t="shared" si="0"/>
        <v>12.299008063940626</v>
      </c>
    </row>
    <row r="9" spans="1:4" x14ac:dyDescent="0.3">
      <c r="A9" s="95" t="s">
        <v>668</v>
      </c>
      <c r="B9" s="95">
        <v>5811</v>
      </c>
      <c r="C9" s="95">
        <v>178157</v>
      </c>
      <c r="D9" s="95">
        <f t="shared" si="0"/>
        <v>12.713694426603867</v>
      </c>
    </row>
    <row r="11" spans="1:4" x14ac:dyDescent="0.3">
      <c r="A11" s="98" t="s">
        <v>674</v>
      </c>
    </row>
    <row r="12" spans="1:4" x14ac:dyDescent="0.3">
      <c r="A12" s="95" t="s">
        <v>659</v>
      </c>
      <c r="B12" s="95" t="s">
        <v>670</v>
      </c>
      <c r="C12" s="95" t="s">
        <v>671</v>
      </c>
      <c r="D12" s="95" t="s">
        <v>672</v>
      </c>
    </row>
    <row r="13" spans="1:4" x14ac:dyDescent="0.3">
      <c r="A13" s="95" t="s">
        <v>663</v>
      </c>
      <c r="B13" s="95">
        <v>25</v>
      </c>
      <c r="C13" s="95">
        <v>71614</v>
      </c>
      <c r="D13" s="100">
        <v>0.4</v>
      </c>
    </row>
    <row r="14" spans="1:4" x14ac:dyDescent="0.3">
      <c r="A14" s="95" t="s">
        <v>667</v>
      </c>
      <c r="B14" s="95">
        <v>40</v>
      </c>
      <c r="C14" s="95">
        <v>14013</v>
      </c>
      <c r="D14" s="100">
        <v>7.0000000000000007E-2</v>
      </c>
    </row>
    <row r="15" spans="1:4" x14ac:dyDescent="0.3">
      <c r="A15" s="95" t="s">
        <v>664</v>
      </c>
      <c r="B15" s="95">
        <v>70</v>
      </c>
      <c r="C15" s="95">
        <v>35739</v>
      </c>
      <c r="D15" s="100">
        <v>0.2</v>
      </c>
    </row>
    <row r="16" spans="1:4" x14ac:dyDescent="0.3">
      <c r="A16" s="95" t="s">
        <v>665</v>
      </c>
      <c r="B16" s="95">
        <v>90</v>
      </c>
      <c r="C16" s="95">
        <v>30358</v>
      </c>
      <c r="D16" s="100">
        <v>0.15</v>
      </c>
    </row>
    <row r="17" spans="1:4" x14ac:dyDescent="0.3">
      <c r="A17" s="95" t="s">
        <v>666</v>
      </c>
      <c r="B17" s="95">
        <v>20</v>
      </c>
      <c r="C17" s="95">
        <v>20622</v>
      </c>
      <c r="D17" s="100">
        <v>0.1</v>
      </c>
    </row>
    <row r="18" spans="1:4" x14ac:dyDescent="0.3">
      <c r="A18" s="95" t="s">
        <v>673</v>
      </c>
      <c r="B18" s="95">
        <v>100</v>
      </c>
      <c r="C18" s="95">
        <v>5811</v>
      </c>
      <c r="D18" s="100">
        <v>0.03</v>
      </c>
    </row>
    <row r="21" spans="1:4" x14ac:dyDescent="0.3">
      <c r="A21" s="98" t="s">
        <v>677</v>
      </c>
    </row>
    <row r="22" spans="1:4" x14ac:dyDescent="0.3">
      <c r="A22" s="95" t="s">
        <v>659</v>
      </c>
      <c r="B22" s="95" t="s">
        <v>660</v>
      </c>
    </row>
    <row r="23" spans="1:4" x14ac:dyDescent="0.3">
      <c r="A23" s="95" t="s">
        <v>675</v>
      </c>
      <c r="B23" s="95">
        <v>500000</v>
      </c>
    </row>
    <row r="24" spans="1:4" x14ac:dyDescent="0.3">
      <c r="A24" s="95" t="s">
        <v>663</v>
      </c>
      <c r="B24" s="95">
        <v>45000</v>
      </c>
    </row>
    <row r="25" spans="1:4" x14ac:dyDescent="0.3">
      <c r="A25" s="95" t="s">
        <v>664</v>
      </c>
      <c r="B25" s="95">
        <v>50000</v>
      </c>
    </row>
    <row r="26" spans="1:4" x14ac:dyDescent="0.3">
      <c r="A26" s="95" t="s">
        <v>665</v>
      </c>
      <c r="B26" s="95">
        <v>25000</v>
      </c>
    </row>
    <row r="27" spans="1:4" x14ac:dyDescent="0.3">
      <c r="A27" s="95" t="s">
        <v>666</v>
      </c>
      <c r="B27" s="95">
        <v>-50000</v>
      </c>
    </row>
    <row r="28" spans="1:4" x14ac:dyDescent="0.3">
      <c r="A28" s="95" t="s">
        <v>667</v>
      </c>
      <c r="B28" s="95">
        <v>-30000</v>
      </c>
    </row>
    <row r="29" spans="1:4" x14ac:dyDescent="0.3">
      <c r="A29" s="95" t="s">
        <v>668</v>
      </c>
      <c r="B29" s="95">
        <v>10000</v>
      </c>
    </row>
    <row r="30" spans="1:4" x14ac:dyDescent="0.3">
      <c r="A30" s="95" t="s">
        <v>676</v>
      </c>
      <c r="B30" s="95">
        <f>SUM(B23:B29)</f>
        <v>550000</v>
      </c>
    </row>
    <row r="36" spans="1:5" x14ac:dyDescent="0.3">
      <c r="A36" s="98" t="s">
        <v>690</v>
      </c>
    </row>
    <row r="37" spans="1:5" ht="14.4" x14ac:dyDescent="0.3">
      <c r="A37" s="185" t="s">
        <v>678</v>
      </c>
      <c r="B37" s="186"/>
      <c r="C37" s="186"/>
      <c r="D37" s="187"/>
      <c r="E37"/>
    </row>
    <row r="38" spans="1:5" ht="14.4" x14ac:dyDescent="0.3">
      <c r="A38" s="102" t="s">
        <v>679</v>
      </c>
      <c r="B38" s="102">
        <v>2011</v>
      </c>
      <c r="C38" s="102">
        <f>B38+1</f>
        <v>2012</v>
      </c>
      <c r="D38" s="102">
        <f>C38+1</f>
        <v>2013</v>
      </c>
      <c r="E38"/>
    </row>
    <row r="39" spans="1:5" ht="14.4" x14ac:dyDescent="0.3">
      <c r="A39" s="102" t="s">
        <v>680</v>
      </c>
      <c r="B39" s="102">
        <v>100</v>
      </c>
      <c r="C39" s="102">
        <v>120</v>
      </c>
      <c r="D39" s="102">
        <v>130</v>
      </c>
      <c r="E39"/>
    </row>
    <row r="40" spans="1:5" ht="14.4" x14ac:dyDescent="0.3">
      <c r="A40" s="102" t="s">
        <v>681</v>
      </c>
      <c r="B40" s="102">
        <v>125</v>
      </c>
      <c r="C40" s="102">
        <v>95</v>
      </c>
      <c r="D40" s="102">
        <v>100</v>
      </c>
      <c r="E40"/>
    </row>
    <row r="41" spans="1:5" ht="14.4" x14ac:dyDescent="0.3">
      <c r="A41" s="102" t="s">
        <v>682</v>
      </c>
      <c r="B41" s="102">
        <v>110</v>
      </c>
      <c r="C41" s="102">
        <v>160</v>
      </c>
      <c r="D41" s="102">
        <v>150</v>
      </c>
      <c r="E41"/>
    </row>
    <row r="42" spans="1:5" ht="28.8" x14ac:dyDescent="0.3">
      <c r="A42" s="102" t="s">
        <v>683</v>
      </c>
      <c r="B42" s="102">
        <v>100</v>
      </c>
      <c r="C42" s="102">
        <v>150</v>
      </c>
      <c r="D42" s="102">
        <v>125</v>
      </c>
      <c r="E42"/>
    </row>
    <row r="43" spans="1:5" x14ac:dyDescent="0.3">
      <c r="A43"/>
      <c r="B43"/>
      <c r="C43"/>
      <c r="D43"/>
      <c r="E43"/>
    </row>
    <row r="44" spans="1:5" x14ac:dyDescent="0.3">
      <c r="A44"/>
      <c r="B44"/>
      <c r="C44"/>
      <c r="D44"/>
      <c r="E44"/>
    </row>
    <row r="45" spans="1:5" ht="14.4" x14ac:dyDescent="0.3">
      <c r="A45" s="97" t="s">
        <v>684</v>
      </c>
      <c r="B45" s="97" t="s">
        <v>685</v>
      </c>
      <c r="C45" s="97" t="s">
        <v>686</v>
      </c>
      <c r="D45" s="97" t="s">
        <v>687</v>
      </c>
      <c r="E45" s="97" t="s">
        <v>688</v>
      </c>
    </row>
    <row r="46" spans="1:5" ht="14.4" x14ac:dyDescent="0.3">
      <c r="A46" s="102" t="s">
        <v>680</v>
      </c>
      <c r="B46" s="102">
        <f>MIN(B39:D39)</f>
        <v>100</v>
      </c>
      <c r="C46" s="102">
        <f>MAX(B39:D39)</f>
        <v>130</v>
      </c>
      <c r="D46" s="102">
        <f>C46-B46</f>
        <v>30</v>
      </c>
      <c r="E46" s="102">
        <f>AVERAGE(B46:C46)</f>
        <v>115</v>
      </c>
    </row>
    <row r="47" spans="1:5" ht="14.4" x14ac:dyDescent="0.3">
      <c r="A47" s="102" t="s">
        <v>681</v>
      </c>
      <c r="B47" s="102">
        <f>MIN(B40:D40)</f>
        <v>95</v>
      </c>
      <c r="C47" s="102">
        <f>MAX(B40:D40)</f>
        <v>125</v>
      </c>
      <c r="D47" s="102">
        <f t="shared" ref="D47:D49" si="1">C47-B47</f>
        <v>30</v>
      </c>
      <c r="E47" s="102">
        <f t="shared" ref="E47:E49" si="2">AVERAGE(B47:C47)</f>
        <v>110</v>
      </c>
    </row>
    <row r="48" spans="1:5" ht="14.4" x14ac:dyDescent="0.3">
      <c r="A48" s="102" t="s">
        <v>682</v>
      </c>
      <c r="B48" s="102">
        <f>MIN(B41:D41)</f>
        <v>110</v>
      </c>
      <c r="C48" s="102">
        <f>MAX(B41:D41)</f>
        <v>160</v>
      </c>
      <c r="D48" s="102">
        <f t="shared" si="1"/>
        <v>50</v>
      </c>
      <c r="E48" s="102">
        <f t="shared" si="2"/>
        <v>135</v>
      </c>
    </row>
    <row r="49" spans="1:5" ht="14.4" x14ac:dyDescent="0.3">
      <c r="A49" s="102" t="s">
        <v>689</v>
      </c>
      <c r="B49" s="102">
        <f>MIN(B42:D42)</f>
        <v>100</v>
      </c>
      <c r="C49" s="102">
        <f>MAX(B42:D42)</f>
        <v>150</v>
      </c>
      <c r="D49" s="102">
        <f t="shared" si="1"/>
        <v>50</v>
      </c>
      <c r="E49" s="102">
        <f t="shared" si="2"/>
        <v>125</v>
      </c>
    </row>
    <row r="50" spans="1:5" ht="14.4" x14ac:dyDescent="0.3">
      <c r="A50"/>
      <c r="B50"/>
      <c r="C50"/>
      <c r="D50"/>
      <c r="E50" s="103">
        <f>AVERAGE(E46:E49)</f>
        <v>121.25</v>
      </c>
    </row>
    <row r="53" spans="1:5" x14ac:dyDescent="0.3">
      <c r="A53" s="98" t="s">
        <v>693</v>
      </c>
    </row>
    <row r="55" spans="1:5" ht="43.2" x14ac:dyDescent="0.3">
      <c r="A55" s="97" t="s">
        <v>659</v>
      </c>
      <c r="B55" s="97" t="s">
        <v>691</v>
      </c>
      <c r="C55" s="97" t="s">
        <v>692</v>
      </c>
    </row>
    <row r="56" spans="1:5" ht="14.4" x14ac:dyDescent="0.3">
      <c r="A56" s="101" t="s">
        <v>663</v>
      </c>
      <c r="B56" s="99">
        <v>0.4</v>
      </c>
      <c r="C56" s="104">
        <v>0.4</v>
      </c>
    </row>
    <row r="57" spans="1:5" ht="28.8" x14ac:dyDescent="0.3">
      <c r="A57" s="101" t="s">
        <v>667</v>
      </c>
      <c r="B57" s="99">
        <v>7.0000000000000007E-2</v>
      </c>
      <c r="C57" s="104">
        <v>0.05</v>
      </c>
    </row>
    <row r="58" spans="1:5" ht="14.4" x14ac:dyDescent="0.3">
      <c r="A58" s="101" t="s">
        <v>664</v>
      </c>
      <c r="B58" s="99">
        <v>0.2</v>
      </c>
      <c r="C58" s="104">
        <v>0.15</v>
      </c>
    </row>
    <row r="59" spans="1:5" ht="14.4" x14ac:dyDescent="0.3">
      <c r="A59" s="101" t="s">
        <v>665</v>
      </c>
      <c r="B59" s="99">
        <v>0.15</v>
      </c>
      <c r="C59" s="104">
        <v>0.2</v>
      </c>
    </row>
    <row r="60" spans="1:5" ht="14.4" x14ac:dyDescent="0.3">
      <c r="A60" s="101" t="s">
        <v>666</v>
      </c>
      <c r="B60" s="99">
        <v>0.1</v>
      </c>
      <c r="C60" s="104">
        <v>0.15</v>
      </c>
    </row>
    <row r="61" spans="1:5" ht="14.4" x14ac:dyDescent="0.3">
      <c r="A61" s="101" t="s">
        <v>668</v>
      </c>
      <c r="B61" s="99">
        <v>0.08</v>
      </c>
      <c r="C61" s="104">
        <v>0.05</v>
      </c>
    </row>
  </sheetData>
  <mergeCells count="1">
    <mergeCell ref="A37:D37"/>
  </mergeCells>
  <pageMargins left="0.7" right="0.7" top="0.75" bottom="0.75" header="0.3" footer="0.3"/>
  <customProperties>
    <customPr name="LastActive"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8A2E-9830-4F16-A77B-9C8C9E8EBC27}">
  <dimension ref="A1:H28"/>
  <sheetViews>
    <sheetView showGridLines="0" zoomScale="120" workbookViewId="0">
      <selection activeCell="I16" sqref="I16"/>
    </sheetView>
  </sheetViews>
  <sheetFormatPr defaultRowHeight="13.2" x14ac:dyDescent="0.25"/>
  <cols>
    <col min="1" max="1" width="20.6640625" style="28" customWidth="1"/>
    <col min="2" max="2" width="12.6640625" style="28" customWidth="1"/>
    <col min="3" max="3" width="5.6640625" style="28" customWidth="1"/>
    <col min="4" max="256" width="9.109375" style="28"/>
    <col min="257" max="257" width="20.6640625" style="28" customWidth="1"/>
    <col min="258" max="258" width="12.6640625" style="28" customWidth="1"/>
    <col min="259" max="259" width="5.6640625" style="28" customWidth="1"/>
    <col min="260" max="512" width="9.109375" style="28"/>
    <col min="513" max="513" width="20.6640625" style="28" customWidth="1"/>
    <col min="514" max="514" width="12.6640625" style="28" customWidth="1"/>
    <col min="515" max="515" width="5.6640625" style="28" customWidth="1"/>
    <col min="516" max="768" width="9.109375" style="28"/>
    <col min="769" max="769" width="20.6640625" style="28" customWidth="1"/>
    <col min="770" max="770" width="12.6640625" style="28" customWidth="1"/>
    <col min="771" max="771" width="5.6640625" style="28" customWidth="1"/>
    <col min="772" max="1024" width="9.109375" style="28"/>
    <col min="1025" max="1025" width="20.6640625" style="28" customWidth="1"/>
    <col min="1026" max="1026" width="12.6640625" style="28" customWidth="1"/>
    <col min="1027" max="1027" width="5.6640625" style="28" customWidth="1"/>
    <col min="1028" max="1280" width="9.109375" style="28"/>
    <col min="1281" max="1281" width="20.6640625" style="28" customWidth="1"/>
    <col min="1282" max="1282" width="12.6640625" style="28" customWidth="1"/>
    <col min="1283" max="1283" width="5.6640625" style="28" customWidth="1"/>
    <col min="1284" max="1536" width="9.109375" style="28"/>
    <col min="1537" max="1537" width="20.6640625" style="28" customWidth="1"/>
    <col min="1538" max="1538" width="12.6640625" style="28" customWidth="1"/>
    <col min="1539" max="1539" width="5.6640625" style="28" customWidth="1"/>
    <col min="1540" max="1792" width="9.109375" style="28"/>
    <col min="1793" max="1793" width="20.6640625" style="28" customWidth="1"/>
    <col min="1794" max="1794" width="12.6640625" style="28" customWidth="1"/>
    <col min="1795" max="1795" width="5.6640625" style="28" customWidth="1"/>
    <col min="1796" max="2048" width="9.109375" style="28"/>
    <col min="2049" max="2049" width="20.6640625" style="28" customWidth="1"/>
    <col min="2050" max="2050" width="12.6640625" style="28" customWidth="1"/>
    <col min="2051" max="2051" width="5.6640625" style="28" customWidth="1"/>
    <col min="2052" max="2304" width="9.109375" style="28"/>
    <col min="2305" max="2305" width="20.6640625" style="28" customWidth="1"/>
    <col min="2306" max="2306" width="12.6640625" style="28" customWidth="1"/>
    <col min="2307" max="2307" width="5.6640625" style="28" customWidth="1"/>
    <col min="2308" max="2560" width="9.109375" style="28"/>
    <col min="2561" max="2561" width="20.6640625" style="28" customWidth="1"/>
    <col min="2562" max="2562" width="12.6640625" style="28" customWidth="1"/>
    <col min="2563" max="2563" width="5.6640625" style="28" customWidth="1"/>
    <col min="2564" max="2816" width="9.109375" style="28"/>
    <col min="2817" max="2817" width="20.6640625" style="28" customWidth="1"/>
    <col min="2818" max="2818" width="12.6640625" style="28" customWidth="1"/>
    <col min="2819" max="2819" width="5.6640625" style="28" customWidth="1"/>
    <col min="2820" max="3072" width="9.109375" style="28"/>
    <col min="3073" max="3073" width="20.6640625" style="28" customWidth="1"/>
    <col min="3074" max="3074" width="12.6640625" style="28" customWidth="1"/>
    <col min="3075" max="3075" width="5.6640625" style="28" customWidth="1"/>
    <col min="3076" max="3328" width="9.109375" style="28"/>
    <col min="3329" max="3329" width="20.6640625" style="28" customWidth="1"/>
    <col min="3330" max="3330" width="12.6640625" style="28" customWidth="1"/>
    <col min="3331" max="3331" width="5.6640625" style="28" customWidth="1"/>
    <col min="3332" max="3584" width="9.109375" style="28"/>
    <col min="3585" max="3585" width="20.6640625" style="28" customWidth="1"/>
    <col min="3586" max="3586" width="12.6640625" style="28" customWidth="1"/>
    <col min="3587" max="3587" width="5.6640625" style="28" customWidth="1"/>
    <col min="3588" max="3840" width="9.109375" style="28"/>
    <col min="3841" max="3841" width="20.6640625" style="28" customWidth="1"/>
    <col min="3842" max="3842" width="12.6640625" style="28" customWidth="1"/>
    <col min="3843" max="3843" width="5.6640625" style="28" customWidth="1"/>
    <col min="3844" max="4096" width="9.109375" style="28"/>
    <col min="4097" max="4097" width="20.6640625" style="28" customWidth="1"/>
    <col min="4098" max="4098" width="12.6640625" style="28" customWidth="1"/>
    <col min="4099" max="4099" width="5.6640625" style="28" customWidth="1"/>
    <col min="4100" max="4352" width="9.109375" style="28"/>
    <col min="4353" max="4353" width="20.6640625" style="28" customWidth="1"/>
    <col min="4354" max="4354" width="12.6640625" style="28" customWidth="1"/>
    <col min="4355" max="4355" width="5.6640625" style="28" customWidth="1"/>
    <col min="4356" max="4608" width="9.109375" style="28"/>
    <col min="4609" max="4609" width="20.6640625" style="28" customWidth="1"/>
    <col min="4610" max="4610" width="12.6640625" style="28" customWidth="1"/>
    <col min="4611" max="4611" width="5.6640625" style="28" customWidth="1"/>
    <col min="4612" max="4864" width="9.109375" style="28"/>
    <col min="4865" max="4865" width="20.6640625" style="28" customWidth="1"/>
    <col min="4866" max="4866" width="12.6640625" style="28" customWidth="1"/>
    <col min="4867" max="4867" width="5.6640625" style="28" customWidth="1"/>
    <col min="4868" max="5120" width="9.109375" style="28"/>
    <col min="5121" max="5121" width="20.6640625" style="28" customWidth="1"/>
    <col min="5122" max="5122" width="12.6640625" style="28" customWidth="1"/>
    <col min="5123" max="5123" width="5.6640625" style="28" customWidth="1"/>
    <col min="5124" max="5376" width="9.109375" style="28"/>
    <col min="5377" max="5377" width="20.6640625" style="28" customWidth="1"/>
    <col min="5378" max="5378" width="12.6640625" style="28" customWidth="1"/>
    <col min="5379" max="5379" width="5.6640625" style="28" customWidth="1"/>
    <col min="5380" max="5632" width="9.109375" style="28"/>
    <col min="5633" max="5633" width="20.6640625" style="28" customWidth="1"/>
    <col min="5634" max="5634" width="12.6640625" style="28" customWidth="1"/>
    <col min="5635" max="5635" width="5.6640625" style="28" customWidth="1"/>
    <col min="5636" max="5888" width="9.109375" style="28"/>
    <col min="5889" max="5889" width="20.6640625" style="28" customWidth="1"/>
    <col min="5890" max="5890" width="12.6640625" style="28" customWidth="1"/>
    <col min="5891" max="5891" width="5.6640625" style="28" customWidth="1"/>
    <col min="5892" max="6144" width="9.109375" style="28"/>
    <col min="6145" max="6145" width="20.6640625" style="28" customWidth="1"/>
    <col min="6146" max="6146" width="12.6640625" style="28" customWidth="1"/>
    <col min="6147" max="6147" width="5.6640625" style="28" customWidth="1"/>
    <col min="6148" max="6400" width="9.109375" style="28"/>
    <col min="6401" max="6401" width="20.6640625" style="28" customWidth="1"/>
    <col min="6402" max="6402" width="12.6640625" style="28" customWidth="1"/>
    <col min="6403" max="6403" width="5.6640625" style="28" customWidth="1"/>
    <col min="6404" max="6656" width="9.109375" style="28"/>
    <col min="6657" max="6657" width="20.6640625" style="28" customWidth="1"/>
    <col min="6658" max="6658" width="12.6640625" style="28" customWidth="1"/>
    <col min="6659" max="6659" width="5.6640625" style="28" customWidth="1"/>
    <col min="6660" max="6912" width="9.109375" style="28"/>
    <col min="6913" max="6913" width="20.6640625" style="28" customWidth="1"/>
    <col min="6914" max="6914" width="12.6640625" style="28" customWidth="1"/>
    <col min="6915" max="6915" width="5.6640625" style="28" customWidth="1"/>
    <col min="6916" max="7168" width="9.109375" style="28"/>
    <col min="7169" max="7169" width="20.6640625" style="28" customWidth="1"/>
    <col min="7170" max="7170" width="12.6640625" style="28" customWidth="1"/>
    <col min="7171" max="7171" width="5.6640625" style="28" customWidth="1"/>
    <col min="7172" max="7424" width="9.109375" style="28"/>
    <col min="7425" max="7425" width="20.6640625" style="28" customWidth="1"/>
    <col min="7426" max="7426" width="12.6640625" style="28" customWidth="1"/>
    <col min="7427" max="7427" width="5.6640625" style="28" customWidth="1"/>
    <col min="7428" max="7680" width="9.109375" style="28"/>
    <col min="7681" max="7681" width="20.6640625" style="28" customWidth="1"/>
    <col min="7682" max="7682" width="12.6640625" style="28" customWidth="1"/>
    <col min="7683" max="7683" width="5.6640625" style="28" customWidth="1"/>
    <col min="7684" max="7936" width="9.109375" style="28"/>
    <col min="7937" max="7937" width="20.6640625" style="28" customWidth="1"/>
    <col min="7938" max="7938" width="12.6640625" style="28" customWidth="1"/>
    <col min="7939" max="7939" width="5.6640625" style="28" customWidth="1"/>
    <col min="7940" max="8192" width="9.109375" style="28"/>
    <col min="8193" max="8193" width="20.6640625" style="28" customWidth="1"/>
    <col min="8194" max="8194" width="12.6640625" style="28" customWidth="1"/>
    <col min="8195" max="8195" width="5.6640625" style="28" customWidth="1"/>
    <col min="8196" max="8448" width="9.109375" style="28"/>
    <col min="8449" max="8449" width="20.6640625" style="28" customWidth="1"/>
    <col min="8450" max="8450" width="12.6640625" style="28" customWidth="1"/>
    <col min="8451" max="8451" width="5.6640625" style="28" customWidth="1"/>
    <col min="8452" max="8704" width="9.109375" style="28"/>
    <col min="8705" max="8705" width="20.6640625" style="28" customWidth="1"/>
    <col min="8706" max="8706" width="12.6640625" style="28" customWidth="1"/>
    <col min="8707" max="8707" width="5.6640625" style="28" customWidth="1"/>
    <col min="8708" max="8960" width="9.109375" style="28"/>
    <col min="8961" max="8961" width="20.6640625" style="28" customWidth="1"/>
    <col min="8962" max="8962" width="12.6640625" style="28" customWidth="1"/>
    <col min="8963" max="8963" width="5.6640625" style="28" customWidth="1"/>
    <col min="8964" max="9216" width="9.109375" style="28"/>
    <col min="9217" max="9217" width="20.6640625" style="28" customWidth="1"/>
    <col min="9218" max="9218" width="12.6640625" style="28" customWidth="1"/>
    <col min="9219" max="9219" width="5.6640625" style="28" customWidth="1"/>
    <col min="9220" max="9472" width="9.109375" style="28"/>
    <col min="9473" max="9473" width="20.6640625" style="28" customWidth="1"/>
    <col min="9474" max="9474" width="12.6640625" style="28" customWidth="1"/>
    <col min="9475" max="9475" width="5.6640625" style="28" customWidth="1"/>
    <col min="9476" max="9728" width="9.109375" style="28"/>
    <col min="9729" max="9729" width="20.6640625" style="28" customWidth="1"/>
    <col min="9730" max="9730" width="12.6640625" style="28" customWidth="1"/>
    <col min="9731" max="9731" width="5.6640625" style="28" customWidth="1"/>
    <col min="9732" max="9984" width="9.109375" style="28"/>
    <col min="9985" max="9985" width="20.6640625" style="28" customWidth="1"/>
    <col min="9986" max="9986" width="12.6640625" style="28" customWidth="1"/>
    <col min="9987" max="9987" width="5.6640625" style="28" customWidth="1"/>
    <col min="9988" max="10240" width="9.109375" style="28"/>
    <col min="10241" max="10241" width="20.6640625" style="28" customWidth="1"/>
    <col min="10242" max="10242" width="12.6640625" style="28" customWidth="1"/>
    <col min="10243" max="10243" width="5.6640625" style="28" customWidth="1"/>
    <col min="10244" max="10496" width="9.109375" style="28"/>
    <col min="10497" max="10497" width="20.6640625" style="28" customWidth="1"/>
    <col min="10498" max="10498" width="12.6640625" style="28" customWidth="1"/>
    <col min="10499" max="10499" width="5.6640625" style="28" customWidth="1"/>
    <col min="10500" max="10752" width="9.109375" style="28"/>
    <col min="10753" max="10753" width="20.6640625" style="28" customWidth="1"/>
    <col min="10754" max="10754" width="12.6640625" style="28" customWidth="1"/>
    <col min="10755" max="10755" width="5.6640625" style="28" customWidth="1"/>
    <col min="10756" max="11008" width="9.109375" style="28"/>
    <col min="11009" max="11009" width="20.6640625" style="28" customWidth="1"/>
    <col min="11010" max="11010" width="12.6640625" style="28" customWidth="1"/>
    <col min="11011" max="11011" width="5.6640625" style="28" customWidth="1"/>
    <col min="11012" max="11264" width="9.109375" style="28"/>
    <col min="11265" max="11265" width="20.6640625" style="28" customWidth="1"/>
    <col min="11266" max="11266" width="12.6640625" style="28" customWidth="1"/>
    <col min="11267" max="11267" width="5.6640625" style="28" customWidth="1"/>
    <col min="11268" max="11520" width="9.109375" style="28"/>
    <col min="11521" max="11521" width="20.6640625" style="28" customWidth="1"/>
    <col min="11522" max="11522" width="12.6640625" style="28" customWidth="1"/>
    <col min="11523" max="11523" width="5.6640625" style="28" customWidth="1"/>
    <col min="11524" max="11776" width="9.109375" style="28"/>
    <col min="11777" max="11777" width="20.6640625" style="28" customWidth="1"/>
    <col min="11778" max="11778" width="12.6640625" style="28" customWidth="1"/>
    <col min="11779" max="11779" width="5.6640625" style="28" customWidth="1"/>
    <col min="11780" max="12032" width="9.109375" style="28"/>
    <col min="12033" max="12033" width="20.6640625" style="28" customWidth="1"/>
    <col min="12034" max="12034" width="12.6640625" style="28" customWidth="1"/>
    <col min="12035" max="12035" width="5.6640625" style="28" customWidth="1"/>
    <col min="12036" max="12288" width="9.109375" style="28"/>
    <col min="12289" max="12289" width="20.6640625" style="28" customWidth="1"/>
    <col min="12290" max="12290" width="12.6640625" style="28" customWidth="1"/>
    <col min="12291" max="12291" width="5.6640625" style="28" customWidth="1"/>
    <col min="12292" max="12544" width="9.109375" style="28"/>
    <col min="12545" max="12545" width="20.6640625" style="28" customWidth="1"/>
    <col min="12546" max="12546" width="12.6640625" style="28" customWidth="1"/>
    <col min="12547" max="12547" width="5.6640625" style="28" customWidth="1"/>
    <col min="12548" max="12800" width="9.109375" style="28"/>
    <col min="12801" max="12801" width="20.6640625" style="28" customWidth="1"/>
    <col min="12802" max="12802" width="12.6640625" style="28" customWidth="1"/>
    <col min="12803" max="12803" width="5.6640625" style="28" customWidth="1"/>
    <col min="12804" max="13056" width="9.109375" style="28"/>
    <col min="13057" max="13057" width="20.6640625" style="28" customWidth="1"/>
    <col min="13058" max="13058" width="12.6640625" style="28" customWidth="1"/>
    <col min="13059" max="13059" width="5.6640625" style="28" customWidth="1"/>
    <col min="13060" max="13312" width="9.109375" style="28"/>
    <col min="13313" max="13313" width="20.6640625" style="28" customWidth="1"/>
    <col min="13314" max="13314" width="12.6640625" style="28" customWidth="1"/>
    <col min="13315" max="13315" width="5.6640625" style="28" customWidth="1"/>
    <col min="13316" max="13568" width="9.109375" style="28"/>
    <col min="13569" max="13569" width="20.6640625" style="28" customWidth="1"/>
    <col min="13570" max="13570" width="12.6640625" style="28" customWidth="1"/>
    <col min="13571" max="13571" width="5.6640625" style="28" customWidth="1"/>
    <col min="13572" max="13824" width="9.109375" style="28"/>
    <col min="13825" max="13825" width="20.6640625" style="28" customWidth="1"/>
    <col min="13826" max="13826" width="12.6640625" style="28" customWidth="1"/>
    <col min="13827" max="13827" width="5.6640625" style="28" customWidth="1"/>
    <col min="13828" max="14080" width="9.109375" style="28"/>
    <col min="14081" max="14081" width="20.6640625" style="28" customWidth="1"/>
    <col min="14082" max="14082" width="12.6640625" style="28" customWidth="1"/>
    <col min="14083" max="14083" width="5.6640625" style="28" customWidth="1"/>
    <col min="14084" max="14336" width="9.109375" style="28"/>
    <col min="14337" max="14337" width="20.6640625" style="28" customWidth="1"/>
    <col min="14338" max="14338" width="12.6640625" style="28" customWidth="1"/>
    <col min="14339" max="14339" width="5.6640625" style="28" customWidth="1"/>
    <col min="14340" max="14592" width="9.109375" style="28"/>
    <col min="14593" max="14593" width="20.6640625" style="28" customWidth="1"/>
    <col min="14594" max="14594" width="12.6640625" style="28" customWidth="1"/>
    <col min="14595" max="14595" width="5.6640625" style="28" customWidth="1"/>
    <col min="14596" max="14848" width="9.109375" style="28"/>
    <col min="14849" max="14849" width="20.6640625" style="28" customWidth="1"/>
    <col min="14850" max="14850" width="12.6640625" style="28" customWidth="1"/>
    <col min="14851" max="14851" width="5.6640625" style="28" customWidth="1"/>
    <col min="14852" max="15104" width="9.109375" style="28"/>
    <col min="15105" max="15105" width="20.6640625" style="28" customWidth="1"/>
    <col min="15106" max="15106" width="12.6640625" style="28" customWidth="1"/>
    <col min="15107" max="15107" width="5.6640625" style="28" customWidth="1"/>
    <col min="15108" max="15360" width="9.109375" style="28"/>
    <col min="15361" max="15361" width="20.6640625" style="28" customWidth="1"/>
    <col min="15362" max="15362" width="12.6640625" style="28" customWidth="1"/>
    <col min="15363" max="15363" width="5.6640625" style="28" customWidth="1"/>
    <col min="15364" max="15616" width="9.109375" style="28"/>
    <col min="15617" max="15617" width="20.6640625" style="28" customWidth="1"/>
    <col min="15618" max="15618" width="12.6640625" style="28" customWidth="1"/>
    <col min="15619" max="15619" width="5.6640625" style="28" customWidth="1"/>
    <col min="15620" max="15872" width="9.109375" style="28"/>
    <col min="15873" max="15873" width="20.6640625" style="28" customWidth="1"/>
    <col min="15874" max="15874" width="12.6640625" style="28" customWidth="1"/>
    <col min="15875" max="15875" width="5.6640625" style="28" customWidth="1"/>
    <col min="15876" max="16128" width="9.109375" style="28"/>
    <col min="16129" max="16129" width="20.6640625" style="28" customWidth="1"/>
    <col min="16130" max="16130" width="12.6640625" style="28" customWidth="1"/>
    <col min="16131" max="16131" width="5.6640625" style="28" customWidth="1"/>
    <col min="16132" max="16384" width="9.109375" style="28"/>
  </cols>
  <sheetData>
    <row r="1" spans="1:8" ht="18" x14ac:dyDescent="0.25">
      <c r="A1" s="188" t="s">
        <v>595</v>
      </c>
      <c r="B1" s="189"/>
    </row>
    <row r="2" spans="1:8" ht="15" customHeight="1" x14ac:dyDescent="0.25">
      <c r="A2" s="190" t="s">
        <v>596</v>
      </c>
      <c r="B2" s="191"/>
    </row>
    <row r="3" spans="1:8" ht="15" customHeight="1" x14ac:dyDescent="0.25">
      <c r="A3" s="60" t="s">
        <v>597</v>
      </c>
      <c r="B3" s="61">
        <v>57</v>
      </c>
    </row>
    <row r="4" spans="1:8" ht="15" customHeight="1" x14ac:dyDescent="0.25">
      <c r="A4" s="60" t="s">
        <v>598</v>
      </c>
      <c r="B4" s="62">
        <v>9.75</v>
      </c>
    </row>
    <row r="5" spans="1:8" ht="15" customHeight="1" x14ac:dyDescent="0.25">
      <c r="A5" s="60" t="s">
        <v>599</v>
      </c>
      <c r="B5" s="63">
        <v>40</v>
      </c>
    </row>
    <row r="6" spans="1:8" ht="15" customHeight="1" x14ac:dyDescent="0.25">
      <c r="A6" s="60" t="s">
        <v>600</v>
      </c>
      <c r="B6" s="64">
        <v>52</v>
      </c>
    </row>
    <row r="7" spans="1:8" ht="15" customHeight="1" x14ac:dyDescent="0.25">
      <c r="A7" s="60" t="s">
        <v>601</v>
      </c>
      <c r="B7" s="65">
        <v>0.14799999999999999</v>
      </c>
    </row>
    <row r="8" spans="1:8" ht="15" customHeight="1" x14ac:dyDescent="0.25">
      <c r="A8" s="190" t="s">
        <v>602</v>
      </c>
      <c r="B8" s="192"/>
    </row>
    <row r="9" spans="1:8" ht="15" customHeight="1" x14ac:dyDescent="0.25">
      <c r="A9" s="60" t="s">
        <v>603</v>
      </c>
      <c r="B9" s="66">
        <f>B3*B4*B5*B6</f>
        <v>1155960</v>
      </c>
    </row>
    <row r="10" spans="1:8" ht="15" customHeight="1" x14ac:dyDescent="0.25">
      <c r="A10" s="60" t="s">
        <v>604</v>
      </c>
      <c r="B10" s="67">
        <f>B9*B7</f>
        <v>171082.08</v>
      </c>
    </row>
    <row r="11" spans="1:8" ht="15" customHeight="1" thickBot="1" x14ac:dyDescent="0.3">
      <c r="A11" s="68" t="s">
        <v>605</v>
      </c>
      <c r="B11" s="69">
        <f>B9+B10</f>
        <v>1327042.08</v>
      </c>
    </row>
    <row r="12" spans="1:8" ht="15" customHeight="1" x14ac:dyDescent="0.25"/>
    <row r="13" spans="1:8" ht="15" customHeight="1" x14ac:dyDescent="0.25"/>
    <row r="14" spans="1:8" ht="15" customHeight="1" thickBot="1" x14ac:dyDescent="0.3">
      <c r="A14" s="70" t="s">
        <v>606</v>
      </c>
      <c r="B14" s="71"/>
      <c r="C14" s="71"/>
      <c r="D14" s="71"/>
      <c r="E14" s="71"/>
      <c r="F14" s="71"/>
      <c r="G14" s="71"/>
      <c r="H14" s="71"/>
    </row>
    <row r="15" spans="1:8" ht="15" customHeight="1" x14ac:dyDescent="0.25"/>
    <row r="16" spans="1:8"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sheetData>
  <mergeCells count="3">
    <mergeCell ref="A1:B1"/>
    <mergeCell ref="A2:B2"/>
    <mergeCell ref="A8:B8"/>
  </mergeCells>
  <pageMargins left="0.75" right="0.75" top="1" bottom="1" header="0.5" footer="0.5"/>
  <pageSetup orientation="portrait" horizontalDpi="180" verticalDpi="180" r:id="rId1"/>
  <headerFooter alignWithMargins="0"/>
  <customProperties>
    <customPr name="LastActive"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43A1B-0DC8-41E9-ADB2-9BDCF3B92D98}">
  <dimension ref="A1:B15"/>
  <sheetViews>
    <sheetView showGridLines="0" workbookViewId="0">
      <selection activeCell="I21" sqref="I21"/>
    </sheetView>
  </sheetViews>
  <sheetFormatPr defaultRowHeight="12.6" x14ac:dyDescent="0.25"/>
  <cols>
    <col min="1" max="1" width="42.88671875" bestFit="1" customWidth="1"/>
    <col min="2" max="2" width="9.88671875" customWidth="1"/>
  </cols>
  <sheetData>
    <row r="1" spans="1:2" ht="14.4" x14ac:dyDescent="0.3">
      <c r="A1" s="77" t="s">
        <v>621</v>
      </c>
      <c r="B1" s="77"/>
    </row>
    <row r="4" spans="1:2" ht="14.4" x14ac:dyDescent="0.3">
      <c r="A4" s="78" t="s">
        <v>622</v>
      </c>
      <c r="B4" s="79">
        <v>15</v>
      </c>
    </row>
    <row r="5" spans="1:2" ht="14.4" x14ac:dyDescent="0.3">
      <c r="A5" s="78" t="s">
        <v>623</v>
      </c>
      <c r="B5" s="80">
        <v>2000</v>
      </c>
    </row>
    <row r="6" spans="1:2" ht="14.4" x14ac:dyDescent="0.3">
      <c r="A6" s="81" t="s">
        <v>624</v>
      </c>
      <c r="B6" s="82">
        <f>B4*B5</f>
        <v>30000</v>
      </c>
    </row>
    <row r="7" spans="1:2" ht="14.4" x14ac:dyDescent="0.3">
      <c r="A7" s="83"/>
      <c r="B7" s="84"/>
    </row>
    <row r="8" spans="1:2" ht="14.4" x14ac:dyDescent="0.3">
      <c r="A8" s="78" t="s">
        <v>625</v>
      </c>
      <c r="B8" s="85">
        <f>B6*B15/100</f>
        <v>15000</v>
      </c>
    </row>
    <row r="9" spans="1:2" ht="14.4" x14ac:dyDescent="0.3">
      <c r="A9" s="78" t="s">
        <v>626</v>
      </c>
      <c r="B9" s="85">
        <v>20000</v>
      </c>
    </row>
    <row r="10" spans="1:2" ht="14.4" x14ac:dyDescent="0.3">
      <c r="A10" s="81" t="s">
        <v>627</v>
      </c>
      <c r="B10" s="86">
        <f>SUM(B8:B9)</f>
        <v>35000</v>
      </c>
    </row>
    <row r="11" spans="1:2" ht="14.4" x14ac:dyDescent="0.3">
      <c r="A11" s="83"/>
      <c r="B11" s="87"/>
    </row>
    <row r="12" spans="1:2" ht="14.4" x14ac:dyDescent="0.3">
      <c r="A12" s="81" t="s">
        <v>628</v>
      </c>
      <c r="B12" s="86">
        <f>B6-B10</f>
        <v>-5000</v>
      </c>
    </row>
    <row r="13" spans="1:2" ht="14.4" x14ac:dyDescent="0.3">
      <c r="A13" s="88"/>
      <c r="B13" s="89"/>
    </row>
    <row r="14" spans="1:2" ht="14.4" x14ac:dyDescent="0.3">
      <c r="A14" s="90"/>
      <c r="B14" s="90"/>
    </row>
    <row r="15" spans="1:2" ht="14.4" x14ac:dyDescent="0.3">
      <c r="A15" s="78" t="s">
        <v>629</v>
      </c>
      <c r="B15" s="91">
        <v>50</v>
      </c>
    </row>
  </sheetData>
  <pageMargins left="0.7" right="0.7" top="0.75" bottom="0.75" header="0.3" footer="0.3"/>
  <customProperties>
    <customPr name="LastActive"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129F-FF5C-4992-A743-E3D3386BF056}">
  <dimension ref="A1:F14"/>
  <sheetViews>
    <sheetView showGridLines="0" workbookViewId="0">
      <selection activeCell="I16" sqref="I16"/>
    </sheetView>
  </sheetViews>
  <sheetFormatPr defaultRowHeight="15.6" x14ac:dyDescent="0.3"/>
  <cols>
    <col min="1" max="1" width="12.6640625" style="73" customWidth="1"/>
    <col min="2" max="2" width="10.6640625" style="73" bestFit="1" customWidth="1"/>
    <col min="3" max="6" width="6.109375" style="73" customWidth="1"/>
    <col min="7" max="8" width="10.33203125" style="73" customWidth="1"/>
    <col min="9" max="256" width="9.109375" style="73"/>
    <col min="257" max="257" width="12.6640625" style="73" customWidth="1"/>
    <col min="258" max="258" width="10.6640625" style="73" bestFit="1" customWidth="1"/>
    <col min="259" max="262" width="6.109375" style="73" customWidth="1"/>
    <col min="263" max="264" width="10.33203125" style="73" customWidth="1"/>
    <col min="265" max="512" width="9.109375" style="73"/>
    <col min="513" max="513" width="12.6640625" style="73" customWidth="1"/>
    <col min="514" max="514" width="10.6640625" style="73" bestFit="1" customWidth="1"/>
    <col min="515" max="518" width="6.109375" style="73" customWidth="1"/>
    <col min="519" max="520" width="10.33203125" style="73" customWidth="1"/>
    <col min="521" max="768" width="9.109375" style="73"/>
    <col min="769" max="769" width="12.6640625" style="73" customWidth="1"/>
    <col min="770" max="770" width="10.6640625" style="73" bestFit="1" customWidth="1"/>
    <col min="771" max="774" width="6.109375" style="73" customWidth="1"/>
    <col min="775" max="776" width="10.33203125" style="73" customWidth="1"/>
    <col min="777" max="1024" width="9.109375" style="73"/>
    <col min="1025" max="1025" width="12.6640625" style="73" customWidth="1"/>
    <col min="1026" max="1026" width="10.6640625" style="73" bestFit="1" customWidth="1"/>
    <col min="1027" max="1030" width="6.109375" style="73" customWidth="1"/>
    <col min="1031" max="1032" width="10.33203125" style="73" customWidth="1"/>
    <col min="1033" max="1280" width="9.109375" style="73"/>
    <col min="1281" max="1281" width="12.6640625" style="73" customWidth="1"/>
    <col min="1282" max="1282" width="10.6640625" style="73" bestFit="1" customWidth="1"/>
    <col min="1283" max="1286" width="6.109375" style="73" customWidth="1"/>
    <col min="1287" max="1288" width="10.33203125" style="73" customWidth="1"/>
    <col min="1289" max="1536" width="9.109375" style="73"/>
    <col min="1537" max="1537" width="12.6640625" style="73" customWidth="1"/>
    <col min="1538" max="1538" width="10.6640625" style="73" bestFit="1" customWidth="1"/>
    <col min="1539" max="1542" width="6.109375" style="73" customWidth="1"/>
    <col min="1543" max="1544" width="10.33203125" style="73" customWidth="1"/>
    <col min="1545" max="1792" width="9.109375" style="73"/>
    <col min="1793" max="1793" width="12.6640625" style="73" customWidth="1"/>
    <col min="1794" max="1794" width="10.6640625" style="73" bestFit="1" customWidth="1"/>
    <col min="1795" max="1798" width="6.109375" style="73" customWidth="1"/>
    <col min="1799" max="1800" width="10.33203125" style="73" customWidth="1"/>
    <col min="1801" max="2048" width="9.109375" style="73"/>
    <col min="2049" max="2049" width="12.6640625" style="73" customWidth="1"/>
    <col min="2050" max="2050" width="10.6640625" style="73" bestFit="1" customWidth="1"/>
    <col min="2051" max="2054" width="6.109375" style="73" customWidth="1"/>
    <col min="2055" max="2056" width="10.33203125" style="73" customWidth="1"/>
    <col min="2057" max="2304" width="9.109375" style="73"/>
    <col min="2305" max="2305" width="12.6640625" style="73" customWidth="1"/>
    <col min="2306" max="2306" width="10.6640625" style="73" bestFit="1" customWidth="1"/>
    <col min="2307" max="2310" width="6.109375" style="73" customWidth="1"/>
    <col min="2311" max="2312" width="10.33203125" style="73" customWidth="1"/>
    <col min="2313" max="2560" width="9.109375" style="73"/>
    <col min="2561" max="2561" width="12.6640625" style="73" customWidth="1"/>
    <col min="2562" max="2562" width="10.6640625" style="73" bestFit="1" customWidth="1"/>
    <col min="2563" max="2566" width="6.109375" style="73" customWidth="1"/>
    <col min="2567" max="2568" width="10.33203125" style="73" customWidth="1"/>
    <col min="2569" max="2816" width="9.109375" style="73"/>
    <col min="2817" max="2817" width="12.6640625" style="73" customWidth="1"/>
    <col min="2818" max="2818" width="10.6640625" style="73" bestFit="1" customWidth="1"/>
    <col min="2819" max="2822" width="6.109375" style="73" customWidth="1"/>
    <col min="2823" max="2824" width="10.33203125" style="73" customWidth="1"/>
    <col min="2825" max="3072" width="9.109375" style="73"/>
    <col min="3073" max="3073" width="12.6640625" style="73" customWidth="1"/>
    <col min="3074" max="3074" width="10.6640625" style="73" bestFit="1" customWidth="1"/>
    <col min="3075" max="3078" width="6.109375" style="73" customWidth="1"/>
    <col min="3079" max="3080" width="10.33203125" style="73" customWidth="1"/>
    <col min="3081" max="3328" width="9.109375" style="73"/>
    <col min="3329" max="3329" width="12.6640625" style="73" customWidth="1"/>
    <col min="3330" max="3330" width="10.6640625" style="73" bestFit="1" customWidth="1"/>
    <col min="3331" max="3334" width="6.109375" style="73" customWidth="1"/>
    <col min="3335" max="3336" width="10.33203125" style="73" customWidth="1"/>
    <col min="3337" max="3584" width="9.109375" style="73"/>
    <col min="3585" max="3585" width="12.6640625" style="73" customWidth="1"/>
    <col min="3586" max="3586" width="10.6640625" style="73" bestFit="1" customWidth="1"/>
    <col min="3587" max="3590" width="6.109375" style="73" customWidth="1"/>
    <col min="3591" max="3592" width="10.33203125" style="73" customWidth="1"/>
    <col min="3593" max="3840" width="9.109375" style="73"/>
    <col min="3841" max="3841" width="12.6640625" style="73" customWidth="1"/>
    <col min="3842" max="3842" width="10.6640625" style="73" bestFit="1" customWidth="1"/>
    <col min="3843" max="3846" width="6.109375" style="73" customWidth="1"/>
    <col min="3847" max="3848" width="10.33203125" style="73" customWidth="1"/>
    <col min="3849" max="4096" width="9.109375" style="73"/>
    <col min="4097" max="4097" width="12.6640625" style="73" customWidth="1"/>
    <col min="4098" max="4098" width="10.6640625" style="73" bestFit="1" customWidth="1"/>
    <col min="4099" max="4102" width="6.109375" style="73" customWidth="1"/>
    <col min="4103" max="4104" width="10.33203125" style="73" customWidth="1"/>
    <col min="4105" max="4352" width="9.109375" style="73"/>
    <col min="4353" max="4353" width="12.6640625" style="73" customWidth="1"/>
    <col min="4354" max="4354" width="10.6640625" style="73" bestFit="1" customWidth="1"/>
    <col min="4355" max="4358" width="6.109375" style="73" customWidth="1"/>
    <col min="4359" max="4360" width="10.33203125" style="73" customWidth="1"/>
    <col min="4361" max="4608" width="9.109375" style="73"/>
    <col min="4609" max="4609" width="12.6640625" style="73" customWidth="1"/>
    <col min="4610" max="4610" width="10.6640625" style="73" bestFit="1" customWidth="1"/>
    <col min="4611" max="4614" width="6.109375" style="73" customWidth="1"/>
    <col min="4615" max="4616" width="10.33203125" style="73" customWidth="1"/>
    <col min="4617" max="4864" width="9.109375" style="73"/>
    <col min="4865" max="4865" width="12.6640625" style="73" customWidth="1"/>
    <col min="4866" max="4866" width="10.6640625" style="73" bestFit="1" customWidth="1"/>
    <col min="4867" max="4870" width="6.109375" style="73" customWidth="1"/>
    <col min="4871" max="4872" width="10.33203125" style="73" customWidth="1"/>
    <col min="4873" max="5120" width="9.109375" style="73"/>
    <col min="5121" max="5121" width="12.6640625" style="73" customWidth="1"/>
    <col min="5122" max="5122" width="10.6640625" style="73" bestFit="1" customWidth="1"/>
    <col min="5123" max="5126" width="6.109375" style="73" customWidth="1"/>
    <col min="5127" max="5128" width="10.33203125" style="73" customWidth="1"/>
    <col min="5129" max="5376" width="9.109375" style="73"/>
    <col min="5377" max="5377" width="12.6640625" style="73" customWidth="1"/>
    <col min="5378" max="5378" width="10.6640625" style="73" bestFit="1" customWidth="1"/>
    <col min="5379" max="5382" width="6.109375" style="73" customWidth="1"/>
    <col min="5383" max="5384" width="10.33203125" style="73" customWidth="1"/>
    <col min="5385" max="5632" width="9.109375" style="73"/>
    <col min="5633" max="5633" width="12.6640625" style="73" customWidth="1"/>
    <col min="5634" max="5634" width="10.6640625" style="73" bestFit="1" customWidth="1"/>
    <col min="5635" max="5638" width="6.109375" style="73" customWidth="1"/>
    <col min="5639" max="5640" width="10.33203125" style="73" customWidth="1"/>
    <col min="5641" max="5888" width="9.109375" style="73"/>
    <col min="5889" max="5889" width="12.6640625" style="73" customWidth="1"/>
    <col min="5890" max="5890" width="10.6640625" style="73" bestFit="1" customWidth="1"/>
    <col min="5891" max="5894" width="6.109375" style="73" customWidth="1"/>
    <col min="5895" max="5896" width="10.33203125" style="73" customWidth="1"/>
    <col min="5897" max="6144" width="9.109375" style="73"/>
    <col min="6145" max="6145" width="12.6640625" style="73" customWidth="1"/>
    <col min="6146" max="6146" width="10.6640625" style="73" bestFit="1" customWidth="1"/>
    <col min="6147" max="6150" width="6.109375" style="73" customWidth="1"/>
    <col min="6151" max="6152" width="10.33203125" style="73" customWidth="1"/>
    <col min="6153" max="6400" width="9.109375" style="73"/>
    <col min="6401" max="6401" width="12.6640625" style="73" customWidth="1"/>
    <col min="6402" max="6402" width="10.6640625" style="73" bestFit="1" customWidth="1"/>
    <col min="6403" max="6406" width="6.109375" style="73" customWidth="1"/>
    <col min="6407" max="6408" width="10.33203125" style="73" customWidth="1"/>
    <col min="6409" max="6656" width="9.109375" style="73"/>
    <col min="6657" max="6657" width="12.6640625" style="73" customWidth="1"/>
    <col min="6658" max="6658" width="10.6640625" style="73" bestFit="1" customWidth="1"/>
    <col min="6659" max="6662" width="6.109375" style="73" customWidth="1"/>
    <col min="6663" max="6664" width="10.33203125" style="73" customWidth="1"/>
    <col min="6665" max="6912" width="9.109375" style="73"/>
    <col min="6913" max="6913" width="12.6640625" style="73" customWidth="1"/>
    <col min="6914" max="6914" width="10.6640625" style="73" bestFit="1" customWidth="1"/>
    <col min="6915" max="6918" width="6.109375" style="73" customWidth="1"/>
    <col min="6919" max="6920" width="10.33203125" style="73" customWidth="1"/>
    <col min="6921" max="7168" width="9.109375" style="73"/>
    <col min="7169" max="7169" width="12.6640625" style="73" customWidth="1"/>
    <col min="7170" max="7170" width="10.6640625" style="73" bestFit="1" customWidth="1"/>
    <col min="7171" max="7174" width="6.109375" style="73" customWidth="1"/>
    <col min="7175" max="7176" width="10.33203125" style="73" customWidth="1"/>
    <col min="7177" max="7424" width="9.109375" style="73"/>
    <col min="7425" max="7425" width="12.6640625" style="73" customWidth="1"/>
    <col min="7426" max="7426" width="10.6640625" style="73" bestFit="1" customWidth="1"/>
    <col min="7427" max="7430" width="6.109375" style="73" customWidth="1"/>
    <col min="7431" max="7432" width="10.33203125" style="73" customWidth="1"/>
    <col min="7433" max="7680" width="9.109375" style="73"/>
    <col min="7681" max="7681" width="12.6640625" style="73" customWidth="1"/>
    <col min="7682" max="7682" width="10.6640625" style="73" bestFit="1" customWidth="1"/>
    <col min="7683" max="7686" width="6.109375" style="73" customWidth="1"/>
    <col min="7687" max="7688" width="10.33203125" style="73" customWidth="1"/>
    <col min="7689" max="7936" width="9.109375" style="73"/>
    <col min="7937" max="7937" width="12.6640625" style="73" customWidth="1"/>
    <col min="7938" max="7938" width="10.6640625" style="73" bestFit="1" customWidth="1"/>
    <col min="7939" max="7942" width="6.109375" style="73" customWidth="1"/>
    <col min="7943" max="7944" width="10.33203125" style="73" customWidth="1"/>
    <col min="7945" max="8192" width="9.109375" style="73"/>
    <col min="8193" max="8193" width="12.6640625" style="73" customWidth="1"/>
    <col min="8194" max="8194" width="10.6640625" style="73" bestFit="1" customWidth="1"/>
    <col min="8195" max="8198" width="6.109375" style="73" customWidth="1"/>
    <col min="8199" max="8200" width="10.33203125" style="73" customWidth="1"/>
    <col min="8201" max="8448" width="9.109375" style="73"/>
    <col min="8449" max="8449" width="12.6640625" style="73" customWidth="1"/>
    <col min="8450" max="8450" width="10.6640625" style="73" bestFit="1" customWidth="1"/>
    <col min="8451" max="8454" width="6.109375" style="73" customWidth="1"/>
    <col min="8455" max="8456" width="10.33203125" style="73" customWidth="1"/>
    <col min="8457" max="8704" width="9.109375" style="73"/>
    <col min="8705" max="8705" width="12.6640625" style="73" customWidth="1"/>
    <col min="8706" max="8706" width="10.6640625" style="73" bestFit="1" customWidth="1"/>
    <col min="8707" max="8710" width="6.109375" style="73" customWidth="1"/>
    <col min="8711" max="8712" width="10.33203125" style="73" customWidth="1"/>
    <col min="8713" max="8960" width="9.109375" style="73"/>
    <col min="8961" max="8961" width="12.6640625" style="73" customWidth="1"/>
    <col min="8962" max="8962" width="10.6640625" style="73" bestFit="1" customWidth="1"/>
    <col min="8963" max="8966" width="6.109375" style="73" customWidth="1"/>
    <col min="8967" max="8968" width="10.33203125" style="73" customWidth="1"/>
    <col min="8969" max="9216" width="9.109375" style="73"/>
    <col min="9217" max="9217" width="12.6640625" style="73" customWidth="1"/>
    <col min="9218" max="9218" width="10.6640625" style="73" bestFit="1" customWidth="1"/>
    <col min="9219" max="9222" width="6.109375" style="73" customWidth="1"/>
    <col min="9223" max="9224" width="10.33203125" style="73" customWidth="1"/>
    <col min="9225" max="9472" width="9.109375" style="73"/>
    <col min="9473" max="9473" width="12.6640625" style="73" customWidth="1"/>
    <col min="9474" max="9474" width="10.6640625" style="73" bestFit="1" customWidth="1"/>
    <col min="9475" max="9478" width="6.109375" style="73" customWidth="1"/>
    <col min="9479" max="9480" width="10.33203125" style="73" customWidth="1"/>
    <col min="9481" max="9728" width="9.109375" style="73"/>
    <col min="9729" max="9729" width="12.6640625" style="73" customWidth="1"/>
    <col min="9730" max="9730" width="10.6640625" style="73" bestFit="1" customWidth="1"/>
    <col min="9731" max="9734" width="6.109375" style="73" customWidth="1"/>
    <col min="9735" max="9736" width="10.33203125" style="73" customWidth="1"/>
    <col min="9737" max="9984" width="9.109375" style="73"/>
    <col min="9985" max="9985" width="12.6640625" style="73" customWidth="1"/>
    <col min="9986" max="9986" width="10.6640625" style="73" bestFit="1" customWidth="1"/>
    <col min="9987" max="9990" width="6.109375" style="73" customWidth="1"/>
    <col min="9991" max="9992" width="10.33203125" style="73" customWidth="1"/>
    <col min="9993" max="10240" width="9.109375" style="73"/>
    <col min="10241" max="10241" width="12.6640625" style="73" customWidth="1"/>
    <col min="10242" max="10242" width="10.6640625" style="73" bestFit="1" customWidth="1"/>
    <col min="10243" max="10246" width="6.109375" style="73" customWidth="1"/>
    <col min="10247" max="10248" width="10.33203125" style="73" customWidth="1"/>
    <col min="10249" max="10496" width="9.109375" style="73"/>
    <col min="10497" max="10497" width="12.6640625" style="73" customWidth="1"/>
    <col min="10498" max="10498" width="10.6640625" style="73" bestFit="1" customWidth="1"/>
    <col min="10499" max="10502" width="6.109375" style="73" customWidth="1"/>
    <col min="10503" max="10504" width="10.33203125" style="73" customWidth="1"/>
    <col min="10505" max="10752" width="9.109375" style="73"/>
    <col min="10753" max="10753" width="12.6640625" style="73" customWidth="1"/>
    <col min="10754" max="10754" width="10.6640625" style="73" bestFit="1" customWidth="1"/>
    <col min="10755" max="10758" width="6.109375" style="73" customWidth="1"/>
    <col min="10759" max="10760" width="10.33203125" style="73" customWidth="1"/>
    <col min="10761" max="11008" width="9.109375" style="73"/>
    <col min="11009" max="11009" width="12.6640625" style="73" customWidth="1"/>
    <col min="11010" max="11010" width="10.6640625" style="73" bestFit="1" customWidth="1"/>
    <col min="11011" max="11014" width="6.109375" style="73" customWidth="1"/>
    <col min="11015" max="11016" width="10.33203125" style="73" customWidth="1"/>
    <col min="11017" max="11264" width="9.109375" style="73"/>
    <col min="11265" max="11265" width="12.6640625" style="73" customWidth="1"/>
    <col min="11266" max="11266" width="10.6640625" style="73" bestFit="1" customWidth="1"/>
    <col min="11267" max="11270" width="6.109375" style="73" customWidth="1"/>
    <col min="11271" max="11272" width="10.33203125" style="73" customWidth="1"/>
    <col min="11273" max="11520" width="9.109375" style="73"/>
    <col min="11521" max="11521" width="12.6640625" style="73" customWidth="1"/>
    <col min="11522" max="11522" width="10.6640625" style="73" bestFit="1" customWidth="1"/>
    <col min="11523" max="11526" width="6.109375" style="73" customWidth="1"/>
    <col min="11527" max="11528" width="10.33203125" style="73" customWidth="1"/>
    <col min="11529" max="11776" width="9.109375" style="73"/>
    <col min="11777" max="11777" width="12.6640625" style="73" customWidth="1"/>
    <col min="11778" max="11778" width="10.6640625" style="73" bestFit="1" customWidth="1"/>
    <col min="11779" max="11782" width="6.109375" style="73" customWidth="1"/>
    <col min="11783" max="11784" width="10.33203125" style="73" customWidth="1"/>
    <col min="11785" max="12032" width="9.109375" style="73"/>
    <col min="12033" max="12033" width="12.6640625" style="73" customWidth="1"/>
    <col min="12034" max="12034" width="10.6640625" style="73" bestFit="1" customWidth="1"/>
    <col min="12035" max="12038" width="6.109375" style="73" customWidth="1"/>
    <col min="12039" max="12040" width="10.33203125" style="73" customWidth="1"/>
    <col min="12041" max="12288" width="9.109375" style="73"/>
    <col min="12289" max="12289" width="12.6640625" style="73" customWidth="1"/>
    <col min="12290" max="12290" width="10.6640625" style="73" bestFit="1" customWidth="1"/>
    <col min="12291" max="12294" width="6.109375" style="73" customWidth="1"/>
    <col min="12295" max="12296" width="10.33203125" style="73" customWidth="1"/>
    <col min="12297" max="12544" width="9.109375" style="73"/>
    <col min="12545" max="12545" width="12.6640625" style="73" customWidth="1"/>
    <col min="12546" max="12546" width="10.6640625" style="73" bestFit="1" customWidth="1"/>
    <col min="12547" max="12550" width="6.109375" style="73" customWidth="1"/>
    <col min="12551" max="12552" width="10.33203125" style="73" customWidth="1"/>
    <col min="12553" max="12800" width="9.109375" style="73"/>
    <col min="12801" max="12801" width="12.6640625" style="73" customWidth="1"/>
    <col min="12802" max="12802" width="10.6640625" style="73" bestFit="1" customWidth="1"/>
    <col min="12803" max="12806" width="6.109375" style="73" customWidth="1"/>
    <col min="12807" max="12808" width="10.33203125" style="73" customWidth="1"/>
    <col min="12809" max="13056" width="9.109375" style="73"/>
    <col min="13057" max="13057" width="12.6640625" style="73" customWidth="1"/>
    <col min="13058" max="13058" width="10.6640625" style="73" bestFit="1" customWidth="1"/>
    <col min="13059" max="13062" width="6.109375" style="73" customWidth="1"/>
    <col min="13063" max="13064" width="10.33203125" style="73" customWidth="1"/>
    <col min="13065" max="13312" width="9.109375" style="73"/>
    <col min="13313" max="13313" width="12.6640625" style="73" customWidth="1"/>
    <col min="13314" max="13314" width="10.6640625" style="73" bestFit="1" customWidth="1"/>
    <col min="13315" max="13318" width="6.109375" style="73" customWidth="1"/>
    <col min="13319" max="13320" width="10.33203125" style="73" customWidth="1"/>
    <col min="13321" max="13568" width="9.109375" style="73"/>
    <col min="13569" max="13569" width="12.6640625" style="73" customWidth="1"/>
    <col min="13570" max="13570" width="10.6640625" style="73" bestFit="1" customWidth="1"/>
    <col min="13571" max="13574" width="6.109375" style="73" customWidth="1"/>
    <col min="13575" max="13576" width="10.33203125" style="73" customWidth="1"/>
    <col min="13577" max="13824" width="9.109375" style="73"/>
    <col min="13825" max="13825" width="12.6640625" style="73" customWidth="1"/>
    <col min="13826" max="13826" width="10.6640625" style="73" bestFit="1" customWidth="1"/>
    <col min="13827" max="13830" width="6.109375" style="73" customWidth="1"/>
    <col min="13831" max="13832" width="10.33203125" style="73" customWidth="1"/>
    <col min="13833" max="14080" width="9.109375" style="73"/>
    <col min="14081" max="14081" width="12.6640625" style="73" customWidth="1"/>
    <col min="14082" max="14082" width="10.6640625" style="73" bestFit="1" customWidth="1"/>
    <col min="14083" max="14086" width="6.109375" style="73" customWidth="1"/>
    <col min="14087" max="14088" width="10.33203125" style="73" customWidth="1"/>
    <col min="14089" max="14336" width="9.109375" style="73"/>
    <col min="14337" max="14337" width="12.6640625" style="73" customWidth="1"/>
    <col min="14338" max="14338" width="10.6640625" style="73" bestFit="1" customWidth="1"/>
    <col min="14339" max="14342" width="6.109375" style="73" customWidth="1"/>
    <col min="14343" max="14344" width="10.33203125" style="73" customWidth="1"/>
    <col min="14345" max="14592" width="9.109375" style="73"/>
    <col min="14593" max="14593" width="12.6640625" style="73" customWidth="1"/>
    <col min="14594" max="14594" width="10.6640625" style="73" bestFit="1" customWidth="1"/>
    <col min="14595" max="14598" width="6.109375" style="73" customWidth="1"/>
    <col min="14599" max="14600" width="10.33203125" style="73" customWidth="1"/>
    <col min="14601" max="14848" width="9.109375" style="73"/>
    <col min="14849" max="14849" width="12.6640625" style="73" customWidth="1"/>
    <col min="14850" max="14850" width="10.6640625" style="73" bestFit="1" customWidth="1"/>
    <col min="14851" max="14854" width="6.109375" style="73" customWidth="1"/>
    <col min="14855" max="14856" width="10.33203125" style="73" customWidth="1"/>
    <col min="14857" max="15104" width="9.109375" style="73"/>
    <col min="15105" max="15105" width="12.6640625" style="73" customWidth="1"/>
    <col min="15106" max="15106" width="10.6640625" style="73" bestFit="1" customWidth="1"/>
    <col min="15107" max="15110" width="6.109375" style="73" customWidth="1"/>
    <col min="15111" max="15112" width="10.33203125" style="73" customWidth="1"/>
    <col min="15113" max="15360" width="9.109375" style="73"/>
    <col min="15361" max="15361" width="12.6640625" style="73" customWidth="1"/>
    <col min="15362" max="15362" width="10.6640625" style="73" bestFit="1" customWidth="1"/>
    <col min="15363" max="15366" width="6.109375" style="73" customWidth="1"/>
    <col min="15367" max="15368" width="10.33203125" style="73" customWidth="1"/>
    <col min="15369" max="15616" width="9.109375" style="73"/>
    <col min="15617" max="15617" width="12.6640625" style="73" customWidth="1"/>
    <col min="15618" max="15618" width="10.6640625" style="73" bestFit="1" customWidth="1"/>
    <col min="15619" max="15622" width="6.109375" style="73" customWidth="1"/>
    <col min="15623" max="15624" width="10.33203125" style="73" customWidth="1"/>
    <col min="15625" max="15872" width="9.109375" style="73"/>
    <col min="15873" max="15873" width="12.6640625" style="73" customWidth="1"/>
    <col min="15874" max="15874" width="10.6640625" style="73" bestFit="1" customWidth="1"/>
    <col min="15875" max="15878" width="6.109375" style="73" customWidth="1"/>
    <col min="15879" max="15880" width="10.33203125" style="73" customWidth="1"/>
    <col min="15881" max="16128" width="9.109375" style="73"/>
    <col min="16129" max="16129" width="12.6640625" style="73" customWidth="1"/>
    <col min="16130" max="16130" width="10.6640625" style="73" bestFit="1" customWidth="1"/>
    <col min="16131" max="16134" width="6.109375" style="73" customWidth="1"/>
    <col min="16135" max="16136" width="10.33203125" style="73" customWidth="1"/>
    <col min="16137" max="16384" width="9.109375" style="73"/>
  </cols>
  <sheetData>
    <row r="1" spans="1:6" x14ac:dyDescent="0.3">
      <c r="A1" s="72" t="s">
        <v>607</v>
      </c>
      <c r="B1" s="72"/>
      <c r="C1" s="72"/>
      <c r="D1" s="72"/>
      <c r="E1" s="72"/>
      <c r="F1" s="72"/>
    </row>
    <row r="2" spans="1:6" x14ac:dyDescent="0.3">
      <c r="A2" s="72" t="s">
        <v>608</v>
      </c>
      <c r="B2" s="72"/>
      <c r="C2" s="72"/>
      <c r="D2" s="72"/>
      <c r="E2" s="72"/>
      <c r="F2" s="72"/>
    </row>
    <row r="3" spans="1:6" x14ac:dyDescent="0.3">
      <c r="A3" s="72" t="s">
        <v>609</v>
      </c>
      <c r="B3" s="72"/>
      <c r="C3" s="72"/>
      <c r="D3" s="72"/>
      <c r="E3" s="72"/>
      <c r="F3" s="72"/>
    </row>
    <row r="4" spans="1:6" x14ac:dyDescent="0.3">
      <c r="A4" s="72"/>
      <c r="B4" s="72"/>
      <c r="C4" s="72"/>
      <c r="D4" s="72"/>
      <c r="E4" s="72"/>
      <c r="F4" s="72"/>
    </row>
    <row r="5" spans="1:6" x14ac:dyDescent="0.3">
      <c r="A5" s="72"/>
      <c r="B5" s="72"/>
      <c r="C5" s="72"/>
      <c r="D5" s="72"/>
      <c r="E5" s="72"/>
      <c r="F5" s="72"/>
    </row>
    <row r="7" spans="1:6" x14ac:dyDescent="0.3">
      <c r="A7" s="74" t="s">
        <v>610</v>
      </c>
      <c r="B7" s="74" t="s">
        <v>611</v>
      </c>
    </row>
    <row r="8" spans="1:6" x14ac:dyDescent="0.3">
      <c r="A8" s="74">
        <v>2000</v>
      </c>
      <c r="B8" s="74">
        <v>500</v>
      </c>
    </row>
    <row r="9" spans="1:6" x14ac:dyDescent="0.3">
      <c r="A9" s="74">
        <v>2001</v>
      </c>
      <c r="B9" s="74">
        <v>575</v>
      </c>
    </row>
    <row r="10" spans="1:6" x14ac:dyDescent="0.3">
      <c r="A10" s="74">
        <v>2002</v>
      </c>
      <c r="B10" s="74">
        <v>600</v>
      </c>
    </row>
    <row r="11" spans="1:6" x14ac:dyDescent="0.3">
      <c r="A11" s="74">
        <v>2003</v>
      </c>
      <c r="B11" s="74">
        <v>500</v>
      </c>
    </row>
    <row r="12" spans="1:6" x14ac:dyDescent="0.3">
      <c r="A12" s="74">
        <v>2004</v>
      </c>
      <c r="B12" s="74">
        <v>550</v>
      </c>
    </row>
    <row r="13" spans="1:6" x14ac:dyDescent="0.3">
      <c r="A13" s="74">
        <v>2005</v>
      </c>
      <c r="B13" s="74">
        <v>700</v>
      </c>
    </row>
    <row r="14" spans="1:6" x14ac:dyDescent="0.3">
      <c r="A14" s="73">
        <v>2010</v>
      </c>
      <c r="B14" s="75"/>
    </row>
  </sheetData>
  <pageMargins left="0.75" right="0.75" top="1" bottom="1" header="0.5" footer="0.5"/>
  <pageSetup orientation="portrait" horizontalDpi="300" verticalDpi="300" r:id="rId1"/>
  <headerFooter alignWithMargins="0"/>
  <customProperties>
    <customPr name="LastActive" r:id="rId2"/>
  </customPropertie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985C-02D4-489C-8AA4-804C144FD199}">
  <dimension ref="A1:D11"/>
  <sheetViews>
    <sheetView showGridLines="0" workbookViewId="0">
      <selection activeCell="I16" sqref="I16"/>
    </sheetView>
  </sheetViews>
  <sheetFormatPr defaultRowHeight="13.2" x14ac:dyDescent="0.25"/>
  <cols>
    <col min="1" max="1" width="11.5546875" style="28" customWidth="1"/>
    <col min="2" max="2" width="11.109375" style="28" customWidth="1"/>
    <col min="3" max="256" width="9.109375" style="28"/>
    <col min="257" max="257" width="11.5546875" style="28" customWidth="1"/>
    <col min="258" max="258" width="11.109375" style="28" customWidth="1"/>
    <col min="259" max="512" width="9.109375" style="28"/>
    <col min="513" max="513" width="11.5546875" style="28" customWidth="1"/>
    <col min="514" max="514" width="11.109375" style="28" customWidth="1"/>
    <col min="515" max="768" width="9.109375" style="28"/>
    <col min="769" max="769" width="11.5546875" style="28" customWidth="1"/>
    <col min="770" max="770" width="11.109375" style="28" customWidth="1"/>
    <col min="771" max="1024" width="9.109375" style="28"/>
    <col min="1025" max="1025" width="11.5546875" style="28" customWidth="1"/>
    <col min="1026" max="1026" width="11.109375" style="28" customWidth="1"/>
    <col min="1027" max="1280" width="9.109375" style="28"/>
    <col min="1281" max="1281" width="11.5546875" style="28" customWidth="1"/>
    <col min="1282" max="1282" width="11.109375" style="28" customWidth="1"/>
    <col min="1283" max="1536" width="9.109375" style="28"/>
    <col min="1537" max="1537" width="11.5546875" style="28" customWidth="1"/>
    <col min="1538" max="1538" width="11.109375" style="28" customWidth="1"/>
    <col min="1539" max="1792" width="9.109375" style="28"/>
    <col min="1793" max="1793" width="11.5546875" style="28" customWidth="1"/>
    <col min="1794" max="1794" width="11.109375" style="28" customWidth="1"/>
    <col min="1795" max="2048" width="9.109375" style="28"/>
    <col min="2049" max="2049" width="11.5546875" style="28" customWidth="1"/>
    <col min="2050" max="2050" width="11.109375" style="28" customWidth="1"/>
    <col min="2051" max="2304" width="9.109375" style="28"/>
    <col min="2305" max="2305" width="11.5546875" style="28" customWidth="1"/>
    <col min="2306" max="2306" width="11.109375" style="28" customWidth="1"/>
    <col min="2307" max="2560" width="9.109375" style="28"/>
    <col min="2561" max="2561" width="11.5546875" style="28" customWidth="1"/>
    <col min="2562" max="2562" width="11.109375" style="28" customWidth="1"/>
    <col min="2563" max="2816" width="9.109375" style="28"/>
    <col min="2817" max="2817" width="11.5546875" style="28" customWidth="1"/>
    <col min="2818" max="2818" width="11.109375" style="28" customWidth="1"/>
    <col min="2819" max="3072" width="9.109375" style="28"/>
    <col min="3073" max="3073" width="11.5546875" style="28" customWidth="1"/>
    <col min="3074" max="3074" width="11.109375" style="28" customWidth="1"/>
    <col min="3075" max="3328" width="9.109375" style="28"/>
    <col min="3329" max="3329" width="11.5546875" style="28" customWidth="1"/>
    <col min="3330" max="3330" width="11.109375" style="28" customWidth="1"/>
    <col min="3331" max="3584" width="9.109375" style="28"/>
    <col min="3585" max="3585" width="11.5546875" style="28" customWidth="1"/>
    <col min="3586" max="3586" width="11.109375" style="28" customWidth="1"/>
    <col min="3587" max="3840" width="9.109375" style="28"/>
    <col min="3841" max="3841" width="11.5546875" style="28" customWidth="1"/>
    <col min="3842" max="3842" width="11.109375" style="28" customWidth="1"/>
    <col min="3843" max="4096" width="9.109375" style="28"/>
    <col min="4097" max="4097" width="11.5546875" style="28" customWidth="1"/>
    <col min="4098" max="4098" width="11.109375" style="28" customWidth="1"/>
    <col min="4099" max="4352" width="9.109375" style="28"/>
    <col min="4353" max="4353" width="11.5546875" style="28" customWidth="1"/>
    <col min="4354" max="4354" width="11.109375" style="28" customWidth="1"/>
    <col min="4355" max="4608" width="9.109375" style="28"/>
    <col min="4609" max="4609" width="11.5546875" style="28" customWidth="1"/>
    <col min="4610" max="4610" width="11.109375" style="28" customWidth="1"/>
    <col min="4611" max="4864" width="9.109375" style="28"/>
    <col min="4865" max="4865" width="11.5546875" style="28" customWidth="1"/>
    <col min="4866" max="4866" width="11.109375" style="28" customWidth="1"/>
    <col min="4867" max="5120" width="9.109375" style="28"/>
    <col min="5121" max="5121" width="11.5546875" style="28" customWidth="1"/>
    <col min="5122" max="5122" width="11.109375" style="28" customWidth="1"/>
    <col min="5123" max="5376" width="9.109375" style="28"/>
    <col min="5377" max="5377" width="11.5546875" style="28" customWidth="1"/>
    <col min="5378" max="5378" width="11.109375" style="28" customWidth="1"/>
    <col min="5379" max="5632" width="9.109375" style="28"/>
    <col min="5633" max="5633" width="11.5546875" style="28" customWidth="1"/>
    <col min="5634" max="5634" width="11.109375" style="28" customWidth="1"/>
    <col min="5635" max="5888" width="9.109375" style="28"/>
    <col min="5889" max="5889" width="11.5546875" style="28" customWidth="1"/>
    <col min="5890" max="5890" width="11.109375" style="28" customWidth="1"/>
    <col min="5891" max="6144" width="9.109375" style="28"/>
    <col min="6145" max="6145" width="11.5546875" style="28" customWidth="1"/>
    <col min="6146" max="6146" width="11.109375" style="28" customWidth="1"/>
    <col min="6147" max="6400" width="9.109375" style="28"/>
    <col min="6401" max="6401" width="11.5546875" style="28" customWidth="1"/>
    <col min="6402" max="6402" width="11.109375" style="28" customWidth="1"/>
    <col min="6403" max="6656" width="9.109375" style="28"/>
    <col min="6657" max="6657" width="11.5546875" style="28" customWidth="1"/>
    <col min="6658" max="6658" width="11.109375" style="28" customWidth="1"/>
    <col min="6659" max="6912" width="9.109375" style="28"/>
    <col min="6913" max="6913" width="11.5546875" style="28" customWidth="1"/>
    <col min="6914" max="6914" width="11.109375" style="28" customWidth="1"/>
    <col min="6915" max="7168" width="9.109375" style="28"/>
    <col min="7169" max="7169" width="11.5546875" style="28" customWidth="1"/>
    <col min="7170" max="7170" width="11.109375" style="28" customWidth="1"/>
    <col min="7171" max="7424" width="9.109375" style="28"/>
    <col min="7425" max="7425" width="11.5546875" style="28" customWidth="1"/>
    <col min="7426" max="7426" width="11.109375" style="28" customWidth="1"/>
    <col min="7427" max="7680" width="9.109375" style="28"/>
    <col min="7681" max="7681" width="11.5546875" style="28" customWidth="1"/>
    <col min="7682" max="7682" width="11.109375" style="28" customWidth="1"/>
    <col min="7683" max="7936" width="9.109375" style="28"/>
    <col min="7937" max="7937" width="11.5546875" style="28" customWidth="1"/>
    <col min="7938" max="7938" width="11.109375" style="28" customWidth="1"/>
    <col min="7939" max="8192" width="9.109375" style="28"/>
    <col min="8193" max="8193" width="11.5546875" style="28" customWidth="1"/>
    <col min="8194" max="8194" width="11.109375" style="28" customWidth="1"/>
    <col min="8195" max="8448" width="9.109375" style="28"/>
    <col min="8449" max="8449" width="11.5546875" style="28" customWidth="1"/>
    <col min="8450" max="8450" width="11.109375" style="28" customWidth="1"/>
    <col min="8451" max="8704" width="9.109375" style="28"/>
    <col min="8705" max="8705" width="11.5546875" style="28" customWidth="1"/>
    <col min="8706" max="8706" width="11.109375" style="28" customWidth="1"/>
    <col min="8707" max="8960" width="9.109375" style="28"/>
    <col min="8961" max="8961" width="11.5546875" style="28" customWidth="1"/>
    <col min="8962" max="8962" width="11.109375" style="28" customWidth="1"/>
    <col min="8963" max="9216" width="9.109375" style="28"/>
    <col min="9217" max="9217" width="11.5546875" style="28" customWidth="1"/>
    <col min="9218" max="9218" width="11.109375" style="28" customWidth="1"/>
    <col min="9219" max="9472" width="9.109375" style="28"/>
    <col min="9473" max="9473" width="11.5546875" style="28" customWidth="1"/>
    <col min="9474" max="9474" width="11.109375" style="28" customWidth="1"/>
    <col min="9475" max="9728" width="9.109375" style="28"/>
    <col min="9729" max="9729" width="11.5546875" style="28" customWidth="1"/>
    <col min="9730" max="9730" width="11.109375" style="28" customWidth="1"/>
    <col min="9731" max="9984" width="9.109375" style="28"/>
    <col min="9985" max="9985" width="11.5546875" style="28" customWidth="1"/>
    <col min="9986" max="9986" width="11.109375" style="28" customWidth="1"/>
    <col min="9987" max="10240" width="9.109375" style="28"/>
    <col min="10241" max="10241" width="11.5546875" style="28" customWidth="1"/>
    <col min="10242" max="10242" width="11.109375" style="28" customWidth="1"/>
    <col min="10243" max="10496" width="9.109375" style="28"/>
    <col min="10497" max="10497" width="11.5546875" style="28" customWidth="1"/>
    <col min="10498" max="10498" width="11.109375" style="28" customWidth="1"/>
    <col min="10499" max="10752" width="9.109375" style="28"/>
    <col min="10753" max="10753" width="11.5546875" style="28" customWidth="1"/>
    <col min="10754" max="10754" width="11.109375" style="28" customWidth="1"/>
    <col min="10755" max="11008" width="9.109375" style="28"/>
    <col min="11009" max="11009" width="11.5546875" style="28" customWidth="1"/>
    <col min="11010" max="11010" width="11.109375" style="28" customWidth="1"/>
    <col min="11011" max="11264" width="9.109375" style="28"/>
    <col min="11265" max="11265" width="11.5546875" style="28" customWidth="1"/>
    <col min="11266" max="11266" width="11.109375" style="28" customWidth="1"/>
    <col min="11267" max="11520" width="9.109375" style="28"/>
    <col min="11521" max="11521" width="11.5546875" style="28" customWidth="1"/>
    <col min="11522" max="11522" width="11.109375" style="28" customWidth="1"/>
    <col min="11523" max="11776" width="9.109375" style="28"/>
    <col min="11777" max="11777" width="11.5546875" style="28" customWidth="1"/>
    <col min="11778" max="11778" width="11.109375" style="28" customWidth="1"/>
    <col min="11779" max="12032" width="9.109375" style="28"/>
    <col min="12033" max="12033" width="11.5546875" style="28" customWidth="1"/>
    <col min="12034" max="12034" width="11.109375" style="28" customWidth="1"/>
    <col min="12035" max="12288" width="9.109375" style="28"/>
    <col min="12289" max="12289" width="11.5546875" style="28" customWidth="1"/>
    <col min="12290" max="12290" width="11.109375" style="28" customWidth="1"/>
    <col min="12291" max="12544" width="9.109375" style="28"/>
    <col min="12545" max="12545" width="11.5546875" style="28" customWidth="1"/>
    <col min="12546" max="12546" width="11.109375" style="28" customWidth="1"/>
    <col min="12547" max="12800" width="9.109375" style="28"/>
    <col min="12801" max="12801" width="11.5546875" style="28" customWidth="1"/>
    <col min="12802" max="12802" width="11.109375" style="28" customWidth="1"/>
    <col min="12803" max="13056" width="9.109375" style="28"/>
    <col min="13057" max="13057" width="11.5546875" style="28" customWidth="1"/>
    <col min="13058" max="13058" width="11.109375" style="28" customWidth="1"/>
    <col min="13059" max="13312" width="9.109375" style="28"/>
    <col min="13313" max="13313" width="11.5546875" style="28" customWidth="1"/>
    <col min="13314" max="13314" width="11.109375" style="28" customWidth="1"/>
    <col min="13315" max="13568" width="9.109375" style="28"/>
    <col min="13569" max="13569" width="11.5546875" style="28" customWidth="1"/>
    <col min="13570" max="13570" width="11.109375" style="28" customWidth="1"/>
    <col min="13571" max="13824" width="9.109375" style="28"/>
    <col min="13825" max="13825" width="11.5546875" style="28" customWidth="1"/>
    <col min="13826" max="13826" width="11.109375" style="28" customWidth="1"/>
    <col min="13827" max="14080" width="9.109375" style="28"/>
    <col min="14081" max="14081" width="11.5546875" style="28" customWidth="1"/>
    <col min="14082" max="14082" width="11.109375" style="28" customWidth="1"/>
    <col min="14083" max="14336" width="9.109375" style="28"/>
    <col min="14337" max="14337" width="11.5546875" style="28" customWidth="1"/>
    <col min="14338" max="14338" width="11.109375" style="28" customWidth="1"/>
    <col min="14339" max="14592" width="9.109375" style="28"/>
    <col min="14593" max="14593" width="11.5546875" style="28" customWidth="1"/>
    <col min="14594" max="14594" width="11.109375" style="28" customWidth="1"/>
    <col min="14595" max="14848" width="9.109375" style="28"/>
    <col min="14849" max="14849" width="11.5546875" style="28" customWidth="1"/>
    <col min="14850" max="14850" width="11.109375" style="28" customWidth="1"/>
    <col min="14851" max="15104" width="9.109375" style="28"/>
    <col min="15105" max="15105" width="11.5546875" style="28" customWidth="1"/>
    <col min="15106" max="15106" width="11.109375" style="28" customWidth="1"/>
    <col min="15107" max="15360" width="9.109375" style="28"/>
    <col min="15361" max="15361" width="11.5546875" style="28" customWidth="1"/>
    <col min="15362" max="15362" width="11.109375" style="28" customWidth="1"/>
    <col min="15363" max="15616" width="9.109375" style="28"/>
    <col min="15617" max="15617" width="11.5546875" style="28" customWidth="1"/>
    <col min="15618" max="15618" width="11.109375" style="28" customWidth="1"/>
    <col min="15619" max="15872" width="9.109375" style="28"/>
    <col min="15873" max="15873" width="11.5546875" style="28" customWidth="1"/>
    <col min="15874" max="15874" width="11.109375" style="28" customWidth="1"/>
    <col min="15875" max="16128" width="9.109375" style="28"/>
    <col min="16129" max="16129" width="11.5546875" style="28" customWidth="1"/>
    <col min="16130" max="16130" width="11.109375" style="28" customWidth="1"/>
    <col min="16131" max="16384" width="9.109375" style="28"/>
  </cols>
  <sheetData>
    <row r="1" spans="1:4" x14ac:dyDescent="0.25">
      <c r="A1" s="59" t="s">
        <v>612</v>
      </c>
      <c r="B1" s="59" t="s">
        <v>613</v>
      </c>
      <c r="C1" s="59" t="s">
        <v>614</v>
      </c>
    </row>
    <row r="2" spans="1:4" x14ac:dyDescent="0.25">
      <c r="A2" s="29">
        <v>0</v>
      </c>
      <c r="B2" s="29">
        <v>1.7018999999999999E-2</v>
      </c>
      <c r="C2" s="41">
        <f t="shared" ref="C2:C7" si="0">$B$10*A2+$B$9</f>
        <v>0</v>
      </c>
    </row>
    <row r="3" spans="1:4" x14ac:dyDescent="0.25">
      <c r="A3" s="29">
        <v>1</v>
      </c>
      <c r="B3" s="29">
        <v>4.4401999999999997E-2</v>
      </c>
      <c r="C3" s="41">
        <f t="shared" si="0"/>
        <v>0</v>
      </c>
    </row>
    <row r="4" spans="1:4" x14ac:dyDescent="0.25">
      <c r="A4" s="29">
        <v>2</v>
      </c>
      <c r="B4" s="29">
        <v>8.3213999999999996E-2</v>
      </c>
      <c r="C4" s="41">
        <f t="shared" si="0"/>
        <v>0</v>
      </c>
    </row>
    <row r="5" spans="1:4" x14ac:dyDescent="0.25">
      <c r="A5" s="29">
        <v>3</v>
      </c>
      <c r="B5" s="29">
        <v>0.119718</v>
      </c>
      <c r="C5" s="41">
        <f t="shared" si="0"/>
        <v>0</v>
      </c>
    </row>
    <row r="6" spans="1:4" x14ac:dyDescent="0.25">
      <c r="A6" s="29">
        <v>4</v>
      </c>
      <c r="B6" s="29">
        <v>0.143932</v>
      </c>
      <c r="C6" s="41">
        <f t="shared" si="0"/>
        <v>0</v>
      </c>
    </row>
    <row r="7" spans="1:4" x14ac:dyDescent="0.25">
      <c r="A7" s="29">
        <v>5</v>
      </c>
      <c r="B7" s="29">
        <v>0.166075</v>
      </c>
      <c r="C7" s="41">
        <f t="shared" si="0"/>
        <v>0</v>
      </c>
    </row>
    <row r="8" spans="1:4" x14ac:dyDescent="0.25">
      <c r="A8" s="53" t="s">
        <v>615</v>
      </c>
      <c r="B8" s="53"/>
      <c r="C8" s="53"/>
    </row>
    <row r="9" spans="1:4" x14ac:dyDescent="0.25">
      <c r="A9" s="41" t="s">
        <v>616</v>
      </c>
      <c r="B9" s="41"/>
    </row>
    <row r="10" spans="1:4" x14ac:dyDescent="0.25">
      <c r="A10" s="41" t="s">
        <v>617</v>
      </c>
      <c r="B10" s="41"/>
    </row>
    <row r="11" spans="1:4" x14ac:dyDescent="0.25">
      <c r="A11" s="53" t="s">
        <v>618</v>
      </c>
      <c r="B11" s="53"/>
      <c r="C11" s="53"/>
      <c r="D11" s="53"/>
    </row>
  </sheetData>
  <pageMargins left="0.75" right="0.75" top="1" bottom="1" header="0.5" footer="0.5"/>
  <pageSetup orientation="portrait" horizontalDpi="300" verticalDpi="300" r:id="rId1"/>
  <headerFooter alignWithMargins="0"/>
  <customProperties>
    <customPr name="LastActive"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Logical Calc</vt:lpstr>
      <vt:lpstr>Simple Calc</vt:lpstr>
      <vt:lpstr>Supported Data</vt:lpstr>
      <vt:lpstr>Report</vt:lpstr>
      <vt:lpstr>Report with slicer</vt:lpstr>
      <vt:lpstr>Dashboard</vt:lpstr>
      <vt:lpstr>Masterdata</vt:lpstr>
      <vt:lpstr>Vlookup-Match</vt:lpstr>
      <vt:lpstr>Vlookup-Index-match</vt:lpstr>
      <vt:lpstr>Financial Functions</vt:lpstr>
      <vt:lpstr>Functions</vt:lpstr>
      <vt:lpstr>Shortcuts</vt:lpstr>
      <vt:lpstr>Charts</vt:lpstr>
      <vt:lpstr>What if Analysis</vt:lpstr>
      <vt:lpstr>Analysis</vt:lpstr>
      <vt:lpstr>Forcast_trendLine</vt:lpstr>
      <vt:lpstr>Regression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Dani</dc:creator>
  <cp:lastModifiedBy>Omsai Alladwar</cp:lastModifiedBy>
  <dcterms:created xsi:type="dcterms:W3CDTF">2005-11-25T07:32:53Z</dcterms:created>
  <dcterms:modified xsi:type="dcterms:W3CDTF">2025-12-27T05:57:23Z</dcterms:modified>
</cp:coreProperties>
</file>