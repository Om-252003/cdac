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ustomProperty13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.Training\Vipul Training Details Nov-22\2d. Data Analytics using Excel\Data Analytics using Excel Sample Data\"/>
    </mc:Choice>
  </mc:AlternateContent>
  <xr:revisionPtr revIDLastSave="0" documentId="13_ncr:1_{19B89B29-9559-4AA5-8420-A02CBA2EB2B1}" xr6:coauthVersionLast="47" xr6:coauthVersionMax="47" xr10:uidLastSave="{00000000-0000-0000-0000-000000000000}"/>
  <bookViews>
    <workbookView xWindow="1692" yWindow="3012" windowWidth="17280" windowHeight="8880" tabRatio="863" xr2:uid="{00000000-000D-0000-FFFF-FFFF00000000}"/>
  </bookViews>
  <sheets>
    <sheet name="Simple Calc" sheetId="15" r:id="rId1"/>
    <sheet name="Logical Calc" sheetId="11" r:id="rId2"/>
    <sheet name="Masterdata" sheetId="18" r:id="rId3"/>
    <sheet name="Vlookup-Match" sheetId="6" r:id="rId4"/>
    <sheet name="Vlookup-Index-match" sheetId="28" r:id="rId5"/>
    <sheet name="Financial Functions" sheetId="16" r:id="rId6"/>
    <sheet name="Functions" sheetId="17" r:id="rId7"/>
    <sheet name="Shortcuts" sheetId="10" r:id="rId8"/>
    <sheet name="Charts" sheetId="29" r:id="rId9"/>
    <sheet name="What if Analysis" sheetId="24" r:id="rId10"/>
    <sheet name="Analysis" sheetId="27" r:id="rId11"/>
    <sheet name="Forcast_trendLine" sheetId="25" r:id="rId12"/>
    <sheet name="Regression" sheetId="26" r:id="rId13"/>
  </sheets>
  <definedNames>
    <definedName name="_xlnm._FilterDatabase" localSheetId="1" hidden="1">'Logical Calc'!$A$4:$M$4</definedName>
    <definedName name="_xlnm._FilterDatabase" localSheetId="2" hidden="1">Masterdata!$A$1:$M$101</definedName>
    <definedName name="_xlnm._FilterDatabase" localSheetId="0" hidden="1">'Simple Calc'!$A$16:$H$116</definedName>
    <definedName name="anscount" hidden="1">1</definedName>
    <definedName name="limcount" hidden="1">1</definedName>
    <definedName name="sencount" hidden="1">1</definedName>
    <definedName name="solver_adj" localSheetId="11" hidden="1">Forcast_trendLine!#REF!,Forcast_trendLine!#REF!</definedName>
    <definedName name="solver_cvg" localSheetId="11" hidden="1">0.0001</definedName>
    <definedName name="solver_drv" localSheetId="11" hidden="1">1</definedName>
    <definedName name="solver_est" localSheetId="11" hidden="1">1</definedName>
    <definedName name="solver_itr" localSheetId="11" hidden="1">100</definedName>
    <definedName name="solver_lhs1" localSheetId="11" hidden="1">Forcast_trendLine!#REF!</definedName>
    <definedName name="solver_lin" localSheetId="11" hidden="1">2</definedName>
    <definedName name="solver_neg" localSheetId="11" hidden="1">2</definedName>
    <definedName name="solver_num" localSheetId="11" hidden="1">1</definedName>
    <definedName name="solver_nwt" localSheetId="11" hidden="1">1</definedName>
    <definedName name="solver_opt" localSheetId="11" hidden="1">Forcast_trendLine!#REF!</definedName>
    <definedName name="solver_pre" localSheetId="11" hidden="1">0.000001</definedName>
    <definedName name="solver_rel1" localSheetId="11" hidden="1">2</definedName>
    <definedName name="solver_rhs1" localSheetId="11" hidden="1">150000</definedName>
    <definedName name="solver_scl" localSheetId="11" hidden="1">2</definedName>
    <definedName name="solver_sho" localSheetId="11" hidden="1">2</definedName>
    <definedName name="solver_tim" localSheetId="11" hidden="1">100</definedName>
    <definedName name="solver_tol" localSheetId="11" hidden="1">0.05</definedName>
    <definedName name="solver_typ" localSheetId="11" hidden="1">3</definedName>
    <definedName name="solver_val" localSheetId="11" hidden="1">-500000</definedName>
    <definedName name="wrn.Monthly." localSheetId="12" hidden="1">{"c",#N/A,FALSE,"Scenarios";"a",#N/A,FALSE,"Scenarios";#N/A,#N/A,FALSE,"if cond"}</definedName>
    <definedName name="wrn.Monthly." hidden="1">{"c",#N/A,FALSE,"Scenarios";"a",#N/A,FALSE,"Scenarios";#N/A,#N/A,FALSE,"if cond"}</definedName>
    <definedName name="wrn.Weekly." localSheetId="12" hidden="1">{"c",#N/A,FALSE,"Scenarios";"b",#N/A,FALSE,"Scenarios";#N/A,#N/A,FALSE,"Inc"}</definedName>
    <definedName name="wrn.Weekly." hidden="1">{"c",#N/A,FALSE,"Scenarios";"b",#N/A,FALSE,"Scenarios";#N/A,#N/A,FALSE,"Inc"}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11" l="1"/>
  <c r="F7" i="11"/>
  <c r="F8" i="11"/>
  <c r="F9" i="11"/>
  <c r="F10" i="11"/>
  <c r="F11" i="11"/>
  <c r="F12" i="11"/>
  <c r="F13" i="11"/>
  <c r="F14" i="11"/>
  <c r="F5" i="11"/>
  <c r="C49" i="29"/>
  <c r="D49" i="29" s="1"/>
  <c r="B49" i="29"/>
  <c r="E49" i="29" s="1"/>
  <c r="C48" i="29"/>
  <c r="D48" i="29" s="1"/>
  <c r="B48" i="29"/>
  <c r="E48" i="29" s="1"/>
  <c r="C47" i="29"/>
  <c r="D47" i="29" s="1"/>
  <c r="B47" i="29"/>
  <c r="E47" i="29" s="1"/>
  <c r="C46" i="29"/>
  <c r="D46" i="29" s="1"/>
  <c r="B46" i="29"/>
  <c r="E46" i="29" s="1"/>
  <c r="E50" i="29" s="1"/>
  <c r="C38" i="29"/>
  <c r="D38" i="29" s="1"/>
  <c r="B30" i="29"/>
  <c r="D9" i="29"/>
  <c r="D8" i="29"/>
  <c r="D7" i="29"/>
  <c r="D6" i="29"/>
  <c r="D5" i="29"/>
  <c r="D4" i="29"/>
  <c r="B6" i="27" l="1"/>
  <c r="B8" i="27" l="1"/>
  <c r="B10" i="27" s="1"/>
  <c r="B12" i="27" s="1"/>
  <c r="C7" i="26" l="1"/>
  <c r="C6" i="26"/>
  <c r="C5" i="26"/>
  <c r="C4" i="26"/>
  <c r="C3" i="26"/>
  <c r="C2" i="26"/>
  <c r="B9" i="24"/>
  <c r="B10" i="24" l="1"/>
  <c r="B11" i="24" s="1"/>
  <c r="C55" i="17"/>
  <c r="C54" i="17"/>
  <c r="C53" i="17"/>
  <c r="C52" i="17"/>
  <c r="C48" i="17"/>
  <c r="C45" i="17"/>
  <c r="C44" i="17"/>
  <c r="C47" i="17" s="1"/>
  <c r="C43" i="17"/>
  <c r="C42" i="17"/>
  <c r="C41" i="17"/>
  <c r="C40" i="17"/>
  <c r="C39" i="17"/>
  <c r="C38" i="17"/>
  <c r="C34" i="17"/>
  <c r="C33" i="17"/>
  <c r="C32" i="17"/>
  <c r="C31" i="17"/>
  <c r="C27" i="17"/>
  <c r="C26" i="17"/>
  <c r="C25" i="17"/>
  <c r="C24" i="17"/>
  <c r="C23" i="17"/>
  <c r="C22" i="17"/>
  <c r="C21" i="17"/>
  <c r="C17" i="17"/>
  <c r="C15" i="17"/>
  <c r="C16" i="17" s="1"/>
  <c r="C14" i="17"/>
  <c r="C13" i="17"/>
  <c r="C12" i="17"/>
  <c r="C11" i="17"/>
  <c r="C10" i="17"/>
  <c r="C9" i="17"/>
  <c r="C8" i="17"/>
  <c r="C7" i="17"/>
  <c r="C6" i="17"/>
  <c r="C46" i="17" l="1"/>
</calcChain>
</file>

<file path=xl/sharedStrings.xml><?xml version="1.0" encoding="utf-8"?>
<sst xmlns="http://schemas.openxmlformats.org/spreadsheetml/2006/main" count="1700" uniqueCount="716">
  <si>
    <t>Empcode</t>
  </si>
  <si>
    <t>First Name</t>
  </si>
  <si>
    <t>Last Name</t>
  </si>
  <si>
    <t>Dept</t>
  </si>
  <si>
    <t>Region</t>
  </si>
  <si>
    <t>Hiredate</t>
  </si>
  <si>
    <t>Salary</t>
  </si>
  <si>
    <t>Beena</t>
  </si>
  <si>
    <t>Mavadia</t>
  </si>
  <si>
    <t>Mktg</t>
  </si>
  <si>
    <t>east</t>
  </si>
  <si>
    <t>Sujay</t>
  </si>
  <si>
    <t>Madhrani</t>
  </si>
  <si>
    <t>Finance</t>
  </si>
  <si>
    <t>Sheetal</t>
  </si>
  <si>
    <t>Desai</t>
  </si>
  <si>
    <t>Director</t>
  </si>
  <si>
    <t>Aakash</t>
  </si>
  <si>
    <t>Dixit</t>
  </si>
  <si>
    <t>CCD</t>
  </si>
  <si>
    <t>Suchita</t>
  </si>
  <si>
    <t>Panchal</t>
  </si>
  <si>
    <t>Rishi</t>
  </si>
  <si>
    <t>Malik</t>
  </si>
  <si>
    <t>Sales</t>
  </si>
  <si>
    <t>Giriraj</t>
  </si>
  <si>
    <t>Gupta</t>
  </si>
  <si>
    <t>R&amp;D</t>
  </si>
  <si>
    <t>Ankur</t>
  </si>
  <si>
    <t>Joshi</t>
  </si>
  <si>
    <t>Pooja</t>
  </si>
  <si>
    <t>Gokhale</t>
  </si>
  <si>
    <t>Piyush</t>
  </si>
  <si>
    <t>Surti</t>
  </si>
  <si>
    <t>Deepak</t>
  </si>
  <si>
    <t>Jain</t>
  </si>
  <si>
    <t>Vishal</t>
  </si>
  <si>
    <t>Virsinghani</t>
  </si>
  <si>
    <t>Lalita</t>
  </si>
  <si>
    <t>Rao</t>
  </si>
  <si>
    <t>Timsi</t>
  </si>
  <si>
    <t>Reeta</t>
  </si>
  <si>
    <t>Naik</t>
  </si>
  <si>
    <t>Nita</t>
  </si>
  <si>
    <t>Pandhya</t>
  </si>
  <si>
    <t>Suraj</t>
  </si>
  <si>
    <t>Saksena</t>
  </si>
  <si>
    <t>Admin</t>
  </si>
  <si>
    <t>Kalpana</t>
  </si>
  <si>
    <t>Shirishkar</t>
  </si>
  <si>
    <t>Pinky</t>
  </si>
  <si>
    <t>Robert</t>
  </si>
  <si>
    <t>Niki</t>
  </si>
  <si>
    <t>Digaria</t>
  </si>
  <si>
    <t>Payal</t>
  </si>
  <si>
    <t>Singhani</t>
  </si>
  <si>
    <t>Raja</t>
  </si>
  <si>
    <t>Raymondekar</t>
  </si>
  <si>
    <t>north</t>
  </si>
  <si>
    <t>Seema</t>
  </si>
  <si>
    <t>Ranganathan</t>
  </si>
  <si>
    <t>Neena</t>
  </si>
  <si>
    <t>Mukherjee</t>
  </si>
  <si>
    <t>Pankaj</t>
  </si>
  <si>
    <t>Sutradhar</t>
  </si>
  <si>
    <t>Andre</t>
  </si>
  <si>
    <t>Fernendes</t>
  </si>
  <si>
    <t>Meera</t>
  </si>
  <si>
    <t>Lalwani</t>
  </si>
  <si>
    <t>Priya</t>
  </si>
  <si>
    <t>Shirodkar</t>
  </si>
  <si>
    <t>Aalok</t>
  </si>
  <si>
    <t>Trivedi</t>
  </si>
  <si>
    <t>Farhan</t>
  </si>
  <si>
    <t>Sadiq</t>
  </si>
  <si>
    <t>Satinder Kaur</t>
  </si>
  <si>
    <t>Sasan</t>
  </si>
  <si>
    <t>Aalam</t>
  </si>
  <si>
    <t>Qureshi</t>
  </si>
  <si>
    <t>Zarina</t>
  </si>
  <si>
    <t>Vora</t>
  </si>
  <si>
    <t>Arun</t>
  </si>
  <si>
    <t>Dodhia</t>
  </si>
  <si>
    <t>Richa</t>
  </si>
  <si>
    <t>Raje</t>
  </si>
  <si>
    <t>Kinnari</t>
  </si>
  <si>
    <t>Mehta</t>
  </si>
  <si>
    <t>Jeena</t>
  </si>
  <si>
    <t>Baig</t>
  </si>
  <si>
    <t>Vicky</t>
  </si>
  <si>
    <t>Mario</t>
  </si>
  <si>
    <t>Fernandes</t>
  </si>
  <si>
    <t>Heena</t>
  </si>
  <si>
    <t>Godbole</t>
  </si>
  <si>
    <t>Maya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</si>
  <si>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</si>
  <si>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</si>
  <si>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</si>
  <si>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</si>
  <si>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</si>
  <si>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</si>
  <si>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</si>
  <si>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</si>
  <si>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</si>
  <si>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</si>
  <si>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</si>
  <si>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</si>
  <si>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</si>
  <si>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</si>
  <si>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</si>
  <si>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</si>
  <si>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</si>
  <si>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Kuldeep</t>
  </si>
  <si>
    <t>Sharma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</si>
  <si>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</si>
  <si>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</si>
  <si>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</si>
  <si>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</si>
  <si>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</si>
  <si>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</si>
  <si>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</si>
  <si>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</si>
  <si>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</si>
  <si>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Suman</t>
  </si>
  <si>
    <t>Shinde</t>
  </si>
  <si>
    <t>south</t>
  </si>
  <si>
    <t>K. Sita</t>
  </si>
  <si>
    <t>Narayanan</t>
  </si>
  <si>
    <t>Bharat</t>
  </si>
  <si>
    <t>Shetty</t>
  </si>
  <si>
    <t>Mala</t>
  </si>
  <si>
    <t>Bhaduri</t>
  </si>
  <si>
    <t>Tapan</t>
  </si>
  <si>
    <t>Ghoshal</t>
  </si>
  <si>
    <t>Khetan</t>
  </si>
  <si>
    <t>Chitra</t>
  </si>
  <si>
    <t>Pednekar</t>
  </si>
  <si>
    <t>Kirtikar</t>
  </si>
  <si>
    <t>Sardesai</t>
  </si>
  <si>
    <t>Rakesh</t>
  </si>
  <si>
    <t>Kumar</t>
  </si>
  <si>
    <t>Katti</t>
  </si>
  <si>
    <t>Disha</t>
  </si>
  <si>
    <t>Parmar</t>
  </si>
  <si>
    <t>Geeta</t>
  </si>
  <si>
    <t>Darekar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</si>
  <si>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</si>
  <si>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</si>
  <si>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</si>
  <si>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</si>
  <si>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</si>
  <si>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</si>
  <si>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</si>
  <si>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</si>
  <si>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</si>
  <si>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</si>
  <si>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</si>
  <si>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</si>
  <si>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</si>
  <si>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Julie</t>
  </si>
  <si>
    <t>D'Souza</t>
  </si>
  <si>
    <t>west</t>
  </si>
  <si>
    <t>Shilpa</t>
  </si>
  <si>
    <t>Lele</t>
  </si>
  <si>
    <t>Parvati</t>
  </si>
  <si>
    <t>Khanna</t>
  </si>
  <si>
    <t>Shazia</t>
  </si>
  <si>
    <t>Nimkar</t>
  </si>
  <si>
    <t>Jasbinder</t>
  </si>
  <si>
    <t>Khurana</t>
  </si>
  <si>
    <t>Hajra</t>
  </si>
  <si>
    <t>Hoonjan</t>
  </si>
  <si>
    <t>Parikh</t>
  </si>
  <si>
    <t>Shaheen</t>
  </si>
  <si>
    <t>Khan</t>
  </si>
  <si>
    <t>Neha</t>
  </si>
  <si>
    <t>Ruheal</t>
  </si>
  <si>
    <t>Mehul</t>
  </si>
  <si>
    <t>Sheth</t>
  </si>
  <si>
    <t>Kajal</t>
  </si>
  <si>
    <t>Joglekar</t>
  </si>
  <si>
    <t>Surendra</t>
  </si>
  <si>
    <t>Godse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</si>
  <si>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</si>
  <si>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</si>
  <si>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</si>
  <si>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</si>
  <si>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</si>
  <si>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</si>
  <si>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</si>
  <si>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</si>
  <si>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>Name</t>
  </si>
  <si>
    <t>Tax</t>
  </si>
  <si>
    <t>East</t>
  </si>
  <si>
    <t>West</t>
  </si>
  <si>
    <t>North</t>
  </si>
  <si>
    <t>South</t>
  </si>
  <si>
    <t>Employee Information System</t>
  </si>
  <si>
    <t>Employee Code</t>
  </si>
  <si>
    <t>SHORT CUT FOR EXCEL</t>
  </si>
  <si>
    <t>Select cells, columns, rows, or objects in worksheets and workbooks by using shortcut keys</t>
  </si>
  <si>
    <t>Select the current region around the active cell (the current region is an area enclosed by blank rows and blank columns)</t>
  </si>
  <si>
    <t>CTRL+SHIFT+* (ASTERISK)</t>
  </si>
  <si>
    <t>Extend the selection by one cell</t>
  </si>
  <si>
    <t>SHIFT+ arrow key</t>
  </si>
  <si>
    <t>Extend the selection to the last nonblank cell in the same column or row as the active cell</t>
  </si>
  <si>
    <t>CTRL+SHIFT+ arrow key</t>
  </si>
  <si>
    <t>Extend the selection to the beginning of the row</t>
  </si>
  <si>
    <t>SHIFT+HOME</t>
  </si>
  <si>
    <t>Extend the selection to the beginning of the worksheet</t>
  </si>
  <si>
    <t>CTRL+SHIFT+HOME</t>
  </si>
  <si>
    <t>Extend the selection to the last cell used on the worksheet (lower-right corner)</t>
  </si>
  <si>
    <t>CTRL+SHIFT+END</t>
  </si>
  <si>
    <t>Select the entire column</t>
  </si>
  <si>
    <t>CTRL+SPACEBAR</t>
  </si>
  <si>
    <t>Select the entire row</t>
  </si>
  <si>
    <t>SHIFT+SPACEBAR</t>
  </si>
  <si>
    <t>Select the entire worksheet</t>
  </si>
  <si>
    <t>CTRL+A</t>
  </si>
  <si>
    <t>If multiple cells are selected, select only the active cell</t>
  </si>
  <si>
    <t>SHIFT+BACKSPACE</t>
  </si>
  <si>
    <t>Extend the selection down one screen</t>
  </si>
  <si>
    <t>SHIFT+PAGE DOWN</t>
  </si>
  <si>
    <t>Extend the selection up one screen</t>
  </si>
  <si>
    <t>SHIFT+PAGE UP</t>
  </si>
  <si>
    <t>With an object selected, select all objects on a sheet</t>
  </si>
  <si>
    <t>CTRL+SHIFT+SPACEBAR</t>
  </si>
  <si>
    <t>Alternate between hiding objects, displaying objects, and displaying placeholders for objects</t>
  </si>
  <si>
    <t>CTRL+6</t>
  </si>
  <si>
    <t>Show or hide the Standard toolbar</t>
  </si>
  <si>
    <t>CTRL+7</t>
  </si>
  <si>
    <t>In End mode, to</t>
  </si>
  <si>
    <t>Press</t>
  </si>
  <si>
    <t>Turn End mode on or off</t>
  </si>
  <si>
    <t>END</t>
  </si>
  <si>
    <t>END, SHIFT+ arrow key</t>
  </si>
  <si>
    <t>END, SHIFT+HOME</t>
  </si>
  <si>
    <t>Extend the selection to the last cell in the current row; this keystroke is unavailable if you selected the Transition navigation keys check box on the Transition tab (Tools menu, Options command)</t>
  </si>
  <si>
    <t>END, SHIFT+ENTER</t>
  </si>
  <si>
    <t>With SCROLL LOCK on, to</t>
  </si>
  <si>
    <t>Turn SCROLL LOCK on or off</t>
  </si>
  <si>
    <t>SCROLL LOCK</t>
  </si>
  <si>
    <t>Scroll the screen up or down one row</t>
  </si>
  <si>
    <t xml:space="preserve">UP/DOWN ARROW  </t>
  </si>
  <si>
    <t>Scroll the screen left or right one column</t>
  </si>
  <si>
    <t>LEFT.RIGHT ARROW</t>
  </si>
  <si>
    <t>Extend the selection to the cell in the upper-left corner of the window</t>
  </si>
  <si>
    <t>Extend the selection to the cell in the lower-right corner of the window</t>
  </si>
  <si>
    <t>SHIFT+END</t>
  </si>
  <si>
    <t>Select cells with special characteristics by using shortcut keys</t>
  </si>
  <si>
    <t>Select the current array, which is the array that the active cell belongs to</t>
  </si>
  <si>
    <t>CTRL+/</t>
  </si>
  <si>
    <t>Select all cells with comments</t>
  </si>
  <si>
    <t>CTRL+SHIFT+O (the letter O)</t>
  </si>
  <si>
    <t>Select cells whose contents are different from the comparison cell in each row (for each row, the comparison cell is in the same column as the active cell)</t>
  </si>
  <si>
    <t>CTRL+\</t>
  </si>
  <si>
    <t>Select cells whose contents are different from the comparison cell in each column (for each column, the comparison cell is in the same row as the active cell)</t>
  </si>
  <si>
    <t>CTRL+SHIFT+|</t>
  </si>
  <si>
    <t>Select only cells that are directly referred to by formulas in the selection</t>
  </si>
  <si>
    <t>CTRL+[</t>
  </si>
  <si>
    <t>Select all cells that are directly or indirectly referred to by formulas in the selection</t>
  </si>
  <si>
    <t>CTRL+SHIFT+{</t>
  </si>
  <si>
    <t>Select only cells with formulas that refer directly to the active cell</t>
  </si>
  <si>
    <t>CTRL+]</t>
  </si>
  <si>
    <t>Select all cells with formulas that refer directly or indirectly to the active cell</t>
  </si>
  <si>
    <t>CTRL+SHIFT+}</t>
  </si>
  <si>
    <t>Select only visible cells in the current selection</t>
  </si>
  <si>
    <t>ALT+SEMICOLON</t>
  </si>
  <si>
    <t>Move and scroll on a worksheet or workbook by using shortcut keys</t>
  </si>
  <si>
    <t>Move one cell in a given direction</t>
  </si>
  <si>
    <t>Arrow key</t>
  </si>
  <si>
    <t>Move to the edge of the current data region</t>
  </si>
  <si>
    <t>CTRL+ arrow key</t>
  </si>
  <si>
    <t>Move between unlocked cells on a protected worksheet</t>
  </si>
  <si>
    <t>TAB</t>
  </si>
  <si>
    <t>Move to the beginning of the row</t>
  </si>
  <si>
    <t>HOME</t>
  </si>
  <si>
    <t>Move to the beginning of the worksheet</t>
  </si>
  <si>
    <t>CTRL+HOME</t>
  </si>
  <si>
    <t>Move to the last cell on the worksheet</t>
  </si>
  <si>
    <t>CTRL+END</t>
  </si>
  <si>
    <t xml:space="preserve">Move down one screen </t>
  </si>
  <si>
    <t>PAGE DOWN</t>
  </si>
  <si>
    <t xml:space="preserve">Move up one screen </t>
  </si>
  <si>
    <t>PAGE UP</t>
  </si>
  <si>
    <t>Move one screen to the right</t>
  </si>
  <si>
    <t>ALT+PAGE DOWN</t>
  </si>
  <si>
    <t>Move one screen to the left</t>
  </si>
  <si>
    <t>ALT+PAGE UP</t>
  </si>
  <si>
    <t>Move to the next sheet in the workbook</t>
  </si>
  <si>
    <t>CTRL+PAGE DOWN</t>
  </si>
  <si>
    <t>Move to the previous sheet in the workbook</t>
  </si>
  <si>
    <t>CTRL+PAGE UP</t>
  </si>
  <si>
    <t>Move to the next workbook or window</t>
  </si>
  <si>
    <t>CTRL+F6 or CTRL+TAB</t>
  </si>
  <si>
    <t>Move to the previous workbook or window</t>
  </si>
  <si>
    <t xml:space="preserve">CTRL+SHIFT+F6 </t>
  </si>
  <si>
    <t>Move to the next pane</t>
  </si>
  <si>
    <t>F6</t>
  </si>
  <si>
    <t>Move to the previous pane</t>
  </si>
  <si>
    <t>SHIFT+F6</t>
  </si>
  <si>
    <t>Scroll to display the active cell</t>
  </si>
  <si>
    <t>CTRL+BACKSPACE</t>
  </si>
  <si>
    <t>Move by one block of data within a row or column</t>
  </si>
  <si>
    <t>END, arrow key</t>
  </si>
  <si>
    <t>END, HOME</t>
  </si>
  <si>
    <t>Move to the last cell to the right in the current row that is not blank</t>
  </si>
  <si>
    <t>END, ENTER</t>
  </si>
  <si>
    <t>With SCROLL LOCK turned on, to</t>
  </si>
  <si>
    <t>Move to the cell in the upper-left corner of the window</t>
  </si>
  <si>
    <t>Move to the cell in the lower-right corner of the window</t>
  </si>
  <si>
    <t>Scroll one row up or down</t>
  </si>
  <si>
    <t xml:space="preserve">UP/DOWN ARROW </t>
  </si>
  <si>
    <t>Scroll one column left or right</t>
  </si>
  <si>
    <t>LEFT/RIGHT ARROW</t>
  </si>
  <si>
    <t>Format data by using shortcut keys</t>
  </si>
  <si>
    <t>Display the Style command (Format menu)</t>
  </si>
  <si>
    <t>ALT+' (APOSTROPHE)</t>
  </si>
  <si>
    <t>Display the Cells command (Format menu)</t>
  </si>
  <si>
    <t>CTRL+1</t>
  </si>
  <si>
    <t>Apply the General number format</t>
  </si>
  <si>
    <t>CTRL+SHIFT+~</t>
  </si>
  <si>
    <t>Apply the Currency format with two decimal places (negative numbers appear in parentheses)</t>
  </si>
  <si>
    <t>CTRL+SHIFT+$</t>
  </si>
  <si>
    <t xml:space="preserve">Apply the Percentage format with no decimal places </t>
  </si>
  <si>
    <t>CTRL+SHIFT+%</t>
  </si>
  <si>
    <t>Apply the Exponential number format with two decimal places</t>
  </si>
  <si>
    <t>CTRL+SHIFT+^</t>
  </si>
  <si>
    <t>Apply the Date format with the day, month, and year</t>
  </si>
  <si>
    <t>CTRL+SHIFT+#</t>
  </si>
  <si>
    <t>Apply the Time format with the hour and minute, and indicate A.M. or P.M.</t>
  </si>
  <si>
    <t>CTRL+SHIFT+@</t>
  </si>
  <si>
    <t>Apply the Number format with two decimal places, 1000 separator, and – for negative values</t>
  </si>
  <si>
    <t>CTRL+SHIFT+!</t>
  </si>
  <si>
    <t>Apply the outline border</t>
  </si>
  <si>
    <t>CTRL+SHIFT+&amp;</t>
  </si>
  <si>
    <t>Remove all borders</t>
  </si>
  <si>
    <t>CTRL+SHIFT+_</t>
  </si>
  <si>
    <t>Apply or remove bold formatting</t>
  </si>
  <si>
    <t>CTRL+B</t>
  </si>
  <si>
    <t>Apply or remove italic formatting</t>
  </si>
  <si>
    <t>CTRL+I</t>
  </si>
  <si>
    <t>Apply or remove an underline</t>
  </si>
  <si>
    <t>CTRL+U</t>
  </si>
  <si>
    <t>Apply or remove strikethrough formatting</t>
  </si>
  <si>
    <t>CTRL+5</t>
  </si>
  <si>
    <t>Hide rows</t>
  </si>
  <si>
    <t>CTRL+9</t>
  </si>
  <si>
    <t>Unhide rows</t>
  </si>
  <si>
    <t>CTRL+SHIFT+(</t>
  </si>
  <si>
    <t>Hide columns</t>
  </si>
  <si>
    <t>CTRL+0 (ZERO)</t>
  </si>
  <si>
    <t>Unhide columns</t>
  </si>
  <si>
    <t xml:space="preserve">CTRL+SHIFT+) </t>
  </si>
  <si>
    <t>Print and preview a document by using shortcut keys</t>
  </si>
  <si>
    <t>Display the Print command (File menu)</t>
  </si>
  <si>
    <t>CTRL+P</t>
  </si>
  <si>
    <t>Move around the page when zoomed in</t>
  </si>
  <si>
    <t>Arrow keys</t>
  </si>
  <si>
    <t>Move by one page when zoomed out</t>
  </si>
  <si>
    <t>PAGE UP or PAGE DOWN</t>
  </si>
  <si>
    <t>Move to the first page when zoomed out</t>
  </si>
  <si>
    <t>CTRL+UP ARROW</t>
  </si>
  <si>
    <t>Move to the last page when zoomed out</t>
  </si>
  <si>
    <t>CTRL+DOWN ARROW</t>
  </si>
  <si>
    <t>Keys for menus</t>
  </si>
  <si>
    <t>Show a shortcut menu</t>
  </si>
  <si>
    <t>SHIFT+F10</t>
  </si>
  <si>
    <t>Make the menu bar active</t>
  </si>
  <si>
    <t>F10 or ALT</t>
  </si>
  <si>
    <t>Show the program icon menu (on the program title bar)</t>
  </si>
  <si>
    <t>ALT+SPACEBAR</t>
  </si>
  <si>
    <t xml:space="preserve">Select the next or previous command on the menu or submenu </t>
  </si>
  <si>
    <t xml:space="preserve">DOWN/UP ARROW </t>
  </si>
  <si>
    <t>Select the menu to the left or right, or, with a submenu visible, switch between the main menu and the submenu</t>
  </si>
  <si>
    <t xml:space="preserve">LEFT/RIGHT ARROW </t>
  </si>
  <si>
    <t>Select the first or last command on the menu or submenu</t>
  </si>
  <si>
    <t>HOME or END</t>
  </si>
  <si>
    <t>Close the visible menu and submenu at the same time</t>
  </si>
  <si>
    <t>ALT</t>
  </si>
  <si>
    <t>Close the visible menu, or, with a submenu visible, close the submenu only</t>
  </si>
  <si>
    <t>ESC</t>
  </si>
  <si>
    <t>Edit data by using shortcut keys</t>
  </si>
  <si>
    <t>Edit the active cell and complete</t>
  </si>
  <si>
    <t>F2 + Enter</t>
  </si>
  <si>
    <t>Cancel an entry in the cell or formula bar</t>
  </si>
  <si>
    <t>Edit the active cell and then clear it, or delete the preceding character in the active cell as you edit the cell contents</t>
  </si>
  <si>
    <t>BACKSPACE</t>
  </si>
  <si>
    <t>Paste a name into a formula</t>
  </si>
  <si>
    <t>F3</t>
  </si>
  <si>
    <t>Enter a formula as an array formula</t>
  </si>
  <si>
    <t>CTRL+SHIFT+ENTER</t>
  </si>
  <si>
    <t>Display the Formula Palette after you type a valid function name in a formula</t>
  </si>
  <si>
    <t>Insert the argument names and parentheses for a function, after you type a valid function name in a formula</t>
  </si>
  <si>
    <t>CTRL+SHIFT+A</t>
  </si>
  <si>
    <t>Insert, delete, and copy a selection by using shortcut keys</t>
  </si>
  <si>
    <t>Copy the selection</t>
  </si>
  <si>
    <t>CTRL+C</t>
  </si>
  <si>
    <t>Paste the selection</t>
  </si>
  <si>
    <t>CTRL+V</t>
  </si>
  <si>
    <t>Cut the selection</t>
  </si>
  <si>
    <t>CTRL+X</t>
  </si>
  <si>
    <t>Clear the contents of the selection</t>
  </si>
  <si>
    <t>DELETE</t>
  </si>
  <si>
    <t>Insert blank cells</t>
  </si>
  <si>
    <t>CTRL+SHIFT+PLUS SIGN</t>
  </si>
  <si>
    <t>Delete the selection</t>
  </si>
  <si>
    <t>CTRL+ –</t>
  </si>
  <si>
    <t>Undo the last action</t>
  </si>
  <si>
    <t>CTRL+Z</t>
  </si>
  <si>
    <t>Move within a selection by using shortcut keys</t>
  </si>
  <si>
    <t>Move from top to bottom within the selection (down), or in the direction that is selected on the Edit tab (Tools menu, Options command)</t>
  </si>
  <si>
    <t xml:space="preserve">ENTER </t>
  </si>
  <si>
    <t>Move from bottom to top within the selection (up), or opposite to the direction that is selected on the Edit tab (Tools menu, Options command)</t>
  </si>
  <si>
    <t xml:space="preserve">SHIFT+ENTER </t>
  </si>
  <si>
    <t>Move from left to right within the selection, or move down one cell if only one column is selected</t>
  </si>
  <si>
    <t>Move from right to left within the selection, or move up one cell if only one column is selected</t>
  </si>
  <si>
    <t>SHIFT+TAB</t>
  </si>
  <si>
    <t>Move clockwise to the next corner of the selection</t>
  </si>
  <si>
    <t>CTRL+PERIOD</t>
  </si>
  <si>
    <t>Move to the right between nonadjacent selections</t>
  </si>
  <si>
    <t>CTRL+ALT+RIGHT ARROW</t>
  </si>
  <si>
    <t>Move to the left between nonadjacent selections</t>
  </si>
  <si>
    <t>CTRL+ALT+LEFT ARROW</t>
  </si>
  <si>
    <t>Marksheet of ABC Juniour College</t>
  </si>
  <si>
    <t>Final Exam</t>
  </si>
  <si>
    <t>Subjects ( Marks out of 100)</t>
  </si>
  <si>
    <t>SrNo</t>
  </si>
  <si>
    <t>Physics</t>
  </si>
  <si>
    <t>Chemistry</t>
  </si>
  <si>
    <t>Biology</t>
  </si>
  <si>
    <t>Total Mark</t>
  </si>
  <si>
    <t>Average</t>
  </si>
  <si>
    <t>Sachin</t>
  </si>
  <si>
    <t>Vinod</t>
  </si>
  <si>
    <t>Sameer</t>
  </si>
  <si>
    <t>Rahul</t>
  </si>
  <si>
    <t>Imran</t>
  </si>
  <si>
    <t>Sushil</t>
  </si>
  <si>
    <t>Vimal</t>
  </si>
  <si>
    <t>Zenia</t>
  </si>
  <si>
    <t>Arvind</t>
  </si>
  <si>
    <t>REPORT</t>
  </si>
  <si>
    <t>Grand Total</t>
  </si>
  <si>
    <t>Number of Student</t>
  </si>
  <si>
    <t>Number of Subject</t>
  </si>
  <si>
    <t>Maximum Marks</t>
  </si>
  <si>
    <t>Minimum Marks</t>
  </si>
  <si>
    <t>No.of Student &gt;70</t>
  </si>
  <si>
    <t>Text Function</t>
  </si>
  <si>
    <t>Description</t>
  </si>
  <si>
    <t>Example</t>
  </si>
  <si>
    <t>Upper</t>
  </si>
  <si>
    <t>Converts a text into uppercase</t>
  </si>
  <si>
    <t>Lower</t>
  </si>
  <si>
    <t>Converts a text into lowercase</t>
  </si>
  <si>
    <t>Proper</t>
  </si>
  <si>
    <t>Converts a text into First character as capital</t>
  </si>
  <si>
    <t>Left</t>
  </si>
  <si>
    <t>Extracts characters from left</t>
  </si>
  <si>
    <t>Right</t>
  </si>
  <si>
    <t>Extracts characters from right</t>
  </si>
  <si>
    <t>Mid</t>
  </si>
  <si>
    <t>Extracts caracters from middle</t>
  </si>
  <si>
    <t>Concatenate</t>
  </si>
  <si>
    <t>Join text</t>
  </si>
  <si>
    <t>Len</t>
  </si>
  <si>
    <t>Find the length of string</t>
  </si>
  <si>
    <t>Exact</t>
  </si>
  <si>
    <t>Checks for two text are same or not</t>
  </si>
  <si>
    <t>Text</t>
  </si>
  <si>
    <t>Changes value to text format</t>
  </si>
  <si>
    <t>Date</t>
  </si>
  <si>
    <t>Month</t>
  </si>
  <si>
    <t>Year</t>
  </si>
  <si>
    <t>Summary Details</t>
  </si>
  <si>
    <t>Total Emp</t>
  </si>
  <si>
    <t>Region wise Dept wise Total Salary</t>
  </si>
  <si>
    <t>Total Salary</t>
  </si>
  <si>
    <t>Max Salary</t>
  </si>
  <si>
    <t>Min Salary</t>
  </si>
  <si>
    <t>Average Salary</t>
  </si>
  <si>
    <t>Region wise Details</t>
  </si>
  <si>
    <t>Region Name</t>
  </si>
  <si>
    <t>Branch</t>
  </si>
  <si>
    <t>Da</t>
  </si>
  <si>
    <t>Hra</t>
  </si>
  <si>
    <t>Ferozepur</t>
  </si>
  <si>
    <t>Cuttack</t>
  </si>
  <si>
    <t>Hydrabad</t>
  </si>
  <si>
    <t>Delhi</t>
  </si>
  <si>
    <t>Kanpur</t>
  </si>
  <si>
    <t>Mathura</t>
  </si>
  <si>
    <t>Personnel</t>
  </si>
  <si>
    <t>Pune</t>
  </si>
  <si>
    <t>Agra</t>
  </si>
  <si>
    <t>Ambala</t>
  </si>
  <si>
    <t>Darjeeling</t>
  </si>
  <si>
    <t>Jammu</t>
  </si>
  <si>
    <t>Calcutta</t>
  </si>
  <si>
    <t>cochin</t>
  </si>
  <si>
    <t>Jaipur</t>
  </si>
  <si>
    <t>Nasik</t>
  </si>
  <si>
    <t>Patna</t>
  </si>
  <si>
    <t>Manglore</t>
  </si>
  <si>
    <t>Banglore</t>
  </si>
  <si>
    <t>Mumbai</t>
  </si>
  <si>
    <t>Lucknow</t>
  </si>
  <si>
    <t>Surat</t>
  </si>
  <si>
    <t>Mysore</t>
  </si>
  <si>
    <t>Aligarh</t>
  </si>
  <si>
    <t>delhi</t>
  </si>
  <si>
    <t>Baroda</t>
  </si>
  <si>
    <t>Nagpur</t>
  </si>
  <si>
    <t>Gangtok</t>
  </si>
  <si>
    <t>Guwahati</t>
  </si>
  <si>
    <t>chennai</t>
  </si>
  <si>
    <t>Trivanadrum</t>
  </si>
  <si>
    <t>Panji</t>
  </si>
  <si>
    <t>Financial functions and what-if anlysis</t>
  </si>
  <si>
    <t>Months</t>
  </si>
  <si>
    <t>PPMT</t>
  </si>
  <si>
    <t>IPMT</t>
  </si>
  <si>
    <t>PMT</t>
  </si>
  <si>
    <t>Loan Amount</t>
  </si>
  <si>
    <t>Rate of Intrest</t>
  </si>
  <si>
    <t>Payment /month</t>
  </si>
  <si>
    <t>PMT [EMI]</t>
  </si>
  <si>
    <t>Using Data Table</t>
  </si>
  <si>
    <t>RAjesh</t>
  </si>
  <si>
    <t>Deshmukh</t>
  </si>
  <si>
    <t>FUNCTIONS</t>
  </si>
  <si>
    <t>Search</t>
  </si>
  <si>
    <t>Search for position of text</t>
  </si>
  <si>
    <t>Replace</t>
  </si>
  <si>
    <t>Changes the text</t>
  </si>
  <si>
    <t>Maths Functions</t>
  </si>
  <si>
    <t>Abs</t>
  </si>
  <si>
    <t>Converts negative number to positive number</t>
  </si>
  <si>
    <t>Int</t>
  </si>
  <si>
    <t xml:space="preserve">Discards decimals </t>
  </si>
  <si>
    <t>Mod</t>
  </si>
  <si>
    <t>Gives the remainder from division</t>
  </si>
  <si>
    <t>Sqrt</t>
  </si>
  <si>
    <t>Gives root value</t>
  </si>
  <si>
    <t>Power</t>
  </si>
  <si>
    <t>Gives the number raised to power of</t>
  </si>
  <si>
    <t>Round</t>
  </si>
  <si>
    <t>Rounds to nearest number</t>
  </si>
  <si>
    <t>Trunc</t>
  </si>
  <si>
    <t>Truncates to lower number</t>
  </si>
  <si>
    <t>Statistical Functions</t>
  </si>
  <si>
    <t>CountA</t>
  </si>
  <si>
    <t>Counts text and numbers</t>
  </si>
  <si>
    <t>Countblank</t>
  </si>
  <si>
    <t>Counts blank cells</t>
  </si>
  <si>
    <t>Good</t>
  </si>
  <si>
    <t>Small</t>
  </si>
  <si>
    <t>Finds the nth small value</t>
  </si>
  <si>
    <t>Bad</t>
  </si>
  <si>
    <t>Large</t>
  </si>
  <si>
    <t>Finsd the nth large value</t>
  </si>
  <si>
    <t>Date Functions</t>
  </si>
  <si>
    <t>Adds day, month, year</t>
  </si>
  <si>
    <t>Today</t>
  </si>
  <si>
    <t>Current date</t>
  </si>
  <si>
    <t>Now</t>
  </si>
  <si>
    <t>Current date and time</t>
  </si>
  <si>
    <t>Day</t>
  </si>
  <si>
    <t xml:space="preserve">Extracts day fromCurrent date </t>
  </si>
  <si>
    <t xml:space="preserve">Extracts month fromCurrent date </t>
  </si>
  <si>
    <t>Extracts year from Curent date</t>
  </si>
  <si>
    <t>Time</t>
  </si>
  <si>
    <t>Adds Hr, min, second</t>
  </si>
  <si>
    <t>Hour</t>
  </si>
  <si>
    <t>Extracts Hours from given time</t>
  </si>
  <si>
    <t>Minute</t>
  </si>
  <si>
    <t>Extracts Minutes from given time</t>
  </si>
  <si>
    <t>Second</t>
  </si>
  <si>
    <t>Extracts Seconds from given time</t>
  </si>
  <si>
    <t>Weekday</t>
  </si>
  <si>
    <t xml:space="preserve">Extracts day from Current date </t>
  </si>
  <si>
    <t>Information Functions</t>
  </si>
  <si>
    <t>IsBlank</t>
  </si>
  <si>
    <t>Returns true if blank cell or false if non blank cell</t>
  </si>
  <si>
    <t>apple</t>
  </si>
  <si>
    <t>IsError</t>
  </si>
  <si>
    <t>Returns error value</t>
  </si>
  <si>
    <t>medicine</t>
  </si>
  <si>
    <t>Isnumber</t>
  </si>
  <si>
    <t>Returns true if data is number</t>
  </si>
  <si>
    <t>#ref1</t>
  </si>
  <si>
    <t>Istext</t>
  </si>
  <si>
    <t>Returns true if data is text</t>
  </si>
  <si>
    <t>#NA</t>
  </si>
  <si>
    <t>Payroll Summary</t>
  </si>
  <si>
    <t>Basic Assumptions</t>
  </si>
  <si>
    <t>Number of employees</t>
  </si>
  <si>
    <t>Average employee wage</t>
  </si>
  <si>
    <t>Hours worked per week</t>
  </si>
  <si>
    <t>Weeks worked per year</t>
  </si>
  <si>
    <t>Benefits (as % of wage)</t>
  </si>
  <si>
    <t>Formula Results</t>
  </si>
  <si>
    <t>Annual Wage Expense</t>
  </si>
  <si>
    <t>Annual Employee Benefits</t>
  </si>
  <si>
    <t>Total Payroll Costs</t>
  </si>
  <si>
    <t>If the Total Payroll Costs Is constraint to 1000000 find out the No of Employee Required in this Project</t>
  </si>
  <si>
    <t>Detials of Rate of Shares for X</t>
  </si>
  <si>
    <t>Forcast the Share Rates in 2010</t>
  </si>
  <si>
    <t>Create a Graph and Add a Trend Line with Forcast</t>
  </si>
  <si>
    <t>Years</t>
  </si>
  <si>
    <t>Share Rate</t>
  </si>
  <si>
    <t>X</t>
  </si>
  <si>
    <t>Y</t>
  </si>
  <si>
    <t>Fit</t>
  </si>
  <si>
    <t>Find through Regession</t>
  </si>
  <si>
    <t>Intercept</t>
  </si>
  <si>
    <t>X Variable 1</t>
  </si>
  <si>
    <t>Add a Line of Fit ir Trend line of Regression</t>
  </si>
  <si>
    <t>No.of Student Failed &lt;40</t>
  </si>
  <si>
    <t>No.of Student &gt;=40 and &lt;60</t>
  </si>
  <si>
    <t>Sample Revenue-Cost Model</t>
  </si>
  <si>
    <t>Price (Rs.)</t>
  </si>
  <si>
    <t>Quantity sold</t>
  </si>
  <si>
    <t>Revenue [ Total Sales]</t>
  </si>
  <si>
    <t>Variable Cost (Cost of Material, Labor)</t>
  </si>
  <si>
    <t>Fixed Cost (Rent, Salary etc)</t>
  </si>
  <si>
    <t>Total Cost</t>
  </si>
  <si>
    <t>Profit= Revenue less Total Cost</t>
  </si>
  <si>
    <t>Assumption: Variable cost as a % of Revenue</t>
  </si>
  <si>
    <t>Result-if</t>
  </si>
  <si>
    <t>if-and</t>
  </si>
  <si>
    <t>if-Or</t>
  </si>
  <si>
    <t>if-min</t>
  </si>
  <si>
    <t>Grade-if</t>
  </si>
  <si>
    <t>grade-vlookup</t>
  </si>
  <si>
    <t>Summary</t>
  </si>
  <si>
    <t>A</t>
  </si>
  <si>
    <t>B</t>
  </si>
  <si>
    <t>C</t>
  </si>
  <si>
    <t>Fail</t>
  </si>
  <si>
    <t>Product Name</t>
  </si>
  <si>
    <t>Jan</t>
  </si>
  <si>
    <t>Feb</t>
  </si>
  <si>
    <t>Mar</t>
  </si>
  <si>
    <t>Apr</t>
  </si>
  <si>
    <t>May</t>
  </si>
  <si>
    <t>Jun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</si>
  <si>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</si>
  <si>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</si>
  <si>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</si>
  <si>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</si>
  <si>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</si>
  <si>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</si>
  <si>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</si>
  <si>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</si>
  <si>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</si>
  <si>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</si>
  <si>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Amount</t>
  </si>
  <si>
    <t>Institutional Securities Group</t>
  </si>
  <si>
    <t>Revenue</t>
  </si>
  <si>
    <t>Cumulative Amount</t>
  </si>
  <si>
    <t>Cumulative %</t>
  </si>
  <si>
    <t xml:space="preserve">Wealth Management </t>
  </si>
  <si>
    <t xml:space="preserve">Equity sales and Trading </t>
  </si>
  <si>
    <t xml:space="preserve">Investment Banking </t>
  </si>
  <si>
    <t xml:space="preserve">Investment Management </t>
  </si>
  <si>
    <t xml:space="preserve">Fixed Income and Commodities </t>
  </si>
  <si>
    <t>Others</t>
  </si>
  <si>
    <t>Pareto Charts</t>
  </si>
  <si>
    <t>Total Customer</t>
  </si>
  <si>
    <t>Net Revenue</t>
  </si>
  <si>
    <t>Percentage</t>
  </si>
  <si>
    <t>Other</t>
  </si>
  <si>
    <t>Bubble Chart</t>
  </si>
  <si>
    <t>Intial of  the year</t>
  </si>
  <si>
    <t>End of the year</t>
  </si>
  <si>
    <t>WaterFall Charts</t>
  </si>
  <si>
    <t>Share Price Based On:</t>
  </si>
  <si>
    <t>Parameter</t>
  </si>
  <si>
    <t>P/E</t>
  </si>
  <si>
    <t>P/BV</t>
  </si>
  <si>
    <t>EV/EBITDA</t>
  </si>
  <si>
    <t>DCF (discount rate from 5% to 7%)</t>
  </si>
  <si>
    <t>Ratio</t>
  </si>
  <si>
    <t>Min</t>
  </si>
  <si>
    <t>Max</t>
  </si>
  <si>
    <t>Difference</t>
  </si>
  <si>
    <t>Mean</t>
  </si>
  <si>
    <t>DCF</t>
  </si>
  <si>
    <t>Floating Charts</t>
  </si>
  <si>
    <t>Annual Revenue -2014</t>
  </si>
  <si>
    <t>Annual Revenue -2015</t>
  </si>
  <si>
    <t>Stacked Bar chars</t>
  </si>
  <si>
    <t>Gross</t>
  </si>
  <si>
    <t>Net</t>
  </si>
  <si>
    <t>East 1000</t>
  </si>
  <si>
    <t>West-750</t>
  </si>
  <si>
    <t>North-500</t>
  </si>
  <si>
    <t>South- 350</t>
  </si>
  <si>
    <t>Mktg/Sales/Finance 50%</t>
  </si>
  <si>
    <t>Other- 30%</t>
  </si>
  <si>
    <t>HRA- vlookup</t>
  </si>
  <si>
    <t>DA: Vlookup</t>
  </si>
  <si>
    <t xml:space="preserve">Gross </t>
  </si>
  <si>
    <t>Sal+DA+HRA</t>
  </si>
  <si>
    <t>Tax- Vlookup</t>
  </si>
  <si>
    <t>G&gt;=15000 15%</t>
  </si>
  <si>
    <t>G&gt;=10000 &lt;15000-10%</t>
  </si>
  <si>
    <t>G&gt;=5000 &lt;10000-5%</t>
  </si>
  <si>
    <t>G&lt;5000- 0</t>
  </si>
  <si>
    <t>Net: Gross- Tax</t>
  </si>
  <si>
    <t>Vlookup-Match</t>
  </si>
  <si>
    <t>Index-Match</t>
  </si>
  <si>
    <t>DA</t>
  </si>
  <si>
    <t>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</si>
</sst>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_(* #,##0_);_(* \(#,##0\);_(* &quot;-&quot;??_);_(@_)"/>
    <numFmt numFmtId="170" formatCode="_(* #,##0.0_);_(* \(#,##0.0\);_(* &quot;-&quot;??_);_(@_)"/>
  </numFmts>
  <fonts count="31" x14ac:knownFonts="1">
    <font>
      <sz val="10"/>
      <name val="MS Sans Serif"/>
    </font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sz val="16"/>
      <color indexed="12"/>
      <name val="Arial"/>
      <family val="2"/>
    </font>
    <font>
      <sz val="16"/>
      <color indexed="17"/>
      <name val="Arial"/>
      <family val="2"/>
    </font>
    <font>
      <b/>
      <sz val="12"/>
      <name val="Arial"/>
      <family val="2"/>
    </font>
    <font>
      <b/>
      <sz val="16"/>
      <color indexed="10"/>
      <name val="Arial"/>
      <family val="2"/>
    </font>
    <font>
      <sz val="14"/>
      <color indexed="12"/>
      <name val="Arial"/>
      <family val="2"/>
    </font>
    <font>
      <b/>
      <sz val="11"/>
      <color theme="0"/>
      <name val="Calibri"/>
      <family val="2"/>
      <scheme val="minor"/>
    </font>
    <font>
      <b/>
      <i/>
      <sz val="14"/>
      <color indexed="9"/>
      <name val="Times New Roman"/>
      <family val="1"/>
    </font>
    <font>
      <b/>
      <sz val="10"/>
      <color indexed="1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8"/>
      <name val="MS Sans Serif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 Light"/>
      <family val="2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7"/>
        <bgColor indexed="26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2">
    <xf numFmtId="0" fontId="0" fillId="0" borderId="0"/>
    <xf numFmtId="167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0" fontId="2" fillId="0" borderId="0"/>
    <xf numFmtId="0" fontId="27" fillId="0" borderId="0"/>
    <xf numFmtId="167" fontId="27" fillId="0" borderId="0" applyFont="0" applyFill="0" applyBorder="0" applyAlignment="0" applyProtection="0"/>
  </cellStyleXfs>
  <cellXfs count="163">
    <xf numFmtId="0" fontId="0" fillId="0" borderId="0" xfId="0"/>
    <xf numFmtId="0" fontId="2" fillId="0" borderId="0" xfId="2"/>
    <xf numFmtId="0" fontId="5" fillId="0" borderId="0" xfId="2" applyFont="1"/>
    <xf numFmtId="0" fontId="2" fillId="4" borderId="3" xfId="2" applyFill="1" applyBorder="1"/>
    <xf numFmtId="0" fontId="2" fillId="4" borderId="0" xfId="2" applyFill="1"/>
    <xf numFmtId="0" fontId="2" fillId="4" borderId="4" xfId="2" applyFill="1" applyBorder="1"/>
    <xf numFmtId="0" fontId="3" fillId="4" borderId="3" xfId="2" applyFont="1" applyFill="1" applyBorder="1"/>
    <xf numFmtId="0" fontId="2" fillId="4" borderId="5" xfId="2" applyFill="1" applyBorder="1"/>
    <xf numFmtId="0" fontId="2" fillId="4" borderId="8" xfId="2" applyFill="1" applyBorder="1"/>
    <xf numFmtId="0" fontId="2" fillId="4" borderId="9" xfId="2" applyFill="1" applyBorder="1"/>
    <xf numFmtId="0" fontId="2" fillId="4" borderId="10" xfId="2" applyFill="1" applyBorder="1"/>
    <xf numFmtId="0" fontId="9" fillId="0" borderId="0" xfId="2" applyFont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 applyAlignment="1">
      <alignment wrapText="1"/>
    </xf>
    <xf numFmtId="0" fontId="3" fillId="0" borderId="14" xfId="2" applyFont="1" applyBorder="1"/>
    <xf numFmtId="0" fontId="5" fillId="0" borderId="15" xfId="2" applyFont="1" applyBorder="1"/>
    <xf numFmtId="0" fontId="5" fillId="0" borderId="16" xfId="2" applyFont="1" applyBorder="1" applyAlignment="1">
      <alignment wrapText="1"/>
    </xf>
    <xf numFmtId="0" fontId="5" fillId="0" borderId="17" xfId="2" applyFont="1" applyBorder="1"/>
    <xf numFmtId="0" fontId="5" fillId="0" borderId="18" xfId="2" applyFont="1" applyBorder="1" applyAlignment="1">
      <alignment wrapText="1"/>
    </xf>
    <xf numFmtId="0" fontId="5" fillId="0" borderId="19" xfId="2" applyFont="1" applyBorder="1"/>
    <xf numFmtId="0" fontId="5" fillId="0" borderId="20" xfId="2" applyFont="1" applyBorder="1" applyAlignment="1">
      <alignment wrapText="1"/>
    </xf>
    <xf numFmtId="0" fontId="5" fillId="0" borderId="20" xfId="2" applyFont="1" applyBorder="1"/>
    <xf numFmtId="0" fontId="5" fillId="0" borderId="21" xfId="2" applyFont="1" applyBorder="1" applyAlignment="1">
      <alignment wrapText="1"/>
    </xf>
    <xf numFmtId="0" fontId="5" fillId="0" borderId="21" xfId="2" applyFont="1" applyBorder="1"/>
    <xf numFmtId="0" fontId="3" fillId="0" borderId="14" xfId="2" applyFont="1" applyBorder="1" applyAlignment="1">
      <alignment wrapText="1"/>
    </xf>
    <xf numFmtId="0" fontId="5" fillId="0" borderId="22" xfId="2" applyFont="1" applyBorder="1" applyAlignment="1">
      <alignment wrapText="1"/>
    </xf>
    <xf numFmtId="0" fontId="5" fillId="0" borderId="22" xfId="2" applyFont="1" applyBorder="1"/>
    <xf numFmtId="0" fontId="2" fillId="0" borderId="0" xfId="3"/>
    <xf numFmtId="2" fontId="2" fillId="0" borderId="0" xfId="3" applyNumberFormat="1"/>
    <xf numFmtId="0" fontId="2" fillId="0" borderId="0" xfId="4"/>
    <xf numFmtId="0" fontId="2" fillId="0" borderId="1" xfId="4" applyBorder="1"/>
    <xf numFmtId="0" fontId="2" fillId="9" borderId="1" xfId="4" applyFill="1" applyBorder="1"/>
    <xf numFmtId="15" fontId="2" fillId="0" borderId="1" xfId="4" applyNumberFormat="1" applyBorder="1"/>
    <xf numFmtId="0" fontId="5" fillId="0" borderId="0" xfId="4" applyFont="1"/>
    <xf numFmtId="15" fontId="2" fillId="0" borderId="0" xfId="4" applyNumberFormat="1"/>
    <xf numFmtId="4" fontId="2" fillId="0" borderId="0" xfId="4" applyNumberFormat="1" applyProtection="1">
      <protection locked="0"/>
    </xf>
    <xf numFmtId="0" fontId="6" fillId="0" borderId="0" xfId="4" applyFont="1"/>
    <xf numFmtId="0" fontId="14" fillId="7" borderId="0" xfId="4" applyFont="1" applyFill="1"/>
    <xf numFmtId="0" fontId="2" fillId="7" borderId="0" xfId="4" applyFill="1"/>
    <xf numFmtId="9" fontId="2" fillId="10" borderId="28" xfId="4" applyNumberFormat="1" applyFill="1" applyBorder="1"/>
    <xf numFmtId="0" fontId="3" fillId="2" borderId="1" xfId="4" applyFont="1" applyFill="1" applyBorder="1"/>
    <xf numFmtId="0" fontId="3" fillId="10" borderId="1" xfId="4" applyFont="1" applyFill="1" applyBorder="1"/>
    <xf numFmtId="0" fontId="2" fillId="2" borderId="1" xfId="4" applyFill="1" applyBorder="1"/>
    <xf numFmtId="10" fontId="2" fillId="2" borderId="1" xfId="4" applyNumberFormat="1" applyFill="1" applyBorder="1"/>
    <xf numFmtId="0" fontId="3" fillId="10" borderId="29" xfId="4" applyFont="1" applyFill="1" applyBorder="1"/>
    <xf numFmtId="165" fontId="2" fillId="2" borderId="28" xfId="4" applyNumberFormat="1" applyFill="1" applyBorder="1"/>
    <xf numFmtId="0" fontId="2" fillId="2" borderId="28" xfId="4" applyFill="1" applyBorder="1"/>
    <xf numFmtId="0" fontId="2" fillId="6" borderId="1" xfId="4" applyFill="1" applyBorder="1"/>
    <xf numFmtId="0" fontId="2" fillId="2" borderId="29" xfId="4" applyFill="1" applyBorder="1"/>
    <xf numFmtId="0" fontId="2" fillId="6" borderId="29" xfId="4" applyFill="1" applyBorder="1"/>
    <xf numFmtId="0" fontId="3" fillId="5" borderId="0" xfId="4" applyFont="1" applyFill="1"/>
    <xf numFmtId="0" fontId="13" fillId="6" borderId="0" xfId="4" applyFont="1" applyFill="1" applyAlignment="1">
      <alignment horizontal="center"/>
    </xf>
    <xf numFmtId="0" fontId="3" fillId="3" borderId="0" xfId="4" applyFont="1" applyFill="1"/>
    <xf numFmtId="0" fontId="3" fillId="7" borderId="0" xfId="4" applyFont="1" applyFill="1"/>
    <xf numFmtId="0" fontId="2" fillId="4" borderId="0" xfId="4" applyFill="1"/>
    <xf numFmtId="0" fontId="2" fillId="8" borderId="0" xfId="4" applyFill="1"/>
    <xf numFmtId="14" fontId="2" fillId="8" borderId="0" xfId="4" applyNumberFormat="1" applyFill="1"/>
    <xf numFmtId="22" fontId="2" fillId="8" borderId="0" xfId="4" applyNumberFormat="1" applyFill="1"/>
    <xf numFmtId="18" fontId="2" fillId="8" borderId="0" xfId="4" applyNumberFormat="1" applyFill="1"/>
    <xf numFmtId="0" fontId="3" fillId="0" borderId="0" xfId="4" applyFont="1"/>
    <xf numFmtId="0" fontId="3" fillId="0" borderId="1" xfId="4" applyFont="1" applyBorder="1"/>
    <xf numFmtId="0" fontId="4" fillId="0" borderId="3" xfId="4" applyFont="1" applyBorder="1" applyAlignment="1">
      <alignment vertical="center"/>
    </xf>
    <xf numFmtId="38" fontId="4" fillId="0" borderId="33" xfId="5" applyNumberFormat="1" applyFont="1" applyBorder="1" applyAlignment="1">
      <alignment vertical="center"/>
    </xf>
    <xf numFmtId="165" fontId="4" fillId="0" borderId="34" xfId="6" applyNumberFormat="1" applyFont="1" applyBorder="1" applyAlignment="1">
      <alignment vertical="center"/>
    </xf>
    <xf numFmtId="40" fontId="4" fillId="0" borderId="34" xfId="5" applyNumberFormat="1" applyFont="1" applyBorder="1" applyAlignment="1">
      <alignment vertical="center"/>
    </xf>
    <xf numFmtId="38" fontId="4" fillId="0" borderId="34" xfId="5" applyNumberFormat="1" applyFont="1" applyBorder="1" applyAlignment="1">
      <alignment vertical="center"/>
    </xf>
    <xf numFmtId="10" fontId="4" fillId="0" borderId="35" xfId="7" applyNumberFormat="1" applyFont="1" applyBorder="1" applyAlignment="1">
      <alignment vertical="center"/>
    </xf>
    <xf numFmtId="164" fontId="4" fillId="0" borderId="33" xfId="6" applyNumberFormat="1" applyFont="1" applyBorder="1" applyAlignment="1">
      <alignment vertical="center"/>
    </xf>
    <xf numFmtId="38" fontId="4" fillId="0" borderId="35" xfId="6" applyNumberFormat="1" applyFont="1" applyBorder="1" applyAlignment="1">
      <alignment vertical="center"/>
    </xf>
    <xf numFmtId="0" fontId="8" fillId="0" borderId="37" xfId="4" applyFont="1" applyBorder="1" applyAlignment="1">
      <alignment vertical="center"/>
    </xf>
    <xf numFmtId="164" fontId="8" fillId="0" borderId="38" xfId="4" applyNumberFormat="1" applyFont="1" applyBorder="1" applyAlignment="1">
      <alignment vertical="center"/>
    </xf>
    <xf numFmtId="0" fontId="8" fillId="10" borderId="37" xfId="4" applyFont="1" applyFill="1" applyBorder="1" applyAlignment="1">
      <alignment vertical="center"/>
    </xf>
    <xf numFmtId="0" fontId="2" fillId="10" borderId="0" xfId="4" applyFill="1"/>
    <xf numFmtId="0" fontId="18" fillId="4" borderId="0" xfId="8" applyFill="1"/>
    <xf numFmtId="0" fontId="18" fillId="0" borderId="0" xfId="8"/>
    <xf numFmtId="0" fontId="18" fillId="0" borderId="1" xfId="8" applyBorder="1"/>
    <xf numFmtId="168" fontId="18" fillId="0" borderId="0" xfId="8" applyNumberFormat="1"/>
    <xf numFmtId="0" fontId="2" fillId="0" borderId="1" xfId="3" applyBorder="1"/>
    <xf numFmtId="167" fontId="15" fillId="13" borderId="1" xfId="1" applyFont="1" applyFill="1" applyBorder="1" applyAlignment="1"/>
    <xf numFmtId="167" fontId="19" fillId="0" borderId="1" xfId="1" applyFont="1" applyBorder="1"/>
    <xf numFmtId="167" fontId="20" fillId="14" borderId="1" xfId="5" applyFont="1" applyFill="1" applyBorder="1"/>
    <xf numFmtId="169" fontId="20" fillId="14" borderId="1" xfId="5" applyNumberFormat="1" applyFont="1" applyFill="1" applyBorder="1"/>
    <xf numFmtId="167" fontId="21" fillId="0" borderId="1" xfId="1" applyFont="1" applyBorder="1"/>
    <xf numFmtId="169" fontId="21" fillId="0" borderId="1" xfId="5" applyNumberFormat="1" applyFont="1" applyBorder="1"/>
    <xf numFmtId="167" fontId="19" fillId="0" borderId="0" xfId="1" applyFont="1" applyBorder="1"/>
    <xf numFmtId="169" fontId="19" fillId="0" borderId="0" xfId="5" applyNumberFormat="1" applyFont="1" applyBorder="1"/>
    <xf numFmtId="169" fontId="19" fillId="0" borderId="1" xfId="5" applyNumberFormat="1" applyFont="1" applyBorder="1"/>
    <xf numFmtId="169" fontId="21" fillId="0" borderId="1" xfId="4" applyNumberFormat="1" applyFont="1" applyBorder="1"/>
    <xf numFmtId="169" fontId="19" fillId="0" borderId="0" xfId="4" applyNumberFormat="1" applyFont="1"/>
    <xf numFmtId="167" fontId="22" fillId="0" borderId="0" xfId="1" applyFont="1" applyBorder="1"/>
    <xf numFmtId="167" fontId="22" fillId="0" borderId="0" xfId="4" applyNumberFormat="1" applyFont="1"/>
    <xf numFmtId="0" fontId="19" fillId="0" borderId="0" xfId="9" applyFont="1"/>
    <xf numFmtId="170" fontId="20" fillId="14" borderId="1" xfId="1" applyNumberFormat="1" applyFont="1" applyFill="1" applyBorder="1"/>
    <xf numFmtId="2" fontId="2" fillId="0" borderId="1" xfId="3" applyNumberFormat="1" applyBorder="1"/>
    <xf numFmtId="15" fontId="2" fillId="0" borderId="1" xfId="3" applyNumberFormat="1" applyBorder="1"/>
    <xf numFmtId="0" fontId="23" fillId="0" borderId="0" xfId="0" applyFont="1"/>
    <xf numFmtId="0" fontId="23" fillId="0" borderId="1" xfId="0" applyFont="1" applyBorder="1"/>
    <xf numFmtId="0" fontId="23" fillId="9" borderId="1" xfId="0" applyFont="1" applyFill="1" applyBorder="1"/>
    <xf numFmtId="0" fontId="25" fillId="15" borderId="39" xfId="0" applyFont="1" applyFill="1" applyBorder="1" applyAlignment="1">
      <alignment horizontal="center" vertical="center" wrapText="1" readingOrder="1"/>
    </xf>
    <xf numFmtId="0" fontId="23" fillId="9" borderId="0" xfId="0" applyFont="1" applyFill="1"/>
    <xf numFmtId="9" fontId="26" fillId="0" borderId="39" xfId="0" applyNumberFormat="1" applyFont="1" applyBorder="1" applyAlignment="1">
      <alignment horizontal="center" wrapText="1" readingOrder="1"/>
    </xf>
    <xf numFmtId="9" fontId="23" fillId="0" borderId="1" xfId="0" applyNumberFormat="1" applyFont="1" applyBorder="1"/>
    <xf numFmtId="0" fontId="26" fillId="0" borderId="1" xfId="0" applyFont="1" applyBorder="1" applyAlignment="1">
      <alignment horizontal="left" vertical="center" wrapText="1" readingOrder="1"/>
    </xf>
    <xf numFmtId="0" fontId="26" fillId="0" borderId="1" xfId="0" applyFont="1" applyBorder="1" applyAlignment="1">
      <alignment horizontal="center" vertical="center" wrapText="1" readingOrder="1"/>
    </xf>
    <xf numFmtId="0" fontId="26" fillId="0" borderId="0" xfId="0" applyFont="1" applyAlignment="1">
      <alignment horizontal="center" vertical="center" wrapText="1" readingOrder="1"/>
    </xf>
    <xf numFmtId="9" fontId="26" fillId="0" borderId="1" xfId="0" applyNumberFormat="1" applyFont="1" applyBorder="1" applyAlignment="1">
      <alignment horizontal="center" wrapText="1" readingOrder="1"/>
    </xf>
    <xf numFmtId="0" fontId="28" fillId="0" borderId="0" xfId="0" applyFont="1"/>
    <xf numFmtId="0" fontId="29" fillId="0" borderId="0" xfId="4" applyFont="1"/>
    <xf numFmtId="0" fontId="29" fillId="0" borderId="0" xfId="4" applyFont="1" applyProtection="1">
      <protection locked="0"/>
    </xf>
    <xf numFmtId="0" fontId="29" fillId="0" borderId="1" xfId="4" applyFont="1" applyBorder="1" applyProtection="1">
      <protection locked="0"/>
    </xf>
    <xf numFmtId="0" fontId="29" fillId="0" borderId="0" xfId="0" applyFont="1"/>
    <xf numFmtId="0" fontId="29" fillId="9" borderId="1" xfId="4" applyFont="1" applyFill="1" applyBorder="1" applyProtection="1">
      <protection locked="0"/>
    </xf>
    <xf numFmtId="0" fontId="29" fillId="9" borderId="1" xfId="4" applyFont="1" applyFill="1" applyBorder="1"/>
    <xf numFmtId="0" fontId="29" fillId="0" borderId="1" xfId="4" applyFont="1" applyBorder="1"/>
    <xf numFmtId="15" fontId="29" fillId="0" borderId="1" xfId="4" applyNumberFormat="1" applyFont="1" applyBorder="1" applyProtection="1">
      <protection locked="0"/>
    </xf>
    <xf numFmtId="0" fontId="29" fillId="0" borderId="1" xfId="0" applyFont="1" applyBorder="1"/>
    <xf numFmtId="15" fontId="29" fillId="0" borderId="0" xfId="4" applyNumberFormat="1" applyFont="1" applyProtection="1">
      <protection locked="0"/>
    </xf>
    <xf numFmtId="4" fontId="29" fillId="0" borderId="0" xfId="4" applyNumberFormat="1" applyFont="1" applyProtection="1">
      <protection locked="0"/>
    </xf>
    <xf numFmtId="0" fontId="30" fillId="0" borderId="0" xfId="4" applyFont="1" applyProtection="1">
      <protection locked="0"/>
    </xf>
    <xf numFmtId="0" fontId="29" fillId="0" borderId="1" xfId="4" applyFont="1" applyBorder="1" applyProtection="1">
      <protection hidden="1"/>
    </xf>
    <xf numFmtId="0" fontId="1" fillId="0" borderId="0" xfId="0" applyFont="1"/>
    <xf numFmtId="0" fontId="2" fillId="0" borderId="26" xfId="3" applyBorder="1"/>
    <xf numFmtId="0" fontId="2" fillId="0" borderId="21" xfId="3" applyBorder="1"/>
    <xf numFmtId="0" fontId="2" fillId="0" borderId="27" xfId="3" applyBorder="1"/>
    <xf numFmtId="0" fontId="2" fillId="0" borderId="6" xfId="3" applyBorder="1"/>
    <xf numFmtId="0" fontId="2" fillId="0" borderId="1" xfId="3" applyBorder="1" applyAlignment="1">
      <alignment horizontal="center"/>
    </xf>
    <xf numFmtId="4" fontId="2" fillId="0" borderId="1" xfId="3" applyNumberForma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12" fillId="9" borderId="1" xfId="3" applyFont="1" applyFill="1" applyBorder="1" applyAlignment="1">
      <alignment horizontal="center"/>
    </xf>
    <xf numFmtId="0" fontId="2" fillId="9" borderId="1" xfId="3" applyFill="1" applyBorder="1"/>
    <xf numFmtId="2" fontId="2" fillId="9" borderId="1" xfId="3" applyNumberFormat="1" applyFill="1" applyBorder="1"/>
    <xf numFmtId="0" fontId="3" fillId="9" borderId="1" xfId="3" applyFont="1" applyFill="1" applyBorder="1"/>
    <xf numFmtId="9" fontId="29" fillId="0" borderId="1" xfId="0" applyNumberFormat="1" applyFont="1" applyBorder="1" applyAlignment="1">
      <alignment horizontal="center"/>
    </xf>
    <xf numFmtId="10" fontId="29" fillId="0" borderId="1" xfId="0" applyNumberFormat="1" applyFont="1" applyBorder="1" applyAlignment="1">
      <alignment horizontal="center"/>
    </xf>
    <xf numFmtId="0" fontId="29" fillId="9" borderId="27" xfId="4" applyFont="1" applyFill="1" applyBorder="1" applyAlignment="1" applyProtection="1">
      <alignment horizontal="center"/>
      <protection locked="0"/>
    </xf>
    <xf numFmtId="0" fontId="29" fillId="9" borderId="6" xfId="4" applyFont="1" applyFill="1" applyBorder="1" applyAlignment="1" applyProtection="1">
      <alignment horizontal="center"/>
      <protection locked="0"/>
    </xf>
    <xf numFmtId="0" fontId="29" fillId="9" borderId="1" xfId="4" applyFont="1" applyFill="1" applyBorder="1" applyAlignment="1" applyProtection="1">
      <alignment horizontal="center"/>
      <protection locked="0"/>
    </xf>
    <xf numFmtId="0" fontId="10" fillId="0" borderId="23" xfId="3" applyFont="1" applyBorder="1" applyAlignment="1">
      <alignment horizontal="center"/>
    </xf>
    <xf numFmtId="0" fontId="10" fillId="0" borderId="24" xfId="3" applyFont="1" applyBorder="1" applyAlignment="1">
      <alignment horizontal="center"/>
    </xf>
    <xf numFmtId="0" fontId="10" fillId="0" borderId="25" xfId="3" applyFont="1" applyBorder="1" applyAlignment="1">
      <alignment horizontal="center"/>
    </xf>
    <xf numFmtId="0" fontId="11" fillId="0" borderId="8" xfId="3" applyFont="1" applyBorder="1" applyAlignment="1">
      <alignment horizontal="center"/>
    </xf>
    <xf numFmtId="0" fontId="11" fillId="0" borderId="9" xfId="3" applyFont="1" applyBorder="1" applyAlignment="1">
      <alignment horizontal="center"/>
    </xf>
    <xf numFmtId="0" fontId="11" fillId="0" borderId="0" xfId="3" applyFont="1" applyAlignment="1">
      <alignment horizontal="center"/>
    </xf>
    <xf numFmtId="0" fontId="11" fillId="0" borderId="4" xfId="3" applyFont="1" applyBorder="1" applyAlignment="1">
      <alignment horizontal="center"/>
    </xf>
    <xf numFmtId="0" fontId="12" fillId="0" borderId="26" xfId="3" applyFont="1" applyBorder="1" applyAlignment="1">
      <alignment horizontal="center"/>
    </xf>
    <xf numFmtId="0" fontId="12" fillId="0" borderId="21" xfId="3" applyFont="1" applyBorder="1" applyAlignment="1">
      <alignment horizontal="center"/>
    </xf>
    <xf numFmtId="0" fontId="12" fillId="0" borderId="7" xfId="3" applyFont="1" applyBorder="1" applyAlignment="1">
      <alignment horizontal="center"/>
    </xf>
    <xf numFmtId="0" fontId="3" fillId="0" borderId="1" xfId="3" applyFont="1" applyBorder="1" applyAlignment="1">
      <alignment horizontal="center" vertical="center" textRotation="90"/>
    </xf>
    <xf numFmtId="0" fontId="3" fillId="9" borderId="27" xfId="3" applyFont="1" applyFill="1" applyBorder="1" applyAlignment="1">
      <alignment horizontal="center"/>
    </xf>
    <xf numFmtId="0" fontId="3" fillId="9" borderId="6" xfId="3" applyFont="1" applyFill="1" applyBorder="1" applyAlignment="1">
      <alignment horizontal="center"/>
    </xf>
    <xf numFmtId="0" fontId="7" fillId="6" borderId="11" xfId="2" applyFont="1" applyFill="1" applyBorder="1" applyAlignment="1">
      <alignment horizontal="center"/>
    </xf>
    <xf numFmtId="0" fontId="7" fillId="6" borderId="12" xfId="2" applyFont="1" applyFill="1" applyBorder="1" applyAlignment="1">
      <alignment horizontal="center"/>
    </xf>
    <xf numFmtId="0" fontId="7" fillId="6" borderId="13" xfId="2" applyFont="1" applyFill="1" applyBorder="1" applyAlignment="1">
      <alignment horizontal="center"/>
    </xf>
    <xf numFmtId="0" fontId="3" fillId="10" borderId="2" xfId="4" applyFont="1" applyFill="1" applyBorder="1" applyAlignment="1">
      <alignment horizontal="center" vertical="center" textRotation="46"/>
    </xf>
    <xf numFmtId="0" fontId="3" fillId="10" borderId="30" xfId="4" applyFont="1" applyFill="1" applyBorder="1" applyAlignment="1">
      <alignment horizontal="center" vertical="center" textRotation="46"/>
    </xf>
    <xf numFmtId="0" fontId="25" fillId="15" borderId="40" xfId="0" applyFont="1" applyFill="1" applyBorder="1" applyAlignment="1">
      <alignment horizontal="center" vertical="center" wrapText="1" readingOrder="1"/>
    </xf>
    <xf numFmtId="0" fontId="25" fillId="15" borderId="41" xfId="0" applyFont="1" applyFill="1" applyBorder="1" applyAlignment="1">
      <alignment horizontal="center" vertical="center" wrapText="1" readingOrder="1"/>
    </xf>
    <xf numFmtId="0" fontId="25" fillId="15" borderId="42" xfId="0" applyFont="1" applyFill="1" applyBorder="1" applyAlignment="1">
      <alignment horizontal="center" vertical="center" wrapText="1" readingOrder="1"/>
    </xf>
    <xf numFmtId="0" fontId="16" fillId="11" borderId="23" xfId="4" applyFont="1" applyFill="1" applyBorder="1" applyAlignment="1">
      <alignment horizontal="center" vertical="center"/>
    </xf>
    <xf numFmtId="0" fontId="16" fillId="11" borderId="25" xfId="4" applyFont="1" applyFill="1" applyBorder="1" applyAlignment="1">
      <alignment horizontal="center" vertical="center"/>
    </xf>
    <xf numFmtId="0" fontId="17" fillId="12" borderId="31" xfId="4" applyFont="1" applyFill="1" applyBorder="1" applyAlignment="1">
      <alignment horizontal="center" vertical="center"/>
    </xf>
    <xf numFmtId="0" fontId="17" fillId="12" borderId="32" xfId="4" applyFont="1" applyFill="1" applyBorder="1" applyAlignment="1">
      <alignment horizontal="center" vertical="center"/>
    </xf>
    <xf numFmtId="0" fontId="17" fillId="12" borderId="36" xfId="4" applyFont="1" applyFill="1" applyBorder="1" applyAlignment="1">
      <alignment horizontal="center" vertical="center"/>
    </xf>
  </cellXfs>
  <cellStyles count="12">
    <cellStyle name="Comma" xfId="1" builtinId="3"/>
    <cellStyle name="Comma 2" xfId="5" xr:uid="{836D3764-A82B-4B60-BD6C-63342A10E779}"/>
    <cellStyle name="Comma 3" xfId="11" xr:uid="{BD51BEB2-6626-4603-9847-933FEA1E9AAC}"/>
    <cellStyle name="Currency 2" xfId="6" xr:uid="{6BC17766-4FF8-4470-9E7F-6F7CDAA34626}"/>
    <cellStyle name="Normal" xfId="0" builtinId="0"/>
    <cellStyle name="Normal 2" xfId="4" xr:uid="{EE7D983B-0C86-4B80-A779-9E3BC33D7254}"/>
    <cellStyle name="Normal 3" xfId="10" xr:uid="{7415FB54-545D-4EA5-9C77-32BB68922EAC}"/>
    <cellStyle name="Normal 4 2" xfId="9" xr:uid="{2EF7AB22-2AC3-44D1-9494-C14CBC72C94C}"/>
    <cellStyle name="Normal_excel_adv" xfId="2" xr:uid="{00000000-0005-0000-0000-000003000000}"/>
    <cellStyle name="Normal_ExcelFunction" xfId="3" xr:uid="{00000000-0005-0000-0000-000004000000}"/>
    <cellStyle name="Normal_Self study on data anlysis" xfId="8" xr:uid="{3DAE08FF-0E8A-4FAB-95CD-89FE6A8F54B3}"/>
    <cellStyle name="Percent 2" xfId="7" xr:uid="{E0C3A4F1-7774-4C7E-88A4-41D65110A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EE1-411B-9EE3-2B679182120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425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</c:trendlineLbl>
          </c:trendline>
          <c:val>
            <c:numRef>
              <c:f>#REF!#REF!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5EE1-411B-9EE3-2B6791821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626576"/>
        <c:axId val="1"/>
      </c:barChart>
      <c:catAx>
        <c:axId val="67862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78626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666772280321791"/>
          <c:y val="3.773591858770376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224440591234"/>
          <c:y val="0.21132114409114108"/>
          <c:w val="0.7866683738462974"/>
          <c:h val="0.63396343227342322"/>
        </c:manualLayout>
      </c:layout>
      <c:scatterChart>
        <c:scatterStyle val="lineMarker"/>
        <c:varyColors val="0"/>
        <c:ser>
          <c:idx val="0"/>
          <c:order val="0"/>
          <c:tx>
            <c:strRef>
              <c:f>Regression!$B$1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Regression!$A$2:$A$7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Regression!$B$2:$B$7</c:f>
              <c:numCache>
                <c:formatCode>General</c:formatCode>
                <c:ptCount val="6"/>
                <c:pt idx="0">
                  <c:v>1.7018999999999999E-2</c:v>
                </c:pt>
                <c:pt idx="1">
                  <c:v>4.4401999999999997E-2</c:v>
                </c:pt>
                <c:pt idx="2">
                  <c:v>8.3213999999999996E-2</c:v>
                </c:pt>
                <c:pt idx="3">
                  <c:v>0.119718</c:v>
                </c:pt>
                <c:pt idx="4">
                  <c:v>0.143932</c:v>
                </c:pt>
                <c:pt idx="5">
                  <c:v>0.166075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3-438F-BD2F-1525DBABE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33792"/>
        <c:axId val="1"/>
      </c:scatterChart>
      <c:valAx>
        <c:axId val="67863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633792"/>
        <c:crosses val="autoZero"/>
        <c:crossBetween val="midCat"/>
        <c:majorUnit val="0.0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444645062163766"/>
          <c:y val="0.49056694164014897"/>
          <c:w val="5.7777903163852354E-2"/>
          <c:h val="7.547183717540753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13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13994-F749-493C-A2C5-D47D5C55E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123825</xdr:colOff>
      <xdr:row>37</xdr:row>
      <xdr:rowOff>161925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F44DF3AF-038B-4E80-9E6D-7C0DC11EF1C0}"/>
            </a:ext>
          </a:extLst>
        </xdr:cNvPr>
        <xdr:cNvSpPr txBox="1">
          <a:spLocks noChangeArrowheads="1"/>
        </xdr:cNvSpPr>
      </xdr:nvSpPr>
      <xdr:spPr bwMode="auto">
        <a:xfrm>
          <a:off x="0" y="4400550"/>
          <a:ext cx="5305425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Using the FORECAST Function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FORECAST function can be used whenever you have an existing set of data pairs (x-values and y-values) and you want to calculate an estimated y-value to a new x-value. Excel performs a linear regression based on the existing values and then inserts the x-values into the expression for the regression which gives you an y-value. The new x-value can have any value and is not restricted to be larger than the existing x-values.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FORECAST function uses the following syntax: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=FORECAST(X, Yrange, Xrange)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this usage, X is the X value for which you want FORCAST to return a Y value. The Yrange and Xrange parameters are sets of know Y and X values.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13</xdr:row>
      <xdr:rowOff>38100</xdr:rowOff>
    </xdr:from>
    <xdr:to>
      <xdr:col>6</xdr:col>
      <xdr:colOff>457200</xdr:colOff>
      <xdr:row>28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E1A0057-1530-4299-9C66-C0073FA06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D00438-8B48-41F5-B805-D2403A1A6149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86F9-2768-47A9-99FD-891AE8862688}">
  <dimension ref="A1:L134"/>
  <sheetViews>
    <sheetView showGridLines="0" tabSelected="1" zoomScale="89" zoomScaleNormal="89" workbookViewId="0">
      <selection activeCell="L12" sqref="L12"/>
    </sheetView>
  </sheetViews>
  <sheetFormatPr defaultColWidth="9.109375" defaultRowHeight="13.8" x14ac:dyDescent="0.3"/>
  <cols>
    <col min="1" max="1" width="13.88671875" style="108" customWidth="1"/>
    <col min="2" max="2" width="12.33203125" style="108" customWidth="1"/>
    <col min="3" max="3" width="14.33203125" style="107" customWidth="1"/>
    <col min="4" max="4" width="9.33203125" style="108" bestFit="1" customWidth="1"/>
    <col min="5" max="5" width="9.6640625" style="108" customWidth="1"/>
    <col min="6" max="6" width="11" style="108" customWidth="1"/>
    <col min="7" max="7" width="11.33203125" style="108" customWidth="1"/>
    <col min="8" max="11" width="10.88671875" style="108" customWidth="1"/>
    <col min="12" max="16384" width="9.109375" style="108"/>
  </cols>
  <sheetData>
    <row r="1" spans="1:12" x14ac:dyDescent="0.3">
      <c r="A1" s="134" t="s">
        <v>475</v>
      </c>
      <c r="B1" s="135"/>
    </row>
    <row r="2" spans="1:12" x14ac:dyDescent="0.3">
      <c r="A2" s="109" t="s">
        <v>476</v>
      </c>
      <c r="B2" s="119"/>
      <c r="D2" s="136" t="s">
        <v>477</v>
      </c>
      <c r="E2" s="136"/>
      <c r="F2" s="136"/>
      <c r="G2" s="136"/>
      <c r="H2" s="136"/>
    </row>
    <row r="3" spans="1:12" x14ac:dyDescent="0.3">
      <c r="A3" s="109" t="s">
        <v>478</v>
      </c>
      <c r="B3" s="119"/>
      <c r="D3" s="109"/>
      <c r="E3" s="109" t="s">
        <v>47</v>
      </c>
      <c r="F3" s="109" t="s">
        <v>9</v>
      </c>
      <c r="G3" s="109" t="s">
        <v>24</v>
      </c>
      <c r="H3" s="109" t="s">
        <v>13</v>
      </c>
      <c r="I3"/>
      <c r="J3"/>
      <c r="K3"/>
    </row>
    <row r="4" spans="1:12" x14ac:dyDescent="0.3">
      <c r="A4" s="109" t="s">
        <v>479</v>
      </c>
      <c r="B4" s="119"/>
      <c r="D4" s="109" t="s">
        <v>193</v>
      </c>
      <c r="E4" s="119"/>
      <c r="F4" s="119"/>
      <c r="G4" s="119"/>
      <c r="H4" s="119"/>
      <c r="I4"/>
      <c r="J4"/>
      <c r="K4"/>
    </row>
    <row r="5" spans="1:12" x14ac:dyDescent="0.3">
      <c r="A5" s="109" t="s">
        <v>480</v>
      </c>
      <c r="B5" s="119"/>
      <c r="D5" s="109" t="s">
        <v>194</v>
      </c>
      <c r="E5" s="119"/>
      <c r="F5" s="119"/>
      <c r="G5" s="119"/>
      <c r="H5" s="119"/>
      <c r="I5"/>
      <c r="J5"/>
      <c r="K5"/>
    </row>
    <row r="6" spans="1:12" x14ac:dyDescent="0.3">
      <c r="A6" s="109" t="s">
        <v>481</v>
      </c>
      <c r="B6" s="119"/>
      <c r="D6" s="109" t="s">
        <v>195</v>
      </c>
      <c r="E6" s="119"/>
      <c r="F6" s="119"/>
      <c r="G6" s="119"/>
      <c r="H6" s="119"/>
      <c r="I6"/>
      <c r="J6"/>
      <c r="K6"/>
    </row>
    <row r="7" spans="1:12" x14ac:dyDescent="0.3">
      <c r="A7" s="134" t="s">
        <v>482</v>
      </c>
      <c r="B7" s="135"/>
      <c r="D7" s="109" t="s">
        <v>196</v>
      </c>
      <c r="E7" s="119"/>
      <c r="F7" s="119"/>
      <c r="G7" s="119"/>
      <c r="H7" s="119"/>
      <c r="I7"/>
      <c r="J7"/>
      <c r="K7"/>
      <c r="L7" s="120"/>
    </row>
    <row r="8" spans="1:12" x14ac:dyDescent="0.3">
      <c r="A8" s="109" t="s">
        <v>483</v>
      </c>
      <c r="B8" s="115"/>
      <c r="L8" s="120"/>
    </row>
    <row r="9" spans="1:12" x14ac:dyDescent="0.3">
      <c r="A9" s="109" t="s">
        <v>476</v>
      </c>
      <c r="B9" s="119"/>
      <c r="L9" s="120"/>
    </row>
    <row r="10" spans="1:12" x14ac:dyDescent="0.3">
      <c r="A10" s="109" t="s">
        <v>478</v>
      </c>
      <c r="B10" s="119"/>
      <c r="E10" s="120"/>
      <c r="F10" s="120"/>
      <c r="G10" s="120"/>
      <c r="H10" s="120"/>
      <c r="I10" s="120"/>
      <c r="J10" s="120"/>
      <c r="K10" s="120"/>
      <c r="L10" s="120"/>
    </row>
    <row r="11" spans="1:12" x14ac:dyDescent="0.3">
      <c r="E11" s="120"/>
      <c r="F11" s="120"/>
      <c r="G11" s="120"/>
      <c r="H11" s="120"/>
      <c r="I11" s="120"/>
      <c r="J11" s="120"/>
      <c r="K11" s="120"/>
      <c r="L11" s="120"/>
    </row>
    <row r="12" spans="1:12" x14ac:dyDescent="0.3">
      <c r="E12" s="120"/>
      <c r="F12" s="120"/>
      <c r="G12" s="120"/>
      <c r="H12" s="120"/>
      <c r="I12" s="120"/>
      <c r="J12" s="120"/>
      <c r="K12" s="120"/>
      <c r="L12" s="120"/>
    </row>
    <row r="13" spans="1:12" x14ac:dyDescent="0.3">
      <c r="L13" s="120"/>
    </row>
    <row r="14" spans="1:12" x14ac:dyDescent="0.3">
      <c r="L14" s="120"/>
    </row>
    <row r="15" spans="1:12" x14ac:dyDescent="0.3">
      <c r="A15" s="110"/>
      <c r="B15" s="110"/>
      <c r="C15" s="110"/>
      <c r="D15" s="110"/>
      <c r="E15" s="110"/>
      <c r="F15" s="110"/>
      <c r="G15" s="110"/>
      <c r="H15" s="110"/>
      <c r="I15" s="132">
        <v>0.25</v>
      </c>
      <c r="J15" s="132">
        <v>0.4</v>
      </c>
      <c r="K15" s="133">
        <v>7.4999999999999997E-2</v>
      </c>
    </row>
    <row r="16" spans="1:12" x14ac:dyDescent="0.3">
      <c r="A16" s="111" t="s">
        <v>0</v>
      </c>
      <c r="B16" s="111" t="s">
        <v>1</v>
      </c>
      <c r="C16" s="112" t="s">
        <v>2</v>
      </c>
      <c r="D16" s="111" t="s">
        <v>3</v>
      </c>
      <c r="E16" s="111" t="s">
        <v>4</v>
      </c>
      <c r="F16" s="111" t="s">
        <v>484</v>
      </c>
      <c r="G16" s="111" t="s">
        <v>5</v>
      </c>
      <c r="H16" s="111" t="s">
        <v>6</v>
      </c>
      <c r="I16" s="111" t="s">
        <v>714</v>
      </c>
      <c r="J16" s="111" t="s">
        <v>715</v>
      </c>
      <c r="K16" s="111" t="s">
        <v>192</v>
      </c>
    </row>
    <row r="17" spans="1:11" x14ac:dyDescent="0.3">
      <c r="A17" s="109">
        <v>1</v>
      </c>
      <c r="B17" s="113" t="s">
        <v>56</v>
      </c>
      <c r="C17" s="113" t="s">
        <v>57</v>
      </c>
      <c r="D17" s="109" t="s">
        <v>24</v>
      </c>
      <c r="E17" s="109" t="s">
        <v>58</v>
      </c>
      <c r="F17" s="109" t="s">
        <v>487</v>
      </c>
      <c r="G17" s="114">
        <v>28126</v>
      </c>
      <c r="H17" s="113">
        <v>21875</v>
      </c>
      <c r="I17" s="113"/>
      <c r="J17" s="113"/>
      <c r="K17" s="113"/>
    </row>
    <row r="18" spans="1:11" x14ac:dyDescent="0.3">
      <c r="A18" s="109">
        <v>2</v>
      </c>
      <c r="B18" s="113" t="s">
        <v>123</v>
      </c>
      <c r="C18" s="113" t="s">
        <v>124</v>
      </c>
      <c r="D18" s="109" t="s">
        <v>24</v>
      </c>
      <c r="E18" s="109" t="s">
        <v>10</v>
      </c>
      <c r="F18" s="109" t="s">
        <v>488</v>
      </c>
      <c r="G18" s="114">
        <v>28126</v>
      </c>
      <c r="H18" s="113">
        <v>17500</v>
      </c>
      <c r="I18" s="113"/>
      <c r="J18" s="113"/>
      <c r="K18" s="113"/>
    </row>
    <row r="19" spans="1:11" x14ac:dyDescent="0.3">
      <c r="A19" s="109">
        <v>3</v>
      </c>
      <c r="B19" s="109" t="s">
        <v>112</v>
      </c>
      <c r="C19" s="113" t="s">
        <v>113</v>
      </c>
      <c r="D19" s="109" t="s">
        <v>47</v>
      </c>
      <c r="E19" s="109" t="s">
        <v>125</v>
      </c>
      <c r="F19" s="109" t="s">
        <v>489</v>
      </c>
      <c r="G19" s="114">
        <v>36220</v>
      </c>
      <c r="H19" s="113">
        <v>7000</v>
      </c>
      <c r="I19" s="113"/>
      <c r="J19" s="113"/>
      <c r="K19" s="113"/>
    </row>
    <row r="20" spans="1:11" x14ac:dyDescent="0.3">
      <c r="A20" s="109">
        <v>4</v>
      </c>
      <c r="B20" s="109" t="s">
        <v>7</v>
      </c>
      <c r="C20" s="113" t="s">
        <v>8</v>
      </c>
      <c r="D20" s="109" t="s">
        <v>9</v>
      </c>
      <c r="E20" s="109" t="s">
        <v>58</v>
      </c>
      <c r="F20" s="109" t="s">
        <v>490</v>
      </c>
      <c r="G20" s="114">
        <v>29183</v>
      </c>
      <c r="H20" s="113">
        <v>12250</v>
      </c>
      <c r="I20" s="113"/>
      <c r="J20" s="113"/>
      <c r="K20" s="113"/>
    </row>
    <row r="21" spans="1:11" x14ac:dyDescent="0.3">
      <c r="A21" s="109">
        <v>5</v>
      </c>
      <c r="B21" s="109" t="s">
        <v>59</v>
      </c>
      <c r="C21" s="113" t="s">
        <v>60</v>
      </c>
      <c r="D21" s="109" t="s">
        <v>27</v>
      </c>
      <c r="E21" s="109" t="s">
        <v>58</v>
      </c>
      <c r="F21" s="109" t="s">
        <v>491</v>
      </c>
      <c r="G21" s="114">
        <v>32755</v>
      </c>
      <c r="H21" s="113">
        <v>21000</v>
      </c>
      <c r="I21" s="113"/>
      <c r="J21" s="113"/>
      <c r="K21" s="113"/>
    </row>
    <row r="22" spans="1:11" x14ac:dyDescent="0.3">
      <c r="A22" s="109">
        <v>6</v>
      </c>
      <c r="B22" s="109" t="s">
        <v>159</v>
      </c>
      <c r="C22" s="113" t="s">
        <v>160</v>
      </c>
      <c r="D22" s="109" t="s">
        <v>27</v>
      </c>
      <c r="E22" s="109" t="s">
        <v>58</v>
      </c>
      <c r="F22" s="109" t="s">
        <v>492</v>
      </c>
      <c r="G22" s="114">
        <v>32390</v>
      </c>
      <c r="H22" s="113">
        <v>12425</v>
      </c>
      <c r="I22" s="113"/>
      <c r="J22" s="113"/>
      <c r="K22" s="113"/>
    </row>
    <row r="23" spans="1:11" x14ac:dyDescent="0.3">
      <c r="A23" s="109">
        <v>7</v>
      </c>
      <c r="B23" s="109" t="s">
        <v>34</v>
      </c>
      <c r="C23" s="113" t="s">
        <v>35</v>
      </c>
      <c r="D23" s="109" t="s">
        <v>493</v>
      </c>
      <c r="E23" s="109" t="s">
        <v>161</v>
      </c>
      <c r="F23" s="109" t="s">
        <v>494</v>
      </c>
      <c r="G23" s="114">
        <v>33102</v>
      </c>
      <c r="H23" s="113">
        <v>13825</v>
      </c>
      <c r="I23" s="113"/>
      <c r="J23" s="113"/>
      <c r="K23" s="113"/>
    </row>
    <row r="24" spans="1:11" x14ac:dyDescent="0.3">
      <c r="A24" s="109">
        <v>8</v>
      </c>
      <c r="B24" s="109" t="s">
        <v>61</v>
      </c>
      <c r="C24" s="113" t="s">
        <v>62</v>
      </c>
      <c r="D24" s="109" t="s">
        <v>27</v>
      </c>
      <c r="E24" s="109" t="s">
        <v>58</v>
      </c>
      <c r="F24" s="109" t="s">
        <v>495</v>
      </c>
      <c r="G24" s="114">
        <v>32755</v>
      </c>
      <c r="H24" s="113">
        <v>12425</v>
      </c>
      <c r="I24" s="113"/>
      <c r="J24" s="113"/>
      <c r="K24" s="113"/>
    </row>
    <row r="25" spans="1:11" x14ac:dyDescent="0.3">
      <c r="A25" s="109">
        <v>9</v>
      </c>
      <c r="B25" s="109" t="s">
        <v>63</v>
      </c>
      <c r="C25" s="113" t="s">
        <v>64</v>
      </c>
      <c r="D25" s="109" t="s">
        <v>24</v>
      </c>
      <c r="E25" s="109" t="s">
        <v>58</v>
      </c>
      <c r="F25" s="109" t="s">
        <v>496</v>
      </c>
      <c r="G25" s="114">
        <v>36506</v>
      </c>
      <c r="H25" s="113">
        <v>14875</v>
      </c>
      <c r="I25" s="113"/>
      <c r="J25" s="113"/>
      <c r="K25" s="113"/>
    </row>
    <row r="26" spans="1:11" x14ac:dyDescent="0.3">
      <c r="A26" s="109">
        <v>10</v>
      </c>
      <c r="B26" s="109" t="s">
        <v>65</v>
      </c>
      <c r="C26" s="113" t="s">
        <v>66</v>
      </c>
      <c r="D26" s="109" t="s">
        <v>9</v>
      </c>
      <c r="E26" s="109" t="s">
        <v>10</v>
      </c>
      <c r="F26" s="109" t="s">
        <v>497</v>
      </c>
      <c r="G26" s="114">
        <v>28326</v>
      </c>
      <c r="H26" s="113">
        <v>15750</v>
      </c>
      <c r="I26" s="113"/>
      <c r="J26" s="113"/>
      <c r="K26" s="113"/>
    </row>
    <row r="27" spans="1:11" x14ac:dyDescent="0.3">
      <c r="A27" s="109">
        <v>11</v>
      </c>
      <c r="B27" s="109" t="s">
        <v>11</v>
      </c>
      <c r="C27" s="113" t="s">
        <v>12</v>
      </c>
      <c r="D27" s="109" t="s">
        <v>13</v>
      </c>
      <c r="E27" s="109" t="s">
        <v>161</v>
      </c>
      <c r="F27" s="109" t="s">
        <v>494</v>
      </c>
      <c r="G27" s="114">
        <v>31402</v>
      </c>
      <c r="H27" s="113">
        <v>14875</v>
      </c>
      <c r="I27" s="113"/>
      <c r="J27" s="113"/>
      <c r="K27" s="113"/>
    </row>
    <row r="28" spans="1:11" x14ac:dyDescent="0.3">
      <c r="A28" s="109">
        <v>12</v>
      </c>
      <c r="B28" s="109" t="s">
        <v>162</v>
      </c>
      <c r="C28" s="113" t="s">
        <v>163</v>
      </c>
      <c r="D28" s="109" t="s">
        <v>47</v>
      </c>
      <c r="E28" s="109" t="s">
        <v>58</v>
      </c>
      <c r="F28" s="109" t="s">
        <v>498</v>
      </c>
      <c r="G28" s="114">
        <v>30376</v>
      </c>
      <c r="H28" s="113">
        <v>21000</v>
      </c>
      <c r="I28" s="113"/>
      <c r="J28" s="113"/>
      <c r="K28" s="113"/>
    </row>
    <row r="29" spans="1:11" x14ac:dyDescent="0.3">
      <c r="A29" s="109">
        <v>13</v>
      </c>
      <c r="B29" s="109" t="s">
        <v>67</v>
      </c>
      <c r="C29" s="113" t="s">
        <v>68</v>
      </c>
      <c r="D29" s="109" t="s">
        <v>13</v>
      </c>
      <c r="E29" s="109" t="s">
        <v>10</v>
      </c>
      <c r="F29" s="109" t="s">
        <v>499</v>
      </c>
      <c r="G29" s="114">
        <v>31027</v>
      </c>
      <c r="H29" s="113">
        <v>19250</v>
      </c>
      <c r="I29" s="113"/>
      <c r="J29" s="113"/>
      <c r="K29" s="113"/>
    </row>
    <row r="30" spans="1:11" x14ac:dyDescent="0.3">
      <c r="A30" s="109">
        <v>14</v>
      </c>
      <c r="B30" s="109" t="s">
        <v>14</v>
      </c>
      <c r="C30" s="113" t="s">
        <v>15</v>
      </c>
      <c r="D30" s="109" t="s">
        <v>16</v>
      </c>
      <c r="E30" s="109" t="s">
        <v>125</v>
      </c>
      <c r="F30" s="109" t="s">
        <v>500</v>
      </c>
      <c r="G30" s="114">
        <v>31028</v>
      </c>
      <c r="H30" s="113">
        <v>49000</v>
      </c>
      <c r="I30" s="113"/>
      <c r="J30" s="113"/>
      <c r="K30" s="113"/>
    </row>
    <row r="31" spans="1:11" x14ac:dyDescent="0.3">
      <c r="A31" s="109">
        <v>15</v>
      </c>
      <c r="B31" s="109" t="s">
        <v>126</v>
      </c>
      <c r="C31" s="113" t="s">
        <v>127</v>
      </c>
      <c r="D31" s="109" t="s">
        <v>493</v>
      </c>
      <c r="E31" s="109" t="s">
        <v>58</v>
      </c>
      <c r="F31" s="109" t="s">
        <v>498</v>
      </c>
      <c r="G31" s="114">
        <v>31029</v>
      </c>
      <c r="H31" s="113">
        <v>14875</v>
      </c>
      <c r="I31" s="113"/>
      <c r="J31" s="113"/>
      <c r="K31" s="113"/>
    </row>
    <row r="32" spans="1:11" x14ac:dyDescent="0.3">
      <c r="A32" s="109">
        <v>16</v>
      </c>
      <c r="B32" s="109" t="s">
        <v>69</v>
      </c>
      <c r="C32" s="113" t="s">
        <v>70</v>
      </c>
      <c r="D32" s="109" t="s">
        <v>493</v>
      </c>
      <c r="E32" s="109" t="s">
        <v>58</v>
      </c>
      <c r="F32" s="109" t="s">
        <v>501</v>
      </c>
      <c r="G32" s="114">
        <v>31030</v>
      </c>
      <c r="H32" s="113">
        <v>14875</v>
      </c>
      <c r="I32" s="113"/>
      <c r="J32" s="113"/>
      <c r="K32" s="113"/>
    </row>
    <row r="33" spans="1:11" x14ac:dyDescent="0.3">
      <c r="A33" s="109">
        <v>17</v>
      </c>
      <c r="B33" s="109" t="s">
        <v>71</v>
      </c>
      <c r="C33" s="113" t="s">
        <v>72</v>
      </c>
      <c r="D33" s="109" t="s">
        <v>47</v>
      </c>
      <c r="E33" s="109" t="s">
        <v>10</v>
      </c>
      <c r="F33" s="109" t="s">
        <v>488</v>
      </c>
      <c r="G33" s="114">
        <v>30376</v>
      </c>
      <c r="H33" s="113">
        <v>15750</v>
      </c>
      <c r="I33" s="113"/>
      <c r="J33" s="113"/>
      <c r="K33" s="113"/>
    </row>
    <row r="34" spans="1:11" x14ac:dyDescent="0.3">
      <c r="A34" s="109">
        <v>18</v>
      </c>
      <c r="B34" s="109" t="s">
        <v>17</v>
      </c>
      <c r="C34" s="113" t="s">
        <v>18</v>
      </c>
      <c r="D34" s="109" t="s">
        <v>47</v>
      </c>
      <c r="E34" s="109" t="s">
        <v>161</v>
      </c>
      <c r="F34" s="109" t="s">
        <v>502</v>
      </c>
      <c r="G34" s="114">
        <v>30376</v>
      </c>
      <c r="H34" s="113">
        <v>15750</v>
      </c>
      <c r="I34" s="113"/>
      <c r="J34" s="113"/>
      <c r="K34" s="113"/>
    </row>
    <row r="35" spans="1:11" x14ac:dyDescent="0.3">
      <c r="A35" s="109">
        <v>19</v>
      </c>
      <c r="B35" s="109" t="s">
        <v>164</v>
      </c>
      <c r="C35" s="113" t="s">
        <v>165</v>
      </c>
      <c r="D35" s="109" t="s">
        <v>9</v>
      </c>
      <c r="E35" s="109" t="s">
        <v>58</v>
      </c>
      <c r="F35" s="109" t="s">
        <v>492</v>
      </c>
      <c r="G35" s="114">
        <v>31637</v>
      </c>
      <c r="H35" s="113">
        <v>10500</v>
      </c>
      <c r="I35" s="113"/>
      <c r="J35" s="113"/>
      <c r="K35" s="113"/>
    </row>
    <row r="36" spans="1:11" x14ac:dyDescent="0.3">
      <c r="A36" s="109">
        <v>20</v>
      </c>
      <c r="B36" s="109" t="s">
        <v>73</v>
      </c>
      <c r="C36" s="113" t="s">
        <v>74</v>
      </c>
      <c r="D36" s="109" t="s">
        <v>9</v>
      </c>
      <c r="E36" s="109" t="s">
        <v>58</v>
      </c>
      <c r="F36" s="109" t="s">
        <v>501</v>
      </c>
      <c r="G36" s="114">
        <v>36316</v>
      </c>
      <c r="H36" s="113">
        <v>5950</v>
      </c>
      <c r="I36" s="113"/>
      <c r="J36" s="113"/>
      <c r="K36" s="113"/>
    </row>
    <row r="37" spans="1:11" x14ac:dyDescent="0.3">
      <c r="A37" s="109">
        <v>21</v>
      </c>
      <c r="B37" s="109" t="s">
        <v>75</v>
      </c>
      <c r="C37" s="113" t="s">
        <v>76</v>
      </c>
      <c r="D37" s="109" t="s">
        <v>9</v>
      </c>
      <c r="E37" s="109" t="s">
        <v>10</v>
      </c>
      <c r="F37" s="109" t="s">
        <v>503</v>
      </c>
      <c r="G37" s="114">
        <v>36317</v>
      </c>
      <c r="H37" s="113">
        <v>7875</v>
      </c>
      <c r="I37" s="113"/>
      <c r="J37" s="113"/>
      <c r="K37" s="113"/>
    </row>
    <row r="38" spans="1:11" x14ac:dyDescent="0.3">
      <c r="A38" s="109">
        <v>22</v>
      </c>
      <c r="B38" s="109" t="s">
        <v>20</v>
      </c>
      <c r="C38" s="113" t="s">
        <v>21</v>
      </c>
      <c r="D38" s="109" t="s">
        <v>9</v>
      </c>
      <c r="E38" s="109" t="s">
        <v>161</v>
      </c>
      <c r="F38" s="109" t="s">
        <v>502</v>
      </c>
      <c r="G38" s="114">
        <v>36318</v>
      </c>
      <c r="H38" s="113">
        <v>7875</v>
      </c>
      <c r="I38" s="113"/>
      <c r="J38" s="113"/>
      <c r="K38" s="113"/>
    </row>
    <row r="39" spans="1:11" x14ac:dyDescent="0.3">
      <c r="A39" s="109">
        <v>23</v>
      </c>
      <c r="B39" s="109" t="s">
        <v>166</v>
      </c>
      <c r="C39" s="113" t="s">
        <v>99</v>
      </c>
      <c r="D39" s="109" t="s">
        <v>9</v>
      </c>
      <c r="E39" s="109" t="s">
        <v>161</v>
      </c>
      <c r="F39" s="109" t="s">
        <v>494</v>
      </c>
      <c r="G39" s="114">
        <v>36319</v>
      </c>
      <c r="H39" s="113">
        <v>7875</v>
      </c>
      <c r="I39" s="113"/>
      <c r="J39" s="113"/>
      <c r="K39" s="113"/>
    </row>
    <row r="40" spans="1:11" x14ac:dyDescent="0.3">
      <c r="A40" s="109">
        <v>24</v>
      </c>
      <c r="B40" s="109" t="s">
        <v>30</v>
      </c>
      <c r="C40" s="113" t="s">
        <v>167</v>
      </c>
      <c r="D40" s="109" t="s">
        <v>24</v>
      </c>
      <c r="E40" s="109" t="s">
        <v>161</v>
      </c>
      <c r="F40" s="109" t="s">
        <v>502</v>
      </c>
      <c r="G40" s="114">
        <v>29362</v>
      </c>
      <c r="H40" s="113">
        <v>14875</v>
      </c>
      <c r="I40" s="113"/>
      <c r="J40" s="113"/>
      <c r="K40" s="113"/>
    </row>
    <row r="41" spans="1:11" x14ac:dyDescent="0.3">
      <c r="A41" s="109">
        <v>25</v>
      </c>
      <c r="B41" s="109" t="s">
        <v>168</v>
      </c>
      <c r="C41" s="113" t="s">
        <v>169</v>
      </c>
      <c r="D41" s="109" t="s">
        <v>27</v>
      </c>
      <c r="E41" s="109" t="s">
        <v>125</v>
      </c>
      <c r="F41" s="109" t="s">
        <v>504</v>
      </c>
      <c r="G41" s="114">
        <v>36274</v>
      </c>
      <c r="H41" s="113">
        <v>7875</v>
      </c>
      <c r="I41" s="113"/>
      <c r="J41" s="113"/>
      <c r="K41" s="113"/>
    </row>
    <row r="42" spans="1:11" x14ac:dyDescent="0.3">
      <c r="A42" s="109">
        <v>26</v>
      </c>
      <c r="B42" s="109" t="s">
        <v>128</v>
      </c>
      <c r="C42" s="113" t="s">
        <v>129</v>
      </c>
      <c r="D42" s="109" t="s">
        <v>24</v>
      </c>
      <c r="E42" s="109" t="s">
        <v>10</v>
      </c>
      <c r="F42" s="109" t="s">
        <v>488</v>
      </c>
      <c r="G42" s="114">
        <v>30225</v>
      </c>
      <c r="H42" s="113">
        <v>19250</v>
      </c>
      <c r="I42" s="113"/>
      <c r="J42" s="113"/>
      <c r="K42" s="113"/>
    </row>
    <row r="43" spans="1:11" x14ac:dyDescent="0.3">
      <c r="A43" s="109">
        <v>27</v>
      </c>
      <c r="B43" s="109" t="s">
        <v>22</v>
      </c>
      <c r="C43" s="113" t="s">
        <v>23</v>
      </c>
      <c r="D43" s="109" t="s">
        <v>24</v>
      </c>
      <c r="E43" s="109" t="s">
        <v>125</v>
      </c>
      <c r="F43" s="109" t="s">
        <v>505</v>
      </c>
      <c r="G43" s="114">
        <v>33787</v>
      </c>
      <c r="H43" s="113">
        <v>13125</v>
      </c>
      <c r="I43" s="113"/>
      <c r="J43" s="113"/>
      <c r="K43" s="113"/>
    </row>
    <row r="44" spans="1:11" x14ac:dyDescent="0.3">
      <c r="A44" s="109">
        <v>28</v>
      </c>
      <c r="B44" s="109" t="s">
        <v>130</v>
      </c>
      <c r="C44" s="113" t="s">
        <v>131</v>
      </c>
      <c r="D44" s="109" t="s">
        <v>27</v>
      </c>
      <c r="E44" s="109" t="s">
        <v>161</v>
      </c>
      <c r="F44" s="109" t="s">
        <v>506</v>
      </c>
      <c r="G44" s="114">
        <v>34777</v>
      </c>
      <c r="H44" s="113">
        <v>10500</v>
      </c>
      <c r="I44" s="113"/>
      <c r="J44" s="113"/>
      <c r="K44" s="113"/>
    </row>
    <row r="45" spans="1:11" x14ac:dyDescent="0.3">
      <c r="A45" s="109">
        <v>29</v>
      </c>
      <c r="B45" s="109" t="s">
        <v>170</v>
      </c>
      <c r="C45" s="113" t="s">
        <v>171</v>
      </c>
      <c r="D45" s="109" t="s">
        <v>47</v>
      </c>
      <c r="E45" s="109" t="s">
        <v>58</v>
      </c>
      <c r="F45" s="109" t="s">
        <v>501</v>
      </c>
      <c r="G45" s="114">
        <v>35189</v>
      </c>
      <c r="H45" s="113">
        <v>9625</v>
      </c>
      <c r="I45" s="113"/>
      <c r="J45" s="113"/>
      <c r="K45" s="113"/>
    </row>
    <row r="46" spans="1:11" x14ac:dyDescent="0.3">
      <c r="A46" s="109">
        <v>30</v>
      </c>
      <c r="B46" s="109" t="s">
        <v>77</v>
      </c>
      <c r="C46" s="113" t="s">
        <v>78</v>
      </c>
      <c r="D46" s="109" t="s">
        <v>493</v>
      </c>
      <c r="E46" s="109" t="s">
        <v>10</v>
      </c>
      <c r="F46" s="109" t="s">
        <v>503</v>
      </c>
      <c r="G46" s="114">
        <v>32435</v>
      </c>
      <c r="H46" s="113">
        <v>14175</v>
      </c>
      <c r="I46" s="113"/>
      <c r="J46" s="113"/>
      <c r="K46" s="113"/>
    </row>
    <row r="47" spans="1:11" x14ac:dyDescent="0.3">
      <c r="A47" s="109">
        <v>31</v>
      </c>
      <c r="B47" s="109" t="s">
        <v>25</v>
      </c>
      <c r="C47" s="113" t="s">
        <v>26</v>
      </c>
      <c r="D47" s="109" t="s">
        <v>27</v>
      </c>
      <c r="E47" s="109" t="s">
        <v>58</v>
      </c>
      <c r="F47" s="109" t="s">
        <v>495</v>
      </c>
      <c r="G47" s="114">
        <v>30225</v>
      </c>
      <c r="H47" s="113">
        <v>15750</v>
      </c>
      <c r="I47" s="113"/>
      <c r="J47" s="113"/>
      <c r="K47" s="113"/>
    </row>
    <row r="48" spans="1:11" x14ac:dyDescent="0.3">
      <c r="A48" s="109">
        <v>32</v>
      </c>
      <c r="B48" s="109" t="s">
        <v>28</v>
      </c>
      <c r="C48" s="113" t="s">
        <v>29</v>
      </c>
      <c r="D48" s="109" t="s">
        <v>19</v>
      </c>
      <c r="E48" s="109" t="s">
        <v>125</v>
      </c>
      <c r="F48" s="109" t="s">
        <v>504</v>
      </c>
      <c r="G48" s="114">
        <v>30225</v>
      </c>
      <c r="H48" s="113">
        <v>15750</v>
      </c>
      <c r="I48" s="113"/>
      <c r="J48" s="113"/>
      <c r="K48" s="113"/>
    </row>
    <row r="49" spans="1:11" x14ac:dyDescent="0.3">
      <c r="A49" s="109">
        <v>33</v>
      </c>
      <c r="B49" s="109" t="s">
        <v>132</v>
      </c>
      <c r="C49" s="113" t="s">
        <v>133</v>
      </c>
      <c r="D49" s="109" t="s">
        <v>19</v>
      </c>
      <c r="E49" s="109" t="s">
        <v>58</v>
      </c>
      <c r="F49" s="109" t="s">
        <v>496</v>
      </c>
      <c r="G49" s="114">
        <v>35618</v>
      </c>
      <c r="H49" s="113">
        <v>7000</v>
      </c>
      <c r="I49" s="113"/>
      <c r="J49" s="113"/>
      <c r="K49" s="113"/>
    </row>
    <row r="50" spans="1:11" x14ac:dyDescent="0.3">
      <c r="A50" s="109">
        <v>34</v>
      </c>
      <c r="B50" s="109" t="s">
        <v>79</v>
      </c>
      <c r="C50" s="113" t="s">
        <v>80</v>
      </c>
      <c r="D50" s="109" t="s">
        <v>19</v>
      </c>
      <c r="E50" s="109" t="s">
        <v>58</v>
      </c>
      <c r="F50" s="109" t="s">
        <v>507</v>
      </c>
      <c r="G50" s="114">
        <v>33510</v>
      </c>
      <c r="H50" s="113">
        <v>8750</v>
      </c>
      <c r="I50" s="113"/>
      <c r="J50" s="113"/>
      <c r="K50" s="113"/>
    </row>
    <row r="51" spans="1:11" x14ac:dyDescent="0.3">
      <c r="A51" s="109">
        <v>35</v>
      </c>
      <c r="B51" s="109" t="s">
        <v>81</v>
      </c>
      <c r="C51" s="113" t="s">
        <v>29</v>
      </c>
      <c r="D51" s="109" t="s">
        <v>9</v>
      </c>
      <c r="E51" s="109" t="s">
        <v>125</v>
      </c>
      <c r="F51" s="109" t="s">
        <v>504</v>
      </c>
      <c r="G51" s="114">
        <v>33729</v>
      </c>
      <c r="H51" s="113">
        <v>9275</v>
      </c>
      <c r="I51" s="113"/>
      <c r="J51" s="113"/>
      <c r="K51" s="113"/>
    </row>
    <row r="52" spans="1:11" x14ac:dyDescent="0.3">
      <c r="A52" s="109">
        <v>36</v>
      </c>
      <c r="B52" s="109" t="s">
        <v>30</v>
      </c>
      <c r="C52" s="113" t="s">
        <v>134</v>
      </c>
      <c r="D52" s="109" t="s">
        <v>493</v>
      </c>
      <c r="E52" s="109" t="s">
        <v>161</v>
      </c>
      <c r="F52" s="109" t="s">
        <v>508</v>
      </c>
      <c r="G52" s="114">
        <v>34580</v>
      </c>
      <c r="H52" s="113">
        <v>11725</v>
      </c>
      <c r="I52" s="113"/>
      <c r="J52" s="113"/>
      <c r="K52" s="113"/>
    </row>
    <row r="53" spans="1:11" x14ac:dyDescent="0.3">
      <c r="A53" s="109">
        <v>37</v>
      </c>
      <c r="B53" s="109" t="s">
        <v>162</v>
      </c>
      <c r="C53" s="113" t="s">
        <v>172</v>
      </c>
      <c r="D53" s="109" t="s">
        <v>13</v>
      </c>
      <c r="E53" s="109" t="s">
        <v>125</v>
      </c>
      <c r="F53" s="109" t="s">
        <v>509</v>
      </c>
      <c r="G53" s="114">
        <v>30225</v>
      </c>
      <c r="H53" s="113">
        <v>24500</v>
      </c>
      <c r="I53" s="113"/>
      <c r="J53" s="113"/>
      <c r="K53" s="113"/>
    </row>
    <row r="54" spans="1:11" x14ac:dyDescent="0.3">
      <c r="A54" s="109">
        <v>38</v>
      </c>
      <c r="B54" s="109" t="s">
        <v>135</v>
      </c>
      <c r="C54" s="113" t="s">
        <v>136</v>
      </c>
      <c r="D54" s="109" t="s">
        <v>13</v>
      </c>
      <c r="E54" s="109" t="s">
        <v>58</v>
      </c>
      <c r="F54" s="109" t="s">
        <v>510</v>
      </c>
      <c r="G54" s="114">
        <v>30225</v>
      </c>
      <c r="H54" s="113">
        <v>24500</v>
      </c>
      <c r="I54" s="113"/>
      <c r="J54" s="113"/>
      <c r="K54" s="113"/>
    </row>
    <row r="55" spans="1:11" x14ac:dyDescent="0.3">
      <c r="A55" s="109">
        <v>39</v>
      </c>
      <c r="B55" s="109" t="s">
        <v>14</v>
      </c>
      <c r="C55" s="113" t="s">
        <v>82</v>
      </c>
      <c r="D55" s="109" t="s">
        <v>13</v>
      </c>
      <c r="E55" s="109" t="s">
        <v>58</v>
      </c>
      <c r="F55" s="109" t="s">
        <v>511</v>
      </c>
      <c r="G55" s="114">
        <v>30225</v>
      </c>
      <c r="H55" s="113">
        <v>24500</v>
      </c>
      <c r="I55" s="113"/>
      <c r="J55" s="113"/>
      <c r="K55" s="113"/>
    </row>
    <row r="56" spans="1:11" x14ac:dyDescent="0.3">
      <c r="A56" s="109">
        <v>40</v>
      </c>
      <c r="B56" s="109" t="s">
        <v>83</v>
      </c>
      <c r="C56" s="113" t="s">
        <v>84</v>
      </c>
      <c r="D56" s="109" t="s">
        <v>24</v>
      </c>
      <c r="E56" s="109" t="s">
        <v>125</v>
      </c>
      <c r="F56" s="109" t="s">
        <v>504</v>
      </c>
      <c r="G56" s="114">
        <v>33510</v>
      </c>
      <c r="H56" s="113">
        <v>10500</v>
      </c>
      <c r="I56" s="113"/>
      <c r="J56" s="113"/>
      <c r="K56" s="113"/>
    </row>
    <row r="57" spans="1:11" x14ac:dyDescent="0.3">
      <c r="A57" s="109">
        <v>41</v>
      </c>
      <c r="B57" s="109" t="s">
        <v>137</v>
      </c>
      <c r="C57" s="113" t="s">
        <v>138</v>
      </c>
      <c r="D57" s="109" t="s">
        <v>47</v>
      </c>
      <c r="E57" s="109" t="s">
        <v>10</v>
      </c>
      <c r="F57" s="109" t="s">
        <v>497</v>
      </c>
      <c r="G57" s="114">
        <v>35595</v>
      </c>
      <c r="H57" s="113">
        <v>7875</v>
      </c>
      <c r="I57" s="113"/>
      <c r="J57" s="113"/>
      <c r="K57" s="113"/>
    </row>
    <row r="58" spans="1:11" x14ac:dyDescent="0.3">
      <c r="A58" s="109">
        <v>42</v>
      </c>
      <c r="B58" s="109" t="s">
        <v>30</v>
      </c>
      <c r="C58" s="113" t="s">
        <v>31</v>
      </c>
      <c r="D58" s="109" t="s">
        <v>27</v>
      </c>
      <c r="E58" s="109" t="s">
        <v>10</v>
      </c>
      <c r="F58" s="109" t="s">
        <v>499</v>
      </c>
      <c r="G58" s="114">
        <v>33510</v>
      </c>
      <c r="H58" s="113">
        <v>13300</v>
      </c>
      <c r="I58" s="113"/>
      <c r="J58" s="113"/>
      <c r="K58" s="113"/>
    </row>
    <row r="59" spans="1:11" x14ac:dyDescent="0.3">
      <c r="A59" s="109">
        <v>43</v>
      </c>
      <c r="B59" s="109" t="s">
        <v>32</v>
      </c>
      <c r="C59" s="113" t="s">
        <v>33</v>
      </c>
      <c r="D59" s="109" t="s">
        <v>493</v>
      </c>
      <c r="E59" s="109" t="s">
        <v>161</v>
      </c>
      <c r="F59" s="109" t="s">
        <v>506</v>
      </c>
      <c r="G59" s="114">
        <v>32435</v>
      </c>
      <c r="H59" s="113">
        <v>15750</v>
      </c>
      <c r="I59" s="113"/>
      <c r="J59" s="113"/>
      <c r="K59" s="113"/>
    </row>
    <row r="60" spans="1:11" x14ac:dyDescent="0.3">
      <c r="A60" s="109">
        <v>44</v>
      </c>
      <c r="B60" s="109" t="s">
        <v>173</v>
      </c>
      <c r="C60" s="113" t="s">
        <v>174</v>
      </c>
      <c r="D60" s="109" t="s">
        <v>493</v>
      </c>
      <c r="E60" s="109" t="s">
        <v>10</v>
      </c>
      <c r="F60" s="109" t="s">
        <v>488</v>
      </c>
      <c r="G60" s="114">
        <v>33194</v>
      </c>
      <c r="H60" s="113">
        <v>13825</v>
      </c>
      <c r="I60" s="113"/>
      <c r="J60" s="113"/>
      <c r="K60" s="113"/>
    </row>
    <row r="61" spans="1:11" x14ac:dyDescent="0.3">
      <c r="A61" s="109">
        <v>45</v>
      </c>
      <c r="B61" s="109" t="s">
        <v>85</v>
      </c>
      <c r="C61" s="113" t="s">
        <v>86</v>
      </c>
      <c r="D61" s="109" t="s">
        <v>27</v>
      </c>
      <c r="E61" s="109" t="s">
        <v>58</v>
      </c>
      <c r="F61" s="109" t="s">
        <v>487</v>
      </c>
      <c r="G61" s="114">
        <v>35618</v>
      </c>
      <c r="H61" s="113">
        <v>11375</v>
      </c>
      <c r="I61" s="113"/>
      <c r="J61" s="113"/>
      <c r="K61" s="113"/>
    </row>
    <row r="62" spans="1:11" x14ac:dyDescent="0.3">
      <c r="A62" s="109">
        <v>46</v>
      </c>
      <c r="B62" s="109" t="s">
        <v>87</v>
      </c>
      <c r="C62" s="113" t="s">
        <v>88</v>
      </c>
      <c r="D62" s="109" t="s">
        <v>24</v>
      </c>
      <c r="E62" s="109" t="s">
        <v>58</v>
      </c>
      <c r="F62" s="109" t="s">
        <v>507</v>
      </c>
      <c r="G62" s="114">
        <v>33510</v>
      </c>
      <c r="H62" s="113">
        <v>15750</v>
      </c>
      <c r="I62" s="113"/>
      <c r="J62" s="113"/>
      <c r="K62" s="113"/>
    </row>
    <row r="63" spans="1:11" x14ac:dyDescent="0.3">
      <c r="A63" s="109">
        <v>47</v>
      </c>
      <c r="B63" s="109" t="s">
        <v>89</v>
      </c>
      <c r="C63" s="113" t="s">
        <v>29</v>
      </c>
      <c r="D63" s="109" t="s">
        <v>47</v>
      </c>
      <c r="E63" s="109" t="s">
        <v>58</v>
      </c>
      <c r="F63" s="109" t="s">
        <v>491</v>
      </c>
      <c r="G63" s="114">
        <v>32180</v>
      </c>
      <c r="H63" s="113">
        <v>15750</v>
      </c>
      <c r="I63" s="113"/>
      <c r="J63" s="113"/>
      <c r="K63" s="113"/>
    </row>
    <row r="64" spans="1:11" x14ac:dyDescent="0.3">
      <c r="A64" s="109">
        <v>48</v>
      </c>
      <c r="B64" s="109" t="s">
        <v>175</v>
      </c>
      <c r="C64" s="113" t="s">
        <v>29</v>
      </c>
      <c r="D64" s="109" t="s">
        <v>19</v>
      </c>
      <c r="E64" s="109" t="s">
        <v>161</v>
      </c>
      <c r="F64" s="109" t="s">
        <v>512</v>
      </c>
      <c r="G64" s="114">
        <v>32435</v>
      </c>
      <c r="H64" s="113">
        <v>15750</v>
      </c>
      <c r="I64" s="113"/>
      <c r="J64" s="113"/>
      <c r="K64" s="113"/>
    </row>
    <row r="65" spans="1:11" x14ac:dyDescent="0.3">
      <c r="A65" s="109">
        <v>49</v>
      </c>
      <c r="B65" s="109" t="s">
        <v>139</v>
      </c>
      <c r="C65" s="113" t="s">
        <v>140</v>
      </c>
      <c r="D65" s="109" t="s">
        <v>19</v>
      </c>
      <c r="E65" s="109" t="s">
        <v>125</v>
      </c>
      <c r="F65" s="109" t="s">
        <v>500</v>
      </c>
      <c r="G65" s="114">
        <v>32435</v>
      </c>
      <c r="H65" s="113">
        <v>15750</v>
      </c>
      <c r="I65" s="113"/>
      <c r="J65" s="113"/>
      <c r="K65" s="113"/>
    </row>
    <row r="66" spans="1:11" x14ac:dyDescent="0.3">
      <c r="A66" s="109">
        <v>50</v>
      </c>
      <c r="B66" s="109" t="s">
        <v>176</v>
      </c>
      <c r="C66" s="113" t="s">
        <v>88</v>
      </c>
      <c r="D66" s="109" t="s">
        <v>493</v>
      </c>
      <c r="E66" s="109" t="s">
        <v>161</v>
      </c>
      <c r="F66" s="109" t="s">
        <v>512</v>
      </c>
      <c r="G66" s="114">
        <v>32435</v>
      </c>
      <c r="H66" s="113">
        <v>15750</v>
      </c>
      <c r="I66" s="113"/>
      <c r="J66" s="113"/>
      <c r="K66" s="113"/>
    </row>
    <row r="67" spans="1:11" x14ac:dyDescent="0.3">
      <c r="A67" s="109">
        <v>51</v>
      </c>
      <c r="B67" s="109" t="s">
        <v>90</v>
      </c>
      <c r="C67" s="113" t="s">
        <v>91</v>
      </c>
      <c r="D67" s="109" t="s">
        <v>24</v>
      </c>
      <c r="E67" s="109" t="s">
        <v>58</v>
      </c>
      <c r="F67" s="109" t="s">
        <v>498</v>
      </c>
      <c r="G67" s="114">
        <v>32436</v>
      </c>
      <c r="H67" s="113">
        <v>15750</v>
      </c>
      <c r="I67" s="113"/>
      <c r="J67" s="113"/>
      <c r="K67" s="113"/>
    </row>
    <row r="68" spans="1:11" x14ac:dyDescent="0.3">
      <c r="A68" s="109">
        <v>52</v>
      </c>
      <c r="B68" s="109" t="s">
        <v>92</v>
      </c>
      <c r="C68" s="113" t="s">
        <v>93</v>
      </c>
      <c r="D68" s="109" t="s">
        <v>19</v>
      </c>
      <c r="E68" s="109" t="s">
        <v>58</v>
      </c>
      <c r="F68" s="109" t="s">
        <v>507</v>
      </c>
      <c r="G68" s="114">
        <v>32437</v>
      </c>
      <c r="H68" s="113">
        <v>19250</v>
      </c>
      <c r="I68" s="113"/>
      <c r="J68" s="113"/>
      <c r="K68" s="113"/>
    </row>
    <row r="69" spans="1:11" x14ac:dyDescent="0.3">
      <c r="A69" s="109">
        <v>53</v>
      </c>
      <c r="B69" s="109" t="s">
        <v>177</v>
      </c>
      <c r="C69" s="113" t="s">
        <v>178</v>
      </c>
      <c r="D69" s="109" t="s">
        <v>19</v>
      </c>
      <c r="E69" s="109" t="s">
        <v>161</v>
      </c>
      <c r="F69" s="109" t="s">
        <v>513</v>
      </c>
      <c r="G69" s="114">
        <v>35034</v>
      </c>
      <c r="H69" s="113">
        <v>15750</v>
      </c>
      <c r="I69" s="113"/>
      <c r="J69" s="113"/>
      <c r="K69" s="113"/>
    </row>
    <row r="70" spans="1:11" x14ac:dyDescent="0.3">
      <c r="A70" s="109">
        <v>54</v>
      </c>
      <c r="B70" s="109" t="s">
        <v>36</v>
      </c>
      <c r="C70" s="113" t="s">
        <v>37</v>
      </c>
      <c r="D70" s="109" t="s">
        <v>19</v>
      </c>
      <c r="E70" s="109" t="s">
        <v>10</v>
      </c>
      <c r="F70" s="109" t="s">
        <v>514</v>
      </c>
      <c r="G70" s="114">
        <v>34761</v>
      </c>
      <c r="H70" s="113">
        <v>15750</v>
      </c>
      <c r="I70" s="113"/>
      <c r="J70" s="113"/>
      <c r="K70" s="113"/>
    </row>
    <row r="71" spans="1:11" x14ac:dyDescent="0.3">
      <c r="A71" s="109">
        <v>55</v>
      </c>
      <c r="B71" s="109" t="s">
        <v>38</v>
      </c>
      <c r="C71" s="113" t="s">
        <v>39</v>
      </c>
      <c r="D71" s="109" t="s">
        <v>19</v>
      </c>
      <c r="E71" s="109" t="s">
        <v>10</v>
      </c>
      <c r="F71" s="109" t="s">
        <v>515</v>
      </c>
      <c r="G71" s="114">
        <v>31717</v>
      </c>
      <c r="H71" s="113">
        <v>15750</v>
      </c>
      <c r="I71" s="113"/>
      <c r="J71" s="113"/>
      <c r="K71" s="113"/>
    </row>
    <row r="72" spans="1:11" x14ac:dyDescent="0.3">
      <c r="A72" s="109">
        <v>56</v>
      </c>
      <c r="B72" s="109" t="s">
        <v>179</v>
      </c>
      <c r="C72" s="113" t="s">
        <v>180</v>
      </c>
      <c r="D72" s="109" t="s">
        <v>24</v>
      </c>
      <c r="E72" s="109" t="s">
        <v>161</v>
      </c>
      <c r="F72" s="109" t="s">
        <v>513</v>
      </c>
      <c r="G72" s="114">
        <v>33878</v>
      </c>
      <c r="H72" s="113">
        <v>14875</v>
      </c>
      <c r="I72" s="113"/>
      <c r="J72" s="113"/>
      <c r="K72" s="113"/>
    </row>
    <row r="73" spans="1:11" x14ac:dyDescent="0.3">
      <c r="A73" s="109">
        <v>57</v>
      </c>
      <c r="B73" s="109" t="s">
        <v>141</v>
      </c>
      <c r="C73" s="113" t="s">
        <v>33</v>
      </c>
      <c r="D73" s="109" t="s">
        <v>24</v>
      </c>
      <c r="E73" s="109" t="s">
        <v>125</v>
      </c>
      <c r="F73" s="109" t="s">
        <v>516</v>
      </c>
      <c r="G73" s="114">
        <v>34098</v>
      </c>
      <c r="H73" s="113">
        <v>14875</v>
      </c>
      <c r="I73" s="113"/>
      <c r="J73" s="113"/>
      <c r="K73" s="113"/>
    </row>
    <row r="74" spans="1:11" x14ac:dyDescent="0.3">
      <c r="A74" s="109">
        <v>58</v>
      </c>
      <c r="B74" s="109" t="s">
        <v>94</v>
      </c>
      <c r="C74" s="113" t="s">
        <v>21</v>
      </c>
      <c r="D74" s="109" t="s">
        <v>9</v>
      </c>
      <c r="E74" s="109" t="s">
        <v>58</v>
      </c>
      <c r="F74" s="109" t="s">
        <v>495</v>
      </c>
      <c r="G74" s="114">
        <v>33182</v>
      </c>
      <c r="H74" s="113">
        <v>17500</v>
      </c>
      <c r="I74" s="113"/>
      <c r="J74" s="113"/>
      <c r="K74" s="113"/>
    </row>
    <row r="75" spans="1:11" x14ac:dyDescent="0.3">
      <c r="A75" s="109">
        <v>59</v>
      </c>
      <c r="B75" s="109" t="s">
        <v>142</v>
      </c>
      <c r="C75" s="113" t="s">
        <v>143</v>
      </c>
      <c r="D75" s="109" t="s">
        <v>47</v>
      </c>
      <c r="E75" s="109" t="s">
        <v>125</v>
      </c>
      <c r="F75" s="109" t="s">
        <v>505</v>
      </c>
      <c r="G75" s="114">
        <v>31791</v>
      </c>
      <c r="H75" s="113">
        <v>19250</v>
      </c>
      <c r="I75" s="113"/>
      <c r="J75" s="113"/>
      <c r="K75" s="113"/>
    </row>
    <row r="76" spans="1:11" x14ac:dyDescent="0.3">
      <c r="A76" s="109">
        <v>60</v>
      </c>
      <c r="B76" s="109" t="s">
        <v>144</v>
      </c>
      <c r="C76" s="113" t="s">
        <v>145</v>
      </c>
      <c r="D76" s="109" t="s">
        <v>9</v>
      </c>
      <c r="E76" s="109" t="s">
        <v>125</v>
      </c>
      <c r="F76" s="109" t="s">
        <v>517</v>
      </c>
      <c r="G76" s="114">
        <v>32105</v>
      </c>
      <c r="H76" s="113">
        <v>19250</v>
      </c>
      <c r="I76" s="113"/>
      <c r="J76" s="113"/>
      <c r="K76" s="113"/>
    </row>
    <row r="77" spans="1:11" x14ac:dyDescent="0.3">
      <c r="A77" s="109">
        <v>61</v>
      </c>
      <c r="B77" s="109" t="s">
        <v>95</v>
      </c>
      <c r="C77" s="113" t="s">
        <v>96</v>
      </c>
      <c r="D77" s="109" t="s">
        <v>47</v>
      </c>
      <c r="E77" s="109" t="s">
        <v>58</v>
      </c>
      <c r="F77" s="109" t="s">
        <v>495</v>
      </c>
      <c r="G77" s="114">
        <v>32106</v>
      </c>
      <c r="H77" s="113">
        <v>19250</v>
      </c>
      <c r="I77" s="113"/>
      <c r="J77" s="113"/>
      <c r="K77" s="113"/>
    </row>
    <row r="78" spans="1:11" x14ac:dyDescent="0.3">
      <c r="A78" s="109">
        <v>62</v>
      </c>
      <c r="B78" s="109" t="s">
        <v>97</v>
      </c>
      <c r="C78" s="113" t="s">
        <v>72</v>
      </c>
      <c r="D78" s="109" t="s">
        <v>24</v>
      </c>
      <c r="E78" s="109" t="s">
        <v>58</v>
      </c>
      <c r="F78" s="109" t="s">
        <v>491</v>
      </c>
      <c r="G78" s="114">
        <v>32107</v>
      </c>
      <c r="H78" s="113">
        <v>19250</v>
      </c>
      <c r="I78" s="113"/>
      <c r="J78" s="113"/>
      <c r="K78" s="113"/>
    </row>
    <row r="79" spans="1:11" x14ac:dyDescent="0.3">
      <c r="A79" s="109">
        <v>63</v>
      </c>
      <c r="B79" s="109" t="s">
        <v>98</v>
      </c>
      <c r="C79" s="113" t="s">
        <v>99</v>
      </c>
      <c r="D79" s="109" t="s">
        <v>27</v>
      </c>
      <c r="E79" s="109" t="s">
        <v>58</v>
      </c>
      <c r="F79" s="109" t="s">
        <v>498</v>
      </c>
      <c r="G79" s="114">
        <v>32440</v>
      </c>
      <c r="H79" s="113">
        <v>17500</v>
      </c>
      <c r="I79" s="113"/>
      <c r="J79" s="113"/>
      <c r="K79" s="113"/>
    </row>
    <row r="80" spans="1:11" x14ac:dyDescent="0.3">
      <c r="A80" s="109">
        <v>64</v>
      </c>
      <c r="B80" s="109" t="s">
        <v>146</v>
      </c>
      <c r="C80" s="113" t="s">
        <v>147</v>
      </c>
      <c r="D80" s="109" t="s">
        <v>493</v>
      </c>
      <c r="E80" s="109" t="s">
        <v>125</v>
      </c>
      <c r="F80" s="109" t="s">
        <v>489</v>
      </c>
      <c r="G80" s="114">
        <v>32441</v>
      </c>
      <c r="H80" s="113">
        <v>17500</v>
      </c>
      <c r="I80" s="113"/>
      <c r="J80" s="113"/>
      <c r="K80" s="113"/>
    </row>
    <row r="81" spans="1:11" x14ac:dyDescent="0.3">
      <c r="A81" s="109">
        <v>65</v>
      </c>
      <c r="B81" s="109" t="s">
        <v>40</v>
      </c>
      <c r="C81" s="113" t="s">
        <v>15</v>
      </c>
      <c r="D81" s="109" t="s">
        <v>19</v>
      </c>
      <c r="E81" s="109" t="s">
        <v>10</v>
      </c>
      <c r="F81" s="109" t="s">
        <v>499</v>
      </c>
      <c r="G81" s="114">
        <v>32442</v>
      </c>
      <c r="H81" s="113">
        <v>17500</v>
      </c>
      <c r="I81" s="113"/>
      <c r="J81" s="113"/>
      <c r="K81" s="113"/>
    </row>
    <row r="82" spans="1:11" x14ac:dyDescent="0.3">
      <c r="A82" s="109">
        <v>66</v>
      </c>
      <c r="B82" s="109" t="s">
        <v>100</v>
      </c>
      <c r="C82" s="113" t="s">
        <v>101</v>
      </c>
      <c r="D82" s="109" t="s">
        <v>493</v>
      </c>
      <c r="E82" s="109" t="s">
        <v>58</v>
      </c>
      <c r="F82" s="109" t="s">
        <v>495</v>
      </c>
      <c r="G82" s="114">
        <v>32443</v>
      </c>
      <c r="H82" s="113">
        <v>17500</v>
      </c>
      <c r="I82" s="113"/>
      <c r="J82" s="113"/>
      <c r="K82" s="113"/>
    </row>
    <row r="83" spans="1:11" x14ac:dyDescent="0.3">
      <c r="A83" s="109">
        <v>67</v>
      </c>
      <c r="B83" s="109" t="s">
        <v>102</v>
      </c>
      <c r="C83" s="113" t="s">
        <v>42</v>
      </c>
      <c r="D83" s="109" t="s">
        <v>493</v>
      </c>
      <c r="E83" s="109" t="s">
        <v>58</v>
      </c>
      <c r="F83" s="109" t="s">
        <v>507</v>
      </c>
      <c r="G83" s="114">
        <v>32444</v>
      </c>
      <c r="H83" s="113">
        <v>20125</v>
      </c>
      <c r="I83" s="113"/>
      <c r="J83" s="113"/>
      <c r="K83" s="113"/>
    </row>
    <row r="84" spans="1:11" x14ac:dyDescent="0.3">
      <c r="A84" s="109">
        <v>68</v>
      </c>
      <c r="B84" s="109" t="s">
        <v>103</v>
      </c>
      <c r="C84" s="113" t="s">
        <v>15</v>
      </c>
      <c r="D84" s="109" t="s">
        <v>24</v>
      </c>
      <c r="E84" s="109" t="s">
        <v>58</v>
      </c>
      <c r="F84" s="109" t="s">
        <v>511</v>
      </c>
      <c r="G84" s="114">
        <v>35034</v>
      </c>
      <c r="H84" s="113">
        <v>14000</v>
      </c>
      <c r="I84" s="113"/>
      <c r="J84" s="113"/>
      <c r="K84" s="113"/>
    </row>
    <row r="85" spans="1:11" x14ac:dyDescent="0.3">
      <c r="A85" s="109">
        <v>69</v>
      </c>
      <c r="B85" s="109" t="s">
        <v>104</v>
      </c>
      <c r="C85" s="113" t="s">
        <v>29</v>
      </c>
      <c r="D85" s="109" t="s">
        <v>493</v>
      </c>
      <c r="E85" s="109" t="s">
        <v>58</v>
      </c>
      <c r="F85" s="109" t="s">
        <v>511</v>
      </c>
      <c r="G85" s="114">
        <v>34761</v>
      </c>
      <c r="H85" s="113">
        <v>14000</v>
      </c>
      <c r="I85" s="113"/>
      <c r="J85" s="113"/>
      <c r="K85" s="113"/>
    </row>
    <row r="86" spans="1:11" x14ac:dyDescent="0.3">
      <c r="A86" s="109">
        <v>70</v>
      </c>
      <c r="B86" s="109" t="s">
        <v>41</v>
      </c>
      <c r="C86" s="113" t="s">
        <v>42</v>
      </c>
      <c r="D86" s="109" t="s">
        <v>9</v>
      </c>
      <c r="E86" s="109" t="s">
        <v>10</v>
      </c>
      <c r="F86" s="109" t="s">
        <v>499</v>
      </c>
      <c r="G86" s="114">
        <v>34762</v>
      </c>
      <c r="H86" s="113">
        <v>14000</v>
      </c>
      <c r="I86" s="113"/>
      <c r="J86" s="113"/>
      <c r="K86" s="113"/>
    </row>
    <row r="87" spans="1:11" x14ac:dyDescent="0.3">
      <c r="A87" s="109">
        <v>71</v>
      </c>
      <c r="B87" s="109" t="s">
        <v>181</v>
      </c>
      <c r="C87" s="113" t="s">
        <v>182</v>
      </c>
      <c r="D87" s="109" t="s">
        <v>27</v>
      </c>
      <c r="E87" s="109" t="s">
        <v>161</v>
      </c>
      <c r="F87" s="109" t="s">
        <v>518</v>
      </c>
      <c r="G87" s="114">
        <v>34763</v>
      </c>
      <c r="H87" s="113">
        <v>14000</v>
      </c>
      <c r="I87" s="113"/>
      <c r="J87" s="113"/>
      <c r="K87" s="113"/>
    </row>
    <row r="88" spans="1:11" x14ac:dyDescent="0.3">
      <c r="A88" s="109">
        <v>72</v>
      </c>
      <c r="B88" s="109" t="s">
        <v>148</v>
      </c>
      <c r="C88" s="113" t="s">
        <v>26</v>
      </c>
      <c r="D88" s="109" t="s">
        <v>27</v>
      </c>
      <c r="E88" s="109" t="s">
        <v>125</v>
      </c>
      <c r="F88" s="109" t="s">
        <v>509</v>
      </c>
      <c r="G88" s="114">
        <v>32438</v>
      </c>
      <c r="H88" s="113">
        <v>17500</v>
      </c>
      <c r="I88" s="113"/>
      <c r="J88" s="113"/>
      <c r="K88" s="113"/>
    </row>
    <row r="89" spans="1:11" x14ac:dyDescent="0.3">
      <c r="A89" s="109">
        <v>73</v>
      </c>
      <c r="B89" s="109" t="s">
        <v>105</v>
      </c>
      <c r="C89" s="113" t="s">
        <v>106</v>
      </c>
      <c r="D89" s="109" t="s">
        <v>19</v>
      </c>
      <c r="E89" s="109" t="s">
        <v>58</v>
      </c>
      <c r="F89" s="109" t="s">
        <v>501</v>
      </c>
      <c r="G89" s="114">
        <v>32439</v>
      </c>
      <c r="H89" s="113">
        <v>17500</v>
      </c>
      <c r="I89" s="113"/>
      <c r="J89" s="113"/>
      <c r="K89" s="113"/>
    </row>
    <row r="90" spans="1:11" x14ac:dyDescent="0.3">
      <c r="A90" s="109">
        <v>74</v>
      </c>
      <c r="B90" s="109" t="s">
        <v>43</v>
      </c>
      <c r="C90" s="113" t="s">
        <v>44</v>
      </c>
      <c r="D90" s="109" t="s">
        <v>24</v>
      </c>
      <c r="E90" s="109" t="s">
        <v>10</v>
      </c>
      <c r="F90" s="109" t="s">
        <v>497</v>
      </c>
      <c r="G90" s="114">
        <v>32440</v>
      </c>
      <c r="H90" s="113">
        <v>17500</v>
      </c>
      <c r="I90" s="113"/>
      <c r="J90" s="113"/>
      <c r="K90" s="113"/>
    </row>
    <row r="91" spans="1:11" x14ac:dyDescent="0.3">
      <c r="A91" s="109">
        <v>75</v>
      </c>
      <c r="B91" s="109" t="s">
        <v>45</v>
      </c>
      <c r="C91" s="113" t="s">
        <v>46</v>
      </c>
      <c r="D91" s="109" t="s">
        <v>47</v>
      </c>
      <c r="E91" s="109" t="s">
        <v>10</v>
      </c>
      <c r="F91" s="109" t="s">
        <v>499</v>
      </c>
      <c r="G91" s="114">
        <v>32441</v>
      </c>
      <c r="H91" s="113">
        <v>17500</v>
      </c>
      <c r="I91" s="113"/>
      <c r="J91" s="113"/>
      <c r="K91" s="113"/>
    </row>
    <row r="92" spans="1:11" x14ac:dyDescent="0.3">
      <c r="A92" s="109">
        <v>76</v>
      </c>
      <c r="B92" s="109" t="s">
        <v>183</v>
      </c>
      <c r="C92" s="113" t="s">
        <v>174</v>
      </c>
      <c r="D92" s="109" t="s">
        <v>19</v>
      </c>
      <c r="E92" s="109" t="s">
        <v>161</v>
      </c>
      <c r="F92" s="109" t="s">
        <v>518</v>
      </c>
      <c r="G92" s="114">
        <v>32442</v>
      </c>
      <c r="H92" s="113">
        <v>17500</v>
      </c>
      <c r="I92" s="113"/>
      <c r="J92" s="113"/>
      <c r="K92" s="113"/>
    </row>
    <row r="93" spans="1:11" x14ac:dyDescent="0.3">
      <c r="A93" s="109">
        <v>77</v>
      </c>
      <c r="B93" s="109" t="s">
        <v>107</v>
      </c>
      <c r="C93" s="113" t="s">
        <v>101</v>
      </c>
      <c r="D93" s="109" t="s">
        <v>27</v>
      </c>
      <c r="E93" s="109" t="s">
        <v>58</v>
      </c>
      <c r="F93" s="109" t="s">
        <v>490</v>
      </c>
      <c r="G93" s="114">
        <v>32443</v>
      </c>
      <c r="H93" s="113">
        <v>17500</v>
      </c>
      <c r="I93" s="113"/>
      <c r="J93" s="113"/>
      <c r="K93" s="113"/>
    </row>
    <row r="94" spans="1:11" x14ac:dyDescent="0.3">
      <c r="A94" s="109">
        <v>78</v>
      </c>
      <c r="B94" s="109" t="s">
        <v>184</v>
      </c>
      <c r="C94" s="113" t="s">
        <v>185</v>
      </c>
      <c r="D94" s="109" t="s">
        <v>24</v>
      </c>
      <c r="E94" s="109" t="s">
        <v>161</v>
      </c>
      <c r="F94" s="109" t="s">
        <v>506</v>
      </c>
      <c r="G94" s="114">
        <v>32444</v>
      </c>
      <c r="H94" s="113">
        <v>17500</v>
      </c>
      <c r="I94" s="113"/>
      <c r="J94" s="113"/>
      <c r="K94" s="113"/>
    </row>
    <row r="95" spans="1:11" x14ac:dyDescent="0.3">
      <c r="A95" s="109">
        <v>79</v>
      </c>
      <c r="B95" s="109" t="s">
        <v>108</v>
      </c>
      <c r="C95" s="113" t="s">
        <v>109</v>
      </c>
      <c r="D95" s="109" t="s">
        <v>9</v>
      </c>
      <c r="E95" s="109" t="s">
        <v>58</v>
      </c>
      <c r="F95" s="109" t="s">
        <v>490</v>
      </c>
      <c r="G95" s="114">
        <v>32445</v>
      </c>
      <c r="H95" s="113">
        <v>17500</v>
      </c>
      <c r="I95" s="113"/>
      <c r="J95" s="113"/>
      <c r="K95" s="113"/>
    </row>
    <row r="96" spans="1:11" x14ac:dyDescent="0.3">
      <c r="A96" s="109">
        <v>80</v>
      </c>
      <c r="B96" s="109" t="s">
        <v>110</v>
      </c>
      <c r="C96" s="113" t="s">
        <v>111</v>
      </c>
      <c r="D96" s="109" t="s">
        <v>9</v>
      </c>
      <c r="E96" s="109" t="s">
        <v>58</v>
      </c>
      <c r="F96" s="109" t="s">
        <v>487</v>
      </c>
      <c r="G96" s="114">
        <v>32446</v>
      </c>
      <c r="H96" s="113">
        <v>17500</v>
      </c>
      <c r="I96" s="113"/>
      <c r="J96" s="113"/>
      <c r="K96" s="113"/>
    </row>
    <row r="97" spans="1:11" x14ac:dyDescent="0.3">
      <c r="A97" s="109">
        <v>81</v>
      </c>
      <c r="B97" s="109" t="s">
        <v>149</v>
      </c>
      <c r="C97" s="113" t="s">
        <v>150</v>
      </c>
      <c r="D97" s="109" t="s">
        <v>19</v>
      </c>
      <c r="E97" s="109" t="s">
        <v>125</v>
      </c>
      <c r="F97" s="109" t="s">
        <v>516</v>
      </c>
      <c r="G97" s="114">
        <v>32447</v>
      </c>
      <c r="H97" s="113">
        <v>17500</v>
      </c>
      <c r="I97" s="113"/>
      <c r="J97" s="113"/>
      <c r="K97" s="113"/>
    </row>
    <row r="98" spans="1:11" x14ac:dyDescent="0.3">
      <c r="A98" s="109">
        <v>82</v>
      </c>
      <c r="B98" s="109" t="s">
        <v>48</v>
      </c>
      <c r="C98" s="113" t="s">
        <v>49</v>
      </c>
      <c r="D98" s="109" t="s">
        <v>27</v>
      </c>
      <c r="E98" s="109" t="s">
        <v>10</v>
      </c>
      <c r="F98" s="109" t="s">
        <v>488</v>
      </c>
      <c r="G98" s="114">
        <v>32448</v>
      </c>
      <c r="H98" s="113">
        <v>17500</v>
      </c>
      <c r="I98" s="113"/>
      <c r="J98" s="113"/>
      <c r="K98" s="113"/>
    </row>
    <row r="99" spans="1:11" x14ac:dyDescent="0.3">
      <c r="A99" s="109">
        <v>83</v>
      </c>
      <c r="B99" s="109" t="s">
        <v>114</v>
      </c>
      <c r="C99" s="113" t="s">
        <v>101</v>
      </c>
      <c r="D99" s="109" t="s">
        <v>19</v>
      </c>
      <c r="E99" s="109" t="s">
        <v>58</v>
      </c>
      <c r="F99" s="109" t="s">
        <v>510</v>
      </c>
      <c r="G99" s="114">
        <v>36221</v>
      </c>
      <c r="H99" s="113">
        <v>7000</v>
      </c>
      <c r="I99" s="113"/>
      <c r="J99" s="113"/>
      <c r="K99" s="113"/>
    </row>
    <row r="100" spans="1:11" x14ac:dyDescent="0.3">
      <c r="A100" s="109">
        <v>84</v>
      </c>
      <c r="B100" s="109" t="s">
        <v>50</v>
      </c>
      <c r="C100" s="113" t="s">
        <v>51</v>
      </c>
      <c r="D100" s="109" t="s">
        <v>27</v>
      </c>
      <c r="E100" s="109" t="s">
        <v>10</v>
      </c>
      <c r="F100" s="109" t="s">
        <v>499</v>
      </c>
      <c r="G100" s="114">
        <v>36222</v>
      </c>
      <c r="H100" s="113">
        <v>7000</v>
      </c>
      <c r="I100" s="113"/>
      <c r="J100" s="113"/>
      <c r="K100" s="113"/>
    </row>
    <row r="101" spans="1:11" x14ac:dyDescent="0.3">
      <c r="A101" s="109">
        <v>85</v>
      </c>
      <c r="B101" s="109" t="s">
        <v>115</v>
      </c>
      <c r="C101" s="113" t="s">
        <v>116</v>
      </c>
      <c r="D101" s="109" t="s">
        <v>27</v>
      </c>
      <c r="E101" s="109" t="s">
        <v>58</v>
      </c>
      <c r="F101" s="109" t="s">
        <v>495</v>
      </c>
      <c r="G101" s="114">
        <v>35809</v>
      </c>
      <c r="H101" s="113">
        <v>7000</v>
      </c>
      <c r="I101" s="113"/>
      <c r="J101" s="113"/>
      <c r="K101" s="113"/>
    </row>
    <row r="102" spans="1:11" x14ac:dyDescent="0.3">
      <c r="A102" s="109">
        <v>86</v>
      </c>
      <c r="B102" s="109" t="s">
        <v>117</v>
      </c>
      <c r="C102" s="113" t="s">
        <v>76</v>
      </c>
      <c r="D102" s="109" t="s">
        <v>19</v>
      </c>
      <c r="E102" s="109" t="s">
        <v>58</v>
      </c>
      <c r="F102" s="109" t="s">
        <v>498</v>
      </c>
      <c r="G102" s="114">
        <v>35810</v>
      </c>
      <c r="H102" s="113">
        <v>17500</v>
      </c>
      <c r="I102" s="113"/>
      <c r="J102" s="113"/>
      <c r="K102" s="113"/>
    </row>
    <row r="103" spans="1:11" x14ac:dyDescent="0.3">
      <c r="A103" s="109">
        <v>87</v>
      </c>
      <c r="B103" s="109" t="s">
        <v>151</v>
      </c>
      <c r="C103" s="113" t="s">
        <v>152</v>
      </c>
      <c r="D103" s="109" t="s">
        <v>9</v>
      </c>
      <c r="E103" s="109" t="s">
        <v>125</v>
      </c>
      <c r="F103" s="109" t="s">
        <v>489</v>
      </c>
      <c r="G103" s="114">
        <v>35811</v>
      </c>
      <c r="H103" s="113">
        <v>17500</v>
      </c>
      <c r="I103" s="113"/>
      <c r="J103" s="113"/>
      <c r="K103" s="113"/>
    </row>
    <row r="104" spans="1:11" x14ac:dyDescent="0.3">
      <c r="A104" s="109">
        <v>88</v>
      </c>
      <c r="B104" s="109" t="s">
        <v>186</v>
      </c>
      <c r="C104" s="113" t="s">
        <v>187</v>
      </c>
      <c r="D104" s="109" t="s">
        <v>9</v>
      </c>
      <c r="E104" s="109" t="s">
        <v>161</v>
      </c>
      <c r="F104" s="109" t="s">
        <v>494</v>
      </c>
      <c r="G104" s="114">
        <v>35794</v>
      </c>
      <c r="H104" s="113">
        <v>7875</v>
      </c>
      <c r="I104" s="113"/>
      <c r="J104" s="113"/>
      <c r="K104" s="113"/>
    </row>
    <row r="105" spans="1:11" x14ac:dyDescent="0.3">
      <c r="A105" s="109">
        <v>89</v>
      </c>
      <c r="B105" s="109" t="s">
        <v>118</v>
      </c>
      <c r="C105" s="113" t="s">
        <v>119</v>
      </c>
      <c r="D105" s="109" t="s">
        <v>24</v>
      </c>
      <c r="E105" s="109" t="s">
        <v>58</v>
      </c>
      <c r="F105" s="109" t="s">
        <v>510</v>
      </c>
      <c r="G105" s="114">
        <v>28907</v>
      </c>
      <c r="H105" s="113">
        <v>22750</v>
      </c>
      <c r="I105" s="113"/>
      <c r="J105" s="113"/>
      <c r="K105" s="113"/>
    </row>
    <row r="106" spans="1:11" x14ac:dyDescent="0.3">
      <c r="A106" s="109">
        <v>90</v>
      </c>
      <c r="B106" s="109" t="s">
        <v>120</v>
      </c>
      <c r="C106" s="113" t="s">
        <v>86</v>
      </c>
      <c r="D106" s="109" t="s">
        <v>27</v>
      </c>
      <c r="E106" s="109" t="s">
        <v>58</v>
      </c>
      <c r="F106" s="109" t="s">
        <v>501</v>
      </c>
      <c r="G106" s="114">
        <v>29226</v>
      </c>
      <c r="H106" s="113">
        <v>22750</v>
      </c>
      <c r="I106" s="113"/>
      <c r="J106" s="113"/>
      <c r="K106" s="113"/>
    </row>
    <row r="107" spans="1:11" x14ac:dyDescent="0.3">
      <c r="A107" s="109">
        <v>91</v>
      </c>
      <c r="B107" s="109" t="s">
        <v>52</v>
      </c>
      <c r="C107" s="113" t="s">
        <v>53</v>
      </c>
      <c r="D107" s="109" t="s">
        <v>24</v>
      </c>
      <c r="E107" s="109" t="s">
        <v>10</v>
      </c>
      <c r="F107" s="109" t="s">
        <v>499</v>
      </c>
      <c r="G107" s="114">
        <v>29172</v>
      </c>
      <c r="H107" s="113">
        <v>22750</v>
      </c>
      <c r="I107" s="113"/>
      <c r="J107" s="113"/>
      <c r="K107" s="113"/>
    </row>
    <row r="108" spans="1:11" x14ac:dyDescent="0.3">
      <c r="A108" s="109">
        <v>92</v>
      </c>
      <c r="B108" s="109" t="s">
        <v>54</v>
      </c>
      <c r="C108" s="113" t="s">
        <v>55</v>
      </c>
      <c r="D108" s="109" t="s">
        <v>9</v>
      </c>
      <c r="E108" s="109" t="s">
        <v>10</v>
      </c>
      <c r="F108" s="109" t="s">
        <v>514</v>
      </c>
      <c r="G108" s="114">
        <v>32603</v>
      </c>
      <c r="H108" s="113">
        <v>17325</v>
      </c>
      <c r="I108" s="113"/>
      <c r="J108" s="113"/>
      <c r="K108" s="113"/>
    </row>
    <row r="109" spans="1:11" x14ac:dyDescent="0.3">
      <c r="A109" s="109">
        <v>93</v>
      </c>
      <c r="B109" s="109" t="s">
        <v>153</v>
      </c>
      <c r="C109" s="113" t="s">
        <v>72</v>
      </c>
      <c r="D109" s="109" t="s">
        <v>24</v>
      </c>
      <c r="E109" s="109" t="s">
        <v>125</v>
      </c>
      <c r="F109" s="109" t="s">
        <v>505</v>
      </c>
      <c r="G109" s="114">
        <v>32604</v>
      </c>
      <c r="H109" s="113">
        <v>17325</v>
      </c>
      <c r="I109" s="113"/>
      <c r="J109" s="113"/>
      <c r="K109" s="113"/>
    </row>
    <row r="110" spans="1:11" x14ac:dyDescent="0.3">
      <c r="A110" s="109">
        <v>94</v>
      </c>
      <c r="B110" s="109" t="s">
        <v>188</v>
      </c>
      <c r="C110" s="113" t="s">
        <v>189</v>
      </c>
      <c r="D110" s="109" t="s">
        <v>9</v>
      </c>
      <c r="E110" s="109" t="s">
        <v>161</v>
      </c>
      <c r="F110" s="109" t="s">
        <v>508</v>
      </c>
      <c r="G110" s="114">
        <v>32605</v>
      </c>
      <c r="H110" s="113">
        <v>17325</v>
      </c>
      <c r="I110" s="113"/>
      <c r="J110" s="113"/>
      <c r="K110" s="113"/>
    </row>
    <row r="111" spans="1:11" x14ac:dyDescent="0.3">
      <c r="A111" s="109">
        <v>95</v>
      </c>
      <c r="B111" s="109" t="s">
        <v>154</v>
      </c>
      <c r="C111" s="113" t="s">
        <v>80</v>
      </c>
      <c r="D111" s="109" t="s">
        <v>9</v>
      </c>
      <c r="E111" s="109" t="s">
        <v>125</v>
      </c>
      <c r="F111" s="109" t="s">
        <v>505</v>
      </c>
      <c r="G111" s="114">
        <v>32606</v>
      </c>
      <c r="H111" s="113">
        <v>17325</v>
      </c>
      <c r="I111" s="113"/>
      <c r="J111" s="113"/>
      <c r="K111" s="113"/>
    </row>
    <row r="112" spans="1:11" x14ac:dyDescent="0.3">
      <c r="A112" s="109">
        <v>96</v>
      </c>
      <c r="B112" s="109" t="s">
        <v>7</v>
      </c>
      <c r="C112" s="113" t="s">
        <v>113</v>
      </c>
      <c r="D112" s="109" t="s">
        <v>27</v>
      </c>
      <c r="E112" s="109" t="s">
        <v>161</v>
      </c>
      <c r="F112" s="109" t="s">
        <v>513</v>
      </c>
      <c r="G112" s="114">
        <v>32607</v>
      </c>
      <c r="H112" s="113">
        <v>17325</v>
      </c>
      <c r="I112" s="113"/>
      <c r="J112" s="113"/>
      <c r="K112" s="113"/>
    </row>
    <row r="113" spans="1:11" x14ac:dyDescent="0.3">
      <c r="A113" s="109">
        <v>97</v>
      </c>
      <c r="B113" s="109" t="s">
        <v>155</v>
      </c>
      <c r="C113" s="113" t="s">
        <v>156</v>
      </c>
      <c r="D113" s="109" t="s">
        <v>27</v>
      </c>
      <c r="E113" s="109" t="s">
        <v>125</v>
      </c>
      <c r="F113" s="109" t="s">
        <v>517</v>
      </c>
      <c r="G113" s="114">
        <v>32608</v>
      </c>
      <c r="H113" s="113">
        <v>17325</v>
      </c>
      <c r="I113" s="113"/>
      <c r="J113" s="113"/>
      <c r="K113" s="113"/>
    </row>
    <row r="114" spans="1:11" x14ac:dyDescent="0.3">
      <c r="A114" s="109">
        <v>98</v>
      </c>
      <c r="B114" s="109" t="s">
        <v>121</v>
      </c>
      <c r="C114" s="113" t="s">
        <v>122</v>
      </c>
      <c r="D114" s="109" t="s">
        <v>19</v>
      </c>
      <c r="E114" s="109" t="s">
        <v>58</v>
      </c>
      <c r="F114" s="109" t="s">
        <v>490</v>
      </c>
      <c r="G114" s="114">
        <v>32609</v>
      </c>
      <c r="H114" s="113">
        <v>17325</v>
      </c>
      <c r="I114" s="113"/>
      <c r="J114" s="113"/>
      <c r="K114" s="113"/>
    </row>
    <row r="115" spans="1:11" x14ac:dyDescent="0.3">
      <c r="A115" s="109">
        <v>99</v>
      </c>
      <c r="B115" s="109" t="s">
        <v>190</v>
      </c>
      <c r="C115" s="113" t="s">
        <v>101</v>
      </c>
      <c r="D115" s="109" t="s">
        <v>13</v>
      </c>
      <c r="E115" s="109" t="s">
        <v>161</v>
      </c>
      <c r="F115" s="109" t="s">
        <v>506</v>
      </c>
      <c r="G115" s="114">
        <v>35794</v>
      </c>
      <c r="H115" s="113">
        <v>10500</v>
      </c>
      <c r="I115" s="113"/>
      <c r="J115" s="113"/>
      <c r="K115" s="113"/>
    </row>
    <row r="116" spans="1:11" x14ac:dyDescent="0.3">
      <c r="A116" s="109">
        <v>100</v>
      </c>
      <c r="B116" s="109" t="s">
        <v>157</v>
      </c>
      <c r="C116" s="113" t="s">
        <v>158</v>
      </c>
      <c r="D116" s="109" t="s">
        <v>13</v>
      </c>
      <c r="E116" s="109" t="s">
        <v>125</v>
      </c>
      <c r="F116" s="109" t="s">
        <v>489</v>
      </c>
      <c r="G116" s="114">
        <v>36193</v>
      </c>
      <c r="H116" s="113">
        <v>7875</v>
      </c>
      <c r="I116" s="113"/>
      <c r="J116" s="113"/>
      <c r="K116" s="113"/>
    </row>
    <row r="124" spans="1:11" x14ac:dyDescent="0.3">
      <c r="G124" s="116"/>
      <c r="H124" s="117"/>
      <c r="I124" s="117"/>
      <c r="J124" s="117"/>
      <c r="K124" s="117"/>
    </row>
    <row r="125" spans="1:11" x14ac:dyDescent="0.3">
      <c r="G125" s="116"/>
      <c r="H125" s="117"/>
      <c r="I125" s="117"/>
      <c r="J125" s="117"/>
      <c r="K125" s="117"/>
    </row>
    <row r="126" spans="1:11" x14ac:dyDescent="0.3">
      <c r="G126" s="116"/>
      <c r="H126" s="117"/>
      <c r="I126" s="117"/>
      <c r="J126" s="117"/>
      <c r="K126" s="117"/>
    </row>
    <row r="130" spans="5:11" x14ac:dyDescent="0.3">
      <c r="E130" s="118"/>
      <c r="G130" s="116"/>
      <c r="H130" s="117"/>
      <c r="I130" s="117"/>
      <c r="J130" s="117"/>
      <c r="K130" s="117"/>
    </row>
    <row r="131" spans="5:11" x14ac:dyDescent="0.3">
      <c r="E131" s="118"/>
      <c r="G131" s="116"/>
      <c r="H131" s="117"/>
      <c r="I131" s="117"/>
      <c r="J131" s="117"/>
      <c r="K131" s="117"/>
    </row>
    <row r="132" spans="5:11" x14ac:dyDescent="0.3">
      <c r="E132" s="118"/>
      <c r="G132" s="116"/>
      <c r="H132" s="117"/>
      <c r="I132" s="117"/>
      <c r="J132" s="117"/>
      <c r="K132" s="117"/>
    </row>
    <row r="133" spans="5:11" x14ac:dyDescent="0.3">
      <c r="E133" s="118"/>
      <c r="G133" s="116"/>
      <c r="H133" s="117"/>
      <c r="I133" s="117"/>
      <c r="J133" s="117"/>
      <c r="K133" s="117"/>
    </row>
    <row r="134" spans="5:11" x14ac:dyDescent="0.3">
      <c r="E134" s="118"/>
      <c r="G134" s="116"/>
      <c r="H134" s="117"/>
      <c r="I134" s="117"/>
      <c r="J134" s="117"/>
      <c r="K134" s="117"/>
    </row>
  </sheetData>
  <sheetProtection formatCells="0" formatColumns="0" formatRows="0"/>
  <mergeCells count="3">
    <mergeCell ref="A1:B1"/>
    <mergeCell ref="D2:H2"/>
    <mergeCell ref="A7:B7"/>
  </mergeCells>
  <printOptions headings="1" gridLines="1"/>
  <pageMargins left="0.75" right="0.75" top="1" bottom="1" header="0.5" footer="0.5"/>
  <pageSetup scale="90" orientation="landscape" horizontalDpi="300" verticalDpi="300" r:id="rId1"/>
  <headerFooter alignWithMargins="0">
    <oddFooter>&amp;L&amp;A&amp;C&amp;BPragati Software Pvt. Ltd. Confidential&amp;B&amp;RPage &amp;P</oddFooter>
  </headerFooter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107"/>
  <sheetViews>
    <sheetView showGridLines="0" topLeftCell="C1" zoomScale="141" zoomScaleNormal="141" workbookViewId="0">
      <selection activeCell="I12" sqref="I12"/>
    </sheetView>
  </sheetViews>
  <sheetFormatPr defaultColWidth="9.109375" defaultRowHeight="13.2" x14ac:dyDescent="0.25"/>
  <cols>
    <col min="1" max="1" width="6.88671875" style="27" bestFit="1" customWidth="1"/>
    <col min="2" max="2" width="25.5546875" style="27" customWidth="1"/>
    <col min="3" max="3" width="12.88671875" style="27" customWidth="1"/>
    <col min="4" max="4" width="18.109375" style="27" bestFit="1" customWidth="1"/>
    <col min="5" max="5" width="13.109375" style="27" customWidth="1"/>
    <col min="6" max="6" width="12.5546875" style="27" bestFit="1" customWidth="1"/>
    <col min="7" max="7" width="10.33203125" style="27" bestFit="1" customWidth="1"/>
    <col min="8" max="12" width="9.109375" style="27"/>
    <col min="13" max="13" width="13.44140625" style="27" customWidth="1"/>
    <col min="14" max="16384" width="9.109375" style="27"/>
  </cols>
  <sheetData>
    <row r="1" spans="1:13" ht="24.75" customHeight="1" x14ac:dyDescent="0.35">
      <c r="A1" s="137" t="s">
        <v>424</v>
      </c>
      <c r="B1" s="138"/>
      <c r="C1" s="138"/>
      <c r="D1" s="138"/>
      <c r="E1" s="138"/>
      <c r="F1" s="138"/>
      <c r="G1" s="139"/>
      <c r="J1" s="28"/>
    </row>
    <row r="2" spans="1:13" ht="18.75" customHeight="1" thickBot="1" x14ac:dyDescent="0.4">
      <c r="A2" s="140" t="s">
        <v>425</v>
      </c>
      <c r="B2" s="141"/>
      <c r="C2" s="141"/>
      <c r="D2" s="141"/>
      <c r="E2" s="141"/>
      <c r="F2" s="142"/>
      <c r="G2" s="143"/>
      <c r="J2" s="28"/>
    </row>
    <row r="3" spans="1:13" ht="15.6" x14ac:dyDescent="0.3">
      <c r="A3" s="121"/>
      <c r="B3" s="122"/>
      <c r="C3" s="144" t="s">
        <v>426</v>
      </c>
      <c r="D3" s="145"/>
      <c r="E3" s="146"/>
      <c r="F3" s="123"/>
      <c r="G3" s="124"/>
      <c r="J3" s="28"/>
    </row>
    <row r="4" spans="1:13" ht="15.6" x14ac:dyDescent="0.3">
      <c r="A4" s="128" t="s">
        <v>427</v>
      </c>
      <c r="B4" s="128" t="s">
        <v>191</v>
      </c>
      <c r="C4" s="128" t="s">
        <v>428</v>
      </c>
      <c r="D4" s="128" t="s">
        <v>429</v>
      </c>
      <c r="E4" s="128" t="s">
        <v>430</v>
      </c>
      <c r="F4" s="128" t="s">
        <v>431</v>
      </c>
      <c r="G4" s="128" t="s">
        <v>432</v>
      </c>
      <c r="H4" s="129" t="s">
        <v>630</v>
      </c>
      <c r="I4" s="129" t="s">
        <v>631</v>
      </c>
      <c r="J4" s="130" t="s">
        <v>632</v>
      </c>
      <c r="K4" s="129" t="s">
        <v>633</v>
      </c>
      <c r="L4" s="129" t="s">
        <v>634</v>
      </c>
      <c r="M4" s="129" t="s">
        <v>635</v>
      </c>
    </row>
    <row r="5" spans="1:13" x14ac:dyDescent="0.25">
      <c r="A5" s="125">
        <v>1</v>
      </c>
      <c r="B5" s="77" t="s">
        <v>433</v>
      </c>
      <c r="C5" s="125">
        <v>45</v>
      </c>
      <c r="D5" s="125">
        <v>55</v>
      </c>
      <c r="E5" s="125">
        <v>67</v>
      </c>
      <c r="F5" s="125">
        <f t="shared" ref="F5:F14" si="0">SUM(C5:E5)</f>
        <v>167</v>
      </c>
      <c r="G5" s="126"/>
      <c r="H5" s="77"/>
      <c r="I5" s="77"/>
      <c r="J5" s="93"/>
      <c r="K5" s="77"/>
      <c r="L5" s="77"/>
      <c r="M5" s="77"/>
    </row>
    <row r="6" spans="1:13" x14ac:dyDescent="0.25">
      <c r="A6" s="125">
        <v>2</v>
      </c>
      <c r="B6" s="77" t="s">
        <v>434</v>
      </c>
      <c r="C6" s="125">
        <v>78</v>
      </c>
      <c r="D6" s="125">
        <v>65</v>
      </c>
      <c r="E6" s="125">
        <v>75</v>
      </c>
      <c r="F6" s="125">
        <f t="shared" si="0"/>
        <v>218</v>
      </c>
      <c r="G6" s="126"/>
      <c r="H6" s="77"/>
      <c r="I6" s="77"/>
      <c r="J6" s="93"/>
      <c r="K6" s="77"/>
      <c r="L6" s="77"/>
      <c r="M6" s="77"/>
    </row>
    <row r="7" spans="1:13" x14ac:dyDescent="0.25">
      <c r="A7" s="125">
        <v>3</v>
      </c>
      <c r="B7" s="77" t="s">
        <v>435</v>
      </c>
      <c r="C7" s="125">
        <v>39</v>
      </c>
      <c r="D7" s="125">
        <v>52</v>
      </c>
      <c r="E7" s="125">
        <v>59</v>
      </c>
      <c r="F7" s="125">
        <f t="shared" si="0"/>
        <v>150</v>
      </c>
      <c r="G7" s="126"/>
      <c r="H7" s="77"/>
      <c r="I7" s="77"/>
      <c r="J7" s="93"/>
      <c r="K7" s="77"/>
      <c r="L7" s="77"/>
      <c r="M7" s="77"/>
    </row>
    <row r="8" spans="1:13" x14ac:dyDescent="0.25">
      <c r="A8" s="125">
        <v>4</v>
      </c>
      <c r="B8" s="77" t="s">
        <v>436</v>
      </c>
      <c r="C8" s="125">
        <v>45</v>
      </c>
      <c r="D8" s="125">
        <v>25</v>
      </c>
      <c r="E8" s="125">
        <v>36</v>
      </c>
      <c r="F8" s="125">
        <f t="shared" si="0"/>
        <v>106</v>
      </c>
      <c r="G8" s="126"/>
      <c r="H8" s="77"/>
      <c r="I8" s="77"/>
      <c r="J8" s="93"/>
      <c r="K8" s="77"/>
      <c r="L8" s="77"/>
      <c r="M8" s="77"/>
    </row>
    <row r="9" spans="1:13" x14ac:dyDescent="0.25">
      <c r="A9" s="125">
        <v>5</v>
      </c>
      <c r="B9" s="77" t="s">
        <v>437</v>
      </c>
      <c r="C9" s="125">
        <v>45</v>
      </c>
      <c r="D9" s="125">
        <v>28</v>
      </c>
      <c r="E9" s="125">
        <v>53</v>
      </c>
      <c r="F9" s="125">
        <f t="shared" si="0"/>
        <v>126</v>
      </c>
      <c r="G9" s="126"/>
      <c r="H9" s="77"/>
      <c r="I9" s="77"/>
      <c r="J9" s="93"/>
      <c r="K9" s="77"/>
      <c r="L9" s="77"/>
      <c r="M9" s="77"/>
    </row>
    <row r="10" spans="1:13" x14ac:dyDescent="0.25">
      <c r="A10" s="125">
        <v>6</v>
      </c>
      <c r="B10" s="77" t="s">
        <v>36</v>
      </c>
      <c r="C10" s="125">
        <v>89</v>
      </c>
      <c r="D10" s="125">
        <v>75</v>
      </c>
      <c r="E10" s="125">
        <v>61</v>
      </c>
      <c r="F10" s="125">
        <f t="shared" si="0"/>
        <v>225</v>
      </c>
      <c r="G10" s="126"/>
      <c r="H10" s="77"/>
      <c r="I10" s="77"/>
      <c r="J10" s="93"/>
      <c r="K10" s="77"/>
      <c r="L10" s="77"/>
      <c r="M10" s="77"/>
    </row>
    <row r="11" spans="1:13" x14ac:dyDescent="0.25">
      <c r="A11" s="125">
        <v>7</v>
      </c>
      <c r="B11" s="77" t="s">
        <v>438</v>
      </c>
      <c r="C11" s="125">
        <v>71</v>
      </c>
      <c r="D11" s="125">
        <v>64</v>
      </c>
      <c r="E11" s="125">
        <v>73</v>
      </c>
      <c r="F11" s="125">
        <f t="shared" si="0"/>
        <v>208</v>
      </c>
      <c r="G11" s="126"/>
      <c r="H11" s="77"/>
      <c r="I11" s="77"/>
      <c r="J11" s="93"/>
      <c r="K11" s="77"/>
      <c r="L11" s="77"/>
      <c r="M11" s="77"/>
    </row>
    <row r="12" spans="1:13" x14ac:dyDescent="0.25">
      <c r="A12" s="125">
        <v>8</v>
      </c>
      <c r="B12" s="77" t="s">
        <v>439</v>
      </c>
      <c r="C12" s="125">
        <v>45</v>
      </c>
      <c r="D12" s="125">
        <v>45</v>
      </c>
      <c r="E12" s="125">
        <v>45</v>
      </c>
      <c r="F12" s="125">
        <f t="shared" si="0"/>
        <v>135</v>
      </c>
      <c r="G12" s="126"/>
      <c r="H12" s="77"/>
      <c r="I12" s="77"/>
      <c r="J12" s="93"/>
      <c r="K12" s="77"/>
      <c r="L12" s="77"/>
      <c r="M12" s="77"/>
    </row>
    <row r="13" spans="1:13" x14ac:dyDescent="0.25">
      <c r="A13" s="125">
        <v>9</v>
      </c>
      <c r="B13" s="77" t="s">
        <v>440</v>
      </c>
      <c r="C13" s="125">
        <v>45</v>
      </c>
      <c r="D13" s="125">
        <v>65</v>
      </c>
      <c r="E13" s="125">
        <v>30</v>
      </c>
      <c r="F13" s="125">
        <f t="shared" si="0"/>
        <v>140</v>
      </c>
      <c r="G13" s="126"/>
      <c r="H13" s="77"/>
      <c r="I13" s="77"/>
      <c r="J13" s="93"/>
      <c r="K13" s="77"/>
      <c r="L13" s="77"/>
      <c r="M13" s="77"/>
    </row>
    <row r="14" spans="1:13" x14ac:dyDescent="0.25">
      <c r="A14" s="125">
        <v>10</v>
      </c>
      <c r="B14" s="77" t="s">
        <v>441</v>
      </c>
      <c r="C14" s="125">
        <v>75</v>
      </c>
      <c r="D14" s="125">
        <v>65</v>
      </c>
      <c r="E14" s="125">
        <v>55</v>
      </c>
      <c r="F14" s="125">
        <f t="shared" si="0"/>
        <v>195</v>
      </c>
      <c r="G14" s="126"/>
      <c r="H14" s="77"/>
      <c r="I14" s="77"/>
      <c r="J14" s="93"/>
      <c r="K14" s="77"/>
      <c r="L14" s="77"/>
      <c r="M14" s="77"/>
    </row>
    <row r="15" spans="1:13" x14ac:dyDescent="0.25">
      <c r="A15" s="147" t="s">
        <v>442</v>
      </c>
      <c r="B15" s="131" t="s">
        <v>443</v>
      </c>
      <c r="C15" s="127"/>
      <c r="D15" s="127"/>
      <c r="E15" s="127"/>
      <c r="F15" s="127"/>
      <c r="G15" s="126"/>
      <c r="H15" s="77"/>
      <c r="I15" s="77"/>
      <c r="J15" s="93"/>
      <c r="K15" s="77"/>
      <c r="L15" s="77"/>
      <c r="M15" s="77"/>
    </row>
    <row r="16" spans="1:13" x14ac:dyDescent="0.25">
      <c r="A16" s="147"/>
      <c r="B16" s="131" t="s">
        <v>444</v>
      </c>
      <c r="C16" s="127"/>
      <c r="D16" s="131" t="s">
        <v>445</v>
      </c>
      <c r="E16" s="127"/>
      <c r="J16" s="28"/>
    </row>
    <row r="17" spans="1:10" x14ac:dyDescent="0.25">
      <c r="A17" s="147"/>
      <c r="B17" s="131" t="s">
        <v>446</v>
      </c>
      <c r="C17" s="127"/>
      <c r="D17" s="127"/>
      <c r="E17" s="127"/>
      <c r="J17" s="28"/>
    </row>
    <row r="18" spans="1:10" x14ac:dyDescent="0.25">
      <c r="A18" s="147"/>
      <c r="B18" s="131" t="s">
        <v>447</v>
      </c>
      <c r="C18" s="127"/>
      <c r="D18" s="127"/>
      <c r="E18" s="127"/>
      <c r="G18" s="148" t="s">
        <v>636</v>
      </c>
      <c r="H18" s="149"/>
      <c r="J18" s="28"/>
    </row>
    <row r="19" spans="1:10" x14ac:dyDescent="0.25">
      <c r="A19" s="147"/>
      <c r="B19" s="131" t="s">
        <v>448</v>
      </c>
      <c r="C19" s="127"/>
      <c r="D19" s="127"/>
      <c r="E19" s="127"/>
      <c r="G19" s="94" t="s">
        <v>637</v>
      </c>
      <c r="H19" s="77"/>
      <c r="J19" s="28"/>
    </row>
    <row r="20" spans="1:10" x14ac:dyDescent="0.25">
      <c r="A20" s="147"/>
      <c r="B20" s="131" t="s">
        <v>619</v>
      </c>
      <c r="C20" s="127"/>
      <c r="D20" s="127"/>
      <c r="E20" s="127"/>
      <c r="G20" s="94" t="s">
        <v>638</v>
      </c>
      <c r="H20" s="77"/>
      <c r="J20" s="28"/>
    </row>
    <row r="21" spans="1:10" x14ac:dyDescent="0.25">
      <c r="B21" s="131" t="s">
        <v>620</v>
      </c>
      <c r="C21" s="125"/>
      <c r="D21" s="125"/>
      <c r="E21" s="125"/>
      <c r="G21" s="77" t="s">
        <v>639</v>
      </c>
      <c r="H21" s="77"/>
      <c r="J21" s="28"/>
    </row>
    <row r="22" spans="1:10" x14ac:dyDescent="0.25">
      <c r="G22" s="77" t="s">
        <v>640</v>
      </c>
      <c r="H22" s="77"/>
      <c r="J22" s="28"/>
    </row>
    <row r="23" spans="1:10" x14ac:dyDescent="0.25">
      <c r="B23"/>
      <c r="C23"/>
      <c r="D23"/>
      <c r="E23"/>
      <c r="J23" s="28"/>
    </row>
    <row r="24" spans="1:10" x14ac:dyDescent="0.25">
      <c r="B24"/>
      <c r="C24"/>
      <c r="D24"/>
      <c r="E24"/>
      <c r="J24" s="28"/>
    </row>
    <row r="25" spans="1:10" x14ac:dyDescent="0.25">
      <c r="B25"/>
      <c r="C25"/>
      <c r="D25"/>
      <c r="E25"/>
      <c r="J25" s="28"/>
    </row>
    <row r="26" spans="1:10" x14ac:dyDescent="0.25">
      <c r="B26"/>
      <c r="C26"/>
      <c r="D26"/>
      <c r="E26"/>
      <c r="J26" s="28"/>
    </row>
    <row r="27" spans="1:10" x14ac:dyDescent="0.25">
      <c r="B27"/>
      <c r="C27"/>
      <c r="D27"/>
      <c r="E27"/>
      <c r="J27" s="28"/>
    </row>
    <row r="28" spans="1:10" x14ac:dyDescent="0.25">
      <c r="J28" s="28"/>
    </row>
    <row r="29" spans="1:10" x14ac:dyDescent="0.25">
      <c r="J29" s="28"/>
    </row>
    <row r="30" spans="1:10" x14ac:dyDescent="0.25">
      <c r="J30" s="28"/>
    </row>
    <row r="31" spans="1:10" x14ac:dyDescent="0.25">
      <c r="J31" s="28"/>
    </row>
    <row r="32" spans="1:10" x14ac:dyDescent="0.25">
      <c r="J32" s="28"/>
    </row>
    <row r="33" spans="10:10" x14ac:dyDescent="0.25">
      <c r="J33" s="28"/>
    </row>
    <row r="34" spans="10:10" x14ac:dyDescent="0.25">
      <c r="J34" s="28"/>
    </row>
    <row r="35" spans="10:10" x14ac:dyDescent="0.25">
      <c r="J35" s="28"/>
    </row>
    <row r="36" spans="10:10" x14ac:dyDescent="0.25">
      <c r="J36" s="28"/>
    </row>
    <row r="37" spans="10:10" x14ac:dyDescent="0.25">
      <c r="J37" s="28"/>
    </row>
    <row r="38" spans="10:10" x14ac:dyDescent="0.25">
      <c r="J38" s="28"/>
    </row>
    <row r="39" spans="10:10" x14ac:dyDescent="0.25">
      <c r="J39" s="28"/>
    </row>
    <row r="40" spans="10:10" x14ac:dyDescent="0.25">
      <c r="J40" s="28"/>
    </row>
    <row r="41" spans="10:10" x14ac:dyDescent="0.25">
      <c r="J41" s="28"/>
    </row>
    <row r="42" spans="10:10" x14ac:dyDescent="0.25">
      <c r="J42" s="28"/>
    </row>
    <row r="43" spans="10:10" x14ac:dyDescent="0.25">
      <c r="J43" s="28"/>
    </row>
    <row r="44" spans="10:10" x14ac:dyDescent="0.25">
      <c r="J44" s="28"/>
    </row>
    <row r="45" spans="10:10" x14ac:dyDescent="0.25">
      <c r="J45" s="28"/>
    </row>
    <row r="46" spans="10:10" x14ac:dyDescent="0.25">
      <c r="J46" s="28"/>
    </row>
    <row r="47" spans="10:10" x14ac:dyDescent="0.25">
      <c r="J47" s="28"/>
    </row>
    <row r="48" spans="10:10" x14ac:dyDescent="0.25">
      <c r="J48" s="28"/>
    </row>
    <row r="49" spans="10:10" x14ac:dyDescent="0.25">
      <c r="J49" s="28"/>
    </row>
    <row r="50" spans="10:10" x14ac:dyDescent="0.25">
      <c r="J50" s="28"/>
    </row>
    <row r="51" spans="10:10" x14ac:dyDescent="0.25">
      <c r="J51" s="28"/>
    </row>
    <row r="52" spans="10:10" x14ac:dyDescent="0.25">
      <c r="J52" s="28"/>
    </row>
    <row r="53" spans="10:10" x14ac:dyDescent="0.25">
      <c r="J53" s="28"/>
    </row>
    <row r="54" spans="10:10" x14ac:dyDescent="0.25">
      <c r="J54" s="28"/>
    </row>
    <row r="55" spans="10:10" x14ac:dyDescent="0.25">
      <c r="J55" s="28"/>
    </row>
    <row r="56" spans="10:10" x14ac:dyDescent="0.25">
      <c r="J56" s="28"/>
    </row>
    <row r="57" spans="10:10" x14ac:dyDescent="0.25">
      <c r="J57" s="28"/>
    </row>
    <row r="58" spans="10:10" x14ac:dyDescent="0.25">
      <c r="J58" s="28"/>
    </row>
    <row r="59" spans="10:10" x14ac:dyDescent="0.25">
      <c r="J59" s="28"/>
    </row>
    <row r="60" spans="10:10" x14ac:dyDescent="0.25">
      <c r="J60" s="28"/>
    </row>
    <row r="61" spans="10:10" x14ac:dyDescent="0.25">
      <c r="J61" s="28"/>
    </row>
    <row r="62" spans="10:10" x14ac:dyDescent="0.25">
      <c r="J62" s="28"/>
    </row>
    <row r="63" spans="10:10" x14ac:dyDescent="0.25">
      <c r="J63" s="28"/>
    </row>
    <row r="64" spans="10:10" x14ac:dyDescent="0.25">
      <c r="J64" s="28"/>
    </row>
    <row r="65" spans="10:10" x14ac:dyDescent="0.25">
      <c r="J65" s="28"/>
    </row>
    <row r="66" spans="10:10" x14ac:dyDescent="0.25">
      <c r="J66" s="28"/>
    </row>
    <row r="67" spans="10:10" x14ac:dyDescent="0.25">
      <c r="J67" s="28"/>
    </row>
    <row r="68" spans="10:10" x14ac:dyDescent="0.25">
      <c r="J68" s="28"/>
    </row>
    <row r="69" spans="10:10" x14ac:dyDescent="0.25">
      <c r="J69" s="28"/>
    </row>
    <row r="70" spans="10:10" x14ac:dyDescent="0.25">
      <c r="J70" s="28"/>
    </row>
    <row r="71" spans="10:10" x14ac:dyDescent="0.25">
      <c r="J71" s="28"/>
    </row>
    <row r="72" spans="10:10" x14ac:dyDescent="0.25">
      <c r="J72" s="28"/>
    </row>
    <row r="73" spans="10:10" x14ac:dyDescent="0.25">
      <c r="J73" s="28"/>
    </row>
    <row r="74" spans="10:10" x14ac:dyDescent="0.25">
      <c r="J74" s="28"/>
    </row>
    <row r="75" spans="10:10" x14ac:dyDescent="0.25">
      <c r="J75" s="28"/>
    </row>
    <row r="76" spans="10:10" x14ac:dyDescent="0.25">
      <c r="J76" s="28"/>
    </row>
    <row r="77" spans="10:10" x14ac:dyDescent="0.25">
      <c r="J77" s="28"/>
    </row>
    <row r="78" spans="10:10" x14ac:dyDescent="0.25">
      <c r="J78" s="28"/>
    </row>
    <row r="79" spans="10:10" x14ac:dyDescent="0.25">
      <c r="J79" s="28"/>
    </row>
    <row r="80" spans="10:10" x14ac:dyDescent="0.25">
      <c r="J80" s="28"/>
    </row>
    <row r="81" spans="10:10" x14ac:dyDescent="0.25">
      <c r="J81" s="28"/>
    </row>
    <row r="82" spans="10:10" x14ac:dyDescent="0.25">
      <c r="J82" s="28"/>
    </row>
    <row r="83" spans="10:10" x14ac:dyDescent="0.25">
      <c r="J83" s="28"/>
    </row>
    <row r="84" spans="10:10" x14ac:dyDescent="0.25">
      <c r="J84" s="28"/>
    </row>
    <row r="85" spans="10:10" x14ac:dyDescent="0.25">
      <c r="J85" s="28"/>
    </row>
    <row r="86" spans="10:10" x14ac:dyDescent="0.25">
      <c r="J86" s="28"/>
    </row>
    <row r="87" spans="10:10" x14ac:dyDescent="0.25">
      <c r="J87" s="28"/>
    </row>
    <row r="88" spans="10:10" x14ac:dyDescent="0.25">
      <c r="J88" s="28"/>
    </row>
    <row r="89" spans="10:10" x14ac:dyDescent="0.25">
      <c r="J89" s="28"/>
    </row>
    <row r="90" spans="10:10" x14ac:dyDescent="0.25">
      <c r="J90" s="28"/>
    </row>
    <row r="91" spans="10:10" x14ac:dyDescent="0.25">
      <c r="J91" s="28"/>
    </row>
    <row r="92" spans="10:10" x14ac:dyDescent="0.25">
      <c r="J92" s="28"/>
    </row>
    <row r="93" spans="10:10" x14ac:dyDescent="0.25">
      <c r="J93" s="28"/>
    </row>
    <row r="94" spans="10:10" x14ac:dyDescent="0.25">
      <c r="J94" s="28"/>
    </row>
    <row r="95" spans="10:10" x14ac:dyDescent="0.25">
      <c r="J95" s="28"/>
    </row>
    <row r="96" spans="10:10" x14ac:dyDescent="0.25">
      <c r="J96" s="28"/>
    </row>
    <row r="97" spans="10:10" x14ac:dyDescent="0.25">
      <c r="J97" s="28"/>
    </row>
    <row r="98" spans="10:10" x14ac:dyDescent="0.25">
      <c r="J98" s="28"/>
    </row>
    <row r="99" spans="10:10" x14ac:dyDescent="0.25">
      <c r="J99" s="28"/>
    </row>
    <row r="100" spans="10:10" x14ac:dyDescent="0.25">
      <c r="J100" s="28"/>
    </row>
    <row r="101" spans="10:10" x14ac:dyDescent="0.25">
      <c r="J101" s="28"/>
    </row>
    <row r="102" spans="10:10" x14ac:dyDescent="0.25">
      <c r="J102" s="28"/>
    </row>
    <row r="103" spans="10:10" x14ac:dyDescent="0.25">
      <c r="J103" s="28"/>
    </row>
    <row r="104" spans="10:10" x14ac:dyDescent="0.25">
      <c r="J104" s="28"/>
    </row>
    <row r="105" spans="10:10" x14ac:dyDescent="0.25">
      <c r="J105" s="28"/>
    </row>
    <row r="106" spans="10:10" x14ac:dyDescent="0.25">
      <c r="J106" s="28"/>
    </row>
    <row r="107" spans="10:10" x14ac:dyDescent="0.25">
      <c r="J107" s="28"/>
    </row>
  </sheetData>
  <mergeCells count="5">
    <mergeCell ref="A1:G1"/>
    <mergeCell ref="A2:G2"/>
    <mergeCell ref="C3:E3"/>
    <mergeCell ref="A15:A20"/>
    <mergeCell ref="G18:H18"/>
  </mergeCells>
  <phoneticPr fontId="2" type="noConversion"/>
  <pageMargins left="0.75" right="0.75" top="1" bottom="1" header="0.5" footer="0.5"/>
  <pageSetup orientation="portrait" verticalDpi="180" r:id="rId1"/>
  <headerFooter alignWithMargins="0"/>
  <customProperties>
    <customPr name="LastActiv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2164-099D-41D7-8788-D3198FDEB095}">
  <dimension ref="A1:O119"/>
  <sheetViews>
    <sheetView showGridLines="0" zoomScale="95" zoomScaleNormal="95" workbookViewId="0">
      <selection activeCell="H28" sqref="H28"/>
    </sheetView>
  </sheetViews>
  <sheetFormatPr defaultColWidth="9.109375" defaultRowHeight="13.2" x14ac:dyDescent="0.25"/>
  <cols>
    <col min="1" max="1" width="12" style="29" customWidth="1"/>
    <col min="2" max="2" width="12.33203125" style="29" customWidth="1"/>
    <col min="3" max="3" width="12.44140625" style="29" customWidth="1"/>
    <col min="4" max="4" width="9.33203125" style="29" bestFit="1" customWidth="1"/>
    <col min="5" max="5" width="9.6640625" style="29" customWidth="1"/>
    <col min="6" max="6" width="11" style="29" customWidth="1"/>
    <col min="7" max="7" width="11.33203125" style="29" customWidth="1"/>
    <col min="8" max="13" width="10.88671875" style="29" customWidth="1"/>
    <col min="14" max="16384" width="9.109375" style="29"/>
  </cols>
  <sheetData>
    <row r="1" spans="1:1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484</v>
      </c>
      <c r="G1" s="31" t="s">
        <v>5</v>
      </c>
      <c r="H1" s="31" t="s">
        <v>6</v>
      </c>
      <c r="I1" s="31" t="s">
        <v>485</v>
      </c>
      <c r="J1" s="31" t="s">
        <v>486</v>
      </c>
      <c r="K1" s="31" t="s">
        <v>694</v>
      </c>
      <c r="L1" s="31" t="s">
        <v>192</v>
      </c>
      <c r="M1" s="31" t="s">
        <v>695</v>
      </c>
    </row>
    <row r="2" spans="1:15" x14ac:dyDescent="0.25">
      <c r="A2" s="30">
        <v>1</v>
      </c>
      <c r="B2" s="30" t="s">
        <v>56</v>
      </c>
      <c r="C2" s="30" t="s">
        <v>57</v>
      </c>
      <c r="D2" s="30" t="s">
        <v>24</v>
      </c>
      <c r="E2" s="30" t="s">
        <v>58</v>
      </c>
      <c r="F2" s="30" t="s">
        <v>487</v>
      </c>
      <c r="G2" s="32">
        <v>28126</v>
      </c>
      <c r="H2" s="30">
        <v>21875</v>
      </c>
      <c r="I2" s="30"/>
      <c r="J2" s="30"/>
      <c r="K2" s="30"/>
      <c r="L2" s="30"/>
      <c r="M2" s="30"/>
    </row>
    <row r="3" spans="1:15" x14ac:dyDescent="0.25">
      <c r="A3" s="30">
        <v>2</v>
      </c>
      <c r="B3" s="30" t="s">
        <v>123</v>
      </c>
      <c r="C3" s="30" t="s">
        <v>124</v>
      </c>
      <c r="D3" s="30" t="s">
        <v>24</v>
      </c>
      <c r="E3" s="30" t="s">
        <v>10</v>
      </c>
      <c r="F3" s="30" t="s">
        <v>488</v>
      </c>
      <c r="G3" s="32">
        <v>28126</v>
      </c>
      <c r="H3" s="30">
        <v>17500</v>
      </c>
      <c r="I3" s="30"/>
      <c r="J3" s="30"/>
      <c r="K3" s="30"/>
      <c r="L3" s="30"/>
      <c r="M3" s="30"/>
    </row>
    <row r="4" spans="1:15" x14ac:dyDescent="0.25">
      <c r="A4" s="30">
        <v>3</v>
      </c>
      <c r="B4" s="30" t="s">
        <v>112</v>
      </c>
      <c r="C4" s="30" t="s">
        <v>113</v>
      </c>
      <c r="D4" s="30" t="s">
        <v>47</v>
      </c>
      <c r="E4" s="30" t="s">
        <v>125</v>
      </c>
      <c r="F4" s="30" t="s">
        <v>489</v>
      </c>
      <c r="G4" s="32">
        <v>36220</v>
      </c>
      <c r="H4" s="30">
        <v>7000</v>
      </c>
      <c r="I4" s="30"/>
      <c r="J4" s="30"/>
      <c r="K4" s="30"/>
      <c r="L4" s="30"/>
      <c r="M4" s="30"/>
    </row>
    <row r="5" spans="1:15" x14ac:dyDescent="0.25">
      <c r="A5" s="30">
        <v>4</v>
      </c>
      <c r="B5" s="30" t="s">
        <v>7</v>
      </c>
      <c r="C5" s="30" t="s">
        <v>8</v>
      </c>
      <c r="D5" s="30" t="s">
        <v>9</v>
      </c>
      <c r="E5" s="30" t="s">
        <v>58</v>
      </c>
      <c r="F5" s="30" t="s">
        <v>490</v>
      </c>
      <c r="G5" s="32">
        <v>29183</v>
      </c>
      <c r="H5" s="30">
        <v>12250</v>
      </c>
      <c r="I5" s="30"/>
      <c r="J5" s="30"/>
      <c r="K5" s="30"/>
      <c r="L5" s="30"/>
      <c r="M5" s="30"/>
      <c r="O5" s="59" t="s">
        <v>703</v>
      </c>
    </row>
    <row r="6" spans="1:15" x14ac:dyDescent="0.25">
      <c r="A6" s="30">
        <v>5</v>
      </c>
      <c r="B6" s="30" t="s">
        <v>59</v>
      </c>
      <c r="C6" s="30" t="s">
        <v>60</v>
      </c>
      <c r="D6" s="30" t="s">
        <v>27</v>
      </c>
      <c r="E6" s="30" t="s">
        <v>58</v>
      </c>
      <c r="F6" s="30" t="s">
        <v>491</v>
      </c>
      <c r="G6" s="32">
        <v>32755</v>
      </c>
      <c r="H6" s="30">
        <v>21000</v>
      </c>
      <c r="I6" s="30"/>
      <c r="J6" s="30"/>
      <c r="K6" s="30"/>
      <c r="L6" s="30"/>
      <c r="M6" s="30"/>
      <c r="O6" s="29" t="s">
        <v>696</v>
      </c>
    </row>
    <row r="7" spans="1:15" x14ac:dyDescent="0.25">
      <c r="A7" s="30">
        <v>6</v>
      </c>
      <c r="B7" s="30" t="s">
        <v>159</v>
      </c>
      <c r="C7" s="30" t="s">
        <v>160</v>
      </c>
      <c r="D7" s="30" t="s">
        <v>27</v>
      </c>
      <c r="E7" s="30" t="s">
        <v>58</v>
      </c>
      <c r="F7" s="30" t="s">
        <v>492</v>
      </c>
      <c r="G7" s="32">
        <v>32390</v>
      </c>
      <c r="H7" s="30">
        <v>12425</v>
      </c>
      <c r="I7" s="30"/>
      <c r="J7" s="30"/>
      <c r="K7" s="30"/>
      <c r="L7" s="30"/>
      <c r="M7" s="30"/>
      <c r="O7" s="29" t="s">
        <v>697</v>
      </c>
    </row>
    <row r="8" spans="1:15" x14ac:dyDescent="0.25">
      <c r="A8" s="30">
        <v>7</v>
      </c>
      <c r="B8" s="30" t="s">
        <v>34</v>
      </c>
      <c r="C8" s="30" t="s">
        <v>35</v>
      </c>
      <c r="D8" s="30" t="s">
        <v>493</v>
      </c>
      <c r="E8" s="30" t="s">
        <v>161</v>
      </c>
      <c r="F8" s="30" t="s">
        <v>494</v>
      </c>
      <c r="G8" s="32">
        <v>33102</v>
      </c>
      <c r="H8" s="30">
        <v>13825</v>
      </c>
      <c r="I8" s="30"/>
      <c r="J8" s="30"/>
      <c r="K8" s="30"/>
      <c r="L8" s="30"/>
      <c r="M8" s="30"/>
      <c r="O8" s="29" t="s">
        <v>698</v>
      </c>
    </row>
    <row r="9" spans="1:15" x14ac:dyDescent="0.25">
      <c r="A9" s="30">
        <v>8</v>
      </c>
      <c r="B9" s="30" t="s">
        <v>61</v>
      </c>
      <c r="C9" s="30" t="s">
        <v>62</v>
      </c>
      <c r="D9" s="30" t="s">
        <v>27</v>
      </c>
      <c r="E9" s="30" t="s">
        <v>58</v>
      </c>
      <c r="F9" s="30" t="s">
        <v>495</v>
      </c>
      <c r="G9" s="32">
        <v>32755</v>
      </c>
      <c r="H9" s="30">
        <v>12425</v>
      </c>
      <c r="I9" s="30"/>
      <c r="J9" s="30"/>
      <c r="K9" s="30"/>
      <c r="L9" s="30"/>
      <c r="M9" s="30"/>
      <c r="O9" s="29" t="s">
        <v>699</v>
      </c>
    </row>
    <row r="10" spans="1:15" x14ac:dyDescent="0.25">
      <c r="A10" s="30">
        <v>9</v>
      </c>
      <c r="B10" s="30" t="s">
        <v>63</v>
      </c>
      <c r="C10" s="30" t="s">
        <v>64</v>
      </c>
      <c r="D10" s="30" t="s">
        <v>24</v>
      </c>
      <c r="E10" s="30" t="s">
        <v>58</v>
      </c>
      <c r="F10" s="30" t="s">
        <v>496</v>
      </c>
      <c r="G10" s="32">
        <v>36506</v>
      </c>
      <c r="H10" s="30">
        <v>14875</v>
      </c>
      <c r="I10" s="30"/>
      <c r="J10" s="30"/>
      <c r="K10" s="30"/>
      <c r="L10" s="30"/>
      <c r="M10" s="30"/>
    </row>
    <row r="11" spans="1:15" x14ac:dyDescent="0.25">
      <c r="A11" s="30">
        <v>10</v>
      </c>
      <c r="B11" s="30" t="s">
        <v>65</v>
      </c>
      <c r="C11" s="30" t="s">
        <v>66</v>
      </c>
      <c r="D11" s="30" t="s">
        <v>9</v>
      </c>
      <c r="E11" s="30" t="s">
        <v>10</v>
      </c>
      <c r="F11" s="30" t="s">
        <v>497</v>
      </c>
      <c r="G11" s="32">
        <v>28326</v>
      </c>
      <c r="H11" s="30">
        <v>15750</v>
      </c>
      <c r="I11" s="30"/>
      <c r="J11" s="30"/>
      <c r="K11" s="30"/>
      <c r="L11" s="30"/>
      <c r="M11" s="30"/>
      <c r="O11" s="59" t="s">
        <v>702</v>
      </c>
    </row>
    <row r="12" spans="1:15" x14ac:dyDescent="0.25">
      <c r="A12" s="30">
        <v>11</v>
      </c>
      <c r="B12" s="30" t="s">
        <v>11</v>
      </c>
      <c r="C12" s="30" t="s">
        <v>12</v>
      </c>
      <c r="D12" s="30" t="s">
        <v>13</v>
      </c>
      <c r="E12" s="30" t="s">
        <v>161</v>
      </c>
      <c r="F12" s="30" t="s">
        <v>494</v>
      </c>
      <c r="G12" s="32">
        <v>31402</v>
      </c>
      <c r="H12" s="30">
        <v>14875</v>
      </c>
      <c r="I12" s="30"/>
      <c r="J12" s="30"/>
      <c r="K12" s="30"/>
      <c r="L12" s="30"/>
      <c r="M12" s="30"/>
      <c r="O12" s="29" t="s">
        <v>700</v>
      </c>
    </row>
    <row r="13" spans="1:15" x14ac:dyDescent="0.25">
      <c r="A13" s="30">
        <v>12</v>
      </c>
      <c r="B13" s="30" t="s">
        <v>162</v>
      </c>
      <c r="C13" s="30" t="s">
        <v>163</v>
      </c>
      <c r="D13" s="30" t="s">
        <v>47</v>
      </c>
      <c r="E13" s="30" t="s">
        <v>58</v>
      </c>
      <c r="F13" s="30" t="s">
        <v>498</v>
      </c>
      <c r="G13" s="32">
        <v>30376</v>
      </c>
      <c r="H13" s="30">
        <v>21000</v>
      </c>
      <c r="I13" s="30"/>
      <c r="J13" s="30"/>
      <c r="K13" s="30"/>
      <c r="L13" s="30"/>
      <c r="M13" s="30"/>
      <c r="O13" s="29" t="s">
        <v>701</v>
      </c>
    </row>
    <row r="14" spans="1:15" x14ac:dyDescent="0.25">
      <c r="A14" s="30">
        <v>13</v>
      </c>
      <c r="B14" s="30" t="s">
        <v>67</v>
      </c>
      <c r="C14" s="30" t="s">
        <v>68</v>
      </c>
      <c r="D14" s="30" t="s">
        <v>13</v>
      </c>
      <c r="E14" s="30" t="s">
        <v>10</v>
      </c>
      <c r="F14" s="30" t="s">
        <v>499</v>
      </c>
      <c r="G14" s="32">
        <v>31027</v>
      </c>
      <c r="H14" s="30">
        <v>19250</v>
      </c>
      <c r="I14" s="30"/>
      <c r="J14" s="30"/>
      <c r="K14" s="30"/>
      <c r="L14" s="30"/>
      <c r="M14" s="30"/>
    </row>
    <row r="15" spans="1:15" x14ac:dyDescent="0.25">
      <c r="A15" s="30">
        <v>14</v>
      </c>
      <c r="B15" s="30" t="s">
        <v>14</v>
      </c>
      <c r="C15" s="30" t="s">
        <v>15</v>
      </c>
      <c r="D15" s="30" t="s">
        <v>16</v>
      </c>
      <c r="E15" s="30" t="s">
        <v>125</v>
      </c>
      <c r="F15" s="30" t="s">
        <v>500</v>
      </c>
      <c r="G15" s="32">
        <v>31028</v>
      </c>
      <c r="H15" s="30">
        <v>49000</v>
      </c>
      <c r="I15" s="30"/>
      <c r="J15" s="30"/>
      <c r="K15" s="30"/>
      <c r="L15" s="30"/>
      <c r="M15" s="30"/>
    </row>
    <row r="16" spans="1:15" x14ac:dyDescent="0.25">
      <c r="A16" s="30">
        <v>15</v>
      </c>
      <c r="B16" s="30" t="s">
        <v>126</v>
      </c>
      <c r="C16" s="30" t="s">
        <v>127</v>
      </c>
      <c r="D16" s="30" t="s">
        <v>493</v>
      </c>
      <c r="E16" s="30" t="s">
        <v>58</v>
      </c>
      <c r="F16" s="30" t="s">
        <v>498</v>
      </c>
      <c r="G16" s="32">
        <v>31029</v>
      </c>
      <c r="H16" s="30">
        <v>14875</v>
      </c>
      <c r="I16" s="30"/>
      <c r="J16" s="30"/>
      <c r="K16" s="30"/>
      <c r="L16" s="30"/>
      <c r="M16" s="30"/>
      <c r="O16" s="59" t="s">
        <v>704</v>
      </c>
    </row>
    <row r="17" spans="1:15" x14ac:dyDescent="0.25">
      <c r="A17" s="30">
        <v>16</v>
      </c>
      <c r="B17" s="30" t="s">
        <v>69</v>
      </c>
      <c r="C17" s="30" t="s">
        <v>70</v>
      </c>
      <c r="D17" s="30" t="s">
        <v>493</v>
      </c>
      <c r="E17" s="30" t="s">
        <v>58</v>
      </c>
      <c r="F17" s="30" t="s">
        <v>501</v>
      </c>
      <c r="G17" s="32">
        <v>31030</v>
      </c>
      <c r="H17" s="30">
        <v>14875</v>
      </c>
      <c r="I17" s="30"/>
      <c r="J17" s="30"/>
      <c r="K17" s="30"/>
      <c r="L17" s="30"/>
      <c r="M17" s="30"/>
      <c r="O17" s="29" t="s">
        <v>705</v>
      </c>
    </row>
    <row r="18" spans="1:15" x14ac:dyDescent="0.25">
      <c r="A18" s="30">
        <v>17</v>
      </c>
      <c r="B18" s="30" t="s">
        <v>71</v>
      </c>
      <c r="C18" s="30" t="s">
        <v>72</v>
      </c>
      <c r="D18" s="30" t="s">
        <v>47</v>
      </c>
      <c r="E18" s="30" t="s">
        <v>10</v>
      </c>
      <c r="F18" s="30" t="s">
        <v>488</v>
      </c>
      <c r="G18" s="32">
        <v>30376</v>
      </c>
      <c r="H18" s="30">
        <v>15750</v>
      </c>
      <c r="I18" s="30"/>
      <c r="J18" s="30"/>
      <c r="K18" s="30"/>
      <c r="L18" s="30"/>
      <c r="M18" s="30"/>
    </row>
    <row r="19" spans="1:15" s="33" customFormat="1" x14ac:dyDescent="0.25">
      <c r="A19" s="30">
        <v>18</v>
      </c>
      <c r="B19" s="30" t="s">
        <v>17</v>
      </c>
      <c r="C19" s="30" t="s">
        <v>18</v>
      </c>
      <c r="D19" s="30" t="s">
        <v>47</v>
      </c>
      <c r="E19" s="30" t="s">
        <v>161</v>
      </c>
      <c r="F19" s="30" t="s">
        <v>502</v>
      </c>
      <c r="G19" s="32">
        <v>30376</v>
      </c>
      <c r="H19" s="30">
        <v>15750</v>
      </c>
      <c r="I19" s="30"/>
      <c r="J19" s="30"/>
      <c r="K19" s="30"/>
      <c r="L19" s="30"/>
      <c r="M19" s="30"/>
      <c r="O19" s="59" t="s">
        <v>706</v>
      </c>
    </row>
    <row r="20" spans="1:15" x14ac:dyDescent="0.25">
      <c r="A20" s="30">
        <v>19</v>
      </c>
      <c r="B20" s="30" t="s">
        <v>164</v>
      </c>
      <c r="C20" s="30" t="s">
        <v>165</v>
      </c>
      <c r="D20" s="30" t="s">
        <v>9</v>
      </c>
      <c r="E20" s="30" t="s">
        <v>58</v>
      </c>
      <c r="F20" s="30" t="s">
        <v>492</v>
      </c>
      <c r="G20" s="32">
        <v>31637</v>
      </c>
      <c r="H20" s="30">
        <v>10500</v>
      </c>
      <c r="I20" s="30"/>
      <c r="J20" s="30"/>
      <c r="K20" s="30"/>
      <c r="L20" s="30"/>
      <c r="M20" s="30"/>
      <c r="O20" s="29" t="s">
        <v>707</v>
      </c>
    </row>
    <row r="21" spans="1:15" x14ac:dyDescent="0.25">
      <c r="A21" s="30">
        <v>20</v>
      </c>
      <c r="B21" s="30" t="s">
        <v>73</v>
      </c>
      <c r="C21" s="30" t="s">
        <v>74</v>
      </c>
      <c r="D21" s="30" t="s">
        <v>9</v>
      </c>
      <c r="E21" s="30" t="s">
        <v>58</v>
      </c>
      <c r="F21" s="30" t="s">
        <v>501</v>
      </c>
      <c r="G21" s="32">
        <v>36316</v>
      </c>
      <c r="H21" s="30">
        <v>5950</v>
      </c>
      <c r="I21" s="30"/>
      <c r="J21" s="30"/>
      <c r="K21" s="30"/>
      <c r="L21" s="30"/>
      <c r="M21" s="30"/>
      <c r="O21" s="29" t="s">
        <v>708</v>
      </c>
    </row>
    <row r="22" spans="1:15" x14ac:dyDescent="0.25">
      <c r="A22" s="30">
        <v>21</v>
      </c>
      <c r="B22" s="30" t="s">
        <v>75</v>
      </c>
      <c r="C22" s="30" t="s">
        <v>76</v>
      </c>
      <c r="D22" s="30" t="s">
        <v>9</v>
      </c>
      <c r="E22" s="30" t="s">
        <v>10</v>
      </c>
      <c r="F22" s="30" t="s">
        <v>503</v>
      </c>
      <c r="G22" s="32">
        <v>36317</v>
      </c>
      <c r="H22" s="30">
        <v>7875</v>
      </c>
      <c r="I22" s="30"/>
      <c r="J22" s="30"/>
      <c r="K22" s="30"/>
      <c r="L22" s="30"/>
      <c r="M22" s="30"/>
      <c r="O22" s="29" t="s">
        <v>709</v>
      </c>
    </row>
    <row r="23" spans="1:15" x14ac:dyDescent="0.25">
      <c r="A23" s="30">
        <v>22</v>
      </c>
      <c r="B23" s="30" t="s">
        <v>20</v>
      </c>
      <c r="C23" s="30" t="s">
        <v>21</v>
      </c>
      <c r="D23" s="30" t="s">
        <v>9</v>
      </c>
      <c r="E23" s="30" t="s">
        <v>161</v>
      </c>
      <c r="F23" s="30" t="s">
        <v>502</v>
      </c>
      <c r="G23" s="32">
        <v>36318</v>
      </c>
      <c r="H23" s="30">
        <v>7875</v>
      </c>
      <c r="I23" s="30"/>
      <c r="J23" s="30"/>
      <c r="K23" s="30"/>
      <c r="L23" s="30"/>
      <c r="M23" s="30"/>
      <c r="O23" s="29" t="s">
        <v>710</v>
      </c>
    </row>
    <row r="24" spans="1:15" x14ac:dyDescent="0.25">
      <c r="A24" s="30">
        <v>23</v>
      </c>
      <c r="B24" s="30" t="s">
        <v>166</v>
      </c>
      <c r="C24" s="30" t="s">
        <v>99</v>
      </c>
      <c r="D24" s="30" t="s">
        <v>9</v>
      </c>
      <c r="E24" s="30" t="s">
        <v>161</v>
      </c>
      <c r="F24" s="30" t="s">
        <v>494</v>
      </c>
      <c r="G24" s="32">
        <v>36319</v>
      </c>
      <c r="H24" s="30">
        <v>7875</v>
      </c>
      <c r="I24" s="30"/>
      <c r="J24" s="30"/>
      <c r="K24" s="30"/>
      <c r="L24" s="30"/>
      <c r="M24" s="30"/>
    </row>
    <row r="25" spans="1:15" x14ac:dyDescent="0.25">
      <c r="A25" s="30">
        <v>24</v>
      </c>
      <c r="B25" s="30" t="s">
        <v>30</v>
      </c>
      <c r="C25" s="30" t="s">
        <v>167</v>
      </c>
      <c r="D25" s="30" t="s">
        <v>24</v>
      </c>
      <c r="E25" s="30" t="s">
        <v>161</v>
      </c>
      <c r="F25" s="30" t="s">
        <v>502</v>
      </c>
      <c r="G25" s="32">
        <v>29362</v>
      </c>
      <c r="H25" s="30">
        <v>14875</v>
      </c>
      <c r="I25" s="30"/>
      <c r="J25" s="30"/>
      <c r="K25" s="30"/>
      <c r="L25" s="30"/>
      <c r="M25" s="30"/>
      <c r="O25" s="59" t="s">
        <v>711</v>
      </c>
    </row>
    <row r="26" spans="1:15" x14ac:dyDescent="0.25">
      <c r="A26" s="30">
        <v>25</v>
      </c>
      <c r="B26" s="30" t="s">
        <v>168</v>
      </c>
      <c r="C26" s="30" t="s">
        <v>169</v>
      </c>
      <c r="D26" s="30" t="s">
        <v>27</v>
      </c>
      <c r="E26" s="30" t="s">
        <v>125</v>
      </c>
      <c r="F26" s="30" t="s">
        <v>504</v>
      </c>
      <c r="G26" s="32">
        <v>36274</v>
      </c>
      <c r="H26" s="30">
        <v>7875</v>
      </c>
      <c r="I26" s="30"/>
      <c r="J26" s="30"/>
      <c r="K26" s="30"/>
      <c r="L26" s="30"/>
      <c r="M26" s="30"/>
    </row>
    <row r="27" spans="1:15" x14ac:dyDescent="0.25">
      <c r="A27" s="30">
        <v>26</v>
      </c>
      <c r="B27" s="30" t="s">
        <v>128</v>
      </c>
      <c r="C27" s="30" t="s">
        <v>129</v>
      </c>
      <c r="D27" s="30" t="s">
        <v>24</v>
      </c>
      <c r="E27" s="30" t="s">
        <v>10</v>
      </c>
      <c r="F27" s="30" t="s">
        <v>488</v>
      </c>
      <c r="G27" s="32">
        <v>30225</v>
      </c>
      <c r="H27" s="30">
        <v>19250</v>
      </c>
      <c r="I27" s="30"/>
      <c r="J27" s="30"/>
      <c r="K27" s="30"/>
      <c r="L27" s="30"/>
      <c r="M27" s="30"/>
    </row>
    <row r="28" spans="1:15" x14ac:dyDescent="0.25">
      <c r="A28" s="30">
        <v>27</v>
      </c>
      <c r="B28" s="30" t="s">
        <v>22</v>
      </c>
      <c r="C28" s="30" t="s">
        <v>23</v>
      </c>
      <c r="D28" s="30" t="s">
        <v>24</v>
      </c>
      <c r="E28" s="30" t="s">
        <v>125</v>
      </c>
      <c r="F28" s="30" t="s">
        <v>505</v>
      </c>
      <c r="G28" s="32">
        <v>33787</v>
      </c>
      <c r="H28" s="30">
        <v>13125</v>
      </c>
      <c r="I28" s="30"/>
      <c r="J28" s="30"/>
      <c r="K28" s="30"/>
      <c r="L28" s="30"/>
      <c r="M28" s="30"/>
    </row>
    <row r="29" spans="1:15" x14ac:dyDescent="0.25">
      <c r="A29" s="30">
        <v>28</v>
      </c>
      <c r="B29" s="30" t="s">
        <v>130</v>
      </c>
      <c r="C29" s="30" t="s">
        <v>131</v>
      </c>
      <c r="D29" s="30" t="s">
        <v>27</v>
      </c>
      <c r="E29" s="30" t="s">
        <v>161</v>
      </c>
      <c r="F29" s="30" t="s">
        <v>506</v>
      </c>
      <c r="G29" s="32">
        <v>34777</v>
      </c>
      <c r="H29" s="30">
        <v>10500</v>
      </c>
      <c r="I29" s="30"/>
      <c r="J29" s="30"/>
      <c r="K29" s="30"/>
      <c r="L29" s="30"/>
      <c r="M29" s="30"/>
    </row>
    <row r="30" spans="1:15" x14ac:dyDescent="0.25">
      <c r="A30" s="30">
        <v>29</v>
      </c>
      <c r="B30" s="30" t="s">
        <v>170</v>
      </c>
      <c r="C30" s="30" t="s">
        <v>171</v>
      </c>
      <c r="D30" s="30" t="s">
        <v>47</v>
      </c>
      <c r="E30" s="30" t="s">
        <v>58</v>
      </c>
      <c r="F30" s="30" t="s">
        <v>501</v>
      </c>
      <c r="G30" s="32">
        <v>35189</v>
      </c>
      <c r="H30" s="30">
        <v>9625</v>
      </c>
      <c r="I30" s="30"/>
      <c r="J30" s="30"/>
      <c r="K30" s="30"/>
      <c r="L30" s="30"/>
      <c r="M30" s="30"/>
    </row>
    <row r="31" spans="1:15" x14ac:dyDescent="0.25">
      <c r="A31" s="30">
        <v>30</v>
      </c>
      <c r="B31" s="30" t="s">
        <v>77</v>
      </c>
      <c r="C31" s="30" t="s">
        <v>78</v>
      </c>
      <c r="D31" s="30" t="s">
        <v>493</v>
      </c>
      <c r="E31" s="30" t="s">
        <v>10</v>
      </c>
      <c r="F31" s="30" t="s">
        <v>503</v>
      </c>
      <c r="G31" s="32">
        <v>32435</v>
      </c>
      <c r="H31" s="30">
        <v>14175</v>
      </c>
      <c r="I31" s="30"/>
      <c r="J31" s="30"/>
      <c r="K31" s="30"/>
      <c r="L31" s="30"/>
      <c r="M31" s="30"/>
    </row>
    <row r="32" spans="1:15" x14ac:dyDescent="0.25">
      <c r="A32" s="30">
        <v>31</v>
      </c>
      <c r="B32" s="30" t="s">
        <v>25</v>
      </c>
      <c r="C32" s="30" t="s">
        <v>26</v>
      </c>
      <c r="D32" s="30" t="s">
        <v>27</v>
      </c>
      <c r="E32" s="30" t="s">
        <v>58</v>
      </c>
      <c r="F32" s="30" t="s">
        <v>495</v>
      </c>
      <c r="G32" s="32">
        <v>30225</v>
      </c>
      <c r="H32" s="30">
        <v>15750</v>
      </c>
      <c r="I32" s="30"/>
      <c r="J32" s="30"/>
      <c r="K32" s="30"/>
      <c r="L32" s="30"/>
      <c r="M32" s="30"/>
    </row>
    <row r="33" spans="1:13" x14ac:dyDescent="0.25">
      <c r="A33" s="30">
        <v>32</v>
      </c>
      <c r="B33" s="30" t="s">
        <v>28</v>
      </c>
      <c r="C33" s="30" t="s">
        <v>29</v>
      </c>
      <c r="D33" s="30" t="s">
        <v>19</v>
      </c>
      <c r="E33" s="30" t="s">
        <v>125</v>
      </c>
      <c r="F33" s="30" t="s">
        <v>504</v>
      </c>
      <c r="G33" s="32">
        <v>30225</v>
      </c>
      <c r="H33" s="30">
        <v>15750</v>
      </c>
      <c r="I33" s="30"/>
      <c r="J33" s="30"/>
      <c r="K33" s="30"/>
      <c r="L33" s="30"/>
      <c r="M33" s="30"/>
    </row>
    <row r="34" spans="1:13" x14ac:dyDescent="0.25">
      <c r="A34" s="30">
        <v>33</v>
      </c>
      <c r="B34" s="30" t="s">
        <v>132</v>
      </c>
      <c r="C34" s="30" t="s">
        <v>133</v>
      </c>
      <c r="D34" s="30" t="s">
        <v>19</v>
      </c>
      <c r="E34" s="30" t="s">
        <v>58</v>
      </c>
      <c r="F34" s="30" t="s">
        <v>496</v>
      </c>
      <c r="G34" s="32">
        <v>35618</v>
      </c>
      <c r="H34" s="30">
        <v>7000</v>
      </c>
      <c r="I34" s="30"/>
      <c r="J34" s="30"/>
      <c r="K34" s="30"/>
      <c r="L34" s="30"/>
      <c r="M34" s="30"/>
    </row>
    <row r="35" spans="1:13" s="33" customFormat="1" x14ac:dyDescent="0.25">
      <c r="A35" s="30">
        <v>34</v>
      </c>
      <c r="B35" s="30" t="s">
        <v>79</v>
      </c>
      <c r="C35" s="30" t="s">
        <v>80</v>
      </c>
      <c r="D35" s="30" t="s">
        <v>19</v>
      </c>
      <c r="E35" s="30" t="s">
        <v>58</v>
      </c>
      <c r="F35" s="30" t="s">
        <v>507</v>
      </c>
      <c r="G35" s="32">
        <v>33510</v>
      </c>
      <c r="H35" s="30">
        <v>8750</v>
      </c>
      <c r="I35" s="30"/>
      <c r="J35" s="30"/>
      <c r="K35" s="30"/>
      <c r="L35" s="30"/>
      <c r="M35" s="30"/>
    </row>
    <row r="36" spans="1:13" s="33" customFormat="1" x14ac:dyDescent="0.25">
      <c r="A36" s="30">
        <v>35</v>
      </c>
      <c r="B36" s="30" t="s">
        <v>81</v>
      </c>
      <c r="C36" s="30" t="s">
        <v>29</v>
      </c>
      <c r="D36" s="30" t="s">
        <v>9</v>
      </c>
      <c r="E36" s="30" t="s">
        <v>125</v>
      </c>
      <c r="F36" s="30" t="s">
        <v>504</v>
      </c>
      <c r="G36" s="32">
        <v>33729</v>
      </c>
      <c r="H36" s="30">
        <v>9275</v>
      </c>
      <c r="I36" s="30"/>
      <c r="J36" s="30"/>
      <c r="K36" s="30"/>
      <c r="L36" s="30"/>
      <c r="M36" s="30"/>
    </row>
    <row r="37" spans="1:13" x14ac:dyDescent="0.25">
      <c r="A37" s="30">
        <v>36</v>
      </c>
      <c r="B37" s="30" t="s">
        <v>30</v>
      </c>
      <c r="C37" s="30" t="s">
        <v>134</v>
      </c>
      <c r="D37" s="30" t="s">
        <v>493</v>
      </c>
      <c r="E37" s="30" t="s">
        <v>161</v>
      </c>
      <c r="F37" s="30" t="s">
        <v>508</v>
      </c>
      <c r="G37" s="32">
        <v>34580</v>
      </c>
      <c r="H37" s="30">
        <v>11725</v>
      </c>
      <c r="I37" s="30"/>
      <c r="J37" s="30"/>
      <c r="K37" s="30"/>
      <c r="L37" s="30"/>
      <c r="M37" s="30"/>
    </row>
    <row r="38" spans="1:13" x14ac:dyDescent="0.25">
      <c r="A38" s="30">
        <v>37</v>
      </c>
      <c r="B38" s="30" t="s">
        <v>162</v>
      </c>
      <c r="C38" s="30" t="s">
        <v>172</v>
      </c>
      <c r="D38" s="30" t="s">
        <v>13</v>
      </c>
      <c r="E38" s="30" t="s">
        <v>125</v>
      </c>
      <c r="F38" s="30" t="s">
        <v>509</v>
      </c>
      <c r="G38" s="32">
        <v>30225</v>
      </c>
      <c r="H38" s="30">
        <v>24500</v>
      </c>
      <c r="I38" s="30"/>
      <c r="J38" s="30"/>
      <c r="K38" s="30"/>
      <c r="L38" s="30"/>
      <c r="M38" s="30"/>
    </row>
    <row r="39" spans="1:13" x14ac:dyDescent="0.25">
      <c r="A39" s="30">
        <v>38</v>
      </c>
      <c r="B39" s="30" t="s">
        <v>135</v>
      </c>
      <c r="C39" s="30" t="s">
        <v>136</v>
      </c>
      <c r="D39" s="30" t="s">
        <v>13</v>
      </c>
      <c r="E39" s="30" t="s">
        <v>58</v>
      </c>
      <c r="F39" s="30" t="s">
        <v>510</v>
      </c>
      <c r="G39" s="32">
        <v>30225</v>
      </c>
      <c r="H39" s="30">
        <v>24500</v>
      </c>
      <c r="I39" s="30"/>
      <c r="J39" s="30"/>
      <c r="K39" s="30"/>
      <c r="L39" s="30"/>
      <c r="M39" s="30"/>
    </row>
    <row r="40" spans="1:13" x14ac:dyDescent="0.25">
      <c r="A40" s="30">
        <v>39</v>
      </c>
      <c r="B40" s="30" t="s">
        <v>14</v>
      </c>
      <c r="C40" s="30" t="s">
        <v>82</v>
      </c>
      <c r="D40" s="30" t="s">
        <v>13</v>
      </c>
      <c r="E40" s="30" t="s">
        <v>58</v>
      </c>
      <c r="F40" s="30" t="s">
        <v>511</v>
      </c>
      <c r="G40" s="32">
        <v>30225</v>
      </c>
      <c r="H40" s="30">
        <v>24500</v>
      </c>
      <c r="I40" s="30"/>
      <c r="J40" s="30"/>
      <c r="K40" s="30"/>
      <c r="L40" s="30"/>
      <c r="M40" s="30"/>
    </row>
    <row r="41" spans="1:13" x14ac:dyDescent="0.25">
      <c r="A41" s="30">
        <v>40</v>
      </c>
      <c r="B41" s="30" t="s">
        <v>83</v>
      </c>
      <c r="C41" s="30" t="s">
        <v>84</v>
      </c>
      <c r="D41" s="30" t="s">
        <v>24</v>
      </c>
      <c r="E41" s="30" t="s">
        <v>125</v>
      </c>
      <c r="F41" s="30" t="s">
        <v>504</v>
      </c>
      <c r="G41" s="32">
        <v>33510</v>
      </c>
      <c r="H41" s="30">
        <v>10500</v>
      </c>
      <c r="I41" s="30"/>
      <c r="J41" s="30"/>
      <c r="K41" s="30"/>
      <c r="L41" s="30"/>
      <c r="M41" s="30"/>
    </row>
    <row r="42" spans="1:13" x14ac:dyDescent="0.25">
      <c r="A42" s="30">
        <v>41</v>
      </c>
      <c r="B42" s="30" t="s">
        <v>137</v>
      </c>
      <c r="C42" s="30" t="s">
        <v>138</v>
      </c>
      <c r="D42" s="30" t="s">
        <v>47</v>
      </c>
      <c r="E42" s="30" t="s">
        <v>10</v>
      </c>
      <c r="F42" s="30" t="s">
        <v>497</v>
      </c>
      <c r="G42" s="32">
        <v>35595</v>
      </c>
      <c r="H42" s="30">
        <v>7875</v>
      </c>
      <c r="I42" s="30"/>
      <c r="J42" s="30"/>
      <c r="K42" s="30"/>
      <c r="L42" s="30"/>
      <c r="M42" s="30"/>
    </row>
    <row r="43" spans="1:13" x14ac:dyDescent="0.25">
      <c r="A43" s="30">
        <v>42</v>
      </c>
      <c r="B43" s="30" t="s">
        <v>30</v>
      </c>
      <c r="C43" s="30" t="s">
        <v>31</v>
      </c>
      <c r="D43" s="30" t="s">
        <v>27</v>
      </c>
      <c r="E43" s="30" t="s">
        <v>10</v>
      </c>
      <c r="F43" s="30" t="s">
        <v>499</v>
      </c>
      <c r="G43" s="32">
        <v>33510</v>
      </c>
      <c r="H43" s="30">
        <v>13300</v>
      </c>
      <c r="I43" s="30"/>
      <c r="J43" s="30"/>
      <c r="K43" s="30"/>
      <c r="L43" s="30"/>
      <c r="M43" s="30"/>
    </row>
    <row r="44" spans="1:13" s="33" customFormat="1" x14ac:dyDescent="0.25">
      <c r="A44" s="30">
        <v>43</v>
      </c>
      <c r="B44" s="30" t="s">
        <v>32</v>
      </c>
      <c r="C44" s="30" t="s">
        <v>33</v>
      </c>
      <c r="D44" s="30" t="s">
        <v>493</v>
      </c>
      <c r="E44" s="30" t="s">
        <v>161</v>
      </c>
      <c r="F44" s="30" t="s">
        <v>506</v>
      </c>
      <c r="G44" s="32">
        <v>32435</v>
      </c>
      <c r="H44" s="30">
        <v>15750</v>
      </c>
      <c r="I44" s="30"/>
      <c r="J44" s="30"/>
      <c r="K44" s="30"/>
      <c r="L44" s="30"/>
      <c r="M44" s="30"/>
    </row>
    <row r="45" spans="1:13" x14ac:dyDescent="0.25">
      <c r="A45" s="30">
        <v>44</v>
      </c>
      <c r="B45" s="30" t="s">
        <v>173</v>
      </c>
      <c r="C45" s="30" t="s">
        <v>174</v>
      </c>
      <c r="D45" s="30" t="s">
        <v>493</v>
      </c>
      <c r="E45" s="30" t="s">
        <v>10</v>
      </c>
      <c r="F45" s="30" t="s">
        <v>488</v>
      </c>
      <c r="G45" s="32">
        <v>33194</v>
      </c>
      <c r="H45" s="30">
        <v>13825</v>
      </c>
      <c r="I45" s="30"/>
      <c r="J45" s="30"/>
      <c r="K45" s="30"/>
      <c r="L45" s="30"/>
      <c r="M45" s="30"/>
    </row>
    <row r="46" spans="1:13" x14ac:dyDescent="0.25">
      <c r="A46" s="30">
        <v>45</v>
      </c>
      <c r="B46" s="30" t="s">
        <v>85</v>
      </c>
      <c r="C46" s="30" t="s">
        <v>86</v>
      </c>
      <c r="D46" s="30" t="s">
        <v>27</v>
      </c>
      <c r="E46" s="30" t="s">
        <v>58</v>
      </c>
      <c r="F46" s="30" t="s">
        <v>487</v>
      </c>
      <c r="G46" s="32">
        <v>35618</v>
      </c>
      <c r="H46" s="30">
        <v>11375</v>
      </c>
      <c r="I46" s="30"/>
      <c r="J46" s="30"/>
      <c r="K46" s="30"/>
      <c r="L46" s="30"/>
      <c r="M46" s="30"/>
    </row>
    <row r="47" spans="1:13" x14ac:dyDescent="0.25">
      <c r="A47" s="30">
        <v>46</v>
      </c>
      <c r="B47" s="30" t="s">
        <v>87</v>
      </c>
      <c r="C47" s="30" t="s">
        <v>88</v>
      </c>
      <c r="D47" s="30" t="s">
        <v>24</v>
      </c>
      <c r="E47" s="30" t="s">
        <v>58</v>
      </c>
      <c r="F47" s="30" t="s">
        <v>507</v>
      </c>
      <c r="G47" s="32">
        <v>33510</v>
      </c>
      <c r="H47" s="30">
        <v>15750</v>
      </c>
      <c r="I47" s="30"/>
      <c r="J47" s="30"/>
      <c r="K47" s="30"/>
      <c r="L47" s="30"/>
      <c r="M47" s="30"/>
    </row>
    <row r="48" spans="1:13" x14ac:dyDescent="0.25">
      <c r="A48" s="30">
        <v>47</v>
      </c>
      <c r="B48" s="30" t="s">
        <v>89</v>
      </c>
      <c r="C48" s="30" t="s">
        <v>29</v>
      </c>
      <c r="D48" s="30" t="s">
        <v>47</v>
      </c>
      <c r="E48" s="30" t="s">
        <v>58</v>
      </c>
      <c r="F48" s="30" t="s">
        <v>491</v>
      </c>
      <c r="G48" s="32">
        <v>32180</v>
      </c>
      <c r="H48" s="30">
        <v>15750</v>
      </c>
      <c r="I48" s="30"/>
      <c r="J48" s="30"/>
      <c r="K48" s="30"/>
      <c r="L48" s="30"/>
      <c r="M48" s="30"/>
    </row>
    <row r="49" spans="1:13" x14ac:dyDescent="0.25">
      <c r="A49" s="30">
        <v>48</v>
      </c>
      <c r="B49" s="30" t="s">
        <v>175</v>
      </c>
      <c r="C49" s="30" t="s">
        <v>29</v>
      </c>
      <c r="D49" s="30" t="s">
        <v>19</v>
      </c>
      <c r="E49" s="30" t="s">
        <v>161</v>
      </c>
      <c r="F49" s="30" t="s">
        <v>512</v>
      </c>
      <c r="G49" s="32">
        <v>32435</v>
      </c>
      <c r="H49" s="30">
        <v>15750</v>
      </c>
      <c r="I49" s="30"/>
      <c r="J49" s="30"/>
      <c r="K49" s="30"/>
      <c r="L49" s="30"/>
      <c r="M49" s="30"/>
    </row>
    <row r="50" spans="1:13" x14ac:dyDescent="0.25">
      <c r="A50" s="30">
        <v>49</v>
      </c>
      <c r="B50" s="30" t="s">
        <v>139</v>
      </c>
      <c r="C50" s="30" t="s">
        <v>140</v>
      </c>
      <c r="D50" s="30" t="s">
        <v>19</v>
      </c>
      <c r="E50" s="30" t="s">
        <v>125</v>
      </c>
      <c r="F50" s="30" t="s">
        <v>500</v>
      </c>
      <c r="G50" s="32">
        <v>32435</v>
      </c>
      <c r="H50" s="30">
        <v>15750</v>
      </c>
      <c r="I50" s="30"/>
      <c r="J50" s="30"/>
      <c r="K50" s="30"/>
      <c r="L50" s="30"/>
      <c r="M50" s="30"/>
    </row>
    <row r="51" spans="1:13" x14ac:dyDescent="0.25">
      <c r="A51" s="30">
        <v>50</v>
      </c>
      <c r="B51" s="30" t="s">
        <v>176</v>
      </c>
      <c r="C51" s="30" t="s">
        <v>88</v>
      </c>
      <c r="D51" s="30" t="s">
        <v>493</v>
      </c>
      <c r="E51" s="30" t="s">
        <v>161</v>
      </c>
      <c r="F51" s="30" t="s">
        <v>512</v>
      </c>
      <c r="G51" s="32">
        <v>32435</v>
      </c>
      <c r="H51" s="30">
        <v>15750</v>
      </c>
      <c r="I51" s="30"/>
      <c r="J51" s="30"/>
      <c r="K51" s="30"/>
      <c r="L51" s="30"/>
      <c r="M51" s="30"/>
    </row>
    <row r="52" spans="1:13" x14ac:dyDescent="0.25">
      <c r="A52" s="30">
        <v>51</v>
      </c>
      <c r="B52" s="30" t="s">
        <v>90</v>
      </c>
      <c r="C52" s="30" t="s">
        <v>91</v>
      </c>
      <c r="D52" s="30" t="s">
        <v>24</v>
      </c>
      <c r="E52" s="30" t="s">
        <v>58</v>
      </c>
      <c r="F52" s="30" t="s">
        <v>498</v>
      </c>
      <c r="G52" s="32">
        <v>32436</v>
      </c>
      <c r="H52" s="30">
        <v>15750</v>
      </c>
      <c r="I52" s="30"/>
      <c r="J52" s="30"/>
      <c r="K52" s="30"/>
      <c r="L52" s="30"/>
      <c r="M52" s="30"/>
    </row>
    <row r="53" spans="1:13" x14ac:dyDescent="0.25">
      <c r="A53" s="30">
        <v>52</v>
      </c>
      <c r="B53" s="30" t="s">
        <v>92</v>
      </c>
      <c r="C53" s="30" t="s">
        <v>93</v>
      </c>
      <c r="D53" s="30" t="s">
        <v>19</v>
      </c>
      <c r="E53" s="30" t="s">
        <v>58</v>
      </c>
      <c r="F53" s="30" t="s">
        <v>507</v>
      </c>
      <c r="G53" s="32">
        <v>32437</v>
      </c>
      <c r="H53" s="30">
        <v>19250</v>
      </c>
      <c r="I53" s="30"/>
      <c r="J53" s="30"/>
      <c r="K53" s="30"/>
      <c r="L53" s="30"/>
      <c r="M53" s="30"/>
    </row>
    <row r="54" spans="1:13" x14ac:dyDescent="0.25">
      <c r="A54" s="30">
        <v>53</v>
      </c>
      <c r="B54" s="30" t="s">
        <v>177</v>
      </c>
      <c r="C54" s="30" t="s">
        <v>178</v>
      </c>
      <c r="D54" s="30" t="s">
        <v>19</v>
      </c>
      <c r="E54" s="30" t="s">
        <v>161</v>
      </c>
      <c r="F54" s="30" t="s">
        <v>513</v>
      </c>
      <c r="G54" s="32">
        <v>35034</v>
      </c>
      <c r="H54" s="30">
        <v>15750</v>
      </c>
      <c r="I54" s="30"/>
      <c r="J54" s="30"/>
      <c r="K54" s="30"/>
      <c r="L54" s="30"/>
      <c r="M54" s="30"/>
    </row>
    <row r="55" spans="1:13" x14ac:dyDescent="0.25">
      <c r="A55" s="30">
        <v>54</v>
      </c>
      <c r="B55" s="30" t="s">
        <v>36</v>
      </c>
      <c r="C55" s="30" t="s">
        <v>37</v>
      </c>
      <c r="D55" s="30" t="s">
        <v>19</v>
      </c>
      <c r="E55" s="30" t="s">
        <v>10</v>
      </c>
      <c r="F55" s="30" t="s">
        <v>514</v>
      </c>
      <c r="G55" s="32">
        <v>34761</v>
      </c>
      <c r="H55" s="30">
        <v>15750</v>
      </c>
      <c r="I55" s="30"/>
      <c r="J55" s="30"/>
      <c r="K55" s="30"/>
      <c r="L55" s="30"/>
      <c r="M55" s="30"/>
    </row>
    <row r="56" spans="1:13" x14ac:dyDescent="0.25">
      <c r="A56" s="30">
        <v>55</v>
      </c>
      <c r="B56" s="30" t="s">
        <v>38</v>
      </c>
      <c r="C56" s="30" t="s">
        <v>39</v>
      </c>
      <c r="D56" s="30" t="s">
        <v>19</v>
      </c>
      <c r="E56" s="30" t="s">
        <v>10</v>
      </c>
      <c r="F56" s="30" t="s">
        <v>515</v>
      </c>
      <c r="G56" s="32">
        <v>31717</v>
      </c>
      <c r="H56" s="30">
        <v>15750</v>
      </c>
      <c r="I56" s="30"/>
      <c r="J56" s="30"/>
      <c r="K56" s="30"/>
      <c r="L56" s="30"/>
      <c r="M56" s="30"/>
    </row>
    <row r="57" spans="1:13" x14ac:dyDescent="0.25">
      <c r="A57" s="30">
        <v>56</v>
      </c>
      <c r="B57" s="30" t="s">
        <v>179</v>
      </c>
      <c r="C57" s="30" t="s">
        <v>180</v>
      </c>
      <c r="D57" s="30" t="s">
        <v>24</v>
      </c>
      <c r="E57" s="30" t="s">
        <v>161</v>
      </c>
      <c r="F57" s="30" t="s">
        <v>513</v>
      </c>
      <c r="G57" s="32">
        <v>33878</v>
      </c>
      <c r="H57" s="30">
        <v>14875</v>
      </c>
      <c r="I57" s="30"/>
      <c r="J57" s="30"/>
      <c r="K57" s="30"/>
      <c r="L57" s="30"/>
      <c r="M57" s="30"/>
    </row>
    <row r="58" spans="1:13" x14ac:dyDescent="0.25">
      <c r="A58" s="30">
        <v>57</v>
      </c>
      <c r="B58" s="30" t="s">
        <v>141</v>
      </c>
      <c r="C58" s="30" t="s">
        <v>33</v>
      </c>
      <c r="D58" s="30" t="s">
        <v>24</v>
      </c>
      <c r="E58" s="30" t="s">
        <v>125</v>
      </c>
      <c r="F58" s="30" t="s">
        <v>516</v>
      </c>
      <c r="G58" s="32">
        <v>34098</v>
      </c>
      <c r="H58" s="30">
        <v>14875</v>
      </c>
      <c r="I58" s="30"/>
      <c r="J58" s="30"/>
      <c r="K58" s="30"/>
      <c r="L58" s="30"/>
      <c r="M58" s="30"/>
    </row>
    <row r="59" spans="1:13" x14ac:dyDescent="0.25">
      <c r="A59" s="30">
        <v>58</v>
      </c>
      <c r="B59" s="30" t="s">
        <v>94</v>
      </c>
      <c r="C59" s="30" t="s">
        <v>21</v>
      </c>
      <c r="D59" s="30" t="s">
        <v>9</v>
      </c>
      <c r="E59" s="30" t="s">
        <v>58</v>
      </c>
      <c r="F59" s="30" t="s">
        <v>495</v>
      </c>
      <c r="G59" s="32">
        <v>33182</v>
      </c>
      <c r="H59" s="30">
        <v>17500</v>
      </c>
      <c r="I59" s="30"/>
      <c r="J59" s="30"/>
      <c r="K59" s="30"/>
      <c r="L59" s="30"/>
      <c r="M59" s="30"/>
    </row>
    <row r="60" spans="1:13" x14ac:dyDescent="0.25">
      <c r="A60" s="30">
        <v>59</v>
      </c>
      <c r="B60" s="30" t="s">
        <v>142</v>
      </c>
      <c r="C60" s="30" t="s">
        <v>143</v>
      </c>
      <c r="D60" s="30" t="s">
        <v>47</v>
      </c>
      <c r="E60" s="30" t="s">
        <v>125</v>
      </c>
      <c r="F60" s="30" t="s">
        <v>505</v>
      </c>
      <c r="G60" s="32">
        <v>31791</v>
      </c>
      <c r="H60" s="30">
        <v>19250</v>
      </c>
      <c r="I60" s="30"/>
      <c r="J60" s="30"/>
      <c r="K60" s="30"/>
      <c r="L60" s="30"/>
      <c r="M60" s="30"/>
    </row>
    <row r="61" spans="1:13" x14ac:dyDescent="0.25">
      <c r="A61" s="30">
        <v>60</v>
      </c>
      <c r="B61" s="30" t="s">
        <v>144</v>
      </c>
      <c r="C61" s="30" t="s">
        <v>145</v>
      </c>
      <c r="D61" s="30" t="s">
        <v>9</v>
      </c>
      <c r="E61" s="30" t="s">
        <v>125</v>
      </c>
      <c r="F61" s="30" t="s">
        <v>517</v>
      </c>
      <c r="G61" s="32">
        <v>32105</v>
      </c>
      <c r="H61" s="30">
        <v>19250</v>
      </c>
      <c r="I61" s="30"/>
      <c r="J61" s="30"/>
      <c r="K61" s="30"/>
      <c r="L61" s="30"/>
      <c r="M61" s="30"/>
    </row>
    <row r="62" spans="1:13" s="33" customFormat="1" x14ac:dyDescent="0.25">
      <c r="A62" s="30">
        <v>61</v>
      </c>
      <c r="B62" s="30" t="s">
        <v>95</v>
      </c>
      <c r="C62" s="30" t="s">
        <v>96</v>
      </c>
      <c r="D62" s="30" t="s">
        <v>47</v>
      </c>
      <c r="E62" s="30" t="s">
        <v>58</v>
      </c>
      <c r="F62" s="30" t="s">
        <v>495</v>
      </c>
      <c r="G62" s="32">
        <v>32106</v>
      </c>
      <c r="H62" s="30">
        <v>19250</v>
      </c>
      <c r="I62" s="30"/>
      <c r="J62" s="30"/>
      <c r="K62" s="30"/>
      <c r="L62" s="30"/>
      <c r="M62" s="30"/>
    </row>
    <row r="63" spans="1:13" x14ac:dyDescent="0.25">
      <c r="A63" s="30">
        <v>62</v>
      </c>
      <c r="B63" s="30" t="s">
        <v>97</v>
      </c>
      <c r="C63" s="30" t="s">
        <v>72</v>
      </c>
      <c r="D63" s="30" t="s">
        <v>24</v>
      </c>
      <c r="E63" s="30" t="s">
        <v>58</v>
      </c>
      <c r="F63" s="30" t="s">
        <v>491</v>
      </c>
      <c r="G63" s="32">
        <v>32107</v>
      </c>
      <c r="H63" s="30">
        <v>19250</v>
      </c>
      <c r="I63" s="30"/>
      <c r="J63" s="30"/>
      <c r="K63" s="30"/>
      <c r="L63" s="30"/>
      <c r="M63" s="30"/>
    </row>
    <row r="64" spans="1:13" x14ac:dyDescent="0.25">
      <c r="A64" s="30">
        <v>63</v>
      </c>
      <c r="B64" s="30" t="s">
        <v>98</v>
      </c>
      <c r="C64" s="30" t="s">
        <v>99</v>
      </c>
      <c r="D64" s="30" t="s">
        <v>27</v>
      </c>
      <c r="E64" s="30" t="s">
        <v>58</v>
      </c>
      <c r="F64" s="30" t="s">
        <v>498</v>
      </c>
      <c r="G64" s="32">
        <v>32440</v>
      </c>
      <c r="H64" s="30">
        <v>17500</v>
      </c>
      <c r="I64" s="30"/>
      <c r="J64" s="30"/>
      <c r="K64" s="30"/>
      <c r="L64" s="30"/>
      <c r="M64" s="30"/>
    </row>
    <row r="65" spans="1:13" x14ac:dyDescent="0.25">
      <c r="A65" s="30">
        <v>64</v>
      </c>
      <c r="B65" s="30" t="s">
        <v>146</v>
      </c>
      <c r="C65" s="30" t="s">
        <v>147</v>
      </c>
      <c r="D65" s="30" t="s">
        <v>493</v>
      </c>
      <c r="E65" s="30" t="s">
        <v>125</v>
      </c>
      <c r="F65" s="30" t="s">
        <v>489</v>
      </c>
      <c r="G65" s="32">
        <v>32441</v>
      </c>
      <c r="H65" s="30">
        <v>17500</v>
      </c>
      <c r="I65" s="30"/>
      <c r="J65" s="30"/>
      <c r="K65" s="30"/>
      <c r="L65" s="30"/>
      <c r="M65" s="30"/>
    </row>
    <row r="66" spans="1:13" x14ac:dyDescent="0.25">
      <c r="A66" s="30">
        <v>65</v>
      </c>
      <c r="B66" s="30" t="s">
        <v>40</v>
      </c>
      <c r="C66" s="30" t="s">
        <v>15</v>
      </c>
      <c r="D66" s="30" t="s">
        <v>19</v>
      </c>
      <c r="E66" s="30" t="s">
        <v>10</v>
      </c>
      <c r="F66" s="30" t="s">
        <v>499</v>
      </c>
      <c r="G66" s="32">
        <v>32442</v>
      </c>
      <c r="H66" s="30">
        <v>17500</v>
      </c>
      <c r="I66" s="30"/>
      <c r="J66" s="30"/>
      <c r="K66" s="30"/>
      <c r="L66" s="30"/>
      <c r="M66" s="30"/>
    </row>
    <row r="67" spans="1:13" x14ac:dyDescent="0.25">
      <c r="A67" s="30">
        <v>66</v>
      </c>
      <c r="B67" s="30" t="s">
        <v>100</v>
      </c>
      <c r="C67" s="30" t="s">
        <v>101</v>
      </c>
      <c r="D67" s="30" t="s">
        <v>493</v>
      </c>
      <c r="E67" s="30" t="s">
        <v>58</v>
      </c>
      <c r="F67" s="30" t="s">
        <v>495</v>
      </c>
      <c r="G67" s="32">
        <v>32443</v>
      </c>
      <c r="H67" s="30">
        <v>17500</v>
      </c>
      <c r="I67" s="30"/>
      <c r="J67" s="30"/>
      <c r="K67" s="30"/>
      <c r="L67" s="30"/>
      <c r="M67" s="30"/>
    </row>
    <row r="68" spans="1:13" x14ac:dyDescent="0.25">
      <c r="A68" s="30">
        <v>67</v>
      </c>
      <c r="B68" s="30" t="s">
        <v>102</v>
      </c>
      <c r="C68" s="30" t="s">
        <v>42</v>
      </c>
      <c r="D68" s="30" t="s">
        <v>493</v>
      </c>
      <c r="E68" s="30" t="s">
        <v>58</v>
      </c>
      <c r="F68" s="30" t="s">
        <v>507</v>
      </c>
      <c r="G68" s="32">
        <v>32444</v>
      </c>
      <c r="H68" s="30">
        <v>20125</v>
      </c>
      <c r="I68" s="30"/>
      <c r="J68" s="30"/>
      <c r="K68" s="30"/>
      <c r="L68" s="30"/>
      <c r="M68" s="30"/>
    </row>
    <row r="69" spans="1:13" x14ac:dyDescent="0.25">
      <c r="A69" s="30">
        <v>68</v>
      </c>
      <c r="B69" s="30" t="s">
        <v>103</v>
      </c>
      <c r="C69" s="30" t="s">
        <v>15</v>
      </c>
      <c r="D69" s="30" t="s">
        <v>24</v>
      </c>
      <c r="E69" s="30" t="s">
        <v>58</v>
      </c>
      <c r="F69" s="30" t="s">
        <v>511</v>
      </c>
      <c r="G69" s="32">
        <v>35034</v>
      </c>
      <c r="H69" s="30">
        <v>14000</v>
      </c>
      <c r="I69" s="30"/>
      <c r="J69" s="30"/>
      <c r="K69" s="30"/>
      <c r="L69" s="30"/>
      <c r="M69" s="30"/>
    </row>
    <row r="70" spans="1:13" x14ac:dyDescent="0.25">
      <c r="A70" s="30">
        <v>69</v>
      </c>
      <c r="B70" s="30" t="s">
        <v>104</v>
      </c>
      <c r="C70" s="30" t="s">
        <v>29</v>
      </c>
      <c r="D70" s="30" t="s">
        <v>493</v>
      </c>
      <c r="E70" s="30" t="s">
        <v>58</v>
      </c>
      <c r="F70" s="30" t="s">
        <v>511</v>
      </c>
      <c r="G70" s="32">
        <v>34761</v>
      </c>
      <c r="H70" s="30">
        <v>14000</v>
      </c>
      <c r="I70" s="30"/>
      <c r="J70" s="30"/>
      <c r="K70" s="30"/>
      <c r="L70" s="30"/>
      <c r="M70" s="30"/>
    </row>
    <row r="71" spans="1:13" x14ac:dyDescent="0.25">
      <c r="A71" s="30">
        <v>70</v>
      </c>
      <c r="B71" s="30" t="s">
        <v>41</v>
      </c>
      <c r="C71" s="30" t="s">
        <v>42</v>
      </c>
      <c r="D71" s="30" t="s">
        <v>9</v>
      </c>
      <c r="E71" s="30" t="s">
        <v>10</v>
      </c>
      <c r="F71" s="30" t="s">
        <v>499</v>
      </c>
      <c r="G71" s="32">
        <v>34762</v>
      </c>
      <c r="H71" s="30">
        <v>14000</v>
      </c>
      <c r="I71" s="30"/>
      <c r="J71" s="30"/>
      <c r="K71" s="30"/>
      <c r="L71" s="30"/>
      <c r="M71" s="30"/>
    </row>
    <row r="72" spans="1:13" x14ac:dyDescent="0.25">
      <c r="A72" s="30">
        <v>71</v>
      </c>
      <c r="B72" s="30" t="s">
        <v>181</v>
      </c>
      <c r="C72" s="30" t="s">
        <v>182</v>
      </c>
      <c r="D72" s="30" t="s">
        <v>27</v>
      </c>
      <c r="E72" s="30" t="s">
        <v>161</v>
      </c>
      <c r="F72" s="30" t="s">
        <v>518</v>
      </c>
      <c r="G72" s="32">
        <v>34763</v>
      </c>
      <c r="H72" s="30">
        <v>14000</v>
      </c>
      <c r="I72" s="30"/>
      <c r="J72" s="30"/>
      <c r="K72" s="30"/>
      <c r="L72" s="30"/>
      <c r="M72" s="30"/>
    </row>
    <row r="73" spans="1:13" x14ac:dyDescent="0.25">
      <c r="A73" s="30">
        <v>72</v>
      </c>
      <c r="B73" s="30" t="s">
        <v>148</v>
      </c>
      <c r="C73" s="30" t="s">
        <v>26</v>
      </c>
      <c r="D73" s="30" t="s">
        <v>27</v>
      </c>
      <c r="E73" s="30" t="s">
        <v>125</v>
      </c>
      <c r="F73" s="30" t="s">
        <v>509</v>
      </c>
      <c r="G73" s="32">
        <v>32438</v>
      </c>
      <c r="H73" s="30">
        <v>17500</v>
      </c>
      <c r="I73" s="30"/>
      <c r="J73" s="30"/>
      <c r="K73" s="30"/>
      <c r="L73" s="30"/>
      <c r="M73" s="30"/>
    </row>
    <row r="74" spans="1:13" s="33" customFormat="1" x14ac:dyDescent="0.25">
      <c r="A74" s="30">
        <v>73</v>
      </c>
      <c r="B74" s="30" t="s">
        <v>105</v>
      </c>
      <c r="C74" s="30" t="s">
        <v>106</v>
      </c>
      <c r="D74" s="30" t="s">
        <v>19</v>
      </c>
      <c r="E74" s="30" t="s">
        <v>58</v>
      </c>
      <c r="F74" s="30" t="s">
        <v>501</v>
      </c>
      <c r="G74" s="32">
        <v>32439</v>
      </c>
      <c r="H74" s="30">
        <v>17500</v>
      </c>
      <c r="I74" s="30"/>
      <c r="J74" s="30"/>
      <c r="K74" s="30"/>
      <c r="L74" s="30"/>
      <c r="M74" s="30"/>
    </row>
    <row r="75" spans="1:13" x14ac:dyDescent="0.25">
      <c r="A75" s="30">
        <v>74</v>
      </c>
      <c r="B75" s="30" t="s">
        <v>43</v>
      </c>
      <c r="C75" s="30" t="s">
        <v>44</v>
      </c>
      <c r="D75" s="30" t="s">
        <v>24</v>
      </c>
      <c r="E75" s="30" t="s">
        <v>10</v>
      </c>
      <c r="F75" s="30" t="s">
        <v>497</v>
      </c>
      <c r="G75" s="32">
        <v>32440</v>
      </c>
      <c r="H75" s="30">
        <v>17500</v>
      </c>
      <c r="I75" s="30"/>
      <c r="J75" s="30"/>
      <c r="K75" s="30"/>
      <c r="L75" s="30"/>
      <c r="M75" s="30"/>
    </row>
    <row r="76" spans="1:13" x14ac:dyDescent="0.25">
      <c r="A76" s="30">
        <v>75</v>
      </c>
      <c r="B76" s="30" t="s">
        <v>45</v>
      </c>
      <c r="C76" s="30" t="s">
        <v>46</v>
      </c>
      <c r="D76" s="30" t="s">
        <v>47</v>
      </c>
      <c r="E76" s="30" t="s">
        <v>10</v>
      </c>
      <c r="F76" s="30" t="s">
        <v>499</v>
      </c>
      <c r="G76" s="32">
        <v>32441</v>
      </c>
      <c r="H76" s="30">
        <v>17500</v>
      </c>
      <c r="I76" s="30"/>
      <c r="J76" s="30"/>
      <c r="K76" s="30"/>
      <c r="L76" s="30"/>
      <c r="M76" s="30"/>
    </row>
    <row r="77" spans="1:13" x14ac:dyDescent="0.25">
      <c r="A77" s="30">
        <v>76</v>
      </c>
      <c r="B77" s="30" t="s">
        <v>183</v>
      </c>
      <c r="C77" s="30" t="s">
        <v>174</v>
      </c>
      <c r="D77" s="30" t="s">
        <v>19</v>
      </c>
      <c r="E77" s="30" t="s">
        <v>161</v>
      </c>
      <c r="F77" s="30" t="s">
        <v>518</v>
      </c>
      <c r="G77" s="32">
        <v>32442</v>
      </c>
      <c r="H77" s="30">
        <v>17500</v>
      </c>
      <c r="I77" s="30"/>
      <c r="J77" s="30"/>
      <c r="K77" s="30"/>
      <c r="L77" s="30"/>
      <c r="M77" s="30"/>
    </row>
    <row r="78" spans="1:13" x14ac:dyDescent="0.25">
      <c r="A78" s="30">
        <v>77</v>
      </c>
      <c r="B78" s="30" t="s">
        <v>107</v>
      </c>
      <c r="C78" s="30" t="s">
        <v>101</v>
      </c>
      <c r="D78" s="30" t="s">
        <v>27</v>
      </c>
      <c r="E78" s="30" t="s">
        <v>58</v>
      </c>
      <c r="F78" s="30" t="s">
        <v>490</v>
      </c>
      <c r="G78" s="32">
        <v>32443</v>
      </c>
      <c r="H78" s="30">
        <v>17500</v>
      </c>
      <c r="I78" s="30"/>
      <c r="J78" s="30"/>
      <c r="K78" s="30"/>
      <c r="L78" s="30"/>
      <c r="M78" s="30"/>
    </row>
    <row r="79" spans="1:13" x14ac:dyDescent="0.25">
      <c r="A79" s="30">
        <v>78</v>
      </c>
      <c r="B79" s="30" t="s">
        <v>184</v>
      </c>
      <c r="C79" s="30" t="s">
        <v>185</v>
      </c>
      <c r="D79" s="30" t="s">
        <v>24</v>
      </c>
      <c r="E79" s="30" t="s">
        <v>161</v>
      </c>
      <c r="F79" s="30" t="s">
        <v>506</v>
      </c>
      <c r="G79" s="32">
        <v>32444</v>
      </c>
      <c r="H79" s="30">
        <v>17500</v>
      </c>
      <c r="I79" s="30"/>
      <c r="J79" s="30"/>
      <c r="K79" s="30"/>
      <c r="L79" s="30"/>
      <c r="M79" s="30"/>
    </row>
    <row r="80" spans="1:13" x14ac:dyDescent="0.25">
      <c r="A80" s="30">
        <v>79</v>
      </c>
      <c r="B80" s="30" t="s">
        <v>108</v>
      </c>
      <c r="C80" s="30" t="s">
        <v>109</v>
      </c>
      <c r="D80" s="30" t="s">
        <v>9</v>
      </c>
      <c r="E80" s="30" t="s">
        <v>58</v>
      </c>
      <c r="F80" s="30" t="s">
        <v>490</v>
      </c>
      <c r="G80" s="32">
        <v>32445</v>
      </c>
      <c r="H80" s="30">
        <v>17500</v>
      </c>
      <c r="I80" s="30"/>
      <c r="J80" s="30"/>
      <c r="K80" s="30"/>
      <c r="L80" s="30"/>
      <c r="M80" s="30"/>
    </row>
    <row r="81" spans="1:13" x14ac:dyDescent="0.25">
      <c r="A81" s="30">
        <v>80</v>
      </c>
      <c r="B81" s="30" t="s">
        <v>110</v>
      </c>
      <c r="C81" s="30" t="s">
        <v>111</v>
      </c>
      <c r="D81" s="30" t="s">
        <v>9</v>
      </c>
      <c r="E81" s="30" t="s">
        <v>58</v>
      </c>
      <c r="F81" s="30" t="s">
        <v>487</v>
      </c>
      <c r="G81" s="32">
        <v>32446</v>
      </c>
      <c r="H81" s="30">
        <v>17500</v>
      </c>
      <c r="I81" s="30"/>
      <c r="J81" s="30"/>
      <c r="K81" s="30"/>
      <c r="L81" s="30"/>
      <c r="M81" s="30"/>
    </row>
    <row r="82" spans="1:13" x14ac:dyDescent="0.25">
      <c r="A82" s="30">
        <v>81</v>
      </c>
      <c r="B82" s="30" t="s">
        <v>149</v>
      </c>
      <c r="C82" s="30" t="s">
        <v>150</v>
      </c>
      <c r="D82" s="30" t="s">
        <v>19</v>
      </c>
      <c r="E82" s="30" t="s">
        <v>125</v>
      </c>
      <c r="F82" s="30" t="s">
        <v>516</v>
      </c>
      <c r="G82" s="32">
        <v>32447</v>
      </c>
      <c r="H82" s="30">
        <v>17500</v>
      </c>
      <c r="I82" s="30"/>
      <c r="J82" s="30"/>
      <c r="K82" s="30"/>
      <c r="L82" s="30"/>
      <c r="M82" s="30"/>
    </row>
    <row r="83" spans="1:13" x14ac:dyDescent="0.25">
      <c r="A83" s="30">
        <v>82</v>
      </c>
      <c r="B83" s="30" t="s">
        <v>48</v>
      </c>
      <c r="C83" s="30" t="s">
        <v>49</v>
      </c>
      <c r="D83" s="30" t="s">
        <v>27</v>
      </c>
      <c r="E83" s="30" t="s">
        <v>10</v>
      </c>
      <c r="F83" s="30" t="s">
        <v>488</v>
      </c>
      <c r="G83" s="32">
        <v>32448</v>
      </c>
      <c r="H83" s="30">
        <v>17500</v>
      </c>
      <c r="I83" s="30"/>
      <c r="J83" s="30"/>
      <c r="K83" s="30"/>
      <c r="L83" s="30"/>
      <c r="M83" s="30"/>
    </row>
    <row r="84" spans="1:13" x14ac:dyDescent="0.25">
      <c r="A84" s="30">
        <v>83</v>
      </c>
      <c r="B84" s="30" t="s">
        <v>114</v>
      </c>
      <c r="C84" s="30" t="s">
        <v>101</v>
      </c>
      <c r="D84" s="30" t="s">
        <v>19</v>
      </c>
      <c r="E84" s="30" t="s">
        <v>58</v>
      </c>
      <c r="F84" s="30" t="s">
        <v>510</v>
      </c>
      <c r="G84" s="32">
        <v>36221</v>
      </c>
      <c r="H84" s="30">
        <v>7000</v>
      </c>
      <c r="I84" s="30"/>
      <c r="J84" s="30"/>
      <c r="K84" s="30"/>
      <c r="L84" s="30"/>
      <c r="M84" s="30"/>
    </row>
    <row r="85" spans="1:13" x14ac:dyDescent="0.25">
      <c r="A85" s="30">
        <v>84</v>
      </c>
      <c r="B85" s="30" t="s">
        <v>50</v>
      </c>
      <c r="C85" s="30" t="s">
        <v>51</v>
      </c>
      <c r="D85" s="30" t="s">
        <v>27</v>
      </c>
      <c r="E85" s="30" t="s">
        <v>10</v>
      </c>
      <c r="F85" s="30" t="s">
        <v>499</v>
      </c>
      <c r="G85" s="32">
        <v>36222</v>
      </c>
      <c r="H85" s="30">
        <v>7000</v>
      </c>
      <c r="I85" s="30"/>
      <c r="J85" s="30"/>
      <c r="K85" s="30"/>
      <c r="L85" s="30"/>
      <c r="M85" s="30"/>
    </row>
    <row r="86" spans="1:13" x14ac:dyDescent="0.25">
      <c r="A86" s="30">
        <v>85</v>
      </c>
      <c r="B86" s="30" t="s">
        <v>115</v>
      </c>
      <c r="C86" s="30" t="s">
        <v>116</v>
      </c>
      <c r="D86" s="30" t="s">
        <v>27</v>
      </c>
      <c r="E86" s="30" t="s">
        <v>58</v>
      </c>
      <c r="F86" s="30" t="s">
        <v>495</v>
      </c>
      <c r="G86" s="32">
        <v>35809</v>
      </c>
      <c r="H86" s="30">
        <v>7000</v>
      </c>
      <c r="I86" s="30"/>
      <c r="J86" s="30"/>
      <c r="K86" s="30"/>
      <c r="L86" s="30"/>
      <c r="M86" s="30"/>
    </row>
    <row r="87" spans="1:13" x14ac:dyDescent="0.25">
      <c r="A87" s="30">
        <v>86</v>
      </c>
      <c r="B87" s="30" t="s">
        <v>117</v>
      </c>
      <c r="C87" s="30" t="s">
        <v>76</v>
      </c>
      <c r="D87" s="30" t="s">
        <v>19</v>
      </c>
      <c r="E87" s="30" t="s">
        <v>58</v>
      </c>
      <c r="F87" s="30" t="s">
        <v>498</v>
      </c>
      <c r="G87" s="32">
        <v>35810</v>
      </c>
      <c r="H87" s="30">
        <v>17500</v>
      </c>
      <c r="I87" s="30"/>
      <c r="J87" s="30"/>
      <c r="K87" s="30"/>
      <c r="L87" s="30"/>
      <c r="M87" s="30"/>
    </row>
    <row r="88" spans="1:13" x14ac:dyDescent="0.25">
      <c r="A88" s="30">
        <v>87</v>
      </c>
      <c r="B88" s="30" t="s">
        <v>151</v>
      </c>
      <c r="C88" s="30" t="s">
        <v>152</v>
      </c>
      <c r="D88" s="30" t="s">
        <v>9</v>
      </c>
      <c r="E88" s="30" t="s">
        <v>125</v>
      </c>
      <c r="F88" s="30" t="s">
        <v>489</v>
      </c>
      <c r="G88" s="32">
        <v>35811</v>
      </c>
      <c r="H88" s="30">
        <v>17500</v>
      </c>
      <c r="I88" s="30"/>
      <c r="J88" s="30"/>
      <c r="K88" s="30"/>
      <c r="L88" s="30"/>
      <c r="M88" s="30"/>
    </row>
    <row r="89" spans="1:13" x14ac:dyDescent="0.25">
      <c r="A89" s="30">
        <v>88</v>
      </c>
      <c r="B89" s="30" t="s">
        <v>186</v>
      </c>
      <c r="C89" s="30" t="s">
        <v>187</v>
      </c>
      <c r="D89" s="30" t="s">
        <v>9</v>
      </c>
      <c r="E89" s="30" t="s">
        <v>161</v>
      </c>
      <c r="F89" s="30" t="s">
        <v>494</v>
      </c>
      <c r="G89" s="32">
        <v>35794</v>
      </c>
      <c r="H89" s="30">
        <v>7875</v>
      </c>
      <c r="I89" s="30"/>
      <c r="J89" s="30"/>
      <c r="K89" s="30"/>
      <c r="L89" s="30"/>
      <c r="M89" s="30"/>
    </row>
    <row r="90" spans="1:13" x14ac:dyDescent="0.25">
      <c r="A90" s="30">
        <v>89</v>
      </c>
      <c r="B90" s="30" t="s">
        <v>118</v>
      </c>
      <c r="C90" s="30" t="s">
        <v>119</v>
      </c>
      <c r="D90" s="30" t="s">
        <v>24</v>
      </c>
      <c r="E90" s="30" t="s">
        <v>58</v>
      </c>
      <c r="F90" s="30" t="s">
        <v>510</v>
      </c>
      <c r="G90" s="32">
        <v>28907</v>
      </c>
      <c r="H90" s="30">
        <v>22750</v>
      </c>
      <c r="I90" s="30"/>
      <c r="J90" s="30"/>
      <c r="K90" s="30"/>
      <c r="L90" s="30"/>
      <c r="M90" s="30"/>
    </row>
    <row r="91" spans="1:13" x14ac:dyDescent="0.25">
      <c r="A91" s="30">
        <v>90</v>
      </c>
      <c r="B91" s="30" t="s">
        <v>120</v>
      </c>
      <c r="C91" s="30" t="s">
        <v>86</v>
      </c>
      <c r="D91" s="30" t="s">
        <v>27</v>
      </c>
      <c r="E91" s="30" t="s">
        <v>58</v>
      </c>
      <c r="F91" s="30" t="s">
        <v>501</v>
      </c>
      <c r="G91" s="32">
        <v>29226</v>
      </c>
      <c r="H91" s="30">
        <v>22750</v>
      </c>
      <c r="I91" s="30"/>
      <c r="J91" s="30"/>
      <c r="K91" s="30"/>
      <c r="L91" s="30"/>
      <c r="M91" s="30"/>
    </row>
    <row r="92" spans="1:13" s="33" customFormat="1" x14ac:dyDescent="0.25">
      <c r="A92" s="30">
        <v>91</v>
      </c>
      <c r="B92" s="30" t="s">
        <v>52</v>
      </c>
      <c r="C92" s="30" t="s">
        <v>53</v>
      </c>
      <c r="D92" s="30" t="s">
        <v>24</v>
      </c>
      <c r="E92" s="30" t="s">
        <v>10</v>
      </c>
      <c r="F92" s="30" t="s">
        <v>499</v>
      </c>
      <c r="G92" s="32">
        <v>29172</v>
      </c>
      <c r="H92" s="30">
        <v>22750</v>
      </c>
      <c r="I92" s="30"/>
      <c r="J92" s="30"/>
      <c r="K92" s="30"/>
      <c r="L92" s="30"/>
      <c r="M92" s="30"/>
    </row>
    <row r="93" spans="1:13" x14ac:dyDescent="0.25">
      <c r="A93" s="30">
        <v>92</v>
      </c>
      <c r="B93" s="30" t="s">
        <v>54</v>
      </c>
      <c r="C93" s="30" t="s">
        <v>55</v>
      </c>
      <c r="D93" s="30" t="s">
        <v>9</v>
      </c>
      <c r="E93" s="30" t="s">
        <v>10</v>
      </c>
      <c r="F93" s="30" t="s">
        <v>514</v>
      </c>
      <c r="G93" s="32">
        <v>32603</v>
      </c>
      <c r="H93" s="30">
        <v>17325</v>
      </c>
      <c r="I93" s="30"/>
      <c r="J93" s="30"/>
      <c r="K93" s="30"/>
      <c r="L93" s="30"/>
      <c r="M93" s="30"/>
    </row>
    <row r="94" spans="1:13" x14ac:dyDescent="0.25">
      <c r="A94" s="30">
        <v>93</v>
      </c>
      <c r="B94" s="30" t="s">
        <v>153</v>
      </c>
      <c r="C94" s="30" t="s">
        <v>72</v>
      </c>
      <c r="D94" s="30" t="s">
        <v>24</v>
      </c>
      <c r="E94" s="30" t="s">
        <v>125</v>
      </c>
      <c r="F94" s="30" t="s">
        <v>505</v>
      </c>
      <c r="G94" s="32">
        <v>32604</v>
      </c>
      <c r="H94" s="30">
        <v>17325</v>
      </c>
      <c r="I94" s="30"/>
      <c r="J94" s="30"/>
      <c r="K94" s="30"/>
      <c r="L94" s="30"/>
      <c r="M94" s="30"/>
    </row>
    <row r="95" spans="1:13" x14ac:dyDescent="0.25">
      <c r="A95" s="30">
        <v>94</v>
      </c>
      <c r="B95" s="30" t="s">
        <v>188</v>
      </c>
      <c r="C95" s="30" t="s">
        <v>189</v>
      </c>
      <c r="D95" s="30" t="s">
        <v>9</v>
      </c>
      <c r="E95" s="30" t="s">
        <v>161</v>
      </c>
      <c r="F95" s="30" t="s">
        <v>508</v>
      </c>
      <c r="G95" s="32">
        <v>32605</v>
      </c>
      <c r="H95" s="30">
        <v>17325</v>
      </c>
      <c r="I95" s="30"/>
      <c r="J95" s="30"/>
      <c r="K95" s="30"/>
      <c r="L95" s="30"/>
      <c r="M95" s="30"/>
    </row>
    <row r="96" spans="1:13" x14ac:dyDescent="0.25">
      <c r="A96" s="30">
        <v>95</v>
      </c>
      <c r="B96" s="30" t="s">
        <v>154</v>
      </c>
      <c r="C96" s="30" t="s">
        <v>80</v>
      </c>
      <c r="D96" s="30" t="s">
        <v>9</v>
      </c>
      <c r="E96" s="30" t="s">
        <v>125</v>
      </c>
      <c r="F96" s="30" t="s">
        <v>505</v>
      </c>
      <c r="G96" s="32">
        <v>32606</v>
      </c>
      <c r="H96" s="30">
        <v>17325</v>
      </c>
      <c r="I96" s="30"/>
      <c r="J96" s="30"/>
      <c r="K96" s="30"/>
      <c r="L96" s="30"/>
      <c r="M96" s="30"/>
    </row>
    <row r="97" spans="1:13" x14ac:dyDescent="0.25">
      <c r="A97" s="30">
        <v>96</v>
      </c>
      <c r="B97" s="30" t="s">
        <v>7</v>
      </c>
      <c r="C97" s="30" t="s">
        <v>113</v>
      </c>
      <c r="D97" s="30" t="s">
        <v>27</v>
      </c>
      <c r="E97" s="30" t="s">
        <v>161</v>
      </c>
      <c r="F97" s="30" t="s">
        <v>513</v>
      </c>
      <c r="G97" s="32">
        <v>32607</v>
      </c>
      <c r="H97" s="30">
        <v>17325</v>
      </c>
      <c r="I97" s="30"/>
      <c r="J97" s="30"/>
      <c r="K97" s="30"/>
      <c r="L97" s="30"/>
      <c r="M97" s="30"/>
    </row>
    <row r="98" spans="1:13" x14ac:dyDescent="0.25">
      <c r="A98" s="30">
        <v>97</v>
      </c>
      <c r="B98" s="30" t="s">
        <v>155</v>
      </c>
      <c r="C98" s="30" t="s">
        <v>156</v>
      </c>
      <c r="D98" s="30" t="s">
        <v>27</v>
      </c>
      <c r="E98" s="30" t="s">
        <v>125</v>
      </c>
      <c r="F98" s="30" t="s">
        <v>517</v>
      </c>
      <c r="G98" s="32">
        <v>32608</v>
      </c>
      <c r="H98" s="30">
        <v>17325</v>
      </c>
      <c r="I98" s="30"/>
      <c r="J98" s="30"/>
      <c r="K98" s="30"/>
      <c r="L98" s="30"/>
      <c r="M98" s="30"/>
    </row>
    <row r="99" spans="1:13" x14ac:dyDescent="0.25">
      <c r="A99" s="30">
        <v>98</v>
      </c>
      <c r="B99" s="30" t="s">
        <v>121</v>
      </c>
      <c r="C99" s="30" t="s">
        <v>122</v>
      </c>
      <c r="D99" s="30" t="s">
        <v>19</v>
      </c>
      <c r="E99" s="30" t="s">
        <v>58</v>
      </c>
      <c r="F99" s="30" t="s">
        <v>490</v>
      </c>
      <c r="G99" s="32">
        <v>32609</v>
      </c>
      <c r="H99" s="30">
        <v>17325</v>
      </c>
      <c r="I99" s="30"/>
      <c r="J99" s="30"/>
      <c r="K99" s="30"/>
      <c r="L99" s="30"/>
      <c r="M99" s="30"/>
    </row>
    <row r="100" spans="1:13" x14ac:dyDescent="0.25">
      <c r="A100" s="30">
        <v>99</v>
      </c>
      <c r="B100" s="30" t="s">
        <v>190</v>
      </c>
      <c r="C100" s="30" t="s">
        <v>101</v>
      </c>
      <c r="D100" s="30" t="s">
        <v>13</v>
      </c>
      <c r="E100" s="30" t="s">
        <v>161</v>
      </c>
      <c r="F100" s="30" t="s">
        <v>506</v>
      </c>
      <c r="G100" s="32">
        <v>35794</v>
      </c>
      <c r="H100" s="30">
        <v>10500</v>
      </c>
      <c r="I100" s="30"/>
      <c r="J100" s="30"/>
      <c r="K100" s="30"/>
      <c r="L100" s="30"/>
      <c r="M100" s="30"/>
    </row>
    <row r="101" spans="1:13" x14ac:dyDescent="0.25">
      <c r="A101" s="30">
        <v>100</v>
      </c>
      <c r="B101" s="30" t="s">
        <v>157</v>
      </c>
      <c r="C101" s="30" t="s">
        <v>158</v>
      </c>
      <c r="D101" s="30" t="s">
        <v>13</v>
      </c>
      <c r="E101" s="30" t="s">
        <v>125</v>
      </c>
      <c r="F101" s="30" t="s">
        <v>489</v>
      </c>
      <c r="G101" s="32">
        <v>36193</v>
      </c>
      <c r="H101" s="30">
        <v>7875</v>
      </c>
      <c r="I101" s="30"/>
      <c r="J101" s="30"/>
      <c r="K101" s="30"/>
      <c r="L101" s="30"/>
      <c r="M101" s="30"/>
    </row>
    <row r="109" spans="1:13" x14ac:dyDescent="0.25">
      <c r="G109" s="34"/>
      <c r="H109" s="35"/>
      <c r="I109" s="35"/>
      <c r="J109" s="35"/>
      <c r="K109" s="35"/>
      <c r="L109" s="35"/>
      <c r="M109" s="35"/>
    </row>
    <row r="110" spans="1:13" x14ac:dyDescent="0.25">
      <c r="G110" s="34"/>
      <c r="H110" s="35"/>
      <c r="I110" s="35"/>
      <c r="J110" s="35"/>
      <c r="K110" s="35"/>
      <c r="L110" s="35"/>
      <c r="M110" s="35"/>
    </row>
    <row r="111" spans="1:13" x14ac:dyDescent="0.25">
      <c r="G111" s="34"/>
      <c r="H111" s="35"/>
      <c r="I111" s="35"/>
      <c r="J111" s="35"/>
      <c r="K111" s="35"/>
      <c r="L111" s="35"/>
      <c r="M111" s="35"/>
    </row>
    <row r="115" spans="5:13" x14ac:dyDescent="0.25">
      <c r="E115" s="36"/>
      <c r="G115" s="34"/>
      <c r="H115" s="35"/>
      <c r="I115" s="35"/>
      <c r="J115" s="35"/>
      <c r="K115" s="35"/>
      <c r="L115" s="35"/>
      <c r="M115" s="35"/>
    </row>
    <row r="116" spans="5:13" x14ac:dyDescent="0.25">
      <c r="E116" s="36"/>
      <c r="G116" s="34"/>
      <c r="H116" s="35"/>
      <c r="I116" s="35"/>
      <c r="J116" s="35"/>
      <c r="K116" s="35"/>
      <c r="L116" s="35"/>
      <c r="M116" s="35"/>
    </row>
    <row r="117" spans="5:13" x14ac:dyDescent="0.25">
      <c r="E117" s="36"/>
      <c r="G117" s="34"/>
      <c r="H117" s="35"/>
      <c r="I117" s="35"/>
      <c r="J117" s="35"/>
      <c r="K117" s="35"/>
      <c r="L117" s="35"/>
      <c r="M117" s="35"/>
    </row>
    <row r="118" spans="5:13" x14ac:dyDescent="0.25">
      <c r="E118" s="36"/>
      <c r="G118" s="34"/>
      <c r="H118" s="35"/>
      <c r="I118" s="35"/>
      <c r="J118" s="35"/>
      <c r="K118" s="35"/>
      <c r="L118" s="35"/>
      <c r="M118" s="35"/>
    </row>
    <row r="119" spans="5:13" x14ac:dyDescent="0.25">
      <c r="E119" s="36"/>
      <c r="G119" s="34"/>
      <c r="H119" s="35"/>
      <c r="I119" s="35"/>
      <c r="J119" s="35"/>
      <c r="K119" s="35"/>
      <c r="L119" s="35"/>
      <c r="M119" s="35"/>
    </row>
  </sheetData>
  <printOptions headings="1" gridLines="1"/>
  <pageMargins left="0.75" right="0.75" top="1" bottom="1" header="0.5" footer="0.5"/>
  <pageSetup scale="90" orientation="landscape" horizontalDpi="300" verticalDpi="300" r:id="rId1"/>
  <headerFooter alignWithMargins="0">
    <oddFooter>&amp;L&amp;A&amp;C&amp;BPragati Software Pvt. Ltd. Confidential&amp;B&amp;RPage &amp;P</oddFooter>
  </headerFooter>
  <customProperties>
    <customPr name="LastActiv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G14"/>
  <sheetViews>
    <sheetView showGridLines="0" zoomScale="106" zoomScaleNormal="106" workbookViewId="0">
      <selection activeCell="I1" sqref="I1:M1048576"/>
    </sheetView>
  </sheetViews>
  <sheetFormatPr defaultColWidth="8.88671875" defaultRowHeight="13.2" x14ac:dyDescent="0.25"/>
  <cols>
    <col min="1" max="1" width="15.33203125" style="1" bestFit="1" customWidth="1"/>
    <col min="2" max="7" width="8.88671875" style="1" customWidth="1"/>
    <col min="8" max="8" width="11.44140625" style="1" customWidth="1"/>
    <col min="9" max="16384" width="8.88671875" style="1"/>
  </cols>
  <sheetData>
    <row r="1" spans="1:7" ht="23.4" thickBot="1" x14ac:dyDescent="0.45">
      <c r="A1" s="150" t="s">
        <v>197</v>
      </c>
      <c r="B1" s="151"/>
      <c r="C1" s="151"/>
      <c r="D1" s="151"/>
      <c r="E1" s="151"/>
      <c r="F1" s="151"/>
      <c r="G1" s="152"/>
    </row>
    <row r="2" spans="1:7" ht="13.8" thickTop="1" x14ac:dyDescent="0.25">
      <c r="A2" s="3"/>
      <c r="B2" s="4"/>
      <c r="C2" s="4"/>
      <c r="D2" s="4"/>
      <c r="E2" s="4"/>
      <c r="F2" s="4"/>
      <c r="G2" s="5"/>
    </row>
    <row r="3" spans="1:7" ht="13.8" thickBot="1" x14ac:dyDescent="0.3">
      <c r="A3" s="6" t="s">
        <v>198</v>
      </c>
      <c r="B3" s="7">
        <v>1</v>
      </c>
      <c r="C3" s="7"/>
      <c r="D3" s="4"/>
      <c r="E3" s="4"/>
      <c r="F3" s="4"/>
      <c r="G3" s="5"/>
    </row>
    <row r="4" spans="1:7" ht="13.8" thickTop="1" x14ac:dyDescent="0.25">
      <c r="A4" s="6"/>
      <c r="B4" s="4"/>
      <c r="C4" s="4"/>
      <c r="D4" s="4"/>
      <c r="E4" s="4"/>
      <c r="F4" s="4"/>
      <c r="G4" s="5"/>
    </row>
    <row r="5" spans="1:7" ht="13.8" thickBot="1" x14ac:dyDescent="0.3">
      <c r="A5" s="6" t="s">
        <v>1</v>
      </c>
      <c r="B5" s="7"/>
      <c r="C5" s="7"/>
      <c r="D5" s="4"/>
      <c r="E5" s="4"/>
      <c r="F5" s="4"/>
      <c r="G5" s="5"/>
    </row>
    <row r="6" spans="1:7" ht="13.8" thickTop="1" x14ac:dyDescent="0.25">
      <c r="A6" s="6"/>
      <c r="B6" s="4"/>
      <c r="C6" s="4"/>
      <c r="D6" s="4"/>
      <c r="E6" s="4"/>
      <c r="F6" s="4"/>
      <c r="G6" s="5"/>
    </row>
    <row r="7" spans="1:7" ht="16.5" customHeight="1" thickBot="1" x14ac:dyDescent="0.3">
      <c r="A7" s="6" t="s">
        <v>4</v>
      </c>
      <c r="B7" s="7"/>
      <c r="C7" s="7"/>
      <c r="D7" s="4"/>
      <c r="E7" s="4"/>
      <c r="F7" s="4"/>
      <c r="G7" s="5"/>
    </row>
    <row r="8" spans="1:7" ht="13.8" thickTop="1" x14ac:dyDescent="0.25">
      <c r="A8" s="6"/>
      <c r="B8" s="4"/>
      <c r="C8" s="4"/>
      <c r="D8" s="4"/>
      <c r="E8" s="4"/>
      <c r="F8" s="4"/>
      <c r="G8" s="5"/>
    </row>
    <row r="9" spans="1:7" ht="13.8" thickBot="1" x14ac:dyDescent="0.3">
      <c r="A9" s="6" t="s">
        <v>3</v>
      </c>
      <c r="B9" s="7"/>
      <c r="C9" s="7"/>
      <c r="D9" s="4"/>
      <c r="E9" s="4"/>
      <c r="F9" s="4"/>
      <c r="G9" s="5"/>
    </row>
    <row r="10" spans="1:7" ht="13.8" thickTop="1" x14ac:dyDescent="0.25">
      <c r="A10" s="6"/>
      <c r="B10" s="4"/>
      <c r="C10" s="4"/>
      <c r="D10" s="4"/>
      <c r="E10" s="4"/>
      <c r="F10" s="4"/>
      <c r="G10" s="5"/>
    </row>
    <row r="11" spans="1:7" ht="13.8" thickBot="1" x14ac:dyDescent="0.3">
      <c r="A11" s="6" t="s">
        <v>6</v>
      </c>
      <c r="B11" s="7"/>
      <c r="C11" s="7"/>
      <c r="D11" s="4"/>
      <c r="E11" s="4"/>
      <c r="F11" s="4"/>
      <c r="G11" s="5"/>
    </row>
    <row r="12" spans="1:7" ht="13.8" thickTop="1" x14ac:dyDescent="0.25">
      <c r="A12" s="4"/>
      <c r="B12" s="4"/>
      <c r="C12" s="4"/>
      <c r="D12" s="4"/>
      <c r="E12" s="4"/>
      <c r="F12" s="4"/>
      <c r="G12" s="5"/>
    </row>
    <row r="13" spans="1:7" x14ac:dyDescent="0.25">
      <c r="A13" s="3"/>
      <c r="B13" s="4"/>
      <c r="C13" s="4"/>
      <c r="D13" s="4"/>
      <c r="E13" s="4"/>
      <c r="F13" s="4"/>
      <c r="G13" s="5"/>
    </row>
    <row r="14" spans="1:7" ht="13.8" thickBot="1" x14ac:dyDescent="0.3">
      <c r="A14" s="8"/>
      <c r="B14" s="9"/>
      <c r="C14" s="9"/>
      <c r="D14" s="9"/>
      <c r="E14" s="9"/>
      <c r="F14" s="9"/>
      <c r="G14" s="10"/>
    </row>
  </sheetData>
  <mergeCells count="1">
    <mergeCell ref="A1:G1"/>
  </mergeCells>
  <phoneticPr fontId="2" type="noConversion"/>
  <pageMargins left="0.75" right="0.75" top="1" bottom="1" header="0.5" footer="0.5"/>
  <pageSetup orientation="portrait" horizontalDpi="180" verticalDpi="180" r:id="rId1"/>
  <headerFooter alignWithMargins="0"/>
  <customProperties>
    <customPr name="LastActive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E74-B501-4AC6-9193-069A73911C37}">
  <dimension ref="A1:AA19"/>
  <sheetViews>
    <sheetView showGridLines="0" zoomScale="124" zoomScaleNormal="124" workbookViewId="0">
      <selection activeCell="T14" sqref="T14"/>
    </sheetView>
  </sheetViews>
  <sheetFormatPr defaultColWidth="9.109375" defaultRowHeight="13.8" x14ac:dyDescent="0.3"/>
  <cols>
    <col min="1" max="1" width="11.6640625" style="95" bestFit="1" customWidth="1"/>
    <col min="2" max="20" width="9.109375" style="95"/>
    <col min="21" max="21" width="10.33203125" style="95" customWidth="1"/>
    <col min="22" max="16384" width="9.109375" style="95"/>
  </cols>
  <sheetData>
    <row r="1" spans="1:27" x14ac:dyDescent="0.3">
      <c r="A1" s="97" t="s">
        <v>641</v>
      </c>
      <c r="B1" s="97" t="s">
        <v>642</v>
      </c>
      <c r="C1" s="97" t="s">
        <v>643</v>
      </c>
      <c r="D1" s="97" t="s">
        <v>644</v>
      </c>
      <c r="E1" s="97" t="s">
        <v>645</v>
      </c>
      <c r="F1" s="97" t="s">
        <v>646</v>
      </c>
      <c r="G1" s="97" t="s">
        <v>647</v>
      </c>
      <c r="J1" s="31" t="s">
        <v>0</v>
      </c>
      <c r="K1" s="31" t="s">
        <v>1</v>
      </c>
      <c r="L1" s="31" t="s">
        <v>2</v>
      </c>
      <c r="M1" s="31" t="s">
        <v>3</v>
      </c>
      <c r="N1" s="31" t="s">
        <v>4</v>
      </c>
      <c r="O1" s="31" t="s">
        <v>484</v>
      </c>
      <c r="P1" s="31" t="s">
        <v>5</v>
      </c>
      <c r="Q1" s="31" t="s">
        <v>6</v>
      </c>
      <c r="T1" s="31" t="s">
        <v>1</v>
      </c>
      <c r="U1" s="31" t="s">
        <v>2</v>
      </c>
      <c r="V1" s="31" t="s">
        <v>3</v>
      </c>
      <c r="W1" s="31" t="s">
        <v>4</v>
      </c>
      <c r="X1" s="31" t="s">
        <v>0</v>
      </c>
      <c r="Y1" s="31" t="s">
        <v>484</v>
      </c>
      <c r="Z1" s="31" t="s">
        <v>5</v>
      </c>
      <c r="AA1" s="31" t="s">
        <v>6</v>
      </c>
    </row>
    <row r="2" spans="1:27" x14ac:dyDescent="0.3">
      <c r="A2" s="96" t="s">
        <v>648</v>
      </c>
      <c r="B2" s="96">
        <v>906</v>
      </c>
      <c r="C2" s="96">
        <v>989</v>
      </c>
      <c r="D2" s="96">
        <v>718</v>
      </c>
      <c r="E2" s="96">
        <v>163</v>
      </c>
      <c r="F2" s="96">
        <v>360</v>
      </c>
      <c r="G2" s="96">
        <v>672</v>
      </c>
      <c r="J2" s="30">
        <v>1</v>
      </c>
      <c r="K2" s="30" t="s">
        <v>56</v>
      </c>
      <c r="L2" s="30" t="s">
        <v>57</v>
      </c>
      <c r="M2" s="30" t="s">
        <v>24</v>
      </c>
      <c r="N2" s="30" t="s">
        <v>58</v>
      </c>
      <c r="O2" s="30" t="s">
        <v>487</v>
      </c>
      <c r="P2" s="32">
        <v>28126</v>
      </c>
      <c r="Q2" s="30">
        <v>21875</v>
      </c>
      <c r="T2" s="30" t="s">
        <v>56</v>
      </c>
      <c r="U2" s="30" t="s">
        <v>57</v>
      </c>
      <c r="V2" s="30" t="s">
        <v>24</v>
      </c>
      <c r="W2" s="30" t="s">
        <v>58</v>
      </c>
      <c r="X2" s="30">
        <v>1</v>
      </c>
      <c r="Y2" s="30" t="s">
        <v>487</v>
      </c>
      <c r="Z2" s="32">
        <v>28126</v>
      </c>
      <c r="AA2" s="30">
        <v>21875</v>
      </c>
    </row>
    <row r="3" spans="1:27" x14ac:dyDescent="0.3">
      <c r="A3" s="96" t="s">
        <v>649</v>
      </c>
      <c r="B3" s="96">
        <v>428</v>
      </c>
      <c r="C3" s="96">
        <v>583</v>
      </c>
      <c r="D3" s="96">
        <v>488</v>
      </c>
      <c r="E3" s="96">
        <v>583</v>
      </c>
      <c r="F3" s="96">
        <v>384</v>
      </c>
      <c r="G3" s="96">
        <v>390</v>
      </c>
      <c r="J3" s="30">
        <v>2</v>
      </c>
      <c r="K3" s="30" t="s">
        <v>123</v>
      </c>
      <c r="L3" s="30" t="s">
        <v>124</v>
      </c>
      <c r="M3" s="30" t="s">
        <v>24</v>
      </c>
      <c r="N3" s="30" t="s">
        <v>10</v>
      </c>
      <c r="O3" s="30" t="s">
        <v>488</v>
      </c>
      <c r="P3" s="32">
        <v>28126</v>
      </c>
      <c r="Q3" s="30">
        <v>17500</v>
      </c>
      <c r="T3" s="30" t="s">
        <v>123</v>
      </c>
      <c r="U3" s="30" t="s">
        <v>124</v>
      </c>
      <c r="V3" s="30" t="s">
        <v>24</v>
      </c>
      <c r="W3" s="30" t="s">
        <v>10</v>
      </c>
      <c r="X3" s="30">
        <v>2</v>
      </c>
      <c r="Y3" s="30" t="s">
        <v>488</v>
      </c>
      <c r="Z3" s="32">
        <v>28126</v>
      </c>
      <c r="AA3" s="30">
        <v>17500</v>
      </c>
    </row>
    <row r="4" spans="1:27" x14ac:dyDescent="0.3">
      <c r="A4" s="96" t="s">
        <v>650</v>
      </c>
      <c r="B4" s="96">
        <v>451</v>
      </c>
      <c r="C4" s="96">
        <v>614</v>
      </c>
      <c r="D4" s="96">
        <v>574</v>
      </c>
      <c r="E4" s="96">
        <v>935</v>
      </c>
      <c r="F4" s="96">
        <v>947</v>
      </c>
      <c r="G4" s="96">
        <v>963</v>
      </c>
      <c r="J4" s="30">
        <v>3</v>
      </c>
      <c r="K4" s="30" t="s">
        <v>112</v>
      </c>
      <c r="L4" s="30" t="s">
        <v>113</v>
      </c>
      <c r="M4" s="30" t="s">
        <v>47</v>
      </c>
      <c r="N4" s="30" t="s">
        <v>125</v>
      </c>
      <c r="O4" s="30" t="s">
        <v>489</v>
      </c>
      <c r="P4" s="32">
        <v>36220</v>
      </c>
      <c r="Q4" s="30">
        <v>7000</v>
      </c>
      <c r="T4" s="30" t="s">
        <v>112</v>
      </c>
      <c r="U4" s="30" t="s">
        <v>113</v>
      </c>
      <c r="V4" s="30" t="s">
        <v>47</v>
      </c>
      <c r="W4" s="30" t="s">
        <v>125</v>
      </c>
      <c r="X4" s="30">
        <v>3</v>
      </c>
      <c r="Y4" s="30" t="s">
        <v>489</v>
      </c>
      <c r="Z4" s="32">
        <v>36220</v>
      </c>
      <c r="AA4" s="30">
        <v>7000</v>
      </c>
    </row>
    <row r="5" spans="1:27" x14ac:dyDescent="0.3">
      <c r="A5" s="96" t="s">
        <v>651</v>
      </c>
      <c r="B5" s="96">
        <v>574</v>
      </c>
      <c r="C5" s="96">
        <v>169</v>
      </c>
      <c r="D5" s="96">
        <v>482</v>
      </c>
      <c r="E5" s="96">
        <v>615</v>
      </c>
      <c r="F5" s="96">
        <v>448</v>
      </c>
      <c r="G5" s="96">
        <v>553</v>
      </c>
      <c r="J5" s="30">
        <v>4</v>
      </c>
      <c r="K5" s="30" t="s">
        <v>7</v>
      </c>
      <c r="L5" s="30" t="s">
        <v>8</v>
      </c>
      <c r="M5" s="30" t="s">
        <v>9</v>
      </c>
      <c r="N5" s="30" t="s">
        <v>58</v>
      </c>
      <c r="O5" s="30" t="s">
        <v>490</v>
      </c>
      <c r="P5" s="32">
        <v>29183</v>
      </c>
      <c r="Q5" s="30">
        <v>12250</v>
      </c>
      <c r="T5" s="30" t="s">
        <v>7</v>
      </c>
      <c r="U5" s="30" t="s">
        <v>8</v>
      </c>
      <c r="V5" s="30" t="s">
        <v>9</v>
      </c>
      <c r="W5" s="30" t="s">
        <v>58</v>
      </c>
      <c r="X5" s="30">
        <v>4</v>
      </c>
      <c r="Y5" s="30" t="s">
        <v>490</v>
      </c>
      <c r="Z5" s="32">
        <v>29183</v>
      </c>
      <c r="AA5" s="30">
        <v>12250</v>
      </c>
    </row>
    <row r="6" spans="1:27" x14ac:dyDescent="0.3">
      <c r="A6" s="96" t="s">
        <v>652</v>
      </c>
      <c r="B6" s="96">
        <v>950</v>
      </c>
      <c r="C6" s="96">
        <v>475</v>
      </c>
      <c r="D6" s="96">
        <v>982</v>
      </c>
      <c r="E6" s="96">
        <v>109</v>
      </c>
      <c r="F6" s="96">
        <v>897</v>
      </c>
      <c r="G6" s="96">
        <v>964</v>
      </c>
      <c r="J6" s="30">
        <v>5</v>
      </c>
      <c r="K6" s="30" t="s">
        <v>59</v>
      </c>
      <c r="L6" s="30" t="s">
        <v>60</v>
      </c>
      <c r="M6" s="30" t="s">
        <v>27</v>
      </c>
      <c r="N6" s="30" t="s">
        <v>58</v>
      </c>
      <c r="O6" s="30" t="s">
        <v>491</v>
      </c>
      <c r="P6" s="32">
        <v>32755</v>
      </c>
      <c r="Q6" s="30">
        <v>21000</v>
      </c>
      <c r="T6" s="30" t="s">
        <v>59</v>
      </c>
      <c r="U6" s="30" t="s">
        <v>60</v>
      </c>
      <c r="V6" s="30" t="s">
        <v>27</v>
      </c>
      <c r="W6" s="30" t="s">
        <v>58</v>
      </c>
      <c r="X6" s="30">
        <v>5</v>
      </c>
      <c r="Y6" s="30" t="s">
        <v>491</v>
      </c>
      <c r="Z6" s="32">
        <v>32755</v>
      </c>
      <c r="AA6" s="30">
        <v>21000</v>
      </c>
    </row>
    <row r="7" spans="1:27" x14ac:dyDescent="0.3">
      <c r="A7" s="96" t="s">
        <v>653</v>
      </c>
      <c r="B7" s="96">
        <v>883</v>
      </c>
      <c r="C7" s="96">
        <v>483</v>
      </c>
      <c r="D7" s="96">
        <v>256</v>
      </c>
      <c r="E7" s="96">
        <v>240</v>
      </c>
      <c r="F7" s="96">
        <v>543</v>
      </c>
      <c r="G7" s="96">
        <v>331</v>
      </c>
      <c r="J7" s="30">
        <v>6</v>
      </c>
      <c r="K7" s="30" t="s">
        <v>159</v>
      </c>
      <c r="L7" s="30" t="s">
        <v>160</v>
      </c>
      <c r="M7" s="30" t="s">
        <v>27</v>
      </c>
      <c r="N7" s="30" t="s">
        <v>58</v>
      </c>
      <c r="O7" s="30" t="s">
        <v>492</v>
      </c>
      <c r="P7" s="32">
        <v>32390</v>
      </c>
      <c r="Q7" s="30">
        <v>12425</v>
      </c>
      <c r="T7" s="30" t="s">
        <v>159</v>
      </c>
      <c r="U7" s="30" t="s">
        <v>160</v>
      </c>
      <c r="V7" s="30" t="s">
        <v>27</v>
      </c>
      <c r="W7" s="30" t="s">
        <v>58</v>
      </c>
      <c r="X7" s="30">
        <v>6</v>
      </c>
      <c r="Y7" s="30" t="s">
        <v>492</v>
      </c>
      <c r="Z7" s="32">
        <v>32390</v>
      </c>
      <c r="AA7" s="30">
        <v>12425</v>
      </c>
    </row>
    <row r="8" spans="1:27" x14ac:dyDescent="0.3">
      <c r="A8" s="96" t="s">
        <v>654</v>
      </c>
      <c r="B8" s="96">
        <v>495</v>
      </c>
      <c r="C8" s="96">
        <v>206</v>
      </c>
      <c r="D8" s="96">
        <v>880</v>
      </c>
      <c r="E8" s="96">
        <v>719</v>
      </c>
      <c r="F8" s="96">
        <v>100</v>
      </c>
      <c r="G8" s="96">
        <v>439</v>
      </c>
      <c r="J8" s="30">
        <v>7</v>
      </c>
      <c r="K8" s="30" t="s">
        <v>34</v>
      </c>
      <c r="L8" s="30" t="s">
        <v>35</v>
      </c>
      <c r="M8" s="30" t="s">
        <v>493</v>
      </c>
      <c r="N8" s="30" t="s">
        <v>161</v>
      </c>
      <c r="O8" s="30" t="s">
        <v>494</v>
      </c>
      <c r="P8" s="32">
        <v>33102</v>
      </c>
      <c r="Q8" s="30">
        <v>13825</v>
      </c>
      <c r="T8" s="30" t="s">
        <v>34</v>
      </c>
      <c r="U8" s="30" t="s">
        <v>35</v>
      </c>
      <c r="V8" s="30" t="s">
        <v>493</v>
      </c>
      <c r="W8" s="30" t="s">
        <v>161</v>
      </c>
      <c r="X8" s="30">
        <v>7</v>
      </c>
      <c r="Y8" s="30" t="s">
        <v>494</v>
      </c>
      <c r="Z8" s="32">
        <v>33102</v>
      </c>
      <c r="AA8" s="30">
        <v>13825</v>
      </c>
    </row>
    <row r="9" spans="1:27" x14ac:dyDescent="0.3">
      <c r="A9" s="96" t="s">
        <v>655</v>
      </c>
      <c r="B9" s="96">
        <v>515</v>
      </c>
      <c r="C9" s="96">
        <v>718</v>
      </c>
      <c r="D9" s="96">
        <v>169</v>
      </c>
      <c r="E9" s="96">
        <v>966</v>
      </c>
      <c r="F9" s="96">
        <v>301</v>
      </c>
      <c r="G9" s="96">
        <v>144</v>
      </c>
      <c r="J9" s="30">
        <v>8</v>
      </c>
      <c r="K9" s="30" t="s">
        <v>61</v>
      </c>
      <c r="L9" s="30" t="s">
        <v>62</v>
      </c>
      <c r="M9" s="30" t="s">
        <v>27</v>
      </c>
      <c r="N9" s="30" t="s">
        <v>58</v>
      </c>
      <c r="O9" s="30" t="s">
        <v>495</v>
      </c>
      <c r="P9" s="32">
        <v>32755</v>
      </c>
      <c r="Q9" s="30">
        <v>12425</v>
      </c>
      <c r="T9" s="30" t="s">
        <v>61</v>
      </c>
      <c r="U9" s="30" t="s">
        <v>62</v>
      </c>
      <c r="V9" s="30" t="s">
        <v>27</v>
      </c>
      <c r="W9" s="30" t="s">
        <v>58</v>
      </c>
      <c r="X9" s="30">
        <v>8</v>
      </c>
      <c r="Y9" s="30" t="s">
        <v>495</v>
      </c>
      <c r="Z9" s="32">
        <v>32755</v>
      </c>
      <c r="AA9" s="30">
        <v>12425</v>
      </c>
    </row>
    <row r="10" spans="1:27" x14ac:dyDescent="0.3">
      <c r="A10" s="96" t="s">
        <v>656</v>
      </c>
      <c r="B10" s="96">
        <v>103</v>
      </c>
      <c r="C10" s="96">
        <v>896</v>
      </c>
      <c r="D10" s="96">
        <v>270</v>
      </c>
      <c r="E10" s="96">
        <v>385</v>
      </c>
      <c r="F10" s="96">
        <v>367</v>
      </c>
      <c r="G10" s="96">
        <v>203</v>
      </c>
      <c r="J10" s="30">
        <v>9</v>
      </c>
      <c r="K10" s="30" t="s">
        <v>63</v>
      </c>
      <c r="L10" s="30" t="s">
        <v>64</v>
      </c>
      <c r="M10" s="30" t="s">
        <v>24</v>
      </c>
      <c r="N10" s="30" t="s">
        <v>58</v>
      </c>
      <c r="O10" s="30" t="s">
        <v>496</v>
      </c>
      <c r="P10" s="32">
        <v>36506</v>
      </c>
      <c r="Q10" s="30">
        <v>14875</v>
      </c>
      <c r="T10" s="30" t="s">
        <v>63</v>
      </c>
      <c r="U10" s="30" t="s">
        <v>64</v>
      </c>
      <c r="V10" s="30" t="s">
        <v>24</v>
      </c>
      <c r="W10" s="30" t="s">
        <v>58</v>
      </c>
      <c r="X10" s="30">
        <v>9</v>
      </c>
      <c r="Y10" s="30" t="s">
        <v>496</v>
      </c>
      <c r="Z10" s="32">
        <v>36506</v>
      </c>
      <c r="AA10" s="30">
        <v>14875</v>
      </c>
    </row>
    <row r="11" spans="1:27" x14ac:dyDescent="0.3">
      <c r="A11" s="96" t="s">
        <v>657</v>
      </c>
      <c r="B11" s="96">
        <v>130</v>
      </c>
      <c r="C11" s="96">
        <v>903</v>
      </c>
      <c r="D11" s="96">
        <v>590</v>
      </c>
      <c r="E11" s="96">
        <v>272</v>
      </c>
      <c r="F11" s="96">
        <v>565</v>
      </c>
      <c r="G11" s="96">
        <v>791</v>
      </c>
      <c r="J11" s="30">
        <v>10</v>
      </c>
      <c r="K11" s="30" t="s">
        <v>65</v>
      </c>
      <c r="L11" s="30" t="s">
        <v>66</v>
      </c>
      <c r="M11" s="30" t="s">
        <v>9</v>
      </c>
      <c r="N11" s="30" t="s">
        <v>10</v>
      </c>
      <c r="O11" s="30" t="s">
        <v>497</v>
      </c>
      <c r="P11" s="32">
        <v>28326</v>
      </c>
      <c r="Q11" s="30">
        <v>15750</v>
      </c>
      <c r="T11" s="30" t="s">
        <v>65</v>
      </c>
      <c r="U11" s="30" t="s">
        <v>66</v>
      </c>
      <c r="V11" s="30" t="s">
        <v>9</v>
      </c>
      <c r="W11" s="30" t="s">
        <v>10</v>
      </c>
      <c r="X11" s="30">
        <v>10</v>
      </c>
      <c r="Y11" s="30" t="s">
        <v>497</v>
      </c>
      <c r="Z11" s="32">
        <v>28326</v>
      </c>
      <c r="AA11" s="30">
        <v>15750</v>
      </c>
    </row>
    <row r="13" spans="1:27" x14ac:dyDescent="0.3">
      <c r="J13" s="106" t="s">
        <v>712</v>
      </c>
      <c r="T13" s="106" t="s">
        <v>713</v>
      </c>
    </row>
    <row r="14" spans="1:27" x14ac:dyDescent="0.3">
      <c r="A14" s="97" t="s">
        <v>641</v>
      </c>
      <c r="B14" s="97" t="s">
        <v>473</v>
      </c>
      <c r="C14" s="97" t="s">
        <v>658</v>
      </c>
      <c r="J14" s="31" t="s">
        <v>0</v>
      </c>
      <c r="K14" s="31" t="s">
        <v>1</v>
      </c>
      <c r="L14" s="31" t="s">
        <v>3</v>
      </c>
      <c r="M14" s="31" t="s">
        <v>6</v>
      </c>
      <c r="T14" s="31" t="s">
        <v>0</v>
      </c>
      <c r="U14" s="31" t="s">
        <v>1</v>
      </c>
      <c r="V14" s="31" t="s">
        <v>3</v>
      </c>
      <c r="W14" s="31" t="s">
        <v>6</v>
      </c>
    </row>
    <row r="15" spans="1:27" x14ac:dyDescent="0.3">
      <c r="A15" s="96" t="s">
        <v>651</v>
      </c>
      <c r="B15" s="96" t="s">
        <v>646</v>
      </c>
      <c r="C15" s="96"/>
      <c r="J15" s="96">
        <v>1</v>
      </c>
      <c r="K15" s="96"/>
      <c r="L15" s="96"/>
      <c r="M15" s="96"/>
      <c r="T15" s="96">
        <v>1</v>
      </c>
      <c r="U15" s="96"/>
      <c r="V15" s="96"/>
      <c r="W15" s="96"/>
    </row>
    <row r="16" spans="1:27" x14ac:dyDescent="0.3">
      <c r="J16" s="96">
        <v>3</v>
      </c>
      <c r="K16" s="96"/>
      <c r="L16" s="96"/>
      <c r="M16" s="96"/>
      <c r="T16" s="96">
        <v>3</v>
      </c>
      <c r="U16" s="96"/>
      <c r="V16" s="96"/>
      <c r="W16" s="96"/>
    </row>
    <row r="17" spans="1:23" x14ac:dyDescent="0.3">
      <c r="A17" s="106" t="s">
        <v>712</v>
      </c>
      <c r="J17" s="96">
        <v>5</v>
      </c>
      <c r="K17" s="96"/>
      <c r="L17" s="96"/>
      <c r="M17" s="96"/>
      <c r="T17" s="96">
        <v>5</v>
      </c>
      <c r="U17" s="96"/>
      <c r="V17" s="96"/>
      <c r="W17" s="96"/>
    </row>
    <row r="18" spans="1:23" x14ac:dyDescent="0.3">
      <c r="J18" s="96">
        <v>20</v>
      </c>
      <c r="K18" s="96"/>
      <c r="L18" s="96"/>
      <c r="M18" s="96"/>
      <c r="T18" s="96">
        <v>20</v>
      </c>
      <c r="U18" s="96"/>
      <c r="V18" s="96"/>
      <c r="W18" s="96"/>
    </row>
    <row r="19" spans="1:23" x14ac:dyDescent="0.3">
      <c r="J19" s="96">
        <v>10</v>
      </c>
      <c r="K19" s="96"/>
      <c r="L19" s="96"/>
      <c r="M19" s="96"/>
      <c r="T19" s="96">
        <v>10</v>
      </c>
      <c r="U19" s="96"/>
      <c r="V19" s="96"/>
      <c r="W19" s="96"/>
    </row>
  </sheetData>
  <phoneticPr fontId="24" type="noConversion"/>
  <dataValidations count="2">
    <dataValidation type="list" allowBlank="1" showInputMessage="1" showErrorMessage="1" sqref="A15" xr:uid="{D7AD2B8C-751B-46A6-B271-CE5754540AC9}">
      <formula1>$A$2:$A$11</formula1>
    </dataValidation>
    <dataValidation type="list" allowBlank="1" showInputMessage="1" showErrorMessage="1" sqref="B15" xr:uid="{35572646-7FE7-429A-BD37-E1942798AE33}">
      <formula1>$B$1:$G$1</formula1>
    </dataValidation>
  </dataValidations>
  <pageMargins left="0.7" right="0.7" top="0.75" bottom="0.75" header="0.3" footer="0.3"/>
  <customProperties>
    <customPr name="LastActiv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7CCD-352A-405F-9420-324C4E488889}">
  <dimension ref="A1:J38"/>
  <sheetViews>
    <sheetView showGridLines="0" workbookViewId="0">
      <selection activeCell="C24" sqref="C24"/>
    </sheetView>
  </sheetViews>
  <sheetFormatPr defaultColWidth="9.109375" defaultRowHeight="13.2" x14ac:dyDescent="0.25"/>
  <cols>
    <col min="1" max="1" width="16.44140625" style="29" customWidth="1"/>
    <col min="2" max="2" width="12.33203125" style="29" bestFit="1" customWidth="1"/>
    <col min="3" max="16384" width="9.109375" style="29"/>
  </cols>
  <sheetData>
    <row r="1" spans="1:10" ht="17.399999999999999" x14ac:dyDescent="0.3">
      <c r="A1" s="37" t="s">
        <v>519</v>
      </c>
      <c r="B1" s="38"/>
      <c r="C1" s="38"/>
      <c r="D1" s="38"/>
    </row>
    <row r="2" spans="1:10" x14ac:dyDescent="0.25">
      <c r="G2" s="39" t="s">
        <v>520</v>
      </c>
      <c r="H2" s="39" t="s">
        <v>521</v>
      </c>
      <c r="I2" s="39" t="s">
        <v>522</v>
      </c>
      <c r="J2" s="39" t="s">
        <v>523</v>
      </c>
    </row>
    <row r="3" spans="1:10" x14ac:dyDescent="0.25">
      <c r="G3" s="40">
        <v>1</v>
      </c>
      <c r="H3" s="40"/>
      <c r="I3" s="40"/>
      <c r="J3" s="40"/>
    </row>
    <row r="4" spans="1:10" x14ac:dyDescent="0.25">
      <c r="A4" s="41" t="s">
        <v>524</v>
      </c>
      <c r="B4" s="42">
        <v>100000</v>
      </c>
      <c r="G4" s="40"/>
      <c r="H4" s="40"/>
      <c r="I4" s="40"/>
      <c r="J4" s="40"/>
    </row>
    <row r="5" spans="1:10" x14ac:dyDescent="0.25">
      <c r="A5" s="41" t="s">
        <v>525</v>
      </c>
      <c r="B5" s="43">
        <v>0.105</v>
      </c>
      <c r="G5" s="40"/>
      <c r="H5" s="40"/>
      <c r="I5" s="40"/>
      <c r="J5" s="40"/>
    </row>
    <row r="6" spans="1:10" x14ac:dyDescent="0.25">
      <c r="A6" s="41" t="s">
        <v>526</v>
      </c>
      <c r="B6" s="42">
        <v>36</v>
      </c>
      <c r="G6" s="40"/>
      <c r="H6" s="40"/>
      <c r="I6" s="40"/>
      <c r="J6" s="40"/>
    </row>
    <row r="7" spans="1:10" ht="13.8" thickBot="1" x14ac:dyDescent="0.3">
      <c r="A7" s="44" t="s">
        <v>527</v>
      </c>
      <c r="B7" s="45"/>
      <c r="C7" s="46">
        <v>100000</v>
      </c>
      <c r="D7" s="46">
        <v>150000</v>
      </c>
      <c r="E7" s="46">
        <v>200000</v>
      </c>
      <c r="G7" s="40"/>
      <c r="H7" s="40"/>
      <c r="I7" s="40"/>
      <c r="J7" s="40"/>
    </row>
    <row r="8" spans="1:10" ht="13.8" thickTop="1" x14ac:dyDescent="0.25">
      <c r="A8" s="153" t="s">
        <v>528</v>
      </c>
      <c r="B8" s="46">
        <v>12</v>
      </c>
      <c r="C8" s="47"/>
      <c r="D8" s="47"/>
      <c r="E8" s="47"/>
      <c r="G8" s="40"/>
      <c r="H8" s="40"/>
      <c r="I8" s="40"/>
      <c r="J8" s="40"/>
    </row>
    <row r="9" spans="1:10" x14ac:dyDescent="0.25">
      <c r="A9" s="153"/>
      <c r="B9" s="46">
        <v>24</v>
      </c>
      <c r="C9" s="47"/>
      <c r="D9" s="47"/>
      <c r="E9" s="47"/>
      <c r="G9" s="40"/>
      <c r="H9" s="40"/>
      <c r="I9" s="40"/>
      <c r="J9" s="40"/>
    </row>
    <row r="10" spans="1:10" x14ac:dyDescent="0.25">
      <c r="A10" s="153"/>
      <c r="B10" s="46">
        <v>36</v>
      </c>
      <c r="C10" s="47"/>
      <c r="D10" s="47"/>
      <c r="E10" s="47"/>
      <c r="G10" s="40"/>
      <c r="H10" s="40"/>
      <c r="I10" s="40"/>
      <c r="J10" s="40"/>
    </row>
    <row r="11" spans="1:10" x14ac:dyDescent="0.25">
      <c r="A11" s="153"/>
      <c r="B11" s="46">
        <v>48</v>
      </c>
      <c r="C11" s="47"/>
      <c r="D11" s="47"/>
      <c r="E11" s="47"/>
      <c r="G11" s="40"/>
      <c r="H11" s="40"/>
      <c r="I11" s="40"/>
      <c r="J11" s="40"/>
    </row>
    <row r="12" spans="1:10" ht="13.8" thickBot="1" x14ac:dyDescent="0.3">
      <c r="A12" s="154"/>
      <c r="B12" s="48">
        <v>60</v>
      </c>
      <c r="C12" s="49"/>
      <c r="D12" s="49"/>
      <c r="E12" s="49"/>
      <c r="G12" s="40"/>
      <c r="H12" s="40"/>
      <c r="I12" s="40"/>
      <c r="J12" s="40"/>
    </row>
    <row r="13" spans="1:10" ht="13.8" thickTop="1" x14ac:dyDescent="0.25">
      <c r="G13" s="40"/>
      <c r="H13" s="40"/>
      <c r="I13" s="40"/>
      <c r="J13" s="40"/>
    </row>
    <row r="14" spans="1:10" x14ac:dyDescent="0.25">
      <c r="G14" s="40"/>
      <c r="H14" s="40"/>
      <c r="I14" s="40"/>
      <c r="J14" s="40"/>
    </row>
    <row r="15" spans="1:10" x14ac:dyDescent="0.25">
      <c r="G15" s="40"/>
      <c r="H15" s="40"/>
      <c r="I15" s="40"/>
      <c r="J15" s="40"/>
    </row>
    <row r="16" spans="1:10" x14ac:dyDescent="0.25">
      <c r="G16" s="40"/>
      <c r="H16" s="40"/>
      <c r="I16" s="40"/>
      <c r="J16" s="40"/>
    </row>
    <row r="17" spans="7:10" x14ac:dyDescent="0.25">
      <c r="G17" s="40"/>
      <c r="H17" s="40"/>
      <c r="I17" s="40"/>
      <c r="J17" s="40"/>
    </row>
    <row r="18" spans="7:10" x14ac:dyDescent="0.25">
      <c r="G18" s="40"/>
      <c r="H18" s="40"/>
      <c r="I18" s="40"/>
      <c r="J18" s="40"/>
    </row>
    <row r="19" spans="7:10" x14ac:dyDescent="0.25">
      <c r="G19" s="40"/>
      <c r="H19" s="40"/>
      <c r="I19" s="40"/>
      <c r="J19" s="40"/>
    </row>
    <row r="20" spans="7:10" x14ac:dyDescent="0.25">
      <c r="G20" s="40"/>
      <c r="H20" s="40"/>
      <c r="I20" s="40"/>
      <c r="J20" s="40"/>
    </row>
    <row r="21" spans="7:10" x14ac:dyDescent="0.25">
      <c r="G21" s="40"/>
      <c r="H21" s="40"/>
      <c r="I21" s="40"/>
      <c r="J21" s="40"/>
    </row>
    <row r="22" spans="7:10" x14ac:dyDescent="0.25">
      <c r="G22" s="40"/>
      <c r="H22" s="40"/>
      <c r="I22" s="40"/>
      <c r="J22" s="40"/>
    </row>
    <row r="23" spans="7:10" x14ac:dyDescent="0.25">
      <c r="G23" s="40"/>
      <c r="H23" s="40"/>
      <c r="I23" s="40"/>
      <c r="J23" s="40"/>
    </row>
    <row r="24" spans="7:10" x14ac:dyDescent="0.25">
      <c r="G24" s="40"/>
      <c r="H24" s="40"/>
      <c r="I24" s="40"/>
      <c r="J24" s="40"/>
    </row>
    <row r="25" spans="7:10" x14ac:dyDescent="0.25">
      <c r="G25" s="40"/>
      <c r="H25" s="40"/>
      <c r="I25" s="40"/>
      <c r="J25" s="40"/>
    </row>
    <row r="26" spans="7:10" x14ac:dyDescent="0.25">
      <c r="G26" s="40"/>
      <c r="H26" s="40"/>
      <c r="I26" s="40"/>
      <c r="J26" s="40"/>
    </row>
    <row r="27" spans="7:10" x14ac:dyDescent="0.25">
      <c r="G27" s="40"/>
      <c r="H27" s="40"/>
      <c r="I27" s="40"/>
      <c r="J27" s="40"/>
    </row>
    <row r="28" spans="7:10" x14ac:dyDescent="0.25">
      <c r="G28" s="40"/>
      <c r="H28" s="40"/>
      <c r="I28" s="40"/>
      <c r="J28" s="40"/>
    </row>
    <row r="29" spans="7:10" x14ac:dyDescent="0.25">
      <c r="G29" s="40"/>
      <c r="H29" s="40"/>
      <c r="I29" s="40"/>
      <c r="J29" s="40"/>
    </row>
    <row r="30" spans="7:10" x14ac:dyDescent="0.25">
      <c r="G30" s="40"/>
      <c r="H30" s="40"/>
      <c r="I30" s="40"/>
      <c r="J30" s="40"/>
    </row>
    <row r="31" spans="7:10" x14ac:dyDescent="0.25">
      <c r="G31" s="40"/>
      <c r="H31" s="40"/>
      <c r="I31" s="40"/>
      <c r="J31" s="40"/>
    </row>
    <row r="32" spans="7:10" x14ac:dyDescent="0.25">
      <c r="G32" s="40"/>
      <c r="H32" s="40"/>
      <c r="I32" s="40"/>
      <c r="J32" s="40"/>
    </row>
    <row r="33" spans="7:10" x14ac:dyDescent="0.25">
      <c r="G33" s="40"/>
      <c r="H33" s="40"/>
      <c r="I33" s="40"/>
      <c r="J33" s="40"/>
    </row>
    <row r="34" spans="7:10" x14ac:dyDescent="0.25">
      <c r="G34" s="40"/>
      <c r="H34" s="40"/>
      <c r="I34" s="40"/>
      <c r="J34" s="40"/>
    </row>
    <row r="35" spans="7:10" x14ac:dyDescent="0.25">
      <c r="G35" s="40"/>
      <c r="H35" s="40"/>
      <c r="I35" s="40"/>
      <c r="J35" s="40"/>
    </row>
    <row r="36" spans="7:10" x14ac:dyDescent="0.25">
      <c r="G36" s="40"/>
      <c r="H36" s="40"/>
      <c r="I36" s="40"/>
      <c r="J36" s="40"/>
    </row>
    <row r="37" spans="7:10" x14ac:dyDescent="0.25">
      <c r="G37" s="40"/>
      <c r="H37" s="40"/>
      <c r="I37" s="40"/>
      <c r="J37" s="40"/>
    </row>
    <row r="38" spans="7:10" x14ac:dyDescent="0.25">
      <c r="G38" s="40"/>
      <c r="H38" s="40"/>
      <c r="I38" s="40"/>
      <c r="J38" s="40"/>
    </row>
  </sheetData>
  <dataConsolidate/>
  <mergeCells count="1">
    <mergeCell ref="A8:A12"/>
  </mergeCells>
  <pageMargins left="0.75" right="0.75" top="1" bottom="1" header="0.5" footer="0.5"/>
  <pageSetup orientation="portrait" horizontalDpi="180" verticalDpi="180" r:id="rId1"/>
  <headerFooter alignWithMargins="0"/>
  <customProperties>
    <customPr name="LastActive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AC66-AEC0-45E8-B344-D7366DD34779}">
  <dimension ref="A1:F56"/>
  <sheetViews>
    <sheetView showGridLines="0" topLeftCell="A25" workbookViewId="0">
      <selection activeCell="C7" sqref="C7"/>
    </sheetView>
  </sheetViews>
  <sheetFormatPr defaultColWidth="9.109375" defaultRowHeight="13.2" x14ac:dyDescent="0.25"/>
  <cols>
    <col min="1" max="1" width="21" style="29" customWidth="1"/>
    <col min="2" max="2" width="41.109375" style="29" customWidth="1"/>
    <col min="3" max="3" width="20.6640625" style="29" customWidth="1"/>
    <col min="4" max="4" width="6.109375" style="29" customWidth="1"/>
    <col min="5" max="5" width="8.5546875" style="29" customWidth="1"/>
    <col min="6" max="6" width="6.109375" style="29" customWidth="1"/>
    <col min="7" max="16384" width="9.109375" style="29"/>
  </cols>
  <sheetData>
    <row r="1" spans="1:3" ht="20.25" customHeight="1" x14ac:dyDescent="0.25">
      <c r="A1" s="50" t="s">
        <v>529</v>
      </c>
      <c r="B1" s="50" t="s">
        <v>530</v>
      </c>
      <c r="C1" s="50">
        <v>101</v>
      </c>
    </row>
    <row r="3" spans="1:3" ht="21" x14ac:dyDescent="0.4">
      <c r="A3" s="51" t="s">
        <v>531</v>
      </c>
    </row>
    <row r="5" spans="1:3" x14ac:dyDescent="0.25">
      <c r="A5" s="52" t="s">
        <v>449</v>
      </c>
      <c r="B5" s="52" t="s">
        <v>450</v>
      </c>
      <c r="C5" s="52" t="s">
        <v>451</v>
      </c>
    </row>
    <row r="6" spans="1:3" x14ac:dyDescent="0.25">
      <c r="A6" s="53" t="s">
        <v>452</v>
      </c>
      <c r="B6" s="54" t="s">
        <v>453</v>
      </c>
      <c r="C6" s="55" t="str">
        <f>UPPER(A1)</f>
        <v>RAJESH</v>
      </c>
    </row>
    <row r="7" spans="1:3" x14ac:dyDescent="0.25">
      <c r="A7" s="53" t="s">
        <v>454</v>
      </c>
      <c r="B7" s="54" t="s">
        <v>455</v>
      </c>
      <c r="C7" s="55" t="str">
        <f>LOWER(A1)</f>
        <v>rajesh</v>
      </c>
    </row>
    <row r="8" spans="1:3" x14ac:dyDescent="0.25">
      <c r="A8" s="53" t="s">
        <v>456</v>
      </c>
      <c r="B8" s="54" t="s">
        <v>457</v>
      </c>
      <c r="C8" s="55" t="str">
        <f>PROPER(A1)</f>
        <v>Rajesh</v>
      </c>
    </row>
    <row r="9" spans="1:3" x14ac:dyDescent="0.25">
      <c r="A9" s="53" t="s">
        <v>458</v>
      </c>
      <c r="B9" s="54" t="s">
        <v>459</v>
      </c>
      <c r="C9" s="55" t="str">
        <f>LEFT(A1,3)</f>
        <v>RAj</v>
      </c>
    </row>
    <row r="10" spans="1:3" x14ac:dyDescent="0.25">
      <c r="A10" s="53" t="s">
        <v>460</v>
      </c>
      <c r="B10" s="54" t="s">
        <v>461</v>
      </c>
      <c r="C10" s="55" t="str">
        <f>RIGHT(A1,3)</f>
        <v>esh</v>
      </c>
    </row>
    <row r="11" spans="1:3" x14ac:dyDescent="0.25">
      <c r="A11" s="53" t="s">
        <v>462</v>
      </c>
      <c r="B11" s="54" t="s">
        <v>463</v>
      </c>
      <c r="C11" s="55" t="str">
        <f>MID(A1,3,3)</f>
        <v>jes</v>
      </c>
    </row>
    <row r="12" spans="1:3" x14ac:dyDescent="0.25">
      <c r="A12" s="53" t="s">
        <v>464</v>
      </c>
      <c r="B12" s="54" t="s">
        <v>465</v>
      </c>
      <c r="C12" s="55" t="str">
        <f>CONCATENATE("Hello ",A1,B1)</f>
        <v>Hello RAjeshDeshmukh</v>
      </c>
    </row>
    <row r="13" spans="1:3" x14ac:dyDescent="0.25">
      <c r="A13" s="53" t="s">
        <v>466</v>
      </c>
      <c r="B13" s="54" t="s">
        <v>467</v>
      </c>
      <c r="C13" s="55">
        <f>LEN(A1)</f>
        <v>6</v>
      </c>
    </row>
    <row r="14" spans="1:3" x14ac:dyDescent="0.25">
      <c r="A14" s="53" t="s">
        <v>468</v>
      </c>
      <c r="B14" s="54" t="s">
        <v>469</v>
      </c>
      <c r="C14" s="55" t="b">
        <f>EXACT(A1,A1)</f>
        <v>1</v>
      </c>
    </row>
    <row r="15" spans="1:3" x14ac:dyDescent="0.25">
      <c r="A15" s="53" t="s">
        <v>532</v>
      </c>
      <c r="B15" s="54" t="s">
        <v>533</v>
      </c>
      <c r="C15" s="55">
        <f>SEARCH("is","India is my country",1)</f>
        <v>7</v>
      </c>
    </row>
    <row r="16" spans="1:3" x14ac:dyDescent="0.25">
      <c r="A16" s="53" t="s">
        <v>534</v>
      </c>
      <c r="B16" s="54" t="s">
        <v>535</v>
      </c>
      <c r="C16" s="55" t="str">
        <f>REPLACE("India is my country",C15,2,"was")</f>
        <v>India was my country</v>
      </c>
    </row>
    <row r="17" spans="1:6" x14ac:dyDescent="0.25">
      <c r="A17" s="53" t="s">
        <v>470</v>
      </c>
      <c r="B17" s="54" t="s">
        <v>471</v>
      </c>
      <c r="C17" s="55" t="str">
        <f>TEXT(C1,"$###.00")</f>
        <v>$101.00</v>
      </c>
    </row>
    <row r="20" spans="1:6" x14ac:dyDescent="0.25">
      <c r="A20" s="52" t="s">
        <v>536</v>
      </c>
      <c r="B20" s="52" t="s">
        <v>450</v>
      </c>
      <c r="C20" s="52" t="s">
        <v>451</v>
      </c>
    </row>
    <row r="21" spans="1:6" x14ac:dyDescent="0.25">
      <c r="A21" s="53" t="s">
        <v>537</v>
      </c>
      <c r="B21" s="54" t="s">
        <v>538</v>
      </c>
      <c r="C21" s="55">
        <f>ABS(-25)</f>
        <v>25</v>
      </c>
    </row>
    <row r="22" spans="1:6" x14ac:dyDescent="0.25">
      <c r="A22" s="53" t="s">
        <v>539</v>
      </c>
      <c r="B22" s="54" t="s">
        <v>540</v>
      </c>
      <c r="C22" s="55">
        <f>INT(1236.76)</f>
        <v>1236</v>
      </c>
    </row>
    <row r="23" spans="1:6" x14ac:dyDescent="0.25">
      <c r="A23" s="53" t="s">
        <v>541</v>
      </c>
      <c r="B23" s="54" t="s">
        <v>542</v>
      </c>
      <c r="C23" s="55">
        <f>MOD(15,4)</f>
        <v>3</v>
      </c>
    </row>
    <row r="24" spans="1:6" x14ac:dyDescent="0.25">
      <c r="A24" s="53" t="s">
        <v>543</v>
      </c>
      <c r="B24" s="54" t="s">
        <v>544</v>
      </c>
      <c r="C24" s="55">
        <f>SQRT(81)</f>
        <v>9</v>
      </c>
    </row>
    <row r="25" spans="1:6" x14ac:dyDescent="0.25">
      <c r="A25" s="53" t="s">
        <v>545</v>
      </c>
      <c r="B25" s="54" t="s">
        <v>546</v>
      </c>
      <c r="C25" s="55">
        <f>POWER(2,3)</f>
        <v>8</v>
      </c>
    </row>
    <row r="26" spans="1:6" x14ac:dyDescent="0.25">
      <c r="A26" s="53" t="s">
        <v>547</v>
      </c>
      <c r="B26" s="54" t="s">
        <v>548</v>
      </c>
      <c r="C26" s="55">
        <f>ROUND(1236.5678,2)</f>
        <v>1236.57</v>
      </c>
    </row>
    <row r="27" spans="1:6" x14ac:dyDescent="0.25">
      <c r="A27" s="53" t="s">
        <v>549</v>
      </c>
      <c r="B27" s="54" t="s">
        <v>550</v>
      </c>
      <c r="C27" s="55">
        <f>TRUNC(1236.5678,2)</f>
        <v>1236.56</v>
      </c>
    </row>
    <row r="30" spans="1:6" x14ac:dyDescent="0.25">
      <c r="A30" s="52" t="s">
        <v>551</v>
      </c>
      <c r="B30" s="52" t="s">
        <v>450</v>
      </c>
      <c r="C30" s="52" t="s">
        <v>451</v>
      </c>
    </row>
    <row r="31" spans="1:6" x14ac:dyDescent="0.25">
      <c r="A31" s="53" t="s">
        <v>552</v>
      </c>
      <c r="B31" s="54" t="s">
        <v>553</v>
      </c>
      <c r="C31" s="55">
        <f>COUNTA(E31:E34)</f>
        <v>3</v>
      </c>
      <c r="E31" s="54">
        <v>12</v>
      </c>
      <c r="F31" s="54">
        <v>10</v>
      </c>
    </row>
    <row r="32" spans="1:6" x14ac:dyDescent="0.25">
      <c r="A32" s="53" t="s">
        <v>554</v>
      </c>
      <c r="B32" s="54" t="s">
        <v>555</v>
      </c>
      <c r="C32" s="55">
        <f>COUNTBLANK(E31:E34)</f>
        <v>1</v>
      </c>
      <c r="E32" s="54" t="s">
        <v>556</v>
      </c>
      <c r="F32" s="54">
        <v>20</v>
      </c>
    </row>
    <row r="33" spans="1:6" x14ac:dyDescent="0.25">
      <c r="A33" s="53" t="s">
        <v>557</v>
      </c>
      <c r="B33" s="54" t="s">
        <v>558</v>
      </c>
      <c r="C33" s="55">
        <f>SMALL(F31:F35,2)</f>
        <v>20</v>
      </c>
      <c r="E33" s="54" t="s">
        <v>559</v>
      </c>
      <c r="F33" s="54">
        <v>30</v>
      </c>
    </row>
    <row r="34" spans="1:6" x14ac:dyDescent="0.25">
      <c r="A34" s="53" t="s">
        <v>560</v>
      </c>
      <c r="B34" s="54" t="s">
        <v>561</v>
      </c>
      <c r="C34" s="55">
        <f>LARGE(F31:F35,2)</f>
        <v>40</v>
      </c>
      <c r="E34" s="54"/>
      <c r="F34" s="54">
        <v>40</v>
      </c>
    </row>
    <row r="35" spans="1:6" x14ac:dyDescent="0.25">
      <c r="E35" s="54"/>
      <c r="F35" s="54">
        <v>50</v>
      </c>
    </row>
    <row r="37" spans="1:6" x14ac:dyDescent="0.25">
      <c r="A37" s="52" t="s">
        <v>562</v>
      </c>
      <c r="B37" s="52" t="s">
        <v>450</v>
      </c>
      <c r="C37" s="52" t="s">
        <v>451</v>
      </c>
    </row>
    <row r="38" spans="1:6" x14ac:dyDescent="0.25">
      <c r="A38" s="53" t="s">
        <v>472</v>
      </c>
      <c r="B38" s="54" t="s">
        <v>563</v>
      </c>
      <c r="C38" s="56">
        <f>DATE(2004,1,14)</f>
        <v>38000</v>
      </c>
    </row>
    <row r="39" spans="1:6" x14ac:dyDescent="0.25">
      <c r="A39" s="53" t="s">
        <v>564</v>
      </c>
      <c r="B39" s="54" t="s">
        <v>565</v>
      </c>
      <c r="C39" s="56">
        <f ca="1">TODAY()</f>
        <v>45495</v>
      </c>
    </row>
    <row r="40" spans="1:6" x14ac:dyDescent="0.25">
      <c r="A40" s="53" t="s">
        <v>566</v>
      </c>
      <c r="B40" s="54" t="s">
        <v>567</v>
      </c>
      <c r="C40" s="57">
        <f ca="1">NOW()</f>
        <v>45495.725954629626</v>
      </c>
    </row>
    <row r="41" spans="1:6" x14ac:dyDescent="0.25">
      <c r="A41" s="53" t="s">
        <v>568</v>
      </c>
      <c r="B41" s="54" t="s">
        <v>569</v>
      </c>
      <c r="C41" s="55">
        <f ca="1">DAY(TODAY())</f>
        <v>22</v>
      </c>
    </row>
    <row r="42" spans="1:6" x14ac:dyDescent="0.25">
      <c r="A42" s="53" t="s">
        <v>473</v>
      </c>
      <c r="B42" s="54" t="s">
        <v>570</v>
      </c>
      <c r="C42" s="55">
        <f ca="1">MONTH(TODAY())</f>
        <v>7</v>
      </c>
    </row>
    <row r="43" spans="1:6" x14ac:dyDescent="0.25">
      <c r="A43" s="53" t="s">
        <v>474</v>
      </c>
      <c r="B43" s="54" t="s">
        <v>571</v>
      </c>
      <c r="C43" s="55">
        <f ca="1">YEAR(TODAY())</f>
        <v>2024</v>
      </c>
    </row>
    <row r="44" spans="1:6" x14ac:dyDescent="0.25">
      <c r="A44" s="53" t="s">
        <v>572</v>
      </c>
      <c r="B44" s="54" t="s">
        <v>573</v>
      </c>
      <c r="C44" s="58">
        <f>TIME(12,30,45)</f>
        <v>0.52135416666666667</v>
      </c>
    </row>
    <row r="45" spans="1:6" x14ac:dyDescent="0.25">
      <c r="A45" s="53" t="s">
        <v>574</v>
      </c>
      <c r="B45" s="54" t="s">
        <v>575</v>
      </c>
      <c r="C45" s="55">
        <f>HOUR(C44)</f>
        <v>12</v>
      </c>
    </row>
    <row r="46" spans="1:6" x14ac:dyDescent="0.25">
      <c r="A46" s="53" t="s">
        <v>576</v>
      </c>
      <c r="B46" s="54" t="s">
        <v>577</v>
      </c>
      <c r="C46" s="55">
        <f>MINUTE(C44)</f>
        <v>30</v>
      </c>
    </row>
    <row r="47" spans="1:6" x14ac:dyDescent="0.25">
      <c r="A47" s="53" t="s">
        <v>578</v>
      </c>
      <c r="B47" s="54" t="s">
        <v>579</v>
      </c>
      <c r="C47" s="55">
        <f>SECOND(C44)</f>
        <v>45</v>
      </c>
    </row>
    <row r="48" spans="1:6" x14ac:dyDescent="0.25">
      <c r="A48" s="53" t="s">
        <v>580</v>
      </c>
      <c r="B48" s="54" t="s">
        <v>581</v>
      </c>
      <c r="C48" s="55" t="str">
        <f ca="1">TEXT(WEEKDAY(TODAY()),"dddd")</f>
        <v>Monday</v>
      </c>
    </row>
    <row r="51" spans="1:5" x14ac:dyDescent="0.25">
      <c r="A51" s="52" t="s">
        <v>582</v>
      </c>
      <c r="B51" s="52" t="s">
        <v>450</v>
      </c>
      <c r="C51" s="52" t="s">
        <v>451</v>
      </c>
      <c r="E51" s="59"/>
    </row>
    <row r="52" spans="1:5" x14ac:dyDescent="0.25">
      <c r="A52" s="53" t="s">
        <v>583</v>
      </c>
      <c r="B52" s="54" t="s">
        <v>584</v>
      </c>
      <c r="C52" s="55" t="str">
        <f>IF(ISBLANK(D52),"Blank cell", D52)</f>
        <v>Blank cell</v>
      </c>
      <c r="E52" s="54" t="s">
        <v>585</v>
      </c>
    </row>
    <row r="53" spans="1:5" x14ac:dyDescent="0.25">
      <c r="A53" s="53" t="s">
        <v>586</v>
      </c>
      <c r="B53" s="54" t="s">
        <v>587</v>
      </c>
      <c r="C53" s="55" t="str">
        <f>IF(ISERROR(E55),"Error data",E55)</f>
        <v>#NA</v>
      </c>
      <c r="E53" s="54" t="s">
        <v>588</v>
      </c>
    </row>
    <row r="54" spans="1:5" x14ac:dyDescent="0.25">
      <c r="A54" s="53" t="s">
        <v>589</v>
      </c>
      <c r="B54" s="54" t="s">
        <v>590</v>
      </c>
      <c r="C54" s="55">
        <f>IF(ISNUMBER(E56),E56,"Not a number")</f>
        <v>450.75</v>
      </c>
      <c r="E54" s="54" t="s">
        <v>591</v>
      </c>
    </row>
    <row r="55" spans="1:5" x14ac:dyDescent="0.25">
      <c r="A55" s="53" t="s">
        <v>592</v>
      </c>
      <c r="B55" s="54" t="s">
        <v>593</v>
      </c>
      <c r="C55" s="55" t="str">
        <f>IF(ISTEXT(E52),E52,"Not text data")</f>
        <v>apple</v>
      </c>
      <c r="E55" s="54" t="s">
        <v>594</v>
      </c>
    </row>
    <row r="56" spans="1:5" x14ac:dyDescent="0.25">
      <c r="E56" s="54">
        <v>450.75</v>
      </c>
    </row>
  </sheetData>
  <pageMargins left="0.75" right="0.75" top="1" bottom="1" header="0.5" footer="0.5"/>
  <headerFooter alignWithMargins="0"/>
  <customProperties>
    <customPr name="LastActive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2"/>
  <sheetViews>
    <sheetView showGridLines="0" workbookViewId="0">
      <selection activeCell="H22" sqref="H22"/>
    </sheetView>
  </sheetViews>
  <sheetFormatPr defaultColWidth="9.109375" defaultRowHeight="13.2" x14ac:dyDescent="0.25"/>
  <cols>
    <col min="1" max="1" width="64.109375" style="13" customWidth="1"/>
    <col min="2" max="2" width="25.44140625" style="2" bestFit="1" customWidth="1"/>
    <col min="3" max="16384" width="9.109375" style="1"/>
  </cols>
  <sheetData>
    <row r="1" spans="1:2" ht="24.6" x14ac:dyDescent="0.4">
      <c r="A1" s="11" t="s">
        <v>199</v>
      </c>
      <c r="B1" s="12"/>
    </row>
    <row r="2" spans="1:2" ht="12.75" customHeight="1" x14ac:dyDescent="0.4">
      <c r="A2" s="11"/>
      <c r="B2" s="12"/>
    </row>
    <row r="3" spans="1:2" ht="12.75" customHeight="1" x14ac:dyDescent="0.25"/>
    <row r="5" spans="1:2" x14ac:dyDescent="0.25">
      <c r="A5" s="14" t="s">
        <v>200</v>
      </c>
      <c r="B5" s="15"/>
    </row>
    <row r="6" spans="1:2" x14ac:dyDescent="0.25">
      <c r="A6" s="16"/>
      <c r="B6" s="17"/>
    </row>
    <row r="7" spans="1:2" ht="26.4" x14ac:dyDescent="0.25">
      <c r="A7" s="16" t="s">
        <v>201</v>
      </c>
      <c r="B7" s="17" t="s">
        <v>202</v>
      </c>
    </row>
    <row r="8" spans="1:2" x14ac:dyDescent="0.25">
      <c r="A8" s="16" t="s">
        <v>203</v>
      </c>
      <c r="B8" s="17" t="s">
        <v>204</v>
      </c>
    </row>
    <row r="9" spans="1:2" ht="26.4" x14ac:dyDescent="0.25">
      <c r="A9" s="16" t="s">
        <v>205</v>
      </c>
      <c r="B9" s="17" t="s">
        <v>206</v>
      </c>
    </row>
    <row r="10" spans="1:2" x14ac:dyDescent="0.25">
      <c r="A10" s="16" t="s">
        <v>207</v>
      </c>
      <c r="B10" s="17" t="s">
        <v>208</v>
      </c>
    </row>
    <row r="11" spans="1:2" x14ac:dyDescent="0.25">
      <c r="A11" s="16" t="s">
        <v>209</v>
      </c>
      <c r="B11" s="17" t="s">
        <v>210</v>
      </c>
    </row>
    <row r="12" spans="1:2" ht="26.4" x14ac:dyDescent="0.25">
      <c r="A12" s="16" t="s">
        <v>211</v>
      </c>
      <c r="B12" s="17" t="s">
        <v>212</v>
      </c>
    </row>
    <row r="13" spans="1:2" x14ac:dyDescent="0.25">
      <c r="A13" s="16" t="s">
        <v>213</v>
      </c>
      <c r="B13" s="17" t="s">
        <v>214</v>
      </c>
    </row>
    <row r="14" spans="1:2" x14ac:dyDescent="0.25">
      <c r="A14" s="16" t="s">
        <v>215</v>
      </c>
      <c r="B14" s="17" t="s">
        <v>216</v>
      </c>
    </row>
    <row r="15" spans="1:2" x14ac:dyDescent="0.25">
      <c r="A15" s="16" t="s">
        <v>217</v>
      </c>
      <c r="B15" s="17" t="s">
        <v>218</v>
      </c>
    </row>
    <row r="16" spans="1:2" x14ac:dyDescent="0.25">
      <c r="A16" s="16" t="s">
        <v>219</v>
      </c>
      <c r="B16" s="17" t="s">
        <v>220</v>
      </c>
    </row>
    <row r="17" spans="1:2" x14ac:dyDescent="0.25">
      <c r="A17" s="16" t="s">
        <v>221</v>
      </c>
      <c r="B17" s="17" t="s">
        <v>222</v>
      </c>
    </row>
    <row r="18" spans="1:2" x14ac:dyDescent="0.25">
      <c r="A18" s="16" t="s">
        <v>223</v>
      </c>
      <c r="B18" s="17" t="s">
        <v>224</v>
      </c>
    </row>
    <row r="19" spans="1:2" x14ac:dyDescent="0.25">
      <c r="A19" s="16" t="s">
        <v>225</v>
      </c>
      <c r="B19" s="17" t="s">
        <v>226</v>
      </c>
    </row>
    <row r="20" spans="1:2" ht="26.4" x14ac:dyDescent="0.25">
      <c r="A20" s="16" t="s">
        <v>227</v>
      </c>
      <c r="B20" s="17" t="s">
        <v>228</v>
      </c>
    </row>
    <row r="21" spans="1:2" x14ac:dyDescent="0.25">
      <c r="A21" s="16" t="s">
        <v>229</v>
      </c>
      <c r="B21" s="17" t="s">
        <v>230</v>
      </c>
    </row>
    <row r="22" spans="1:2" x14ac:dyDescent="0.25">
      <c r="A22" s="16" t="s">
        <v>231</v>
      </c>
      <c r="B22" s="17" t="s">
        <v>232</v>
      </c>
    </row>
    <row r="23" spans="1:2" x14ac:dyDescent="0.25">
      <c r="A23" s="16" t="s">
        <v>233</v>
      </c>
      <c r="B23" s="17" t="s">
        <v>234</v>
      </c>
    </row>
    <row r="24" spans="1:2" ht="26.4" x14ac:dyDescent="0.25">
      <c r="A24" s="16" t="s">
        <v>205</v>
      </c>
      <c r="B24" s="17" t="s">
        <v>235</v>
      </c>
    </row>
    <row r="25" spans="1:2" ht="26.4" x14ac:dyDescent="0.25">
      <c r="A25" s="16" t="s">
        <v>211</v>
      </c>
      <c r="B25" s="17" t="s">
        <v>236</v>
      </c>
    </row>
    <row r="26" spans="1:2" ht="39.6" x14ac:dyDescent="0.25">
      <c r="A26" s="16" t="s">
        <v>237</v>
      </c>
      <c r="B26" s="17" t="s">
        <v>238</v>
      </c>
    </row>
    <row r="27" spans="1:2" x14ac:dyDescent="0.25">
      <c r="A27" s="16" t="s">
        <v>239</v>
      </c>
      <c r="B27" s="17" t="s">
        <v>232</v>
      </c>
    </row>
    <row r="28" spans="1:2" x14ac:dyDescent="0.25">
      <c r="A28" s="16" t="s">
        <v>240</v>
      </c>
      <c r="B28" s="17" t="s">
        <v>241</v>
      </c>
    </row>
    <row r="29" spans="1:2" x14ac:dyDescent="0.25">
      <c r="A29" s="16" t="s">
        <v>242</v>
      </c>
      <c r="B29" s="17" t="s">
        <v>243</v>
      </c>
    </row>
    <row r="30" spans="1:2" x14ac:dyDescent="0.25">
      <c r="A30" s="16" t="s">
        <v>244</v>
      </c>
      <c r="B30" s="17" t="s">
        <v>245</v>
      </c>
    </row>
    <row r="31" spans="1:2" x14ac:dyDescent="0.25">
      <c r="A31" s="16" t="s">
        <v>246</v>
      </c>
      <c r="B31" s="17" t="s">
        <v>208</v>
      </c>
    </row>
    <row r="32" spans="1:2" x14ac:dyDescent="0.25">
      <c r="A32" s="18" t="s">
        <v>247</v>
      </c>
      <c r="B32" s="19" t="s">
        <v>248</v>
      </c>
    </row>
    <row r="33" spans="1:2" x14ac:dyDescent="0.25">
      <c r="A33" s="20"/>
      <c r="B33" s="21"/>
    </row>
    <row r="34" spans="1:2" x14ac:dyDescent="0.25">
      <c r="A34" s="22"/>
      <c r="B34" s="23"/>
    </row>
    <row r="35" spans="1:2" x14ac:dyDescent="0.25">
      <c r="A35" s="24" t="s">
        <v>249</v>
      </c>
      <c r="B35" s="15"/>
    </row>
    <row r="36" spans="1:2" x14ac:dyDescent="0.25">
      <c r="A36" s="16"/>
      <c r="B36" s="17"/>
    </row>
    <row r="37" spans="1:2" ht="26.4" x14ac:dyDescent="0.25">
      <c r="A37" s="16" t="s">
        <v>201</v>
      </c>
      <c r="B37" s="17" t="s">
        <v>202</v>
      </c>
    </row>
    <row r="38" spans="1:2" x14ac:dyDescent="0.25">
      <c r="A38" s="16" t="s">
        <v>250</v>
      </c>
      <c r="B38" s="17" t="s">
        <v>251</v>
      </c>
    </row>
    <row r="39" spans="1:2" x14ac:dyDescent="0.25">
      <c r="A39" s="16" t="s">
        <v>252</v>
      </c>
      <c r="B39" s="17" t="s">
        <v>253</v>
      </c>
    </row>
    <row r="40" spans="1:2" ht="39.6" x14ac:dyDescent="0.25">
      <c r="A40" s="16" t="s">
        <v>254</v>
      </c>
      <c r="B40" s="17" t="s">
        <v>255</v>
      </c>
    </row>
    <row r="41" spans="1:2" ht="39.6" x14ac:dyDescent="0.25">
      <c r="A41" s="16" t="s">
        <v>256</v>
      </c>
      <c r="B41" s="17" t="s">
        <v>257</v>
      </c>
    </row>
    <row r="42" spans="1:2" x14ac:dyDescent="0.25">
      <c r="A42" s="16" t="s">
        <v>258</v>
      </c>
      <c r="B42" s="17" t="s">
        <v>259</v>
      </c>
    </row>
    <row r="43" spans="1:2" ht="26.4" x14ac:dyDescent="0.25">
      <c r="A43" s="16" t="s">
        <v>260</v>
      </c>
      <c r="B43" s="17" t="s">
        <v>261</v>
      </c>
    </row>
    <row r="44" spans="1:2" x14ac:dyDescent="0.25">
      <c r="A44" s="16" t="s">
        <v>262</v>
      </c>
      <c r="B44" s="17" t="s">
        <v>263</v>
      </c>
    </row>
    <row r="45" spans="1:2" x14ac:dyDescent="0.25">
      <c r="A45" s="16" t="s">
        <v>264</v>
      </c>
      <c r="B45" s="17" t="s">
        <v>265</v>
      </c>
    </row>
    <row r="46" spans="1:2" x14ac:dyDescent="0.25">
      <c r="A46" s="18" t="s">
        <v>266</v>
      </c>
      <c r="B46" s="19" t="s">
        <v>267</v>
      </c>
    </row>
    <row r="47" spans="1:2" x14ac:dyDescent="0.25">
      <c r="A47" s="20"/>
      <c r="B47" s="21"/>
    </row>
    <row r="48" spans="1:2" x14ac:dyDescent="0.25">
      <c r="A48" s="22"/>
      <c r="B48" s="23"/>
    </row>
    <row r="49" spans="1:2" x14ac:dyDescent="0.25">
      <c r="A49" s="24" t="s">
        <v>268</v>
      </c>
      <c r="B49" s="15"/>
    </row>
    <row r="50" spans="1:2" x14ac:dyDescent="0.25">
      <c r="A50" s="16"/>
      <c r="B50" s="17"/>
    </row>
    <row r="51" spans="1:2" x14ac:dyDescent="0.25">
      <c r="A51" s="16" t="s">
        <v>269</v>
      </c>
      <c r="B51" s="17" t="s">
        <v>270</v>
      </c>
    </row>
    <row r="52" spans="1:2" x14ac:dyDescent="0.25">
      <c r="A52" s="16" t="s">
        <v>271</v>
      </c>
      <c r="B52" s="17" t="s">
        <v>272</v>
      </c>
    </row>
    <row r="53" spans="1:2" x14ac:dyDescent="0.25">
      <c r="A53" s="16" t="s">
        <v>273</v>
      </c>
      <c r="B53" s="17" t="s">
        <v>274</v>
      </c>
    </row>
    <row r="54" spans="1:2" x14ac:dyDescent="0.25">
      <c r="A54" s="16" t="s">
        <v>275</v>
      </c>
      <c r="B54" s="17" t="s">
        <v>276</v>
      </c>
    </row>
    <row r="55" spans="1:2" x14ac:dyDescent="0.25">
      <c r="A55" s="16" t="s">
        <v>277</v>
      </c>
      <c r="B55" s="17" t="s">
        <v>278</v>
      </c>
    </row>
    <row r="56" spans="1:2" x14ac:dyDescent="0.25">
      <c r="A56" s="16" t="s">
        <v>279</v>
      </c>
      <c r="B56" s="17" t="s">
        <v>280</v>
      </c>
    </row>
    <row r="57" spans="1:2" x14ac:dyDescent="0.25">
      <c r="A57" s="16" t="s">
        <v>281</v>
      </c>
      <c r="B57" s="17" t="s">
        <v>282</v>
      </c>
    </row>
    <row r="58" spans="1:2" x14ac:dyDescent="0.25">
      <c r="A58" s="16" t="s">
        <v>283</v>
      </c>
      <c r="B58" s="17" t="s">
        <v>284</v>
      </c>
    </row>
    <row r="59" spans="1:2" x14ac:dyDescent="0.25">
      <c r="A59" s="16" t="s">
        <v>285</v>
      </c>
      <c r="B59" s="17" t="s">
        <v>286</v>
      </c>
    </row>
    <row r="60" spans="1:2" x14ac:dyDescent="0.25">
      <c r="A60" s="16" t="s">
        <v>287</v>
      </c>
      <c r="B60" s="17" t="s">
        <v>288</v>
      </c>
    </row>
    <row r="61" spans="1:2" x14ac:dyDescent="0.25">
      <c r="A61" s="16" t="s">
        <v>289</v>
      </c>
      <c r="B61" s="17" t="s">
        <v>290</v>
      </c>
    </row>
    <row r="62" spans="1:2" x14ac:dyDescent="0.25">
      <c r="A62" s="16" t="s">
        <v>291</v>
      </c>
      <c r="B62" s="17" t="s">
        <v>292</v>
      </c>
    </row>
    <row r="63" spans="1:2" x14ac:dyDescent="0.25">
      <c r="A63" s="16" t="s">
        <v>293</v>
      </c>
      <c r="B63" s="17" t="s">
        <v>294</v>
      </c>
    </row>
    <row r="64" spans="1:2" x14ac:dyDescent="0.25">
      <c r="A64" s="16" t="s">
        <v>295</v>
      </c>
      <c r="B64" s="17" t="s">
        <v>296</v>
      </c>
    </row>
    <row r="65" spans="1:2" x14ac:dyDescent="0.25">
      <c r="A65" s="16" t="s">
        <v>297</v>
      </c>
      <c r="B65" s="17" t="s">
        <v>298</v>
      </c>
    </row>
    <row r="66" spans="1:2" x14ac:dyDescent="0.25">
      <c r="A66" s="16" t="s">
        <v>299</v>
      </c>
      <c r="B66" s="17" t="s">
        <v>300</v>
      </c>
    </row>
    <row r="67" spans="1:2" x14ac:dyDescent="0.25">
      <c r="A67" s="16" t="s">
        <v>301</v>
      </c>
      <c r="B67" s="17" t="s">
        <v>302</v>
      </c>
    </row>
    <row r="68" spans="1:2" x14ac:dyDescent="0.25">
      <c r="A68" s="16" t="s">
        <v>231</v>
      </c>
      <c r="B68" s="17" t="s">
        <v>232</v>
      </c>
    </row>
    <row r="69" spans="1:2" x14ac:dyDescent="0.25">
      <c r="A69" s="16" t="s">
        <v>233</v>
      </c>
      <c r="B69" s="17" t="s">
        <v>234</v>
      </c>
    </row>
    <row r="70" spans="1:2" x14ac:dyDescent="0.25">
      <c r="A70" s="16" t="s">
        <v>303</v>
      </c>
      <c r="B70" s="17" t="s">
        <v>304</v>
      </c>
    </row>
    <row r="71" spans="1:2" x14ac:dyDescent="0.25">
      <c r="A71" s="16" t="s">
        <v>279</v>
      </c>
      <c r="B71" s="17" t="s">
        <v>305</v>
      </c>
    </row>
    <row r="72" spans="1:2" x14ac:dyDescent="0.25">
      <c r="A72" s="16" t="s">
        <v>306</v>
      </c>
      <c r="B72" s="17" t="s">
        <v>307</v>
      </c>
    </row>
    <row r="73" spans="1:2" x14ac:dyDescent="0.25">
      <c r="A73" s="16" t="s">
        <v>308</v>
      </c>
      <c r="B73" s="17" t="s">
        <v>232</v>
      </c>
    </row>
    <row r="74" spans="1:2" x14ac:dyDescent="0.25">
      <c r="A74" s="16" t="s">
        <v>240</v>
      </c>
      <c r="B74" s="17" t="s">
        <v>241</v>
      </c>
    </row>
    <row r="75" spans="1:2" x14ac:dyDescent="0.25">
      <c r="A75" s="16" t="s">
        <v>309</v>
      </c>
      <c r="B75" s="17" t="s">
        <v>276</v>
      </c>
    </row>
    <row r="76" spans="1:2" x14ac:dyDescent="0.25">
      <c r="A76" s="16" t="s">
        <v>310</v>
      </c>
      <c r="B76" s="17" t="s">
        <v>234</v>
      </c>
    </row>
    <row r="77" spans="1:2" x14ac:dyDescent="0.25">
      <c r="A77" s="16" t="s">
        <v>311</v>
      </c>
      <c r="B77" s="17" t="s">
        <v>312</v>
      </c>
    </row>
    <row r="78" spans="1:2" x14ac:dyDescent="0.25">
      <c r="A78" s="18" t="s">
        <v>313</v>
      </c>
      <c r="B78" s="19" t="s">
        <v>314</v>
      </c>
    </row>
    <row r="79" spans="1:2" x14ac:dyDescent="0.25">
      <c r="A79" s="25"/>
      <c r="B79" s="26"/>
    </row>
    <row r="80" spans="1:2" x14ac:dyDescent="0.25">
      <c r="A80" s="24" t="s">
        <v>315</v>
      </c>
      <c r="B80" s="15"/>
    </row>
    <row r="81" spans="1:2" x14ac:dyDescent="0.25">
      <c r="A81" s="16"/>
      <c r="B81" s="17"/>
    </row>
    <row r="82" spans="1:2" x14ac:dyDescent="0.25">
      <c r="A82" s="16" t="s">
        <v>316</v>
      </c>
      <c r="B82" s="17" t="s">
        <v>317</v>
      </c>
    </row>
    <row r="83" spans="1:2" x14ac:dyDescent="0.25">
      <c r="A83" s="16" t="s">
        <v>318</v>
      </c>
      <c r="B83" s="17" t="s">
        <v>319</v>
      </c>
    </row>
    <row r="84" spans="1:2" x14ac:dyDescent="0.25">
      <c r="A84" s="16" t="s">
        <v>320</v>
      </c>
      <c r="B84" s="17" t="s">
        <v>321</v>
      </c>
    </row>
    <row r="85" spans="1:2" ht="26.4" x14ac:dyDescent="0.25">
      <c r="A85" s="16" t="s">
        <v>322</v>
      </c>
      <c r="B85" s="17" t="s">
        <v>323</v>
      </c>
    </row>
    <row r="86" spans="1:2" x14ac:dyDescent="0.25">
      <c r="A86" s="16" t="s">
        <v>324</v>
      </c>
      <c r="B86" s="17" t="s">
        <v>325</v>
      </c>
    </row>
    <row r="87" spans="1:2" x14ac:dyDescent="0.25">
      <c r="A87" s="16" t="s">
        <v>326</v>
      </c>
      <c r="B87" s="17" t="s">
        <v>327</v>
      </c>
    </row>
    <row r="88" spans="1:2" x14ac:dyDescent="0.25">
      <c r="A88" s="16" t="s">
        <v>328</v>
      </c>
      <c r="B88" s="17" t="s">
        <v>329</v>
      </c>
    </row>
    <row r="89" spans="1:2" x14ac:dyDescent="0.25">
      <c r="A89" s="16" t="s">
        <v>330</v>
      </c>
      <c r="B89" s="17" t="s">
        <v>331</v>
      </c>
    </row>
    <row r="90" spans="1:2" ht="26.4" x14ac:dyDescent="0.25">
      <c r="A90" s="16" t="s">
        <v>332</v>
      </c>
      <c r="B90" s="17" t="s">
        <v>333</v>
      </c>
    </row>
    <row r="91" spans="1:2" x14ac:dyDescent="0.25">
      <c r="A91" s="16" t="s">
        <v>334</v>
      </c>
      <c r="B91" s="17" t="s">
        <v>335</v>
      </c>
    </row>
    <row r="92" spans="1:2" x14ac:dyDescent="0.25">
      <c r="A92" s="16" t="s">
        <v>336</v>
      </c>
      <c r="B92" s="17" t="s">
        <v>337</v>
      </c>
    </row>
    <row r="93" spans="1:2" x14ac:dyDescent="0.25">
      <c r="A93" s="16" t="s">
        <v>338</v>
      </c>
      <c r="B93" s="17" t="s">
        <v>339</v>
      </c>
    </row>
    <row r="94" spans="1:2" x14ac:dyDescent="0.25">
      <c r="A94" s="16" t="s">
        <v>340</v>
      </c>
      <c r="B94" s="17" t="s">
        <v>341</v>
      </c>
    </row>
    <row r="95" spans="1:2" x14ac:dyDescent="0.25">
      <c r="A95" s="16" t="s">
        <v>342</v>
      </c>
      <c r="B95" s="17" t="s">
        <v>343</v>
      </c>
    </row>
    <row r="96" spans="1:2" x14ac:dyDescent="0.25">
      <c r="A96" s="16" t="s">
        <v>344</v>
      </c>
      <c r="B96" s="17" t="s">
        <v>345</v>
      </c>
    </row>
    <row r="97" spans="1:2" x14ac:dyDescent="0.25">
      <c r="A97" s="16" t="s">
        <v>346</v>
      </c>
      <c r="B97" s="17" t="s">
        <v>347</v>
      </c>
    </row>
    <row r="98" spans="1:2" x14ac:dyDescent="0.25">
      <c r="A98" s="16" t="s">
        <v>348</v>
      </c>
      <c r="B98" s="17" t="s">
        <v>349</v>
      </c>
    </row>
    <row r="99" spans="1:2" x14ac:dyDescent="0.25">
      <c r="A99" s="16" t="s">
        <v>350</v>
      </c>
      <c r="B99" s="17" t="s">
        <v>351</v>
      </c>
    </row>
    <row r="100" spans="1:2" x14ac:dyDescent="0.25">
      <c r="A100" s="18" t="s">
        <v>352</v>
      </c>
      <c r="B100" s="19" t="s">
        <v>353</v>
      </c>
    </row>
    <row r="101" spans="1:2" x14ac:dyDescent="0.25">
      <c r="A101" s="20"/>
      <c r="B101" s="21"/>
    </row>
    <row r="102" spans="1:2" x14ac:dyDescent="0.25">
      <c r="A102" s="22"/>
      <c r="B102" s="23"/>
    </row>
    <row r="103" spans="1:2" x14ac:dyDescent="0.25">
      <c r="A103" s="24" t="s">
        <v>354</v>
      </c>
      <c r="B103" s="15"/>
    </row>
    <row r="104" spans="1:2" x14ac:dyDescent="0.25">
      <c r="A104" s="16"/>
      <c r="B104" s="17"/>
    </row>
    <row r="105" spans="1:2" x14ac:dyDescent="0.25">
      <c r="A105" s="16" t="s">
        <v>355</v>
      </c>
      <c r="B105" s="17" t="s">
        <v>356</v>
      </c>
    </row>
    <row r="106" spans="1:2" x14ac:dyDescent="0.25">
      <c r="A106" s="16" t="s">
        <v>357</v>
      </c>
      <c r="B106" s="17" t="s">
        <v>358</v>
      </c>
    </row>
    <row r="107" spans="1:2" x14ac:dyDescent="0.25">
      <c r="A107" s="16" t="s">
        <v>359</v>
      </c>
      <c r="B107" s="17" t="s">
        <v>360</v>
      </c>
    </row>
    <row r="108" spans="1:2" x14ac:dyDescent="0.25">
      <c r="A108" s="16" t="s">
        <v>361</v>
      </c>
      <c r="B108" s="17" t="s">
        <v>362</v>
      </c>
    </row>
    <row r="109" spans="1:2" x14ac:dyDescent="0.25">
      <c r="A109" s="18" t="s">
        <v>363</v>
      </c>
      <c r="B109" s="19" t="s">
        <v>364</v>
      </c>
    </row>
    <row r="110" spans="1:2" x14ac:dyDescent="0.25">
      <c r="A110" s="20"/>
      <c r="B110" s="21"/>
    </row>
    <row r="111" spans="1:2" x14ac:dyDescent="0.25">
      <c r="A111" s="22"/>
      <c r="B111" s="23"/>
    </row>
    <row r="112" spans="1:2" x14ac:dyDescent="0.25">
      <c r="A112" s="24" t="s">
        <v>365</v>
      </c>
      <c r="B112" s="15"/>
    </row>
    <row r="113" spans="1:2" x14ac:dyDescent="0.25">
      <c r="A113" s="16"/>
      <c r="B113" s="17"/>
    </row>
    <row r="114" spans="1:2" x14ac:dyDescent="0.25">
      <c r="A114" s="16" t="s">
        <v>366</v>
      </c>
      <c r="B114" s="17" t="s">
        <v>367</v>
      </c>
    </row>
    <row r="115" spans="1:2" x14ac:dyDescent="0.25">
      <c r="A115" s="16" t="s">
        <v>368</v>
      </c>
      <c r="B115" s="17" t="s">
        <v>369</v>
      </c>
    </row>
    <row r="116" spans="1:2" x14ac:dyDescent="0.25">
      <c r="A116" s="16" t="s">
        <v>370</v>
      </c>
      <c r="B116" s="17" t="s">
        <v>371</v>
      </c>
    </row>
    <row r="117" spans="1:2" x14ac:dyDescent="0.25">
      <c r="A117" s="16" t="s">
        <v>372</v>
      </c>
      <c r="B117" s="17" t="s">
        <v>373</v>
      </c>
    </row>
    <row r="118" spans="1:2" ht="26.4" x14ac:dyDescent="0.25">
      <c r="A118" s="16" t="s">
        <v>374</v>
      </c>
      <c r="B118" s="17" t="s">
        <v>375</v>
      </c>
    </row>
    <row r="119" spans="1:2" x14ac:dyDescent="0.25">
      <c r="A119" s="16" t="s">
        <v>376</v>
      </c>
      <c r="B119" s="17" t="s">
        <v>377</v>
      </c>
    </row>
    <row r="120" spans="1:2" x14ac:dyDescent="0.25">
      <c r="A120" s="16" t="s">
        <v>378</v>
      </c>
      <c r="B120" s="17" t="s">
        <v>379</v>
      </c>
    </row>
    <row r="121" spans="1:2" x14ac:dyDescent="0.25">
      <c r="A121" s="18" t="s">
        <v>380</v>
      </c>
      <c r="B121" s="19" t="s">
        <v>381</v>
      </c>
    </row>
    <row r="122" spans="1:2" x14ac:dyDescent="0.25">
      <c r="A122" s="25"/>
      <c r="B122" s="26"/>
    </row>
    <row r="123" spans="1:2" x14ac:dyDescent="0.25">
      <c r="A123" s="24" t="s">
        <v>382</v>
      </c>
      <c r="B123" s="15"/>
    </row>
    <row r="124" spans="1:2" x14ac:dyDescent="0.25">
      <c r="A124" s="16"/>
      <c r="B124" s="17"/>
    </row>
    <row r="125" spans="1:2" x14ac:dyDescent="0.25">
      <c r="A125" s="16" t="s">
        <v>383</v>
      </c>
      <c r="B125" s="17" t="s">
        <v>384</v>
      </c>
    </row>
    <row r="126" spans="1:2" x14ac:dyDescent="0.25">
      <c r="A126" s="16" t="s">
        <v>385</v>
      </c>
      <c r="B126" s="17" t="s">
        <v>381</v>
      </c>
    </row>
    <row r="127" spans="1:2" ht="26.4" x14ac:dyDescent="0.25">
      <c r="A127" s="16" t="s">
        <v>386</v>
      </c>
      <c r="B127" s="17" t="s">
        <v>387</v>
      </c>
    </row>
    <row r="128" spans="1:2" x14ac:dyDescent="0.25">
      <c r="A128" s="16" t="s">
        <v>388</v>
      </c>
      <c r="B128" s="17" t="s">
        <v>389</v>
      </c>
    </row>
    <row r="129" spans="1:2" x14ac:dyDescent="0.25">
      <c r="A129" s="16" t="s">
        <v>390</v>
      </c>
      <c r="B129" s="17" t="s">
        <v>391</v>
      </c>
    </row>
    <row r="130" spans="1:2" ht="26.4" x14ac:dyDescent="0.25">
      <c r="A130" s="16" t="s">
        <v>392</v>
      </c>
      <c r="B130" s="17" t="s">
        <v>218</v>
      </c>
    </row>
    <row r="131" spans="1:2" ht="26.4" x14ac:dyDescent="0.25">
      <c r="A131" s="18" t="s">
        <v>393</v>
      </c>
      <c r="B131" s="19" t="s">
        <v>394</v>
      </c>
    </row>
    <row r="132" spans="1:2" x14ac:dyDescent="0.25">
      <c r="A132" s="20"/>
      <c r="B132" s="21"/>
    </row>
    <row r="133" spans="1:2" x14ac:dyDescent="0.25">
      <c r="A133" s="22"/>
      <c r="B133" s="23"/>
    </row>
    <row r="134" spans="1:2" x14ac:dyDescent="0.25">
      <c r="A134" s="24" t="s">
        <v>395</v>
      </c>
      <c r="B134" s="15"/>
    </row>
    <row r="135" spans="1:2" x14ac:dyDescent="0.25">
      <c r="A135" s="16"/>
      <c r="B135" s="17"/>
    </row>
    <row r="136" spans="1:2" x14ac:dyDescent="0.25">
      <c r="A136" s="16" t="s">
        <v>396</v>
      </c>
      <c r="B136" s="17" t="s">
        <v>397</v>
      </c>
    </row>
    <row r="137" spans="1:2" x14ac:dyDescent="0.25">
      <c r="A137" s="16" t="s">
        <v>398</v>
      </c>
      <c r="B137" s="17" t="s">
        <v>399</v>
      </c>
    </row>
    <row r="138" spans="1:2" x14ac:dyDescent="0.25">
      <c r="A138" s="16" t="s">
        <v>400</v>
      </c>
      <c r="B138" s="17" t="s">
        <v>401</v>
      </c>
    </row>
    <row r="139" spans="1:2" x14ac:dyDescent="0.25">
      <c r="A139" s="16" t="s">
        <v>402</v>
      </c>
      <c r="B139" s="17" t="s">
        <v>403</v>
      </c>
    </row>
    <row r="140" spans="1:2" x14ac:dyDescent="0.25">
      <c r="A140" s="16" t="s">
        <v>404</v>
      </c>
      <c r="B140" s="17" t="s">
        <v>405</v>
      </c>
    </row>
    <row r="141" spans="1:2" x14ac:dyDescent="0.25">
      <c r="A141" s="16" t="s">
        <v>406</v>
      </c>
      <c r="B141" s="17" t="s">
        <v>407</v>
      </c>
    </row>
    <row r="142" spans="1:2" x14ac:dyDescent="0.25">
      <c r="A142" s="18" t="s">
        <v>408</v>
      </c>
      <c r="B142" s="19" t="s">
        <v>409</v>
      </c>
    </row>
    <row r="143" spans="1:2" x14ac:dyDescent="0.25">
      <c r="A143" s="25"/>
      <c r="B143" s="26"/>
    </row>
    <row r="144" spans="1:2" x14ac:dyDescent="0.25">
      <c r="A144" s="24" t="s">
        <v>410</v>
      </c>
      <c r="B144" s="15"/>
    </row>
    <row r="145" spans="1:2" x14ac:dyDescent="0.25">
      <c r="A145" s="16"/>
      <c r="B145" s="17"/>
    </row>
    <row r="146" spans="1:2" ht="26.4" x14ac:dyDescent="0.25">
      <c r="A146" s="16" t="s">
        <v>411</v>
      </c>
      <c r="B146" s="17" t="s">
        <v>412</v>
      </c>
    </row>
    <row r="147" spans="1:2" ht="26.4" x14ac:dyDescent="0.25">
      <c r="A147" s="16" t="s">
        <v>413</v>
      </c>
      <c r="B147" s="17" t="s">
        <v>414</v>
      </c>
    </row>
    <row r="148" spans="1:2" ht="26.4" x14ac:dyDescent="0.25">
      <c r="A148" s="16" t="s">
        <v>415</v>
      </c>
      <c r="B148" s="17" t="s">
        <v>274</v>
      </c>
    </row>
    <row r="149" spans="1:2" ht="26.4" x14ac:dyDescent="0.25">
      <c r="A149" s="16" t="s">
        <v>416</v>
      </c>
      <c r="B149" s="17" t="s">
        <v>417</v>
      </c>
    </row>
    <row r="150" spans="1:2" x14ac:dyDescent="0.25">
      <c r="A150" s="16" t="s">
        <v>418</v>
      </c>
      <c r="B150" s="17" t="s">
        <v>419</v>
      </c>
    </row>
    <row r="151" spans="1:2" x14ac:dyDescent="0.25">
      <c r="A151" s="16" t="s">
        <v>420</v>
      </c>
      <c r="B151" s="17" t="s">
        <v>421</v>
      </c>
    </row>
    <row r="152" spans="1:2" x14ac:dyDescent="0.25">
      <c r="A152" s="18" t="s">
        <v>422</v>
      </c>
      <c r="B152" s="19" t="s">
        <v>423</v>
      </c>
    </row>
  </sheetData>
  <phoneticPr fontId="2" type="noConversion"/>
  <printOptions horizontalCentered="1"/>
  <pageMargins left="0.75" right="0.75" top="1" bottom="1" header="0.5" footer="0.5"/>
  <pageSetup orientation="portrait" horizontalDpi="300" verticalDpi="300" copies="0" r:id="rId1"/>
  <headerFooter alignWithMargins="0">
    <oddFooter>Page &amp;P of &amp;N</oddFooter>
  </headerFooter>
  <customProperties>
    <customPr name="LastActive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8CBD-C089-412A-9AB7-73E97CB64A86}">
  <dimension ref="A2:E61"/>
  <sheetViews>
    <sheetView showGridLines="0" zoomScale="91" zoomScaleNormal="91" workbookViewId="0">
      <selection activeCell="C9" sqref="C9"/>
    </sheetView>
  </sheetViews>
  <sheetFormatPr defaultColWidth="9.88671875" defaultRowHeight="13.8" x14ac:dyDescent="0.3"/>
  <cols>
    <col min="1" max="1" width="26.44140625" style="95" bestFit="1" customWidth="1"/>
    <col min="2" max="2" width="14.6640625" style="95" customWidth="1"/>
    <col min="3" max="3" width="9.88671875" style="95"/>
    <col min="4" max="4" width="12" style="95" bestFit="1" customWidth="1"/>
    <col min="5" max="16384" width="9.88671875" style="95"/>
  </cols>
  <sheetData>
    <row r="2" spans="1:4" x14ac:dyDescent="0.3">
      <c r="A2" s="99" t="s">
        <v>669</v>
      </c>
    </row>
    <row r="3" spans="1:4" x14ac:dyDescent="0.3">
      <c r="A3" s="97" t="s">
        <v>659</v>
      </c>
      <c r="B3" s="97" t="s">
        <v>660</v>
      </c>
      <c r="C3" s="97" t="s">
        <v>661</v>
      </c>
      <c r="D3" s="97" t="s">
        <v>662</v>
      </c>
    </row>
    <row r="4" spans="1:4" x14ac:dyDescent="0.3">
      <c r="A4" s="96" t="s">
        <v>663</v>
      </c>
      <c r="B4" s="96">
        <v>71614</v>
      </c>
      <c r="C4" s="96">
        <v>71614</v>
      </c>
      <c r="D4" s="96">
        <f>C4/$B$8</f>
        <v>5.1105402126596733</v>
      </c>
    </row>
    <row r="5" spans="1:4" x14ac:dyDescent="0.3">
      <c r="A5" s="96" t="s">
        <v>664</v>
      </c>
      <c r="B5" s="96">
        <v>35739</v>
      </c>
      <c r="C5" s="96">
        <v>107353</v>
      </c>
      <c r="D5" s="96">
        <f t="shared" ref="D5:D9" si="0">C5/$B$8</f>
        <v>7.6609576821522873</v>
      </c>
    </row>
    <row r="6" spans="1:4" x14ac:dyDescent="0.3">
      <c r="A6" s="96" t="s">
        <v>665</v>
      </c>
      <c r="B6" s="96">
        <v>30358</v>
      </c>
      <c r="C6" s="96">
        <v>137711</v>
      </c>
      <c r="D6" s="96">
        <f t="shared" si="0"/>
        <v>9.827374580746449</v>
      </c>
    </row>
    <row r="7" spans="1:4" x14ac:dyDescent="0.3">
      <c r="A7" s="96" t="s">
        <v>666</v>
      </c>
      <c r="B7" s="96">
        <v>20622</v>
      </c>
      <c r="C7" s="96">
        <v>158333</v>
      </c>
      <c r="D7" s="96">
        <f t="shared" si="0"/>
        <v>11.299008063940626</v>
      </c>
    </row>
    <row r="8" spans="1:4" x14ac:dyDescent="0.3">
      <c r="A8" s="96" t="s">
        <v>667</v>
      </c>
      <c r="B8" s="96">
        <v>14013</v>
      </c>
      <c r="C8" s="96">
        <v>172346</v>
      </c>
      <c r="D8" s="96">
        <f t="shared" si="0"/>
        <v>12.299008063940626</v>
      </c>
    </row>
    <row r="9" spans="1:4" x14ac:dyDescent="0.3">
      <c r="A9" s="96" t="s">
        <v>668</v>
      </c>
      <c r="B9" s="96">
        <v>5811</v>
      </c>
      <c r="C9" s="96">
        <v>178157</v>
      </c>
      <c r="D9" s="96">
        <f t="shared" si="0"/>
        <v>12.713694426603867</v>
      </c>
    </row>
    <row r="11" spans="1:4" x14ac:dyDescent="0.3">
      <c r="A11" s="99" t="s">
        <v>674</v>
      </c>
    </row>
    <row r="12" spans="1:4" x14ac:dyDescent="0.3">
      <c r="A12" s="96" t="s">
        <v>659</v>
      </c>
      <c r="B12" s="96" t="s">
        <v>670</v>
      </c>
      <c r="C12" s="96" t="s">
        <v>671</v>
      </c>
      <c r="D12" s="96" t="s">
        <v>672</v>
      </c>
    </row>
    <row r="13" spans="1:4" x14ac:dyDescent="0.3">
      <c r="A13" s="96" t="s">
        <v>663</v>
      </c>
      <c r="B13" s="96">
        <v>25</v>
      </c>
      <c r="C13" s="96">
        <v>71614</v>
      </c>
      <c r="D13" s="101">
        <v>0.4</v>
      </c>
    </row>
    <row r="14" spans="1:4" x14ac:dyDescent="0.3">
      <c r="A14" s="96" t="s">
        <v>667</v>
      </c>
      <c r="B14" s="96">
        <v>40</v>
      </c>
      <c r="C14" s="96">
        <v>14013</v>
      </c>
      <c r="D14" s="101">
        <v>7.0000000000000007E-2</v>
      </c>
    </row>
    <row r="15" spans="1:4" x14ac:dyDescent="0.3">
      <c r="A15" s="96" t="s">
        <v>664</v>
      </c>
      <c r="B15" s="96">
        <v>70</v>
      </c>
      <c r="C15" s="96">
        <v>35739</v>
      </c>
      <c r="D15" s="101">
        <v>0.2</v>
      </c>
    </row>
    <row r="16" spans="1:4" x14ac:dyDescent="0.3">
      <c r="A16" s="96" t="s">
        <v>665</v>
      </c>
      <c r="B16" s="96">
        <v>90</v>
      </c>
      <c r="C16" s="96">
        <v>30358</v>
      </c>
      <c r="D16" s="101">
        <v>0.15</v>
      </c>
    </row>
    <row r="17" spans="1:4" x14ac:dyDescent="0.3">
      <c r="A17" s="96" t="s">
        <v>666</v>
      </c>
      <c r="B17" s="96">
        <v>20</v>
      </c>
      <c r="C17" s="96">
        <v>20622</v>
      </c>
      <c r="D17" s="101">
        <v>0.1</v>
      </c>
    </row>
    <row r="18" spans="1:4" x14ac:dyDescent="0.3">
      <c r="A18" s="96" t="s">
        <v>673</v>
      </c>
      <c r="B18" s="96">
        <v>100</v>
      </c>
      <c r="C18" s="96">
        <v>5811</v>
      </c>
      <c r="D18" s="101">
        <v>0.03</v>
      </c>
    </row>
    <row r="21" spans="1:4" x14ac:dyDescent="0.3">
      <c r="A21" s="99" t="s">
        <v>677</v>
      </c>
    </row>
    <row r="22" spans="1:4" x14ac:dyDescent="0.3">
      <c r="A22" s="96" t="s">
        <v>659</v>
      </c>
      <c r="B22" s="96" t="s">
        <v>660</v>
      </c>
    </row>
    <row r="23" spans="1:4" x14ac:dyDescent="0.3">
      <c r="A23" s="96" t="s">
        <v>675</v>
      </c>
      <c r="B23" s="96">
        <v>500000</v>
      </c>
    </row>
    <row r="24" spans="1:4" x14ac:dyDescent="0.3">
      <c r="A24" s="96" t="s">
        <v>663</v>
      </c>
      <c r="B24" s="96">
        <v>45000</v>
      </c>
    </row>
    <row r="25" spans="1:4" x14ac:dyDescent="0.3">
      <c r="A25" s="96" t="s">
        <v>664</v>
      </c>
      <c r="B25" s="96">
        <v>50000</v>
      </c>
    </row>
    <row r="26" spans="1:4" x14ac:dyDescent="0.3">
      <c r="A26" s="96" t="s">
        <v>665</v>
      </c>
      <c r="B26" s="96">
        <v>25000</v>
      </c>
    </row>
    <row r="27" spans="1:4" x14ac:dyDescent="0.3">
      <c r="A27" s="96" t="s">
        <v>666</v>
      </c>
      <c r="B27" s="96">
        <v>-50000</v>
      </c>
    </row>
    <row r="28" spans="1:4" x14ac:dyDescent="0.3">
      <c r="A28" s="96" t="s">
        <v>667</v>
      </c>
      <c r="B28" s="96">
        <v>-30000</v>
      </c>
    </row>
    <row r="29" spans="1:4" x14ac:dyDescent="0.3">
      <c r="A29" s="96" t="s">
        <v>668</v>
      </c>
      <c r="B29" s="96">
        <v>10000</v>
      </c>
    </row>
    <row r="30" spans="1:4" x14ac:dyDescent="0.3">
      <c r="A30" s="96" t="s">
        <v>676</v>
      </c>
      <c r="B30" s="96">
        <f>SUM(B23:B29)</f>
        <v>550000</v>
      </c>
    </row>
    <row r="36" spans="1:5" x14ac:dyDescent="0.3">
      <c r="A36" s="99" t="s">
        <v>690</v>
      </c>
    </row>
    <row r="37" spans="1:5" ht="14.4" x14ac:dyDescent="0.3">
      <c r="A37" s="155" t="s">
        <v>678</v>
      </c>
      <c r="B37" s="156"/>
      <c r="C37" s="156"/>
      <c r="D37" s="157"/>
      <c r="E37"/>
    </row>
    <row r="38" spans="1:5" ht="14.4" x14ac:dyDescent="0.3">
      <c r="A38" s="103" t="s">
        <v>679</v>
      </c>
      <c r="B38" s="103">
        <v>2011</v>
      </c>
      <c r="C38" s="103">
        <f>B38+1</f>
        <v>2012</v>
      </c>
      <c r="D38" s="103">
        <f>C38+1</f>
        <v>2013</v>
      </c>
      <c r="E38"/>
    </row>
    <row r="39" spans="1:5" ht="14.4" x14ac:dyDescent="0.3">
      <c r="A39" s="103" t="s">
        <v>680</v>
      </c>
      <c r="B39" s="103">
        <v>100</v>
      </c>
      <c r="C39" s="103">
        <v>120</v>
      </c>
      <c r="D39" s="103">
        <v>130</v>
      </c>
      <c r="E39"/>
    </row>
    <row r="40" spans="1:5" ht="14.4" x14ac:dyDescent="0.3">
      <c r="A40" s="103" t="s">
        <v>681</v>
      </c>
      <c r="B40" s="103">
        <v>125</v>
      </c>
      <c r="C40" s="103">
        <v>95</v>
      </c>
      <c r="D40" s="103">
        <v>100</v>
      </c>
      <c r="E40"/>
    </row>
    <row r="41" spans="1:5" ht="14.4" x14ac:dyDescent="0.3">
      <c r="A41" s="103" t="s">
        <v>682</v>
      </c>
      <c r="B41" s="103">
        <v>110</v>
      </c>
      <c r="C41" s="103">
        <v>160</v>
      </c>
      <c r="D41" s="103">
        <v>150</v>
      </c>
      <c r="E41"/>
    </row>
    <row r="42" spans="1:5" ht="28.8" x14ac:dyDescent="0.3">
      <c r="A42" s="103" t="s">
        <v>683</v>
      </c>
      <c r="B42" s="103">
        <v>100</v>
      </c>
      <c r="C42" s="103">
        <v>150</v>
      </c>
      <c r="D42" s="103">
        <v>125</v>
      </c>
      <c r="E42"/>
    </row>
    <row r="43" spans="1:5" x14ac:dyDescent="0.3">
      <c r="A43"/>
      <c r="B43"/>
      <c r="C43"/>
      <c r="D43"/>
      <c r="E43"/>
    </row>
    <row r="44" spans="1:5" x14ac:dyDescent="0.3">
      <c r="A44"/>
      <c r="B44"/>
      <c r="C44"/>
      <c r="D44"/>
      <c r="E44"/>
    </row>
    <row r="45" spans="1:5" ht="14.4" x14ac:dyDescent="0.3">
      <c r="A45" s="98" t="s">
        <v>684</v>
      </c>
      <c r="B45" s="98" t="s">
        <v>685</v>
      </c>
      <c r="C45" s="98" t="s">
        <v>686</v>
      </c>
      <c r="D45" s="98" t="s">
        <v>687</v>
      </c>
      <c r="E45" s="98" t="s">
        <v>688</v>
      </c>
    </row>
    <row r="46" spans="1:5" ht="14.4" x14ac:dyDescent="0.3">
      <c r="A46" s="103" t="s">
        <v>680</v>
      </c>
      <c r="B46" s="103">
        <f>MIN(B39:D39)</f>
        <v>100</v>
      </c>
      <c r="C46" s="103">
        <f>MAX(B39:D39)</f>
        <v>130</v>
      </c>
      <c r="D46" s="103">
        <f>C46-B46</f>
        <v>30</v>
      </c>
      <c r="E46" s="103">
        <f>AVERAGE(B46:C46)</f>
        <v>115</v>
      </c>
    </row>
    <row r="47" spans="1:5" ht="14.4" x14ac:dyDescent="0.3">
      <c r="A47" s="103" t="s">
        <v>681</v>
      </c>
      <c r="B47" s="103">
        <f>MIN(B40:D40)</f>
        <v>95</v>
      </c>
      <c r="C47" s="103">
        <f>MAX(B40:D40)</f>
        <v>125</v>
      </c>
      <c r="D47" s="103">
        <f t="shared" ref="D47:D49" si="1">C47-B47</f>
        <v>30</v>
      </c>
      <c r="E47" s="103">
        <f t="shared" ref="E47:E49" si="2">AVERAGE(B47:C47)</f>
        <v>110</v>
      </c>
    </row>
    <row r="48" spans="1:5" ht="14.4" x14ac:dyDescent="0.3">
      <c r="A48" s="103" t="s">
        <v>682</v>
      </c>
      <c r="B48" s="103">
        <f>MIN(B41:D41)</f>
        <v>110</v>
      </c>
      <c r="C48" s="103">
        <f>MAX(B41:D41)</f>
        <v>160</v>
      </c>
      <c r="D48" s="103">
        <f t="shared" si="1"/>
        <v>50</v>
      </c>
      <c r="E48" s="103">
        <f t="shared" si="2"/>
        <v>135</v>
      </c>
    </row>
    <row r="49" spans="1:5" ht="14.4" x14ac:dyDescent="0.3">
      <c r="A49" s="103" t="s">
        <v>689</v>
      </c>
      <c r="B49" s="103">
        <f>MIN(B42:D42)</f>
        <v>100</v>
      </c>
      <c r="C49" s="103">
        <f>MAX(B42:D42)</f>
        <v>150</v>
      </c>
      <c r="D49" s="103">
        <f t="shared" si="1"/>
        <v>50</v>
      </c>
      <c r="E49" s="103">
        <f t="shared" si="2"/>
        <v>125</v>
      </c>
    </row>
    <row r="50" spans="1:5" ht="14.4" x14ac:dyDescent="0.3">
      <c r="A50"/>
      <c r="B50"/>
      <c r="C50"/>
      <c r="D50"/>
      <c r="E50" s="104">
        <f>AVERAGE(E46:E49)</f>
        <v>121.25</v>
      </c>
    </row>
    <row r="53" spans="1:5" x14ac:dyDescent="0.3">
      <c r="A53" s="99" t="s">
        <v>693</v>
      </c>
    </row>
    <row r="55" spans="1:5" ht="43.2" x14ac:dyDescent="0.3">
      <c r="A55" s="98" t="s">
        <v>659</v>
      </c>
      <c r="B55" s="98" t="s">
        <v>691</v>
      </c>
      <c r="C55" s="98" t="s">
        <v>692</v>
      </c>
    </row>
    <row r="56" spans="1:5" ht="14.4" x14ac:dyDescent="0.3">
      <c r="A56" s="102" t="s">
        <v>663</v>
      </c>
      <c r="B56" s="100">
        <v>0.4</v>
      </c>
      <c r="C56" s="105">
        <v>0.4</v>
      </c>
    </row>
    <row r="57" spans="1:5" ht="28.8" x14ac:dyDescent="0.3">
      <c r="A57" s="102" t="s">
        <v>667</v>
      </c>
      <c r="B57" s="100">
        <v>7.0000000000000007E-2</v>
      </c>
      <c r="C57" s="105">
        <v>0.05</v>
      </c>
    </row>
    <row r="58" spans="1:5" ht="14.4" x14ac:dyDescent="0.3">
      <c r="A58" s="102" t="s">
        <v>664</v>
      </c>
      <c r="B58" s="100">
        <v>0.2</v>
      </c>
      <c r="C58" s="105">
        <v>0.15</v>
      </c>
    </row>
    <row r="59" spans="1:5" ht="14.4" x14ac:dyDescent="0.3">
      <c r="A59" s="102" t="s">
        <v>665</v>
      </c>
      <c r="B59" s="100">
        <v>0.15</v>
      </c>
      <c r="C59" s="105">
        <v>0.2</v>
      </c>
    </row>
    <row r="60" spans="1:5" ht="14.4" x14ac:dyDescent="0.3">
      <c r="A60" s="102" t="s">
        <v>666</v>
      </c>
      <c r="B60" s="100">
        <v>0.1</v>
      </c>
      <c r="C60" s="105">
        <v>0.15</v>
      </c>
    </row>
    <row r="61" spans="1:5" ht="14.4" x14ac:dyDescent="0.3">
      <c r="A61" s="102" t="s">
        <v>668</v>
      </c>
      <c r="B61" s="100">
        <v>0.08</v>
      </c>
      <c r="C61" s="105">
        <v>0.05</v>
      </c>
    </row>
  </sheetData>
  <mergeCells count="1">
    <mergeCell ref="A37:D37"/>
  </mergeCells>
  <pageMargins left="0.7" right="0.7" top="0.75" bottom="0.75" header="0.3" footer="0.3"/>
  <customProperties>
    <customPr name="LastActive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8A2E-9830-4F16-A77B-9C8C9E8EBC27}">
  <dimension ref="A1:H28"/>
  <sheetViews>
    <sheetView showGridLines="0" zoomScale="120" workbookViewId="0">
      <selection activeCell="I16" sqref="I16"/>
    </sheetView>
  </sheetViews>
  <sheetFormatPr defaultRowHeight="13.2" x14ac:dyDescent="0.25"/>
  <cols>
    <col min="1" max="1" width="20.6640625" style="29" customWidth="1"/>
    <col min="2" max="2" width="12.6640625" style="29" customWidth="1"/>
    <col min="3" max="3" width="5.6640625" style="29" customWidth="1"/>
    <col min="4" max="256" width="9.109375" style="29"/>
    <col min="257" max="257" width="20.6640625" style="29" customWidth="1"/>
    <col min="258" max="258" width="12.6640625" style="29" customWidth="1"/>
    <col min="259" max="259" width="5.6640625" style="29" customWidth="1"/>
    <col min="260" max="512" width="9.109375" style="29"/>
    <col min="513" max="513" width="20.6640625" style="29" customWidth="1"/>
    <col min="514" max="514" width="12.6640625" style="29" customWidth="1"/>
    <col min="515" max="515" width="5.6640625" style="29" customWidth="1"/>
    <col min="516" max="768" width="9.109375" style="29"/>
    <col min="769" max="769" width="20.6640625" style="29" customWidth="1"/>
    <col min="770" max="770" width="12.6640625" style="29" customWidth="1"/>
    <col min="771" max="771" width="5.6640625" style="29" customWidth="1"/>
    <col min="772" max="1024" width="9.109375" style="29"/>
    <col min="1025" max="1025" width="20.6640625" style="29" customWidth="1"/>
    <col min="1026" max="1026" width="12.6640625" style="29" customWidth="1"/>
    <col min="1027" max="1027" width="5.6640625" style="29" customWidth="1"/>
    <col min="1028" max="1280" width="9.109375" style="29"/>
    <col min="1281" max="1281" width="20.6640625" style="29" customWidth="1"/>
    <col min="1282" max="1282" width="12.6640625" style="29" customWidth="1"/>
    <col min="1283" max="1283" width="5.6640625" style="29" customWidth="1"/>
    <col min="1284" max="1536" width="9.109375" style="29"/>
    <col min="1537" max="1537" width="20.6640625" style="29" customWidth="1"/>
    <col min="1538" max="1538" width="12.6640625" style="29" customWidth="1"/>
    <col min="1539" max="1539" width="5.6640625" style="29" customWidth="1"/>
    <col min="1540" max="1792" width="9.109375" style="29"/>
    <col min="1793" max="1793" width="20.6640625" style="29" customWidth="1"/>
    <col min="1794" max="1794" width="12.6640625" style="29" customWidth="1"/>
    <col min="1795" max="1795" width="5.6640625" style="29" customWidth="1"/>
    <col min="1796" max="2048" width="9.109375" style="29"/>
    <col min="2049" max="2049" width="20.6640625" style="29" customWidth="1"/>
    <col min="2050" max="2050" width="12.6640625" style="29" customWidth="1"/>
    <col min="2051" max="2051" width="5.6640625" style="29" customWidth="1"/>
    <col min="2052" max="2304" width="9.109375" style="29"/>
    <col min="2305" max="2305" width="20.6640625" style="29" customWidth="1"/>
    <col min="2306" max="2306" width="12.6640625" style="29" customWidth="1"/>
    <col min="2307" max="2307" width="5.6640625" style="29" customWidth="1"/>
    <col min="2308" max="2560" width="9.109375" style="29"/>
    <col min="2561" max="2561" width="20.6640625" style="29" customWidth="1"/>
    <col min="2562" max="2562" width="12.6640625" style="29" customWidth="1"/>
    <col min="2563" max="2563" width="5.6640625" style="29" customWidth="1"/>
    <col min="2564" max="2816" width="9.109375" style="29"/>
    <col min="2817" max="2817" width="20.6640625" style="29" customWidth="1"/>
    <col min="2818" max="2818" width="12.6640625" style="29" customWidth="1"/>
    <col min="2819" max="2819" width="5.6640625" style="29" customWidth="1"/>
    <col min="2820" max="3072" width="9.109375" style="29"/>
    <col min="3073" max="3073" width="20.6640625" style="29" customWidth="1"/>
    <col min="3074" max="3074" width="12.6640625" style="29" customWidth="1"/>
    <col min="3075" max="3075" width="5.6640625" style="29" customWidth="1"/>
    <col min="3076" max="3328" width="9.109375" style="29"/>
    <col min="3329" max="3329" width="20.6640625" style="29" customWidth="1"/>
    <col min="3330" max="3330" width="12.6640625" style="29" customWidth="1"/>
    <col min="3331" max="3331" width="5.6640625" style="29" customWidth="1"/>
    <col min="3332" max="3584" width="9.109375" style="29"/>
    <col min="3585" max="3585" width="20.6640625" style="29" customWidth="1"/>
    <col min="3586" max="3586" width="12.6640625" style="29" customWidth="1"/>
    <col min="3587" max="3587" width="5.6640625" style="29" customWidth="1"/>
    <col min="3588" max="3840" width="9.109375" style="29"/>
    <col min="3841" max="3841" width="20.6640625" style="29" customWidth="1"/>
    <col min="3842" max="3842" width="12.6640625" style="29" customWidth="1"/>
    <col min="3843" max="3843" width="5.6640625" style="29" customWidth="1"/>
    <col min="3844" max="4096" width="9.109375" style="29"/>
    <col min="4097" max="4097" width="20.6640625" style="29" customWidth="1"/>
    <col min="4098" max="4098" width="12.6640625" style="29" customWidth="1"/>
    <col min="4099" max="4099" width="5.6640625" style="29" customWidth="1"/>
    <col min="4100" max="4352" width="9.109375" style="29"/>
    <col min="4353" max="4353" width="20.6640625" style="29" customWidth="1"/>
    <col min="4354" max="4354" width="12.6640625" style="29" customWidth="1"/>
    <col min="4355" max="4355" width="5.6640625" style="29" customWidth="1"/>
    <col min="4356" max="4608" width="9.109375" style="29"/>
    <col min="4609" max="4609" width="20.6640625" style="29" customWidth="1"/>
    <col min="4610" max="4610" width="12.6640625" style="29" customWidth="1"/>
    <col min="4611" max="4611" width="5.6640625" style="29" customWidth="1"/>
    <col min="4612" max="4864" width="9.109375" style="29"/>
    <col min="4865" max="4865" width="20.6640625" style="29" customWidth="1"/>
    <col min="4866" max="4866" width="12.6640625" style="29" customWidth="1"/>
    <col min="4867" max="4867" width="5.6640625" style="29" customWidth="1"/>
    <col min="4868" max="5120" width="9.109375" style="29"/>
    <col min="5121" max="5121" width="20.6640625" style="29" customWidth="1"/>
    <col min="5122" max="5122" width="12.6640625" style="29" customWidth="1"/>
    <col min="5123" max="5123" width="5.6640625" style="29" customWidth="1"/>
    <col min="5124" max="5376" width="9.109375" style="29"/>
    <col min="5377" max="5377" width="20.6640625" style="29" customWidth="1"/>
    <col min="5378" max="5378" width="12.6640625" style="29" customWidth="1"/>
    <col min="5379" max="5379" width="5.6640625" style="29" customWidth="1"/>
    <col min="5380" max="5632" width="9.109375" style="29"/>
    <col min="5633" max="5633" width="20.6640625" style="29" customWidth="1"/>
    <col min="5634" max="5634" width="12.6640625" style="29" customWidth="1"/>
    <col min="5635" max="5635" width="5.6640625" style="29" customWidth="1"/>
    <col min="5636" max="5888" width="9.109375" style="29"/>
    <col min="5889" max="5889" width="20.6640625" style="29" customWidth="1"/>
    <col min="5890" max="5890" width="12.6640625" style="29" customWidth="1"/>
    <col min="5891" max="5891" width="5.6640625" style="29" customWidth="1"/>
    <col min="5892" max="6144" width="9.109375" style="29"/>
    <col min="6145" max="6145" width="20.6640625" style="29" customWidth="1"/>
    <col min="6146" max="6146" width="12.6640625" style="29" customWidth="1"/>
    <col min="6147" max="6147" width="5.6640625" style="29" customWidth="1"/>
    <col min="6148" max="6400" width="9.109375" style="29"/>
    <col min="6401" max="6401" width="20.6640625" style="29" customWidth="1"/>
    <col min="6402" max="6402" width="12.6640625" style="29" customWidth="1"/>
    <col min="6403" max="6403" width="5.6640625" style="29" customWidth="1"/>
    <col min="6404" max="6656" width="9.109375" style="29"/>
    <col min="6657" max="6657" width="20.6640625" style="29" customWidth="1"/>
    <col min="6658" max="6658" width="12.6640625" style="29" customWidth="1"/>
    <col min="6659" max="6659" width="5.6640625" style="29" customWidth="1"/>
    <col min="6660" max="6912" width="9.109375" style="29"/>
    <col min="6913" max="6913" width="20.6640625" style="29" customWidth="1"/>
    <col min="6914" max="6914" width="12.6640625" style="29" customWidth="1"/>
    <col min="6915" max="6915" width="5.6640625" style="29" customWidth="1"/>
    <col min="6916" max="7168" width="9.109375" style="29"/>
    <col min="7169" max="7169" width="20.6640625" style="29" customWidth="1"/>
    <col min="7170" max="7170" width="12.6640625" style="29" customWidth="1"/>
    <col min="7171" max="7171" width="5.6640625" style="29" customWidth="1"/>
    <col min="7172" max="7424" width="9.109375" style="29"/>
    <col min="7425" max="7425" width="20.6640625" style="29" customWidth="1"/>
    <col min="7426" max="7426" width="12.6640625" style="29" customWidth="1"/>
    <col min="7427" max="7427" width="5.6640625" style="29" customWidth="1"/>
    <col min="7428" max="7680" width="9.109375" style="29"/>
    <col min="7681" max="7681" width="20.6640625" style="29" customWidth="1"/>
    <col min="7682" max="7682" width="12.6640625" style="29" customWidth="1"/>
    <col min="7683" max="7683" width="5.6640625" style="29" customWidth="1"/>
    <col min="7684" max="7936" width="9.109375" style="29"/>
    <col min="7937" max="7937" width="20.6640625" style="29" customWidth="1"/>
    <col min="7938" max="7938" width="12.6640625" style="29" customWidth="1"/>
    <col min="7939" max="7939" width="5.6640625" style="29" customWidth="1"/>
    <col min="7940" max="8192" width="9.109375" style="29"/>
    <col min="8193" max="8193" width="20.6640625" style="29" customWidth="1"/>
    <col min="8194" max="8194" width="12.6640625" style="29" customWidth="1"/>
    <col min="8195" max="8195" width="5.6640625" style="29" customWidth="1"/>
    <col min="8196" max="8448" width="9.109375" style="29"/>
    <col min="8449" max="8449" width="20.6640625" style="29" customWidth="1"/>
    <col min="8450" max="8450" width="12.6640625" style="29" customWidth="1"/>
    <col min="8451" max="8451" width="5.6640625" style="29" customWidth="1"/>
    <col min="8452" max="8704" width="9.109375" style="29"/>
    <col min="8705" max="8705" width="20.6640625" style="29" customWidth="1"/>
    <col min="8706" max="8706" width="12.6640625" style="29" customWidth="1"/>
    <col min="8707" max="8707" width="5.6640625" style="29" customWidth="1"/>
    <col min="8708" max="8960" width="9.109375" style="29"/>
    <col min="8961" max="8961" width="20.6640625" style="29" customWidth="1"/>
    <col min="8962" max="8962" width="12.6640625" style="29" customWidth="1"/>
    <col min="8963" max="8963" width="5.6640625" style="29" customWidth="1"/>
    <col min="8964" max="9216" width="9.109375" style="29"/>
    <col min="9217" max="9217" width="20.6640625" style="29" customWidth="1"/>
    <col min="9218" max="9218" width="12.6640625" style="29" customWidth="1"/>
    <col min="9219" max="9219" width="5.6640625" style="29" customWidth="1"/>
    <col min="9220" max="9472" width="9.109375" style="29"/>
    <col min="9473" max="9473" width="20.6640625" style="29" customWidth="1"/>
    <col min="9474" max="9474" width="12.6640625" style="29" customWidth="1"/>
    <col min="9475" max="9475" width="5.6640625" style="29" customWidth="1"/>
    <col min="9476" max="9728" width="9.109375" style="29"/>
    <col min="9729" max="9729" width="20.6640625" style="29" customWidth="1"/>
    <col min="9730" max="9730" width="12.6640625" style="29" customWidth="1"/>
    <col min="9731" max="9731" width="5.6640625" style="29" customWidth="1"/>
    <col min="9732" max="9984" width="9.109375" style="29"/>
    <col min="9985" max="9985" width="20.6640625" style="29" customWidth="1"/>
    <col min="9986" max="9986" width="12.6640625" style="29" customWidth="1"/>
    <col min="9987" max="9987" width="5.6640625" style="29" customWidth="1"/>
    <col min="9988" max="10240" width="9.109375" style="29"/>
    <col min="10241" max="10241" width="20.6640625" style="29" customWidth="1"/>
    <col min="10242" max="10242" width="12.6640625" style="29" customWidth="1"/>
    <col min="10243" max="10243" width="5.6640625" style="29" customWidth="1"/>
    <col min="10244" max="10496" width="9.109375" style="29"/>
    <col min="10497" max="10497" width="20.6640625" style="29" customWidth="1"/>
    <col min="10498" max="10498" width="12.6640625" style="29" customWidth="1"/>
    <col min="10499" max="10499" width="5.6640625" style="29" customWidth="1"/>
    <col min="10500" max="10752" width="9.109375" style="29"/>
    <col min="10753" max="10753" width="20.6640625" style="29" customWidth="1"/>
    <col min="10754" max="10754" width="12.6640625" style="29" customWidth="1"/>
    <col min="10755" max="10755" width="5.6640625" style="29" customWidth="1"/>
    <col min="10756" max="11008" width="9.109375" style="29"/>
    <col min="11009" max="11009" width="20.6640625" style="29" customWidth="1"/>
    <col min="11010" max="11010" width="12.6640625" style="29" customWidth="1"/>
    <col min="11011" max="11011" width="5.6640625" style="29" customWidth="1"/>
    <col min="11012" max="11264" width="9.109375" style="29"/>
    <col min="11265" max="11265" width="20.6640625" style="29" customWidth="1"/>
    <col min="11266" max="11266" width="12.6640625" style="29" customWidth="1"/>
    <col min="11267" max="11267" width="5.6640625" style="29" customWidth="1"/>
    <col min="11268" max="11520" width="9.109375" style="29"/>
    <col min="11521" max="11521" width="20.6640625" style="29" customWidth="1"/>
    <col min="11522" max="11522" width="12.6640625" style="29" customWidth="1"/>
    <col min="11523" max="11523" width="5.6640625" style="29" customWidth="1"/>
    <col min="11524" max="11776" width="9.109375" style="29"/>
    <col min="11777" max="11777" width="20.6640625" style="29" customWidth="1"/>
    <col min="11778" max="11778" width="12.6640625" style="29" customWidth="1"/>
    <col min="11779" max="11779" width="5.6640625" style="29" customWidth="1"/>
    <col min="11780" max="12032" width="9.109375" style="29"/>
    <col min="12033" max="12033" width="20.6640625" style="29" customWidth="1"/>
    <col min="12034" max="12034" width="12.6640625" style="29" customWidth="1"/>
    <col min="12035" max="12035" width="5.6640625" style="29" customWidth="1"/>
    <col min="12036" max="12288" width="9.109375" style="29"/>
    <col min="12289" max="12289" width="20.6640625" style="29" customWidth="1"/>
    <col min="12290" max="12290" width="12.6640625" style="29" customWidth="1"/>
    <col min="12291" max="12291" width="5.6640625" style="29" customWidth="1"/>
    <col min="12292" max="12544" width="9.109375" style="29"/>
    <col min="12545" max="12545" width="20.6640625" style="29" customWidth="1"/>
    <col min="12546" max="12546" width="12.6640625" style="29" customWidth="1"/>
    <col min="12547" max="12547" width="5.6640625" style="29" customWidth="1"/>
    <col min="12548" max="12800" width="9.109375" style="29"/>
    <col min="12801" max="12801" width="20.6640625" style="29" customWidth="1"/>
    <col min="12802" max="12802" width="12.6640625" style="29" customWidth="1"/>
    <col min="12803" max="12803" width="5.6640625" style="29" customWidth="1"/>
    <col min="12804" max="13056" width="9.109375" style="29"/>
    <col min="13057" max="13057" width="20.6640625" style="29" customWidth="1"/>
    <col min="13058" max="13058" width="12.6640625" style="29" customWidth="1"/>
    <col min="13059" max="13059" width="5.6640625" style="29" customWidth="1"/>
    <col min="13060" max="13312" width="9.109375" style="29"/>
    <col min="13313" max="13313" width="20.6640625" style="29" customWidth="1"/>
    <col min="13314" max="13314" width="12.6640625" style="29" customWidth="1"/>
    <col min="13315" max="13315" width="5.6640625" style="29" customWidth="1"/>
    <col min="13316" max="13568" width="9.109375" style="29"/>
    <col min="13569" max="13569" width="20.6640625" style="29" customWidth="1"/>
    <col min="13570" max="13570" width="12.6640625" style="29" customWidth="1"/>
    <col min="13571" max="13571" width="5.6640625" style="29" customWidth="1"/>
    <col min="13572" max="13824" width="9.109375" style="29"/>
    <col min="13825" max="13825" width="20.6640625" style="29" customWidth="1"/>
    <col min="13826" max="13826" width="12.6640625" style="29" customWidth="1"/>
    <col min="13827" max="13827" width="5.6640625" style="29" customWidth="1"/>
    <col min="13828" max="14080" width="9.109375" style="29"/>
    <col min="14081" max="14081" width="20.6640625" style="29" customWidth="1"/>
    <col min="14082" max="14082" width="12.6640625" style="29" customWidth="1"/>
    <col min="14083" max="14083" width="5.6640625" style="29" customWidth="1"/>
    <col min="14084" max="14336" width="9.109375" style="29"/>
    <col min="14337" max="14337" width="20.6640625" style="29" customWidth="1"/>
    <col min="14338" max="14338" width="12.6640625" style="29" customWidth="1"/>
    <col min="14339" max="14339" width="5.6640625" style="29" customWidth="1"/>
    <col min="14340" max="14592" width="9.109375" style="29"/>
    <col min="14593" max="14593" width="20.6640625" style="29" customWidth="1"/>
    <col min="14594" max="14594" width="12.6640625" style="29" customWidth="1"/>
    <col min="14595" max="14595" width="5.6640625" style="29" customWidth="1"/>
    <col min="14596" max="14848" width="9.109375" style="29"/>
    <col min="14849" max="14849" width="20.6640625" style="29" customWidth="1"/>
    <col min="14850" max="14850" width="12.6640625" style="29" customWidth="1"/>
    <col min="14851" max="14851" width="5.6640625" style="29" customWidth="1"/>
    <col min="14852" max="15104" width="9.109375" style="29"/>
    <col min="15105" max="15105" width="20.6640625" style="29" customWidth="1"/>
    <col min="15106" max="15106" width="12.6640625" style="29" customWidth="1"/>
    <col min="15107" max="15107" width="5.6640625" style="29" customWidth="1"/>
    <col min="15108" max="15360" width="9.109375" style="29"/>
    <col min="15361" max="15361" width="20.6640625" style="29" customWidth="1"/>
    <col min="15362" max="15362" width="12.6640625" style="29" customWidth="1"/>
    <col min="15363" max="15363" width="5.6640625" style="29" customWidth="1"/>
    <col min="15364" max="15616" width="9.109375" style="29"/>
    <col min="15617" max="15617" width="20.6640625" style="29" customWidth="1"/>
    <col min="15618" max="15618" width="12.6640625" style="29" customWidth="1"/>
    <col min="15619" max="15619" width="5.6640625" style="29" customWidth="1"/>
    <col min="15620" max="15872" width="9.109375" style="29"/>
    <col min="15873" max="15873" width="20.6640625" style="29" customWidth="1"/>
    <col min="15874" max="15874" width="12.6640625" style="29" customWidth="1"/>
    <col min="15875" max="15875" width="5.6640625" style="29" customWidth="1"/>
    <col min="15876" max="16128" width="9.109375" style="29"/>
    <col min="16129" max="16129" width="20.6640625" style="29" customWidth="1"/>
    <col min="16130" max="16130" width="12.6640625" style="29" customWidth="1"/>
    <col min="16131" max="16131" width="5.6640625" style="29" customWidth="1"/>
    <col min="16132" max="16384" width="9.109375" style="29"/>
  </cols>
  <sheetData>
    <row r="1" spans="1:8" ht="18" x14ac:dyDescent="0.25">
      <c r="A1" s="158" t="s">
        <v>595</v>
      </c>
      <c r="B1" s="159"/>
    </row>
    <row r="2" spans="1:8" ht="15" customHeight="1" x14ac:dyDescent="0.25">
      <c r="A2" s="160" t="s">
        <v>596</v>
      </c>
      <c r="B2" s="161"/>
    </row>
    <row r="3" spans="1:8" ht="15" customHeight="1" x14ac:dyDescent="0.25">
      <c r="A3" s="61" t="s">
        <v>597</v>
      </c>
      <c r="B3" s="62">
        <v>57</v>
      </c>
    </row>
    <row r="4" spans="1:8" ht="15" customHeight="1" x14ac:dyDescent="0.25">
      <c r="A4" s="61" t="s">
        <v>598</v>
      </c>
      <c r="B4" s="63">
        <v>9.75</v>
      </c>
    </row>
    <row r="5" spans="1:8" ht="15" customHeight="1" x14ac:dyDescent="0.25">
      <c r="A5" s="61" t="s">
        <v>599</v>
      </c>
      <c r="B5" s="64">
        <v>40</v>
      </c>
    </row>
    <row r="6" spans="1:8" ht="15" customHeight="1" x14ac:dyDescent="0.25">
      <c r="A6" s="61" t="s">
        <v>600</v>
      </c>
      <c r="B6" s="65">
        <v>52</v>
      </c>
    </row>
    <row r="7" spans="1:8" ht="15" customHeight="1" x14ac:dyDescent="0.25">
      <c r="A7" s="61" t="s">
        <v>601</v>
      </c>
      <c r="B7" s="66">
        <v>0.14799999999999999</v>
      </c>
    </row>
    <row r="8" spans="1:8" ht="15" customHeight="1" x14ac:dyDescent="0.25">
      <c r="A8" s="160" t="s">
        <v>602</v>
      </c>
      <c r="B8" s="162"/>
    </row>
    <row r="9" spans="1:8" ht="15" customHeight="1" x14ac:dyDescent="0.25">
      <c r="A9" s="61" t="s">
        <v>603</v>
      </c>
      <c r="B9" s="67">
        <f>B3*B4*B5*B6</f>
        <v>1155960</v>
      </c>
    </row>
    <row r="10" spans="1:8" ht="15" customHeight="1" x14ac:dyDescent="0.25">
      <c r="A10" s="61" t="s">
        <v>604</v>
      </c>
      <c r="B10" s="68">
        <f>B9*B7</f>
        <v>171082.08</v>
      </c>
    </row>
    <row r="11" spans="1:8" ht="15" customHeight="1" thickBot="1" x14ac:dyDescent="0.3">
      <c r="A11" s="69" t="s">
        <v>605</v>
      </c>
      <c r="B11" s="70">
        <f>B9+B10</f>
        <v>1327042.08</v>
      </c>
    </row>
    <row r="12" spans="1:8" ht="15" customHeight="1" x14ac:dyDescent="0.25"/>
    <row r="13" spans="1:8" ht="15" customHeight="1" x14ac:dyDescent="0.25"/>
    <row r="14" spans="1:8" ht="15" customHeight="1" thickBot="1" x14ac:dyDescent="0.3">
      <c r="A14" s="71" t="s">
        <v>606</v>
      </c>
      <c r="B14" s="72"/>
      <c r="C14" s="72"/>
      <c r="D14" s="72"/>
      <c r="E14" s="72"/>
      <c r="F14" s="72"/>
      <c r="G14" s="72"/>
      <c r="H14" s="72"/>
    </row>
    <row r="15" spans="1:8" ht="15" customHeight="1" x14ac:dyDescent="0.25"/>
    <row r="16" spans="1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</sheetData>
  <mergeCells count="3">
    <mergeCell ref="A1:B1"/>
    <mergeCell ref="A2:B2"/>
    <mergeCell ref="A8:B8"/>
  </mergeCells>
  <pageMargins left="0.75" right="0.75" top="1" bottom="1" header="0.5" footer="0.5"/>
  <pageSetup orientation="portrait" horizontalDpi="180" verticalDpi="180" r:id="rId1"/>
  <headerFooter alignWithMargins="0"/>
  <customProperties>
    <customPr name="LastActive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3A1B-0DC8-41E9-ADB2-9BDCF3B92D98}">
  <dimension ref="A1:B15"/>
  <sheetViews>
    <sheetView showGridLines="0" workbookViewId="0">
      <selection activeCell="I21" sqref="I21"/>
    </sheetView>
  </sheetViews>
  <sheetFormatPr defaultRowHeight="12.6" x14ac:dyDescent="0.25"/>
  <cols>
    <col min="1" max="1" width="42.88671875" bestFit="1" customWidth="1"/>
    <col min="2" max="2" width="9.88671875" customWidth="1"/>
  </cols>
  <sheetData>
    <row r="1" spans="1:2" ht="14.4" x14ac:dyDescent="0.3">
      <c r="A1" s="78" t="s">
        <v>621</v>
      </c>
      <c r="B1" s="78"/>
    </row>
    <row r="4" spans="1:2" ht="14.4" x14ac:dyDescent="0.3">
      <c r="A4" s="79" t="s">
        <v>622</v>
      </c>
      <c r="B4" s="80">
        <v>15</v>
      </c>
    </row>
    <row r="5" spans="1:2" ht="14.4" x14ac:dyDescent="0.3">
      <c r="A5" s="79" t="s">
        <v>623</v>
      </c>
      <c r="B5" s="81">
        <v>2000</v>
      </c>
    </row>
    <row r="6" spans="1:2" ht="14.4" x14ac:dyDescent="0.3">
      <c r="A6" s="82" t="s">
        <v>624</v>
      </c>
      <c r="B6" s="83">
        <f>B4*B5</f>
        <v>30000</v>
      </c>
    </row>
    <row r="7" spans="1:2" ht="14.4" x14ac:dyDescent="0.3">
      <c r="A7" s="84"/>
      <c r="B7" s="85"/>
    </row>
    <row r="8" spans="1:2" ht="14.4" x14ac:dyDescent="0.3">
      <c r="A8" s="79" t="s">
        <v>625</v>
      </c>
      <c r="B8" s="86">
        <f>B6*B15/100</f>
        <v>15000</v>
      </c>
    </row>
    <row r="9" spans="1:2" ht="14.4" x14ac:dyDescent="0.3">
      <c r="A9" s="79" t="s">
        <v>626</v>
      </c>
      <c r="B9" s="86">
        <v>20000</v>
      </c>
    </row>
    <row r="10" spans="1:2" ht="14.4" x14ac:dyDescent="0.3">
      <c r="A10" s="82" t="s">
        <v>627</v>
      </c>
      <c r="B10" s="87">
        <f>SUM(B8:B9)</f>
        <v>35000</v>
      </c>
    </row>
    <row r="11" spans="1:2" ht="14.4" x14ac:dyDescent="0.3">
      <c r="A11" s="84"/>
      <c r="B11" s="88"/>
    </row>
    <row r="12" spans="1:2" ht="14.4" x14ac:dyDescent="0.3">
      <c r="A12" s="82" t="s">
        <v>628</v>
      </c>
      <c r="B12" s="87">
        <f>B6-B10</f>
        <v>-5000</v>
      </c>
    </row>
    <row r="13" spans="1:2" ht="14.4" x14ac:dyDescent="0.3">
      <c r="A13" s="89"/>
      <c r="B13" s="90"/>
    </row>
    <row r="14" spans="1:2" ht="14.4" x14ac:dyDescent="0.3">
      <c r="A14" s="91"/>
      <c r="B14" s="91"/>
    </row>
    <row r="15" spans="1:2" ht="14.4" x14ac:dyDescent="0.3">
      <c r="A15" s="79" t="s">
        <v>629</v>
      </c>
      <c r="B15" s="92">
        <v>50</v>
      </c>
    </row>
  </sheetData>
  <pageMargins left="0.7" right="0.7" top="0.75" bottom="0.75" header="0.3" footer="0.3"/>
  <customProperties>
    <customPr name="LastActive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129F-FF5C-4992-A743-E3D3386BF056}">
  <dimension ref="A1:F14"/>
  <sheetViews>
    <sheetView showGridLines="0" workbookViewId="0">
      <selection activeCell="I16" sqref="I16"/>
    </sheetView>
  </sheetViews>
  <sheetFormatPr defaultRowHeight="15.6" x14ac:dyDescent="0.3"/>
  <cols>
    <col min="1" max="1" width="12.6640625" style="74" customWidth="1"/>
    <col min="2" max="2" width="10.6640625" style="74" bestFit="1" customWidth="1"/>
    <col min="3" max="6" width="6.109375" style="74" customWidth="1"/>
    <col min="7" max="8" width="10.33203125" style="74" customWidth="1"/>
    <col min="9" max="256" width="9.109375" style="74"/>
    <col min="257" max="257" width="12.6640625" style="74" customWidth="1"/>
    <col min="258" max="258" width="10.6640625" style="74" bestFit="1" customWidth="1"/>
    <col min="259" max="262" width="6.109375" style="74" customWidth="1"/>
    <col min="263" max="264" width="10.33203125" style="74" customWidth="1"/>
    <col min="265" max="512" width="9.109375" style="74"/>
    <col min="513" max="513" width="12.6640625" style="74" customWidth="1"/>
    <col min="514" max="514" width="10.6640625" style="74" bestFit="1" customWidth="1"/>
    <col min="515" max="518" width="6.109375" style="74" customWidth="1"/>
    <col min="519" max="520" width="10.33203125" style="74" customWidth="1"/>
    <col min="521" max="768" width="9.109375" style="74"/>
    <col min="769" max="769" width="12.6640625" style="74" customWidth="1"/>
    <col min="770" max="770" width="10.6640625" style="74" bestFit="1" customWidth="1"/>
    <col min="771" max="774" width="6.109375" style="74" customWidth="1"/>
    <col min="775" max="776" width="10.33203125" style="74" customWidth="1"/>
    <col min="777" max="1024" width="9.109375" style="74"/>
    <col min="1025" max="1025" width="12.6640625" style="74" customWidth="1"/>
    <col min="1026" max="1026" width="10.6640625" style="74" bestFit="1" customWidth="1"/>
    <col min="1027" max="1030" width="6.109375" style="74" customWidth="1"/>
    <col min="1031" max="1032" width="10.33203125" style="74" customWidth="1"/>
    <col min="1033" max="1280" width="9.109375" style="74"/>
    <col min="1281" max="1281" width="12.6640625" style="74" customWidth="1"/>
    <col min="1282" max="1282" width="10.6640625" style="74" bestFit="1" customWidth="1"/>
    <col min="1283" max="1286" width="6.109375" style="74" customWidth="1"/>
    <col min="1287" max="1288" width="10.33203125" style="74" customWidth="1"/>
    <col min="1289" max="1536" width="9.109375" style="74"/>
    <col min="1537" max="1537" width="12.6640625" style="74" customWidth="1"/>
    <col min="1538" max="1538" width="10.6640625" style="74" bestFit="1" customWidth="1"/>
    <col min="1539" max="1542" width="6.109375" style="74" customWidth="1"/>
    <col min="1543" max="1544" width="10.33203125" style="74" customWidth="1"/>
    <col min="1545" max="1792" width="9.109375" style="74"/>
    <col min="1793" max="1793" width="12.6640625" style="74" customWidth="1"/>
    <col min="1794" max="1794" width="10.6640625" style="74" bestFit="1" customWidth="1"/>
    <col min="1795" max="1798" width="6.109375" style="74" customWidth="1"/>
    <col min="1799" max="1800" width="10.33203125" style="74" customWidth="1"/>
    <col min="1801" max="2048" width="9.109375" style="74"/>
    <col min="2049" max="2049" width="12.6640625" style="74" customWidth="1"/>
    <col min="2050" max="2050" width="10.6640625" style="74" bestFit="1" customWidth="1"/>
    <col min="2051" max="2054" width="6.109375" style="74" customWidth="1"/>
    <col min="2055" max="2056" width="10.33203125" style="74" customWidth="1"/>
    <col min="2057" max="2304" width="9.109375" style="74"/>
    <col min="2305" max="2305" width="12.6640625" style="74" customWidth="1"/>
    <col min="2306" max="2306" width="10.6640625" style="74" bestFit="1" customWidth="1"/>
    <col min="2307" max="2310" width="6.109375" style="74" customWidth="1"/>
    <col min="2311" max="2312" width="10.33203125" style="74" customWidth="1"/>
    <col min="2313" max="2560" width="9.109375" style="74"/>
    <col min="2561" max="2561" width="12.6640625" style="74" customWidth="1"/>
    <col min="2562" max="2562" width="10.6640625" style="74" bestFit="1" customWidth="1"/>
    <col min="2563" max="2566" width="6.109375" style="74" customWidth="1"/>
    <col min="2567" max="2568" width="10.33203125" style="74" customWidth="1"/>
    <col min="2569" max="2816" width="9.109375" style="74"/>
    <col min="2817" max="2817" width="12.6640625" style="74" customWidth="1"/>
    <col min="2818" max="2818" width="10.6640625" style="74" bestFit="1" customWidth="1"/>
    <col min="2819" max="2822" width="6.109375" style="74" customWidth="1"/>
    <col min="2823" max="2824" width="10.33203125" style="74" customWidth="1"/>
    <col min="2825" max="3072" width="9.109375" style="74"/>
    <col min="3073" max="3073" width="12.6640625" style="74" customWidth="1"/>
    <col min="3074" max="3074" width="10.6640625" style="74" bestFit="1" customWidth="1"/>
    <col min="3075" max="3078" width="6.109375" style="74" customWidth="1"/>
    <col min="3079" max="3080" width="10.33203125" style="74" customWidth="1"/>
    <col min="3081" max="3328" width="9.109375" style="74"/>
    <col min="3329" max="3329" width="12.6640625" style="74" customWidth="1"/>
    <col min="3330" max="3330" width="10.6640625" style="74" bestFit="1" customWidth="1"/>
    <col min="3331" max="3334" width="6.109375" style="74" customWidth="1"/>
    <col min="3335" max="3336" width="10.33203125" style="74" customWidth="1"/>
    <col min="3337" max="3584" width="9.109375" style="74"/>
    <col min="3585" max="3585" width="12.6640625" style="74" customWidth="1"/>
    <col min="3586" max="3586" width="10.6640625" style="74" bestFit="1" customWidth="1"/>
    <col min="3587" max="3590" width="6.109375" style="74" customWidth="1"/>
    <col min="3591" max="3592" width="10.33203125" style="74" customWidth="1"/>
    <col min="3593" max="3840" width="9.109375" style="74"/>
    <col min="3841" max="3841" width="12.6640625" style="74" customWidth="1"/>
    <col min="3842" max="3842" width="10.6640625" style="74" bestFit="1" customWidth="1"/>
    <col min="3843" max="3846" width="6.109375" style="74" customWidth="1"/>
    <col min="3847" max="3848" width="10.33203125" style="74" customWidth="1"/>
    <col min="3849" max="4096" width="9.109375" style="74"/>
    <col min="4097" max="4097" width="12.6640625" style="74" customWidth="1"/>
    <col min="4098" max="4098" width="10.6640625" style="74" bestFit="1" customWidth="1"/>
    <col min="4099" max="4102" width="6.109375" style="74" customWidth="1"/>
    <col min="4103" max="4104" width="10.33203125" style="74" customWidth="1"/>
    <col min="4105" max="4352" width="9.109375" style="74"/>
    <col min="4353" max="4353" width="12.6640625" style="74" customWidth="1"/>
    <col min="4354" max="4354" width="10.6640625" style="74" bestFit="1" customWidth="1"/>
    <col min="4355" max="4358" width="6.109375" style="74" customWidth="1"/>
    <col min="4359" max="4360" width="10.33203125" style="74" customWidth="1"/>
    <col min="4361" max="4608" width="9.109375" style="74"/>
    <col min="4609" max="4609" width="12.6640625" style="74" customWidth="1"/>
    <col min="4610" max="4610" width="10.6640625" style="74" bestFit="1" customWidth="1"/>
    <col min="4611" max="4614" width="6.109375" style="74" customWidth="1"/>
    <col min="4615" max="4616" width="10.33203125" style="74" customWidth="1"/>
    <col min="4617" max="4864" width="9.109375" style="74"/>
    <col min="4865" max="4865" width="12.6640625" style="74" customWidth="1"/>
    <col min="4866" max="4866" width="10.6640625" style="74" bestFit="1" customWidth="1"/>
    <col min="4867" max="4870" width="6.109375" style="74" customWidth="1"/>
    <col min="4871" max="4872" width="10.33203125" style="74" customWidth="1"/>
    <col min="4873" max="5120" width="9.109375" style="74"/>
    <col min="5121" max="5121" width="12.6640625" style="74" customWidth="1"/>
    <col min="5122" max="5122" width="10.6640625" style="74" bestFit="1" customWidth="1"/>
    <col min="5123" max="5126" width="6.109375" style="74" customWidth="1"/>
    <col min="5127" max="5128" width="10.33203125" style="74" customWidth="1"/>
    <col min="5129" max="5376" width="9.109375" style="74"/>
    <col min="5377" max="5377" width="12.6640625" style="74" customWidth="1"/>
    <col min="5378" max="5378" width="10.6640625" style="74" bestFit="1" customWidth="1"/>
    <col min="5379" max="5382" width="6.109375" style="74" customWidth="1"/>
    <col min="5383" max="5384" width="10.33203125" style="74" customWidth="1"/>
    <col min="5385" max="5632" width="9.109375" style="74"/>
    <col min="5633" max="5633" width="12.6640625" style="74" customWidth="1"/>
    <col min="5634" max="5634" width="10.6640625" style="74" bestFit="1" customWidth="1"/>
    <col min="5635" max="5638" width="6.109375" style="74" customWidth="1"/>
    <col min="5639" max="5640" width="10.33203125" style="74" customWidth="1"/>
    <col min="5641" max="5888" width="9.109375" style="74"/>
    <col min="5889" max="5889" width="12.6640625" style="74" customWidth="1"/>
    <col min="5890" max="5890" width="10.6640625" style="74" bestFit="1" customWidth="1"/>
    <col min="5891" max="5894" width="6.109375" style="74" customWidth="1"/>
    <col min="5895" max="5896" width="10.33203125" style="74" customWidth="1"/>
    <col min="5897" max="6144" width="9.109375" style="74"/>
    <col min="6145" max="6145" width="12.6640625" style="74" customWidth="1"/>
    <col min="6146" max="6146" width="10.6640625" style="74" bestFit="1" customWidth="1"/>
    <col min="6147" max="6150" width="6.109375" style="74" customWidth="1"/>
    <col min="6151" max="6152" width="10.33203125" style="74" customWidth="1"/>
    <col min="6153" max="6400" width="9.109375" style="74"/>
    <col min="6401" max="6401" width="12.6640625" style="74" customWidth="1"/>
    <col min="6402" max="6402" width="10.6640625" style="74" bestFit="1" customWidth="1"/>
    <col min="6403" max="6406" width="6.109375" style="74" customWidth="1"/>
    <col min="6407" max="6408" width="10.33203125" style="74" customWidth="1"/>
    <col min="6409" max="6656" width="9.109375" style="74"/>
    <col min="6657" max="6657" width="12.6640625" style="74" customWidth="1"/>
    <col min="6658" max="6658" width="10.6640625" style="74" bestFit="1" customWidth="1"/>
    <col min="6659" max="6662" width="6.109375" style="74" customWidth="1"/>
    <col min="6663" max="6664" width="10.33203125" style="74" customWidth="1"/>
    <col min="6665" max="6912" width="9.109375" style="74"/>
    <col min="6913" max="6913" width="12.6640625" style="74" customWidth="1"/>
    <col min="6914" max="6914" width="10.6640625" style="74" bestFit="1" customWidth="1"/>
    <col min="6915" max="6918" width="6.109375" style="74" customWidth="1"/>
    <col min="6919" max="6920" width="10.33203125" style="74" customWidth="1"/>
    <col min="6921" max="7168" width="9.109375" style="74"/>
    <col min="7169" max="7169" width="12.6640625" style="74" customWidth="1"/>
    <col min="7170" max="7170" width="10.6640625" style="74" bestFit="1" customWidth="1"/>
    <col min="7171" max="7174" width="6.109375" style="74" customWidth="1"/>
    <col min="7175" max="7176" width="10.33203125" style="74" customWidth="1"/>
    <col min="7177" max="7424" width="9.109375" style="74"/>
    <col min="7425" max="7425" width="12.6640625" style="74" customWidth="1"/>
    <col min="7426" max="7426" width="10.6640625" style="74" bestFit="1" customWidth="1"/>
    <col min="7427" max="7430" width="6.109375" style="74" customWidth="1"/>
    <col min="7431" max="7432" width="10.33203125" style="74" customWidth="1"/>
    <col min="7433" max="7680" width="9.109375" style="74"/>
    <col min="7681" max="7681" width="12.6640625" style="74" customWidth="1"/>
    <col min="7682" max="7682" width="10.6640625" style="74" bestFit="1" customWidth="1"/>
    <col min="7683" max="7686" width="6.109375" style="74" customWidth="1"/>
    <col min="7687" max="7688" width="10.33203125" style="74" customWidth="1"/>
    <col min="7689" max="7936" width="9.109375" style="74"/>
    <col min="7937" max="7937" width="12.6640625" style="74" customWidth="1"/>
    <col min="7938" max="7938" width="10.6640625" style="74" bestFit="1" customWidth="1"/>
    <col min="7939" max="7942" width="6.109375" style="74" customWidth="1"/>
    <col min="7943" max="7944" width="10.33203125" style="74" customWidth="1"/>
    <col min="7945" max="8192" width="9.109375" style="74"/>
    <col min="8193" max="8193" width="12.6640625" style="74" customWidth="1"/>
    <col min="8194" max="8194" width="10.6640625" style="74" bestFit="1" customWidth="1"/>
    <col min="8195" max="8198" width="6.109375" style="74" customWidth="1"/>
    <col min="8199" max="8200" width="10.33203125" style="74" customWidth="1"/>
    <col min="8201" max="8448" width="9.109375" style="74"/>
    <col min="8449" max="8449" width="12.6640625" style="74" customWidth="1"/>
    <col min="8450" max="8450" width="10.6640625" style="74" bestFit="1" customWidth="1"/>
    <col min="8451" max="8454" width="6.109375" style="74" customWidth="1"/>
    <col min="8455" max="8456" width="10.33203125" style="74" customWidth="1"/>
    <col min="8457" max="8704" width="9.109375" style="74"/>
    <col min="8705" max="8705" width="12.6640625" style="74" customWidth="1"/>
    <col min="8706" max="8706" width="10.6640625" style="74" bestFit="1" customWidth="1"/>
    <col min="8707" max="8710" width="6.109375" style="74" customWidth="1"/>
    <col min="8711" max="8712" width="10.33203125" style="74" customWidth="1"/>
    <col min="8713" max="8960" width="9.109375" style="74"/>
    <col min="8961" max="8961" width="12.6640625" style="74" customWidth="1"/>
    <col min="8962" max="8962" width="10.6640625" style="74" bestFit="1" customWidth="1"/>
    <col min="8963" max="8966" width="6.109375" style="74" customWidth="1"/>
    <col min="8967" max="8968" width="10.33203125" style="74" customWidth="1"/>
    <col min="8969" max="9216" width="9.109375" style="74"/>
    <col min="9217" max="9217" width="12.6640625" style="74" customWidth="1"/>
    <col min="9218" max="9218" width="10.6640625" style="74" bestFit="1" customWidth="1"/>
    <col min="9219" max="9222" width="6.109375" style="74" customWidth="1"/>
    <col min="9223" max="9224" width="10.33203125" style="74" customWidth="1"/>
    <col min="9225" max="9472" width="9.109375" style="74"/>
    <col min="9473" max="9473" width="12.6640625" style="74" customWidth="1"/>
    <col min="9474" max="9474" width="10.6640625" style="74" bestFit="1" customWidth="1"/>
    <col min="9475" max="9478" width="6.109375" style="74" customWidth="1"/>
    <col min="9479" max="9480" width="10.33203125" style="74" customWidth="1"/>
    <col min="9481" max="9728" width="9.109375" style="74"/>
    <col min="9729" max="9729" width="12.6640625" style="74" customWidth="1"/>
    <col min="9730" max="9730" width="10.6640625" style="74" bestFit="1" customWidth="1"/>
    <col min="9731" max="9734" width="6.109375" style="74" customWidth="1"/>
    <col min="9735" max="9736" width="10.33203125" style="74" customWidth="1"/>
    <col min="9737" max="9984" width="9.109375" style="74"/>
    <col min="9985" max="9985" width="12.6640625" style="74" customWidth="1"/>
    <col min="9986" max="9986" width="10.6640625" style="74" bestFit="1" customWidth="1"/>
    <col min="9987" max="9990" width="6.109375" style="74" customWidth="1"/>
    <col min="9991" max="9992" width="10.33203125" style="74" customWidth="1"/>
    <col min="9993" max="10240" width="9.109375" style="74"/>
    <col min="10241" max="10241" width="12.6640625" style="74" customWidth="1"/>
    <col min="10242" max="10242" width="10.6640625" style="74" bestFit="1" customWidth="1"/>
    <col min="10243" max="10246" width="6.109375" style="74" customWidth="1"/>
    <col min="10247" max="10248" width="10.33203125" style="74" customWidth="1"/>
    <col min="10249" max="10496" width="9.109375" style="74"/>
    <col min="10497" max="10497" width="12.6640625" style="74" customWidth="1"/>
    <col min="10498" max="10498" width="10.6640625" style="74" bestFit="1" customWidth="1"/>
    <col min="10499" max="10502" width="6.109375" style="74" customWidth="1"/>
    <col min="10503" max="10504" width="10.33203125" style="74" customWidth="1"/>
    <col min="10505" max="10752" width="9.109375" style="74"/>
    <col min="10753" max="10753" width="12.6640625" style="74" customWidth="1"/>
    <col min="10754" max="10754" width="10.6640625" style="74" bestFit="1" customWidth="1"/>
    <col min="10755" max="10758" width="6.109375" style="74" customWidth="1"/>
    <col min="10759" max="10760" width="10.33203125" style="74" customWidth="1"/>
    <col min="10761" max="11008" width="9.109375" style="74"/>
    <col min="11009" max="11009" width="12.6640625" style="74" customWidth="1"/>
    <col min="11010" max="11010" width="10.6640625" style="74" bestFit="1" customWidth="1"/>
    <col min="11011" max="11014" width="6.109375" style="74" customWidth="1"/>
    <col min="11015" max="11016" width="10.33203125" style="74" customWidth="1"/>
    <col min="11017" max="11264" width="9.109375" style="74"/>
    <col min="11265" max="11265" width="12.6640625" style="74" customWidth="1"/>
    <col min="11266" max="11266" width="10.6640625" style="74" bestFit="1" customWidth="1"/>
    <col min="11267" max="11270" width="6.109375" style="74" customWidth="1"/>
    <col min="11271" max="11272" width="10.33203125" style="74" customWidth="1"/>
    <col min="11273" max="11520" width="9.109375" style="74"/>
    <col min="11521" max="11521" width="12.6640625" style="74" customWidth="1"/>
    <col min="11522" max="11522" width="10.6640625" style="74" bestFit="1" customWidth="1"/>
    <col min="11523" max="11526" width="6.109375" style="74" customWidth="1"/>
    <col min="11527" max="11528" width="10.33203125" style="74" customWidth="1"/>
    <col min="11529" max="11776" width="9.109375" style="74"/>
    <col min="11777" max="11777" width="12.6640625" style="74" customWidth="1"/>
    <col min="11778" max="11778" width="10.6640625" style="74" bestFit="1" customWidth="1"/>
    <col min="11779" max="11782" width="6.109375" style="74" customWidth="1"/>
    <col min="11783" max="11784" width="10.33203125" style="74" customWidth="1"/>
    <col min="11785" max="12032" width="9.109375" style="74"/>
    <col min="12033" max="12033" width="12.6640625" style="74" customWidth="1"/>
    <col min="12034" max="12034" width="10.6640625" style="74" bestFit="1" customWidth="1"/>
    <col min="12035" max="12038" width="6.109375" style="74" customWidth="1"/>
    <col min="12039" max="12040" width="10.33203125" style="74" customWidth="1"/>
    <col min="12041" max="12288" width="9.109375" style="74"/>
    <col min="12289" max="12289" width="12.6640625" style="74" customWidth="1"/>
    <col min="12290" max="12290" width="10.6640625" style="74" bestFit="1" customWidth="1"/>
    <col min="12291" max="12294" width="6.109375" style="74" customWidth="1"/>
    <col min="12295" max="12296" width="10.33203125" style="74" customWidth="1"/>
    <col min="12297" max="12544" width="9.109375" style="74"/>
    <col min="12545" max="12545" width="12.6640625" style="74" customWidth="1"/>
    <col min="12546" max="12546" width="10.6640625" style="74" bestFit="1" customWidth="1"/>
    <col min="12547" max="12550" width="6.109375" style="74" customWidth="1"/>
    <col min="12551" max="12552" width="10.33203125" style="74" customWidth="1"/>
    <col min="12553" max="12800" width="9.109375" style="74"/>
    <col min="12801" max="12801" width="12.6640625" style="74" customWidth="1"/>
    <col min="12802" max="12802" width="10.6640625" style="74" bestFit="1" customWidth="1"/>
    <col min="12803" max="12806" width="6.109375" style="74" customWidth="1"/>
    <col min="12807" max="12808" width="10.33203125" style="74" customWidth="1"/>
    <col min="12809" max="13056" width="9.109375" style="74"/>
    <col min="13057" max="13057" width="12.6640625" style="74" customWidth="1"/>
    <col min="13058" max="13058" width="10.6640625" style="74" bestFit="1" customWidth="1"/>
    <col min="13059" max="13062" width="6.109375" style="74" customWidth="1"/>
    <col min="13063" max="13064" width="10.33203125" style="74" customWidth="1"/>
    <col min="13065" max="13312" width="9.109375" style="74"/>
    <col min="13313" max="13313" width="12.6640625" style="74" customWidth="1"/>
    <col min="13314" max="13314" width="10.6640625" style="74" bestFit="1" customWidth="1"/>
    <col min="13315" max="13318" width="6.109375" style="74" customWidth="1"/>
    <col min="13319" max="13320" width="10.33203125" style="74" customWidth="1"/>
    <col min="13321" max="13568" width="9.109375" style="74"/>
    <col min="13569" max="13569" width="12.6640625" style="74" customWidth="1"/>
    <col min="13570" max="13570" width="10.6640625" style="74" bestFit="1" customWidth="1"/>
    <col min="13571" max="13574" width="6.109375" style="74" customWidth="1"/>
    <col min="13575" max="13576" width="10.33203125" style="74" customWidth="1"/>
    <col min="13577" max="13824" width="9.109375" style="74"/>
    <col min="13825" max="13825" width="12.6640625" style="74" customWidth="1"/>
    <col min="13826" max="13826" width="10.6640625" style="74" bestFit="1" customWidth="1"/>
    <col min="13827" max="13830" width="6.109375" style="74" customWidth="1"/>
    <col min="13831" max="13832" width="10.33203125" style="74" customWidth="1"/>
    <col min="13833" max="14080" width="9.109375" style="74"/>
    <col min="14081" max="14081" width="12.6640625" style="74" customWidth="1"/>
    <col min="14082" max="14082" width="10.6640625" style="74" bestFit="1" customWidth="1"/>
    <col min="14083" max="14086" width="6.109375" style="74" customWidth="1"/>
    <col min="14087" max="14088" width="10.33203125" style="74" customWidth="1"/>
    <col min="14089" max="14336" width="9.109375" style="74"/>
    <col min="14337" max="14337" width="12.6640625" style="74" customWidth="1"/>
    <col min="14338" max="14338" width="10.6640625" style="74" bestFit="1" customWidth="1"/>
    <col min="14339" max="14342" width="6.109375" style="74" customWidth="1"/>
    <col min="14343" max="14344" width="10.33203125" style="74" customWidth="1"/>
    <col min="14345" max="14592" width="9.109375" style="74"/>
    <col min="14593" max="14593" width="12.6640625" style="74" customWidth="1"/>
    <col min="14594" max="14594" width="10.6640625" style="74" bestFit="1" customWidth="1"/>
    <col min="14595" max="14598" width="6.109375" style="74" customWidth="1"/>
    <col min="14599" max="14600" width="10.33203125" style="74" customWidth="1"/>
    <col min="14601" max="14848" width="9.109375" style="74"/>
    <col min="14849" max="14849" width="12.6640625" style="74" customWidth="1"/>
    <col min="14850" max="14850" width="10.6640625" style="74" bestFit="1" customWidth="1"/>
    <col min="14851" max="14854" width="6.109375" style="74" customWidth="1"/>
    <col min="14855" max="14856" width="10.33203125" style="74" customWidth="1"/>
    <col min="14857" max="15104" width="9.109375" style="74"/>
    <col min="15105" max="15105" width="12.6640625" style="74" customWidth="1"/>
    <col min="15106" max="15106" width="10.6640625" style="74" bestFit="1" customWidth="1"/>
    <col min="15107" max="15110" width="6.109375" style="74" customWidth="1"/>
    <col min="15111" max="15112" width="10.33203125" style="74" customWidth="1"/>
    <col min="15113" max="15360" width="9.109375" style="74"/>
    <col min="15361" max="15361" width="12.6640625" style="74" customWidth="1"/>
    <col min="15362" max="15362" width="10.6640625" style="74" bestFit="1" customWidth="1"/>
    <col min="15363" max="15366" width="6.109375" style="74" customWidth="1"/>
    <col min="15367" max="15368" width="10.33203125" style="74" customWidth="1"/>
    <col min="15369" max="15616" width="9.109375" style="74"/>
    <col min="15617" max="15617" width="12.6640625" style="74" customWidth="1"/>
    <col min="15618" max="15618" width="10.6640625" style="74" bestFit="1" customWidth="1"/>
    <col min="15619" max="15622" width="6.109375" style="74" customWidth="1"/>
    <col min="15623" max="15624" width="10.33203125" style="74" customWidth="1"/>
    <col min="15625" max="15872" width="9.109375" style="74"/>
    <col min="15873" max="15873" width="12.6640625" style="74" customWidth="1"/>
    <col min="15874" max="15874" width="10.6640625" style="74" bestFit="1" customWidth="1"/>
    <col min="15875" max="15878" width="6.109375" style="74" customWidth="1"/>
    <col min="15879" max="15880" width="10.33203125" style="74" customWidth="1"/>
    <col min="15881" max="16128" width="9.109375" style="74"/>
    <col min="16129" max="16129" width="12.6640625" style="74" customWidth="1"/>
    <col min="16130" max="16130" width="10.6640625" style="74" bestFit="1" customWidth="1"/>
    <col min="16131" max="16134" width="6.109375" style="74" customWidth="1"/>
    <col min="16135" max="16136" width="10.33203125" style="74" customWidth="1"/>
    <col min="16137" max="16384" width="9.109375" style="74"/>
  </cols>
  <sheetData>
    <row r="1" spans="1:6" x14ac:dyDescent="0.3">
      <c r="A1" s="73" t="s">
        <v>607</v>
      </c>
      <c r="B1" s="73"/>
      <c r="C1" s="73"/>
      <c r="D1" s="73"/>
      <c r="E1" s="73"/>
      <c r="F1" s="73"/>
    </row>
    <row r="2" spans="1:6" x14ac:dyDescent="0.3">
      <c r="A2" s="73" t="s">
        <v>608</v>
      </c>
      <c r="B2" s="73"/>
      <c r="C2" s="73"/>
      <c r="D2" s="73"/>
      <c r="E2" s="73"/>
      <c r="F2" s="73"/>
    </row>
    <row r="3" spans="1:6" x14ac:dyDescent="0.3">
      <c r="A3" s="73" t="s">
        <v>609</v>
      </c>
      <c r="B3" s="73"/>
      <c r="C3" s="73"/>
      <c r="D3" s="73"/>
      <c r="E3" s="73"/>
      <c r="F3" s="73"/>
    </row>
    <row r="4" spans="1:6" x14ac:dyDescent="0.3">
      <c r="A4" s="73"/>
      <c r="B4" s="73"/>
      <c r="C4" s="73"/>
      <c r="D4" s="73"/>
      <c r="E4" s="73"/>
      <c r="F4" s="73"/>
    </row>
    <row r="5" spans="1:6" x14ac:dyDescent="0.3">
      <c r="A5" s="73"/>
      <c r="B5" s="73"/>
      <c r="C5" s="73"/>
      <c r="D5" s="73"/>
      <c r="E5" s="73"/>
      <c r="F5" s="73"/>
    </row>
    <row r="7" spans="1:6" x14ac:dyDescent="0.3">
      <c r="A7" s="75" t="s">
        <v>610</v>
      </c>
      <c r="B7" s="75" t="s">
        <v>611</v>
      </c>
    </row>
    <row r="8" spans="1:6" x14ac:dyDescent="0.3">
      <c r="A8" s="75">
        <v>2000</v>
      </c>
      <c r="B8" s="75">
        <v>500</v>
      </c>
    </row>
    <row r="9" spans="1:6" x14ac:dyDescent="0.3">
      <c r="A9" s="75">
        <v>2001</v>
      </c>
      <c r="B9" s="75">
        <v>575</v>
      </c>
    </row>
    <row r="10" spans="1:6" x14ac:dyDescent="0.3">
      <c r="A10" s="75">
        <v>2002</v>
      </c>
      <c r="B10" s="75">
        <v>600</v>
      </c>
    </row>
    <row r="11" spans="1:6" x14ac:dyDescent="0.3">
      <c r="A11" s="75">
        <v>2003</v>
      </c>
      <c r="B11" s="75">
        <v>500</v>
      </c>
    </row>
    <row r="12" spans="1:6" x14ac:dyDescent="0.3">
      <c r="A12" s="75">
        <v>2004</v>
      </c>
      <c r="B12" s="75">
        <v>550</v>
      </c>
    </row>
    <row r="13" spans="1:6" x14ac:dyDescent="0.3">
      <c r="A13" s="75">
        <v>2005</v>
      </c>
      <c r="B13" s="75">
        <v>700</v>
      </c>
    </row>
    <row r="14" spans="1:6" x14ac:dyDescent="0.3">
      <c r="A14" s="74">
        <v>2010</v>
      </c>
      <c r="B14" s="76"/>
    </row>
  </sheetData>
  <pageMargins left="0.75" right="0.75" top="1" bottom="1" header="0.5" footer="0.5"/>
  <pageSetup orientation="portrait" horizontalDpi="300" verticalDpi="300" r:id="rId1"/>
  <headerFooter alignWithMargins="0"/>
  <customProperties>
    <customPr name="LastActive" r:id="rId2"/>
  </customPropertie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985C-02D4-489C-8AA4-804C144FD199}">
  <dimension ref="A1:D11"/>
  <sheetViews>
    <sheetView showGridLines="0" workbookViewId="0">
      <selection activeCell="I16" sqref="I16"/>
    </sheetView>
  </sheetViews>
  <sheetFormatPr defaultRowHeight="13.2" x14ac:dyDescent="0.25"/>
  <cols>
    <col min="1" max="1" width="11.5546875" style="29" customWidth="1"/>
    <col min="2" max="2" width="11.109375" style="29" customWidth="1"/>
    <col min="3" max="256" width="9.109375" style="29"/>
    <col min="257" max="257" width="11.5546875" style="29" customWidth="1"/>
    <col min="258" max="258" width="11.109375" style="29" customWidth="1"/>
    <col min="259" max="512" width="9.109375" style="29"/>
    <col min="513" max="513" width="11.5546875" style="29" customWidth="1"/>
    <col min="514" max="514" width="11.109375" style="29" customWidth="1"/>
    <col min="515" max="768" width="9.109375" style="29"/>
    <col min="769" max="769" width="11.5546875" style="29" customWidth="1"/>
    <col min="770" max="770" width="11.109375" style="29" customWidth="1"/>
    <col min="771" max="1024" width="9.109375" style="29"/>
    <col min="1025" max="1025" width="11.5546875" style="29" customWidth="1"/>
    <col min="1026" max="1026" width="11.109375" style="29" customWidth="1"/>
    <col min="1027" max="1280" width="9.109375" style="29"/>
    <col min="1281" max="1281" width="11.5546875" style="29" customWidth="1"/>
    <col min="1282" max="1282" width="11.109375" style="29" customWidth="1"/>
    <col min="1283" max="1536" width="9.109375" style="29"/>
    <col min="1537" max="1537" width="11.5546875" style="29" customWidth="1"/>
    <col min="1538" max="1538" width="11.109375" style="29" customWidth="1"/>
    <col min="1539" max="1792" width="9.109375" style="29"/>
    <col min="1793" max="1793" width="11.5546875" style="29" customWidth="1"/>
    <col min="1794" max="1794" width="11.109375" style="29" customWidth="1"/>
    <col min="1795" max="2048" width="9.109375" style="29"/>
    <col min="2049" max="2049" width="11.5546875" style="29" customWidth="1"/>
    <col min="2050" max="2050" width="11.109375" style="29" customWidth="1"/>
    <col min="2051" max="2304" width="9.109375" style="29"/>
    <col min="2305" max="2305" width="11.5546875" style="29" customWidth="1"/>
    <col min="2306" max="2306" width="11.109375" style="29" customWidth="1"/>
    <col min="2307" max="2560" width="9.109375" style="29"/>
    <col min="2561" max="2561" width="11.5546875" style="29" customWidth="1"/>
    <col min="2562" max="2562" width="11.109375" style="29" customWidth="1"/>
    <col min="2563" max="2816" width="9.109375" style="29"/>
    <col min="2817" max="2817" width="11.5546875" style="29" customWidth="1"/>
    <col min="2818" max="2818" width="11.109375" style="29" customWidth="1"/>
    <col min="2819" max="3072" width="9.109375" style="29"/>
    <col min="3073" max="3073" width="11.5546875" style="29" customWidth="1"/>
    <col min="3074" max="3074" width="11.109375" style="29" customWidth="1"/>
    <col min="3075" max="3328" width="9.109375" style="29"/>
    <col min="3329" max="3329" width="11.5546875" style="29" customWidth="1"/>
    <col min="3330" max="3330" width="11.109375" style="29" customWidth="1"/>
    <col min="3331" max="3584" width="9.109375" style="29"/>
    <col min="3585" max="3585" width="11.5546875" style="29" customWidth="1"/>
    <col min="3586" max="3586" width="11.109375" style="29" customWidth="1"/>
    <col min="3587" max="3840" width="9.109375" style="29"/>
    <col min="3841" max="3841" width="11.5546875" style="29" customWidth="1"/>
    <col min="3842" max="3842" width="11.109375" style="29" customWidth="1"/>
    <col min="3843" max="4096" width="9.109375" style="29"/>
    <col min="4097" max="4097" width="11.5546875" style="29" customWidth="1"/>
    <col min="4098" max="4098" width="11.109375" style="29" customWidth="1"/>
    <col min="4099" max="4352" width="9.109375" style="29"/>
    <col min="4353" max="4353" width="11.5546875" style="29" customWidth="1"/>
    <col min="4354" max="4354" width="11.109375" style="29" customWidth="1"/>
    <col min="4355" max="4608" width="9.109375" style="29"/>
    <col min="4609" max="4609" width="11.5546875" style="29" customWidth="1"/>
    <col min="4610" max="4610" width="11.109375" style="29" customWidth="1"/>
    <col min="4611" max="4864" width="9.109375" style="29"/>
    <col min="4865" max="4865" width="11.5546875" style="29" customWidth="1"/>
    <col min="4866" max="4866" width="11.109375" style="29" customWidth="1"/>
    <col min="4867" max="5120" width="9.109375" style="29"/>
    <col min="5121" max="5121" width="11.5546875" style="29" customWidth="1"/>
    <col min="5122" max="5122" width="11.109375" style="29" customWidth="1"/>
    <col min="5123" max="5376" width="9.109375" style="29"/>
    <col min="5377" max="5377" width="11.5546875" style="29" customWidth="1"/>
    <col min="5378" max="5378" width="11.109375" style="29" customWidth="1"/>
    <col min="5379" max="5632" width="9.109375" style="29"/>
    <col min="5633" max="5633" width="11.5546875" style="29" customWidth="1"/>
    <col min="5634" max="5634" width="11.109375" style="29" customWidth="1"/>
    <col min="5635" max="5888" width="9.109375" style="29"/>
    <col min="5889" max="5889" width="11.5546875" style="29" customWidth="1"/>
    <col min="5890" max="5890" width="11.109375" style="29" customWidth="1"/>
    <col min="5891" max="6144" width="9.109375" style="29"/>
    <col min="6145" max="6145" width="11.5546875" style="29" customWidth="1"/>
    <col min="6146" max="6146" width="11.109375" style="29" customWidth="1"/>
    <col min="6147" max="6400" width="9.109375" style="29"/>
    <col min="6401" max="6401" width="11.5546875" style="29" customWidth="1"/>
    <col min="6402" max="6402" width="11.109375" style="29" customWidth="1"/>
    <col min="6403" max="6656" width="9.109375" style="29"/>
    <col min="6657" max="6657" width="11.5546875" style="29" customWidth="1"/>
    <col min="6658" max="6658" width="11.109375" style="29" customWidth="1"/>
    <col min="6659" max="6912" width="9.109375" style="29"/>
    <col min="6913" max="6913" width="11.5546875" style="29" customWidth="1"/>
    <col min="6914" max="6914" width="11.109375" style="29" customWidth="1"/>
    <col min="6915" max="7168" width="9.109375" style="29"/>
    <col min="7169" max="7169" width="11.5546875" style="29" customWidth="1"/>
    <col min="7170" max="7170" width="11.109375" style="29" customWidth="1"/>
    <col min="7171" max="7424" width="9.109375" style="29"/>
    <col min="7425" max="7425" width="11.5546875" style="29" customWidth="1"/>
    <col min="7426" max="7426" width="11.109375" style="29" customWidth="1"/>
    <col min="7427" max="7680" width="9.109375" style="29"/>
    <col min="7681" max="7681" width="11.5546875" style="29" customWidth="1"/>
    <col min="7682" max="7682" width="11.109375" style="29" customWidth="1"/>
    <col min="7683" max="7936" width="9.109375" style="29"/>
    <col min="7937" max="7937" width="11.5546875" style="29" customWidth="1"/>
    <col min="7938" max="7938" width="11.109375" style="29" customWidth="1"/>
    <col min="7939" max="8192" width="9.109375" style="29"/>
    <col min="8193" max="8193" width="11.5546875" style="29" customWidth="1"/>
    <col min="8194" max="8194" width="11.109375" style="29" customWidth="1"/>
    <col min="8195" max="8448" width="9.109375" style="29"/>
    <col min="8449" max="8449" width="11.5546875" style="29" customWidth="1"/>
    <col min="8450" max="8450" width="11.109375" style="29" customWidth="1"/>
    <col min="8451" max="8704" width="9.109375" style="29"/>
    <col min="8705" max="8705" width="11.5546875" style="29" customWidth="1"/>
    <col min="8706" max="8706" width="11.109375" style="29" customWidth="1"/>
    <col min="8707" max="8960" width="9.109375" style="29"/>
    <col min="8961" max="8961" width="11.5546875" style="29" customWidth="1"/>
    <col min="8962" max="8962" width="11.109375" style="29" customWidth="1"/>
    <col min="8963" max="9216" width="9.109375" style="29"/>
    <col min="9217" max="9217" width="11.5546875" style="29" customWidth="1"/>
    <col min="9218" max="9218" width="11.109375" style="29" customWidth="1"/>
    <col min="9219" max="9472" width="9.109375" style="29"/>
    <col min="9473" max="9473" width="11.5546875" style="29" customWidth="1"/>
    <col min="9474" max="9474" width="11.109375" style="29" customWidth="1"/>
    <col min="9475" max="9728" width="9.109375" style="29"/>
    <col min="9729" max="9729" width="11.5546875" style="29" customWidth="1"/>
    <col min="9730" max="9730" width="11.109375" style="29" customWidth="1"/>
    <col min="9731" max="9984" width="9.109375" style="29"/>
    <col min="9985" max="9985" width="11.5546875" style="29" customWidth="1"/>
    <col min="9986" max="9986" width="11.109375" style="29" customWidth="1"/>
    <col min="9987" max="10240" width="9.109375" style="29"/>
    <col min="10241" max="10241" width="11.5546875" style="29" customWidth="1"/>
    <col min="10242" max="10242" width="11.109375" style="29" customWidth="1"/>
    <col min="10243" max="10496" width="9.109375" style="29"/>
    <col min="10497" max="10497" width="11.5546875" style="29" customWidth="1"/>
    <col min="10498" max="10498" width="11.109375" style="29" customWidth="1"/>
    <col min="10499" max="10752" width="9.109375" style="29"/>
    <col min="10753" max="10753" width="11.5546875" style="29" customWidth="1"/>
    <col min="10754" max="10754" width="11.109375" style="29" customWidth="1"/>
    <col min="10755" max="11008" width="9.109375" style="29"/>
    <col min="11009" max="11009" width="11.5546875" style="29" customWidth="1"/>
    <col min="11010" max="11010" width="11.109375" style="29" customWidth="1"/>
    <col min="11011" max="11264" width="9.109375" style="29"/>
    <col min="11265" max="11265" width="11.5546875" style="29" customWidth="1"/>
    <col min="11266" max="11266" width="11.109375" style="29" customWidth="1"/>
    <col min="11267" max="11520" width="9.109375" style="29"/>
    <col min="11521" max="11521" width="11.5546875" style="29" customWidth="1"/>
    <col min="11522" max="11522" width="11.109375" style="29" customWidth="1"/>
    <col min="11523" max="11776" width="9.109375" style="29"/>
    <col min="11777" max="11777" width="11.5546875" style="29" customWidth="1"/>
    <col min="11778" max="11778" width="11.109375" style="29" customWidth="1"/>
    <col min="11779" max="12032" width="9.109375" style="29"/>
    <col min="12033" max="12033" width="11.5546875" style="29" customWidth="1"/>
    <col min="12034" max="12034" width="11.109375" style="29" customWidth="1"/>
    <col min="12035" max="12288" width="9.109375" style="29"/>
    <col min="12289" max="12289" width="11.5546875" style="29" customWidth="1"/>
    <col min="12290" max="12290" width="11.109375" style="29" customWidth="1"/>
    <col min="12291" max="12544" width="9.109375" style="29"/>
    <col min="12545" max="12545" width="11.5546875" style="29" customWidth="1"/>
    <col min="12546" max="12546" width="11.109375" style="29" customWidth="1"/>
    <col min="12547" max="12800" width="9.109375" style="29"/>
    <col min="12801" max="12801" width="11.5546875" style="29" customWidth="1"/>
    <col min="12802" max="12802" width="11.109375" style="29" customWidth="1"/>
    <col min="12803" max="13056" width="9.109375" style="29"/>
    <col min="13057" max="13057" width="11.5546875" style="29" customWidth="1"/>
    <col min="13058" max="13058" width="11.109375" style="29" customWidth="1"/>
    <col min="13059" max="13312" width="9.109375" style="29"/>
    <col min="13313" max="13313" width="11.5546875" style="29" customWidth="1"/>
    <col min="13314" max="13314" width="11.109375" style="29" customWidth="1"/>
    <col min="13315" max="13568" width="9.109375" style="29"/>
    <col min="13569" max="13569" width="11.5546875" style="29" customWidth="1"/>
    <col min="13570" max="13570" width="11.109375" style="29" customWidth="1"/>
    <col min="13571" max="13824" width="9.109375" style="29"/>
    <col min="13825" max="13825" width="11.5546875" style="29" customWidth="1"/>
    <col min="13826" max="13826" width="11.109375" style="29" customWidth="1"/>
    <col min="13827" max="14080" width="9.109375" style="29"/>
    <col min="14081" max="14081" width="11.5546875" style="29" customWidth="1"/>
    <col min="14082" max="14082" width="11.109375" style="29" customWidth="1"/>
    <col min="14083" max="14336" width="9.109375" style="29"/>
    <col min="14337" max="14337" width="11.5546875" style="29" customWidth="1"/>
    <col min="14338" max="14338" width="11.109375" style="29" customWidth="1"/>
    <col min="14339" max="14592" width="9.109375" style="29"/>
    <col min="14593" max="14593" width="11.5546875" style="29" customWidth="1"/>
    <col min="14594" max="14594" width="11.109375" style="29" customWidth="1"/>
    <col min="14595" max="14848" width="9.109375" style="29"/>
    <col min="14849" max="14849" width="11.5546875" style="29" customWidth="1"/>
    <col min="14850" max="14850" width="11.109375" style="29" customWidth="1"/>
    <col min="14851" max="15104" width="9.109375" style="29"/>
    <col min="15105" max="15105" width="11.5546875" style="29" customWidth="1"/>
    <col min="15106" max="15106" width="11.109375" style="29" customWidth="1"/>
    <col min="15107" max="15360" width="9.109375" style="29"/>
    <col min="15361" max="15361" width="11.5546875" style="29" customWidth="1"/>
    <col min="15362" max="15362" width="11.109375" style="29" customWidth="1"/>
    <col min="15363" max="15616" width="9.109375" style="29"/>
    <col min="15617" max="15617" width="11.5546875" style="29" customWidth="1"/>
    <col min="15618" max="15618" width="11.109375" style="29" customWidth="1"/>
    <col min="15619" max="15872" width="9.109375" style="29"/>
    <col min="15873" max="15873" width="11.5546875" style="29" customWidth="1"/>
    <col min="15874" max="15874" width="11.109375" style="29" customWidth="1"/>
    <col min="15875" max="16128" width="9.109375" style="29"/>
    <col min="16129" max="16129" width="11.5546875" style="29" customWidth="1"/>
    <col min="16130" max="16130" width="11.109375" style="29" customWidth="1"/>
    <col min="16131" max="16384" width="9.109375" style="29"/>
  </cols>
  <sheetData>
    <row r="1" spans="1:4" x14ac:dyDescent="0.25">
      <c r="A1" s="60" t="s">
        <v>612</v>
      </c>
      <c r="B1" s="60" t="s">
        <v>613</v>
      </c>
      <c r="C1" s="60" t="s">
        <v>614</v>
      </c>
    </row>
    <row r="2" spans="1:4" x14ac:dyDescent="0.25">
      <c r="A2" s="30">
        <v>0</v>
      </c>
      <c r="B2" s="30">
        <v>1.7018999999999999E-2</v>
      </c>
      <c r="C2" s="42">
        <f t="shared" ref="C2:C7" si="0">$B$10*A2+$B$9</f>
        <v>0</v>
      </c>
    </row>
    <row r="3" spans="1:4" x14ac:dyDescent="0.25">
      <c r="A3" s="30">
        <v>1</v>
      </c>
      <c r="B3" s="30">
        <v>4.4401999999999997E-2</v>
      </c>
      <c r="C3" s="42">
        <f t="shared" si="0"/>
        <v>0</v>
      </c>
    </row>
    <row r="4" spans="1:4" x14ac:dyDescent="0.25">
      <c r="A4" s="30">
        <v>2</v>
      </c>
      <c r="B4" s="30">
        <v>8.3213999999999996E-2</v>
      </c>
      <c r="C4" s="42">
        <f t="shared" si="0"/>
        <v>0</v>
      </c>
    </row>
    <row r="5" spans="1:4" x14ac:dyDescent="0.25">
      <c r="A5" s="30">
        <v>3</v>
      </c>
      <c r="B5" s="30">
        <v>0.119718</v>
      </c>
      <c r="C5" s="42">
        <f t="shared" si="0"/>
        <v>0</v>
      </c>
    </row>
    <row r="6" spans="1:4" x14ac:dyDescent="0.25">
      <c r="A6" s="30">
        <v>4</v>
      </c>
      <c r="B6" s="30">
        <v>0.143932</v>
      </c>
      <c r="C6" s="42">
        <f t="shared" si="0"/>
        <v>0</v>
      </c>
    </row>
    <row r="7" spans="1:4" x14ac:dyDescent="0.25">
      <c r="A7" s="30">
        <v>5</v>
      </c>
      <c r="B7" s="30">
        <v>0.166075</v>
      </c>
      <c r="C7" s="42">
        <f t="shared" si="0"/>
        <v>0</v>
      </c>
    </row>
    <row r="8" spans="1:4" x14ac:dyDescent="0.25">
      <c r="A8" s="54" t="s">
        <v>615</v>
      </c>
      <c r="B8" s="54"/>
      <c r="C8" s="54"/>
    </row>
    <row r="9" spans="1:4" x14ac:dyDescent="0.25">
      <c r="A9" s="42" t="s">
        <v>616</v>
      </c>
      <c r="B9" s="42"/>
    </row>
    <row r="10" spans="1:4" x14ac:dyDescent="0.25">
      <c r="A10" s="42" t="s">
        <v>617</v>
      </c>
      <c r="B10" s="42"/>
    </row>
    <row r="11" spans="1:4" x14ac:dyDescent="0.25">
      <c r="A11" s="54" t="s">
        <v>618</v>
      </c>
      <c r="B11" s="54"/>
      <c r="C11" s="54"/>
      <c r="D11" s="54"/>
    </row>
  </sheetData>
  <pageMargins left="0.75" right="0.75" top="1" bottom="1" header="0.5" footer="0.5"/>
  <pageSetup orientation="portrait" horizontalDpi="300" verticalDpi="300" r:id="rId1"/>
  <headerFooter alignWithMargins="0"/>
  <customProperties>
    <customPr name="LastActive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Simple Calc</vt:lpstr>
      <vt:lpstr>Logical Calc</vt:lpstr>
      <vt:lpstr>Masterdata</vt:lpstr>
      <vt:lpstr>Vlookup-Match</vt:lpstr>
      <vt:lpstr>Vlookup-Index-match</vt:lpstr>
      <vt:lpstr>Financial Functions</vt:lpstr>
      <vt:lpstr>Functions</vt:lpstr>
      <vt:lpstr>Shortcuts</vt:lpstr>
      <vt:lpstr>Charts</vt:lpstr>
      <vt:lpstr>What if Analysis</vt:lpstr>
      <vt:lpstr>Analysis</vt:lpstr>
      <vt:lpstr>Forcast_trendLine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Dani</dc:creator>
  <cp:lastModifiedBy>Vipul Dani</cp:lastModifiedBy>
  <dcterms:created xsi:type="dcterms:W3CDTF">2005-11-25T07:32:53Z</dcterms:created>
  <dcterms:modified xsi:type="dcterms:W3CDTF">2024-07-22T11:55:34Z</dcterms:modified>
</cp:coreProperties>
</file>